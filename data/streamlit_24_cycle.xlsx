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Z:\FMVC\Monthly QIS\making_files\SC_2408\"/>
    </mc:Choice>
  </mc:AlternateContent>
  <xr:revisionPtr revIDLastSave="0" documentId="13_ncr:1_{DA363F48-1DE9-4DE5-8942-ECD484C7EC18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CycleE" sheetId="1" r:id="rId1"/>
    <sheet name="CycleE_Meta" sheetId="2" r:id="rId2"/>
    <sheet name="CycleC" sheetId="3" r:id="rId3"/>
    <sheet name="CycleC_Meta" sheetId="4" r:id="rId4"/>
    <sheet name="CycleE_2" sheetId="6" r:id="rId5"/>
    <sheet name="CycleC_2" sheetId="5" r:id="rId6"/>
    <sheet name="BB" sheetId="7" r:id="rId7"/>
    <sheet name="Strategy" sheetId="8" r:id="rId8"/>
  </sheets>
  <externalReferences>
    <externalReference r:id="rId9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2" i="8" l="1"/>
  <c r="W72" i="8"/>
  <c r="V73" i="8"/>
  <c r="W73" i="8"/>
  <c r="V75" i="8"/>
  <c r="W75" i="8"/>
  <c r="V76" i="8"/>
  <c r="W76" i="8"/>
  <c r="V77" i="8"/>
  <c r="W77" i="8"/>
  <c r="V78" i="8"/>
  <c r="W78" i="8"/>
  <c r="V79" i="8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V122" i="8" s="1"/>
  <c r="V123" i="8" s="1"/>
  <c r="V124" i="8" s="1"/>
  <c r="V125" i="8" s="1"/>
  <c r="V126" i="8" s="1"/>
  <c r="V127" i="8" s="1"/>
  <c r="V128" i="8" s="1"/>
  <c r="V129" i="8" s="1"/>
  <c r="V130" i="8" s="1"/>
  <c r="V131" i="8" s="1"/>
  <c r="V132" i="8" s="1"/>
  <c r="W79" i="8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W119" i="8" s="1"/>
  <c r="W120" i="8" s="1"/>
  <c r="W121" i="8" s="1"/>
  <c r="W122" i="8" s="1"/>
  <c r="W123" i="8" s="1"/>
  <c r="W124" i="8" s="1"/>
  <c r="W125" i="8" s="1"/>
  <c r="W126" i="8" s="1"/>
  <c r="W127" i="8" s="1"/>
  <c r="W128" i="8" s="1"/>
  <c r="W129" i="8" s="1"/>
  <c r="W130" i="8" s="1"/>
  <c r="W131" i="8" s="1"/>
  <c r="W132" i="8" s="1"/>
  <c r="T4" i="8"/>
  <c r="U4" i="8"/>
  <c r="T5" i="8"/>
  <c r="U5" i="8"/>
  <c r="T6" i="8"/>
  <c r="U6" i="8"/>
  <c r="T7" i="8"/>
  <c r="U7" i="8"/>
  <c r="T8" i="8"/>
  <c r="U8" i="8"/>
  <c r="T9" i="8"/>
  <c r="U9" i="8"/>
  <c r="T10" i="8"/>
  <c r="U10" i="8"/>
  <c r="U11" i="8" s="1"/>
  <c r="U12" i="8" s="1"/>
  <c r="U13" i="8" s="1"/>
  <c r="U14" i="8" s="1"/>
  <c r="U15" i="8" s="1"/>
  <c r="T11" i="8"/>
  <c r="T12" i="8" s="1"/>
  <c r="T13" i="8" s="1"/>
  <c r="T14" i="8" s="1"/>
  <c r="T15" i="8" s="1"/>
  <c r="T16" i="8" s="1"/>
  <c r="U16" i="8"/>
  <c r="T17" i="8"/>
  <c r="T18" i="8" s="1"/>
  <c r="T19" i="8" s="1"/>
  <c r="T20" i="8" s="1"/>
  <c r="T21" i="8" s="1"/>
  <c r="T22" i="8" s="1"/>
  <c r="T23" i="8" s="1"/>
  <c r="U17" i="8"/>
  <c r="U18" i="8" s="1"/>
  <c r="U19" i="8" s="1"/>
  <c r="U20" i="8" s="1"/>
  <c r="U21" i="8" s="1"/>
  <c r="U22" i="8" s="1"/>
  <c r="U23" i="8"/>
  <c r="T24" i="8"/>
  <c r="U24" i="8"/>
  <c r="U25" i="8" s="1"/>
  <c r="U26" i="8" s="1"/>
  <c r="U27" i="8" s="1"/>
  <c r="U28" i="8" s="1"/>
  <c r="U29" i="8" s="1"/>
  <c r="T25" i="8"/>
  <c r="T26" i="8" s="1"/>
  <c r="T27" i="8" s="1"/>
  <c r="T28" i="8" s="1"/>
  <c r="T29" i="8" s="1"/>
  <c r="T30" i="8" s="1"/>
  <c r="U30" i="8"/>
  <c r="T31" i="8"/>
  <c r="T32" i="8" s="1"/>
  <c r="T33" i="8" s="1"/>
  <c r="T34" i="8" s="1"/>
  <c r="T35" i="8" s="1"/>
  <c r="T36" i="8" s="1"/>
  <c r="T37" i="8" s="1"/>
  <c r="U31" i="8"/>
  <c r="U32" i="8" s="1"/>
  <c r="U33" i="8" s="1"/>
  <c r="U34" i="8" s="1"/>
  <c r="U35" i="8" s="1"/>
  <c r="U36" i="8" s="1"/>
  <c r="U37" i="8"/>
  <c r="T38" i="8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T131" i="8" s="1"/>
  <c r="T132" i="8" s="1"/>
  <c r="U38" i="8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U119" i="8" s="1"/>
  <c r="U120" i="8" s="1"/>
  <c r="U121" i="8" s="1"/>
  <c r="U122" i="8" s="1"/>
  <c r="U123" i="8" s="1"/>
  <c r="U124" i="8" s="1"/>
  <c r="U125" i="8" s="1"/>
  <c r="U126" i="8" s="1"/>
  <c r="U127" i="8" s="1"/>
  <c r="U128" i="8" s="1"/>
  <c r="U129" i="8" s="1"/>
  <c r="U130" i="8" s="1"/>
  <c r="U131" i="8" s="1"/>
  <c r="U132" i="8" s="1"/>
  <c r="U3" i="8"/>
  <c r="T3" i="8"/>
  <c r="X2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S123" i="8" s="1"/>
  <c r="S124" i="8" s="1"/>
  <c r="S125" i="8" s="1"/>
  <c r="S126" i="8" s="1"/>
  <c r="S127" i="8" s="1"/>
  <c r="S128" i="8" s="1"/>
  <c r="S129" i="8" s="1"/>
  <c r="S130" i="8" s="1"/>
  <c r="S131" i="8" s="1"/>
  <c r="S132" i="8" s="1"/>
  <c r="AS17" i="8"/>
  <c r="AS16" i="8"/>
  <c r="AS15" i="8"/>
  <c r="AS14" i="8"/>
  <c r="AS13" i="8"/>
  <c r="AS12" i="8"/>
  <c r="AS11" i="8"/>
  <c r="AS10" i="8"/>
  <c r="AS9" i="8"/>
  <c r="AS8" i="8"/>
  <c r="AS7" i="8"/>
  <c r="AS6" i="8"/>
  <c r="AS5" i="8"/>
  <c r="AS4" i="8"/>
  <c r="AS3" i="8"/>
  <c r="AS2" i="8"/>
  <c r="E3" i="8"/>
  <c r="E4" i="8"/>
  <c r="E5" i="8"/>
  <c r="Q5" i="8" s="1"/>
  <c r="Y5" i="8" s="1"/>
  <c r="E6" i="8"/>
  <c r="Q6" i="8" s="1"/>
  <c r="Y6" i="8" s="1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Q34" i="8" s="1"/>
  <c r="Y34" i="8" s="1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Q62" i="8" s="1"/>
  <c r="Y62" i="8" s="1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Q86" i="8" s="1"/>
  <c r="Y86" i="8" s="1"/>
  <c r="AA86" i="8" s="1"/>
  <c r="E87" i="8"/>
  <c r="Q87" i="8" s="1"/>
  <c r="Y87" i="8" s="1"/>
  <c r="E88" i="8"/>
  <c r="E89" i="8"/>
  <c r="E90" i="8"/>
  <c r="Q90" i="8" s="1"/>
  <c r="Y90" i="8" s="1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Q118" i="8" s="1"/>
  <c r="Y118" i="8" s="1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2" i="8"/>
  <c r="AL3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2" i="8"/>
  <c r="Q94" i="8" l="1"/>
  <c r="Y94" i="8" s="1"/>
  <c r="Q10" i="8"/>
  <c r="Y10" i="8" s="1"/>
  <c r="Z10" i="8" s="1"/>
  <c r="Q122" i="8"/>
  <c r="Y122" i="8" s="1"/>
  <c r="AA122" i="8" s="1"/>
  <c r="Q66" i="8"/>
  <c r="Y66" i="8" s="1"/>
  <c r="Q38" i="8"/>
  <c r="Y38" i="8" s="1"/>
  <c r="AA38" i="8" s="1"/>
  <c r="Q119" i="8"/>
  <c r="Y119" i="8" s="1"/>
  <c r="Q91" i="8"/>
  <c r="Y91" i="8" s="1"/>
  <c r="Z91" i="8" s="1"/>
  <c r="Q63" i="8"/>
  <c r="Y63" i="8" s="1"/>
  <c r="Q35" i="8"/>
  <c r="Y35" i="8" s="1"/>
  <c r="Q7" i="8"/>
  <c r="Y7" i="8" s="1"/>
  <c r="Z7" i="8" s="1"/>
  <c r="Z35" i="8"/>
  <c r="AB35" i="8"/>
  <c r="AA35" i="8"/>
  <c r="AB38" i="8"/>
  <c r="Z38" i="8"/>
  <c r="AB119" i="8"/>
  <c r="Z119" i="8"/>
  <c r="AA119" i="8"/>
  <c r="Z63" i="8"/>
  <c r="AB63" i="8"/>
  <c r="AA63" i="8"/>
  <c r="Z87" i="8"/>
  <c r="AA87" i="8"/>
  <c r="AB87" i="8"/>
  <c r="Z122" i="8"/>
  <c r="Z5" i="8"/>
  <c r="AA5" i="8"/>
  <c r="AB5" i="8"/>
  <c r="Z86" i="8"/>
  <c r="AB86" i="8"/>
  <c r="AB118" i="8"/>
  <c r="Z118" i="8"/>
  <c r="AA118" i="8"/>
  <c r="AB62" i="8"/>
  <c r="Z62" i="8"/>
  <c r="AA62" i="8"/>
  <c r="AB34" i="8"/>
  <c r="Z34" i="8"/>
  <c r="AA34" i="8"/>
  <c r="Q30" i="8"/>
  <c r="Y30" i="8" s="1"/>
  <c r="AB122" i="8"/>
  <c r="AB90" i="8"/>
  <c r="Z90" i="8"/>
  <c r="AA90" i="8"/>
  <c r="AB6" i="8"/>
  <c r="Z6" i="8"/>
  <c r="AA6" i="8"/>
  <c r="AB10" i="8"/>
  <c r="AA10" i="8"/>
  <c r="Q120" i="8"/>
  <c r="Y120" i="8" s="1"/>
  <c r="Q92" i="8"/>
  <c r="Y92" i="8" s="1"/>
  <c r="Q64" i="8"/>
  <c r="Y64" i="8" s="1"/>
  <c r="Q36" i="8"/>
  <c r="Y36" i="8" s="1"/>
  <c r="Q8" i="8"/>
  <c r="Y8" i="8" s="1"/>
  <c r="Q96" i="8"/>
  <c r="Y96" i="8" s="1"/>
  <c r="Q123" i="8"/>
  <c r="Y123" i="8" s="1"/>
  <c r="Q95" i="8"/>
  <c r="Y95" i="8" s="1"/>
  <c r="Q67" i="8"/>
  <c r="Y67" i="8" s="1"/>
  <c r="Q39" i="8"/>
  <c r="Y39" i="8" s="1"/>
  <c r="Q11" i="8"/>
  <c r="Y11" i="8" s="1"/>
  <c r="Q99" i="8"/>
  <c r="Y99" i="8" s="1"/>
  <c r="Q97" i="8"/>
  <c r="Y97" i="8" s="1"/>
  <c r="Q124" i="8"/>
  <c r="Y124" i="8" s="1"/>
  <c r="Q117" i="8"/>
  <c r="Y117" i="8" s="1"/>
  <c r="Q89" i="8"/>
  <c r="Y89" i="8" s="1"/>
  <c r="Q61" i="8"/>
  <c r="Y61" i="8" s="1"/>
  <c r="Q33" i="8"/>
  <c r="Y33" i="8" s="1"/>
  <c r="Q116" i="8"/>
  <c r="Y116" i="8" s="1"/>
  <c r="Q88" i="8"/>
  <c r="Y88" i="8" s="1"/>
  <c r="Q60" i="8"/>
  <c r="Y60" i="8" s="1"/>
  <c r="Q32" i="8"/>
  <c r="Y32" i="8" s="1"/>
  <c r="Q4" i="8"/>
  <c r="Y4" i="8" s="1"/>
  <c r="Q115" i="8"/>
  <c r="Y115" i="8" s="1"/>
  <c r="Q59" i="8"/>
  <c r="Y59" i="8" s="1"/>
  <c r="Q31" i="8"/>
  <c r="Y31" i="8" s="1"/>
  <c r="Q3" i="8"/>
  <c r="Y3" i="8" s="1"/>
  <c r="Q114" i="8"/>
  <c r="Y114" i="8" s="1"/>
  <c r="Q58" i="8"/>
  <c r="Y58" i="8" s="1"/>
  <c r="Q98" i="8"/>
  <c r="Y98" i="8" s="1"/>
  <c r="Q127" i="8"/>
  <c r="Y127" i="8" s="1"/>
  <c r="Q126" i="8"/>
  <c r="Y126" i="8" s="1"/>
  <c r="Q125" i="8"/>
  <c r="Y125" i="8" s="1"/>
  <c r="Q9" i="8"/>
  <c r="Y9" i="8" s="1"/>
  <c r="Q71" i="8"/>
  <c r="Y71" i="8" s="1"/>
  <c r="Q113" i="8"/>
  <c r="Y113" i="8" s="1"/>
  <c r="Q57" i="8"/>
  <c r="Y57" i="8" s="1"/>
  <c r="Q29" i="8"/>
  <c r="Y29" i="8" s="1"/>
  <c r="Q70" i="8"/>
  <c r="Y70" i="8" s="1"/>
  <c r="Q112" i="8"/>
  <c r="Y112" i="8" s="1"/>
  <c r="Q84" i="8"/>
  <c r="Y84" i="8" s="1"/>
  <c r="Q28" i="8"/>
  <c r="Y28" i="8" s="1"/>
  <c r="Q69" i="8"/>
  <c r="Y69" i="8" s="1"/>
  <c r="Q111" i="8"/>
  <c r="Y111" i="8" s="1"/>
  <c r="Q83" i="8"/>
  <c r="Y83" i="8" s="1"/>
  <c r="Q55" i="8"/>
  <c r="Y55" i="8" s="1"/>
  <c r="Q27" i="8"/>
  <c r="Y27" i="8" s="1"/>
  <c r="Q68" i="8"/>
  <c r="Y68" i="8" s="1"/>
  <c r="Q56" i="8"/>
  <c r="Y56" i="8" s="1"/>
  <c r="Q107" i="8"/>
  <c r="Y107" i="8" s="1"/>
  <c r="Q79" i="8"/>
  <c r="Y79" i="8" s="1"/>
  <c r="Q51" i="8"/>
  <c r="Y51" i="8" s="1"/>
  <c r="Q23" i="8"/>
  <c r="Y23" i="8" s="1"/>
  <c r="Q42" i="8"/>
  <c r="Y42" i="8" s="1"/>
  <c r="Q106" i="8"/>
  <c r="Y106" i="8" s="1"/>
  <c r="Q50" i="8"/>
  <c r="Y50" i="8" s="1"/>
  <c r="Q2" i="8"/>
  <c r="Y2" i="8" s="1"/>
  <c r="Q77" i="8"/>
  <c r="Y77" i="8" s="1"/>
  <c r="Q21" i="8"/>
  <c r="Y21" i="8" s="1"/>
  <c r="Q40" i="8"/>
  <c r="Y40" i="8" s="1"/>
  <c r="Q104" i="8"/>
  <c r="Y104" i="8" s="1"/>
  <c r="Q48" i="8"/>
  <c r="Y48" i="8" s="1"/>
  <c r="Q131" i="8"/>
  <c r="Y131" i="8" s="1"/>
  <c r="Q75" i="8"/>
  <c r="Y75" i="8" s="1"/>
  <c r="Q19" i="8"/>
  <c r="Y19" i="8" s="1"/>
  <c r="Q74" i="8"/>
  <c r="Y74" i="8" s="1"/>
  <c r="Q18" i="8"/>
  <c r="Y18" i="8" s="1"/>
  <c r="Q15" i="8"/>
  <c r="Y15" i="8" s="1"/>
  <c r="Q73" i="8"/>
  <c r="Y73" i="8" s="1"/>
  <c r="Q100" i="8"/>
  <c r="Y100" i="8" s="1"/>
  <c r="Q85" i="8"/>
  <c r="Y85" i="8" s="1"/>
  <c r="Q43" i="8"/>
  <c r="Y43" i="8" s="1"/>
  <c r="Q78" i="8"/>
  <c r="Y78" i="8" s="1"/>
  <c r="Q22" i="8"/>
  <c r="Y22" i="8" s="1"/>
  <c r="Q41" i="8"/>
  <c r="Y41" i="8" s="1"/>
  <c r="Q105" i="8"/>
  <c r="Y105" i="8" s="1"/>
  <c r="Q49" i="8"/>
  <c r="Y49" i="8" s="1"/>
  <c r="Q132" i="8"/>
  <c r="Y132" i="8" s="1"/>
  <c r="Q76" i="8"/>
  <c r="Y76" i="8" s="1"/>
  <c r="Q20" i="8"/>
  <c r="Y20" i="8" s="1"/>
  <c r="Q103" i="8"/>
  <c r="Y103" i="8" s="1"/>
  <c r="Q47" i="8"/>
  <c r="Y47" i="8" s="1"/>
  <c r="Q130" i="8"/>
  <c r="Y130" i="8" s="1"/>
  <c r="Q102" i="8"/>
  <c r="Y102" i="8" s="1"/>
  <c r="Q46" i="8"/>
  <c r="Y46" i="8" s="1"/>
  <c r="Q129" i="8"/>
  <c r="Y129" i="8" s="1"/>
  <c r="Q101" i="8"/>
  <c r="Y101" i="8" s="1"/>
  <c r="Q45" i="8"/>
  <c r="Y45" i="8" s="1"/>
  <c r="Q17" i="8"/>
  <c r="Y17" i="8" s="1"/>
  <c r="Q14" i="8"/>
  <c r="Y14" i="8" s="1"/>
  <c r="Q128" i="8"/>
  <c r="Y128" i="8" s="1"/>
  <c r="Q72" i="8"/>
  <c r="Y72" i="8" s="1"/>
  <c r="Q44" i="8"/>
  <c r="Y44" i="8" s="1"/>
  <c r="Q16" i="8"/>
  <c r="Y16" i="8" s="1"/>
  <c r="Q13" i="8"/>
  <c r="Y13" i="8" s="1"/>
  <c r="Q12" i="8"/>
  <c r="Y12" i="8" s="1"/>
  <c r="Q110" i="8"/>
  <c r="Y110" i="8" s="1"/>
  <c r="Q82" i="8"/>
  <c r="Y82" i="8" s="1"/>
  <c r="Q54" i="8"/>
  <c r="Y54" i="8" s="1"/>
  <c r="Q26" i="8"/>
  <c r="Y26" i="8" s="1"/>
  <c r="Q109" i="8"/>
  <c r="Y109" i="8" s="1"/>
  <c r="Q81" i="8"/>
  <c r="Y81" i="8" s="1"/>
  <c r="Q53" i="8"/>
  <c r="Y53" i="8" s="1"/>
  <c r="Q25" i="8"/>
  <c r="Y25" i="8" s="1"/>
  <c r="Q108" i="8"/>
  <c r="Y108" i="8" s="1"/>
  <c r="Q80" i="8"/>
  <c r="Y80" i="8" s="1"/>
  <c r="Q52" i="8"/>
  <c r="Y52" i="8" s="1"/>
  <c r="Q24" i="8"/>
  <c r="Y24" i="8" s="1"/>
  <c r="Q121" i="8"/>
  <c r="Y121" i="8" s="1"/>
  <c r="Q93" i="8"/>
  <c r="Y93" i="8" s="1"/>
  <c r="Q65" i="8"/>
  <c r="Y65" i="8" s="1"/>
  <c r="Q37" i="8"/>
  <c r="Y37" i="8" s="1"/>
  <c r="AB7" i="8" l="1"/>
  <c r="AA91" i="8"/>
  <c r="AA7" i="8"/>
  <c r="AB91" i="8"/>
  <c r="Z66" i="8"/>
  <c r="AA66" i="8"/>
  <c r="AB66" i="8"/>
  <c r="Z94" i="8"/>
  <c r="AA94" i="8"/>
  <c r="AB94" i="8"/>
  <c r="Z13" i="8"/>
  <c r="AA13" i="8"/>
  <c r="AB13" i="8"/>
  <c r="Z16" i="8"/>
  <c r="AA16" i="8"/>
  <c r="AB16" i="8"/>
  <c r="Z44" i="8"/>
  <c r="AA44" i="8"/>
  <c r="AB44" i="8"/>
  <c r="AB113" i="8"/>
  <c r="AA113" i="8"/>
  <c r="Z113" i="8"/>
  <c r="Z128" i="8"/>
  <c r="AA128" i="8"/>
  <c r="AB128" i="8"/>
  <c r="Z123" i="8"/>
  <c r="AA123" i="8"/>
  <c r="AB123" i="8"/>
  <c r="AA48" i="8"/>
  <c r="AB48" i="8"/>
  <c r="Z48" i="8"/>
  <c r="AA104" i="8"/>
  <c r="AB104" i="8"/>
  <c r="Z104" i="8"/>
  <c r="Z45" i="8"/>
  <c r="AB45" i="8"/>
  <c r="AA45" i="8"/>
  <c r="AA36" i="8"/>
  <c r="AB36" i="8"/>
  <c r="Z36" i="8"/>
  <c r="Z127" i="8"/>
  <c r="AA127" i="8"/>
  <c r="AB127" i="8"/>
  <c r="AB77" i="8"/>
  <c r="AA77" i="8"/>
  <c r="Z77" i="8"/>
  <c r="AA120" i="8"/>
  <c r="AB120" i="8"/>
  <c r="Z120" i="8"/>
  <c r="Z102" i="8"/>
  <c r="AA102" i="8"/>
  <c r="AB102" i="8"/>
  <c r="Z114" i="8"/>
  <c r="AB114" i="8"/>
  <c r="AA114" i="8"/>
  <c r="Z18" i="8"/>
  <c r="AA18" i="8"/>
  <c r="AB18" i="8"/>
  <c r="Z67" i="8"/>
  <c r="AA67" i="8"/>
  <c r="AB67" i="8"/>
  <c r="Z72" i="8"/>
  <c r="AA72" i="8"/>
  <c r="AB72" i="8"/>
  <c r="Z131" i="8"/>
  <c r="AB131" i="8"/>
  <c r="AA131" i="8"/>
  <c r="Z14" i="8"/>
  <c r="AA14" i="8"/>
  <c r="AB14" i="8"/>
  <c r="Z9" i="8"/>
  <c r="AB9" i="8"/>
  <c r="AA9" i="8"/>
  <c r="Z17" i="8"/>
  <c r="AB17" i="8"/>
  <c r="AA17" i="8"/>
  <c r="AA8" i="8"/>
  <c r="AB8" i="8"/>
  <c r="Z8" i="8"/>
  <c r="Z126" i="8"/>
  <c r="AA126" i="8"/>
  <c r="AB126" i="8"/>
  <c r="AB21" i="8"/>
  <c r="AA21" i="8"/>
  <c r="Z21" i="8"/>
  <c r="AA64" i="8"/>
  <c r="AB64" i="8"/>
  <c r="Z64" i="8"/>
  <c r="Z98" i="8"/>
  <c r="AA98" i="8"/>
  <c r="AB98" i="8"/>
  <c r="Z46" i="8"/>
  <c r="AA46" i="8"/>
  <c r="AB46" i="8"/>
  <c r="Z3" i="8"/>
  <c r="AA3" i="8"/>
  <c r="AB3" i="8"/>
  <c r="Z74" i="8"/>
  <c r="AA74" i="8"/>
  <c r="AB74" i="8"/>
  <c r="Z19" i="8"/>
  <c r="AA19" i="8"/>
  <c r="AB19" i="8"/>
  <c r="Z75" i="8"/>
  <c r="AA75" i="8"/>
  <c r="AB75" i="8"/>
  <c r="Z95" i="8"/>
  <c r="AA95" i="8"/>
  <c r="AB95" i="8"/>
  <c r="Z71" i="8"/>
  <c r="AA71" i="8"/>
  <c r="AB71" i="8"/>
  <c r="AA96" i="8"/>
  <c r="AB96" i="8"/>
  <c r="Z96" i="8"/>
  <c r="Z125" i="8"/>
  <c r="AA125" i="8"/>
  <c r="AB125" i="8"/>
  <c r="AA40" i="8"/>
  <c r="AB40" i="8"/>
  <c r="Z40" i="8"/>
  <c r="Z101" i="8"/>
  <c r="AB101" i="8"/>
  <c r="AA101" i="8"/>
  <c r="AB129" i="8"/>
  <c r="Z129" i="8"/>
  <c r="AA129" i="8"/>
  <c r="AA92" i="8"/>
  <c r="AB92" i="8"/>
  <c r="Z92" i="8"/>
  <c r="Z2" i="8"/>
  <c r="AA2" i="8"/>
  <c r="AB2" i="8"/>
  <c r="Z58" i="8"/>
  <c r="AB58" i="8"/>
  <c r="AA58" i="8"/>
  <c r="Z37" i="8"/>
  <c r="AA37" i="8"/>
  <c r="AB37" i="8"/>
  <c r="Z50" i="8"/>
  <c r="AA50" i="8"/>
  <c r="AB50" i="8"/>
  <c r="Z65" i="8"/>
  <c r="AA65" i="8"/>
  <c r="AB65" i="8"/>
  <c r="Z130" i="8"/>
  <c r="AA130" i="8"/>
  <c r="AB130" i="8"/>
  <c r="Z106" i="8"/>
  <c r="AA106" i="8"/>
  <c r="AB106" i="8"/>
  <c r="Z93" i="8"/>
  <c r="AA93" i="8"/>
  <c r="AB93" i="8"/>
  <c r="Z47" i="8"/>
  <c r="AA47" i="8"/>
  <c r="AB47" i="8"/>
  <c r="Z42" i="8"/>
  <c r="AA42" i="8"/>
  <c r="AB42" i="8"/>
  <c r="Z31" i="8"/>
  <c r="AA31" i="8"/>
  <c r="AB31" i="8"/>
  <c r="Z11" i="8"/>
  <c r="AA11" i="8"/>
  <c r="AB11" i="8"/>
  <c r="AB29" i="8"/>
  <c r="AA29" i="8"/>
  <c r="Z29" i="8"/>
  <c r="AB57" i="8"/>
  <c r="AA57" i="8"/>
  <c r="Z57" i="8"/>
  <c r="Z103" i="8"/>
  <c r="AB103" i="8"/>
  <c r="AA103" i="8"/>
  <c r="Z23" i="8"/>
  <c r="AA23" i="8"/>
  <c r="AB23" i="8"/>
  <c r="Z24" i="8"/>
  <c r="AA24" i="8"/>
  <c r="AB24" i="8"/>
  <c r="Z115" i="8"/>
  <c r="AA115" i="8"/>
  <c r="AB115" i="8"/>
  <c r="AA76" i="8"/>
  <c r="AB76" i="8"/>
  <c r="Z76" i="8"/>
  <c r="Z79" i="8"/>
  <c r="AA79" i="8"/>
  <c r="AB79" i="8"/>
  <c r="AA132" i="8"/>
  <c r="AB132" i="8"/>
  <c r="Z132" i="8"/>
  <c r="Z32" i="8"/>
  <c r="AA32" i="8"/>
  <c r="AB32" i="8"/>
  <c r="Z108" i="8"/>
  <c r="AA108" i="8"/>
  <c r="AB108" i="8"/>
  <c r="Z60" i="8"/>
  <c r="AA60" i="8"/>
  <c r="AB60" i="8"/>
  <c r="AB105" i="8"/>
  <c r="AA105" i="8"/>
  <c r="Z105" i="8"/>
  <c r="Z88" i="8"/>
  <c r="AA88" i="8"/>
  <c r="AB88" i="8"/>
  <c r="Z41" i="8"/>
  <c r="AA41" i="8"/>
  <c r="AB41" i="8"/>
  <c r="Z27" i="8"/>
  <c r="AA27" i="8"/>
  <c r="AB27" i="8"/>
  <c r="Z30" i="8"/>
  <c r="AB30" i="8"/>
  <c r="AA30" i="8"/>
  <c r="Z22" i="8"/>
  <c r="AA22" i="8"/>
  <c r="AB22" i="8"/>
  <c r="Z33" i="8"/>
  <c r="AA33" i="8"/>
  <c r="AB33" i="8"/>
  <c r="Z78" i="8"/>
  <c r="AA78" i="8"/>
  <c r="AB78" i="8"/>
  <c r="Z83" i="8"/>
  <c r="AA83" i="8"/>
  <c r="AB83" i="8"/>
  <c r="AA26" i="8"/>
  <c r="Z26" i="8"/>
  <c r="AB26" i="8"/>
  <c r="Z111" i="8"/>
  <c r="AA111" i="8"/>
  <c r="AB111" i="8"/>
  <c r="AA54" i="8"/>
  <c r="Z54" i="8"/>
  <c r="AB54" i="8"/>
  <c r="Z69" i="8"/>
  <c r="AA69" i="8"/>
  <c r="AB69" i="8"/>
  <c r="AA82" i="8"/>
  <c r="Z82" i="8"/>
  <c r="AB82" i="8"/>
  <c r="AA124" i="8"/>
  <c r="AB124" i="8"/>
  <c r="Z124" i="8"/>
  <c r="Z73" i="8"/>
  <c r="AB73" i="8"/>
  <c r="AA73" i="8"/>
  <c r="Z84" i="8"/>
  <c r="AA84" i="8"/>
  <c r="AB84" i="8"/>
  <c r="Z97" i="8"/>
  <c r="AA97" i="8"/>
  <c r="AB97" i="8"/>
  <c r="Z70" i="8"/>
  <c r="AA70" i="8"/>
  <c r="AB70" i="8"/>
  <c r="Z39" i="8"/>
  <c r="AA39" i="8"/>
  <c r="AB39" i="8"/>
  <c r="AA121" i="8"/>
  <c r="AB121" i="8"/>
  <c r="Z121" i="8"/>
  <c r="Z59" i="8"/>
  <c r="AA59" i="8"/>
  <c r="AB59" i="8"/>
  <c r="AA20" i="8"/>
  <c r="AB20" i="8"/>
  <c r="Z20" i="8"/>
  <c r="Z51" i="8"/>
  <c r="AA51" i="8"/>
  <c r="AB51" i="8"/>
  <c r="Z52" i="8"/>
  <c r="AA52" i="8"/>
  <c r="AB52" i="8"/>
  <c r="AA4" i="8"/>
  <c r="AB4" i="8"/>
  <c r="Z4" i="8"/>
  <c r="Z80" i="8"/>
  <c r="AA80" i="8"/>
  <c r="AB80" i="8"/>
  <c r="Z107" i="8"/>
  <c r="AA107" i="8"/>
  <c r="AB107" i="8"/>
  <c r="AB49" i="8"/>
  <c r="AA49" i="8"/>
  <c r="Z49" i="8"/>
  <c r="Z56" i="8"/>
  <c r="AA56" i="8"/>
  <c r="AB56" i="8"/>
  <c r="AA25" i="8"/>
  <c r="AB25" i="8"/>
  <c r="Z25" i="8"/>
  <c r="AA68" i="8"/>
  <c r="AB68" i="8"/>
  <c r="Z68" i="8"/>
  <c r="AA53" i="8"/>
  <c r="Z53" i="8"/>
  <c r="AB53" i="8"/>
  <c r="Z116" i="8"/>
  <c r="AA116" i="8"/>
  <c r="AB116" i="8"/>
  <c r="AA81" i="8"/>
  <c r="Z81" i="8"/>
  <c r="AB81" i="8"/>
  <c r="Z55" i="8"/>
  <c r="AA55" i="8"/>
  <c r="AB55" i="8"/>
  <c r="AA109" i="8"/>
  <c r="Z109" i="8"/>
  <c r="AB109" i="8"/>
  <c r="Z61" i="8"/>
  <c r="AA61" i="8"/>
  <c r="AB61" i="8"/>
  <c r="Z43" i="8"/>
  <c r="AA43" i="8"/>
  <c r="AB43" i="8"/>
  <c r="Z89" i="8"/>
  <c r="AA89" i="8"/>
  <c r="AB89" i="8"/>
  <c r="AB85" i="8"/>
  <c r="Z85" i="8"/>
  <c r="AA85" i="8"/>
  <c r="Z117" i="8"/>
  <c r="AA117" i="8"/>
  <c r="AB117" i="8"/>
  <c r="Z100" i="8"/>
  <c r="AA100" i="8"/>
  <c r="AB100" i="8"/>
  <c r="AA28" i="8"/>
  <c r="Z28" i="8"/>
  <c r="AB28" i="8"/>
  <c r="Z110" i="8"/>
  <c r="AA110" i="8"/>
  <c r="AB110" i="8"/>
  <c r="AA12" i="8"/>
  <c r="AB12" i="8"/>
  <c r="Z12" i="8"/>
  <c r="Z15" i="8"/>
  <c r="AA15" i="8"/>
  <c r="AB15" i="8"/>
  <c r="AA112" i="8"/>
  <c r="Z112" i="8"/>
  <c r="AB112" i="8"/>
  <c r="Z99" i="8"/>
  <c r="AA99" i="8"/>
  <c r="AB99" i="8"/>
  <c r="B132" i="8"/>
  <c r="F132" i="8" s="1"/>
  <c r="B131" i="8"/>
  <c r="F131" i="8" s="1"/>
  <c r="B130" i="8"/>
  <c r="F130" i="8" s="1"/>
  <c r="B129" i="8"/>
  <c r="F129" i="8" s="1"/>
  <c r="B128" i="8"/>
  <c r="F128" i="8" s="1"/>
  <c r="B127" i="8"/>
  <c r="F127" i="8" s="1"/>
  <c r="B126" i="8"/>
  <c r="F126" i="8" s="1"/>
  <c r="B125" i="8"/>
  <c r="F125" i="8" s="1"/>
  <c r="B124" i="8"/>
  <c r="F124" i="8" s="1"/>
  <c r="B123" i="8"/>
  <c r="F123" i="8" s="1"/>
  <c r="B122" i="8"/>
  <c r="F122" i="8" s="1"/>
  <c r="B121" i="8"/>
  <c r="F121" i="8" s="1"/>
  <c r="B120" i="8"/>
  <c r="F120" i="8" s="1"/>
  <c r="B119" i="8"/>
  <c r="F119" i="8" s="1"/>
  <c r="B118" i="8"/>
  <c r="F118" i="8" s="1"/>
  <c r="B117" i="8"/>
  <c r="F117" i="8" s="1"/>
  <c r="B116" i="8"/>
  <c r="F116" i="8" s="1"/>
  <c r="B115" i="8"/>
  <c r="F115" i="8" s="1"/>
  <c r="B114" i="8"/>
  <c r="F114" i="8" s="1"/>
  <c r="B113" i="8"/>
  <c r="F113" i="8" s="1"/>
  <c r="B112" i="8"/>
  <c r="F112" i="8" s="1"/>
  <c r="B111" i="8"/>
  <c r="F111" i="8" s="1"/>
  <c r="B110" i="8"/>
  <c r="F110" i="8" s="1"/>
  <c r="B109" i="8"/>
  <c r="F109" i="8" s="1"/>
  <c r="B108" i="8"/>
  <c r="F108" i="8" s="1"/>
  <c r="B107" i="8"/>
  <c r="F107" i="8" s="1"/>
  <c r="B106" i="8"/>
  <c r="F106" i="8" s="1"/>
  <c r="B105" i="8"/>
  <c r="F105" i="8" s="1"/>
  <c r="B104" i="8"/>
  <c r="F104" i="8" s="1"/>
  <c r="B103" i="8"/>
  <c r="F103" i="8" s="1"/>
  <c r="B102" i="8"/>
  <c r="F102" i="8" s="1"/>
  <c r="B101" i="8"/>
  <c r="F101" i="8" s="1"/>
  <c r="B100" i="8"/>
  <c r="F100" i="8" s="1"/>
  <c r="B99" i="8"/>
  <c r="F99" i="8" s="1"/>
  <c r="B98" i="8"/>
  <c r="F98" i="8" s="1"/>
  <c r="B97" i="8"/>
  <c r="F97" i="8" s="1"/>
  <c r="B96" i="8"/>
  <c r="F96" i="8" s="1"/>
  <c r="B95" i="8"/>
  <c r="F95" i="8" s="1"/>
  <c r="B94" i="8"/>
  <c r="F94" i="8" s="1"/>
  <c r="B93" i="8"/>
  <c r="F93" i="8" s="1"/>
  <c r="B92" i="8"/>
  <c r="F92" i="8" s="1"/>
  <c r="B91" i="8"/>
  <c r="F91" i="8" s="1"/>
  <c r="B90" i="8"/>
  <c r="F90" i="8" s="1"/>
  <c r="B89" i="8"/>
  <c r="F89" i="8" s="1"/>
  <c r="B88" i="8"/>
  <c r="F88" i="8" s="1"/>
  <c r="B87" i="8"/>
  <c r="F87" i="8" s="1"/>
  <c r="B86" i="8"/>
  <c r="F86" i="8" s="1"/>
  <c r="B85" i="8"/>
  <c r="F85" i="8" s="1"/>
  <c r="B84" i="8"/>
  <c r="F84" i="8" s="1"/>
  <c r="B83" i="8"/>
  <c r="F83" i="8" s="1"/>
  <c r="B82" i="8"/>
  <c r="F82" i="8" s="1"/>
  <c r="B81" i="8"/>
  <c r="F81" i="8" s="1"/>
  <c r="B80" i="8"/>
  <c r="F80" i="8" s="1"/>
  <c r="B79" i="8"/>
  <c r="F79" i="8" s="1"/>
  <c r="B78" i="8"/>
  <c r="F78" i="8" s="1"/>
  <c r="B77" i="8"/>
  <c r="F77" i="8" s="1"/>
  <c r="B76" i="8"/>
  <c r="F76" i="8" s="1"/>
  <c r="B75" i="8"/>
  <c r="F75" i="8" s="1"/>
  <c r="B74" i="8"/>
  <c r="F74" i="8" s="1"/>
  <c r="B73" i="8"/>
  <c r="F73" i="8" s="1"/>
  <c r="B72" i="8"/>
  <c r="F72" i="8" s="1"/>
  <c r="B71" i="8"/>
  <c r="F71" i="8" s="1"/>
  <c r="B70" i="8"/>
  <c r="F70" i="8" s="1"/>
  <c r="B69" i="8"/>
  <c r="F69" i="8" s="1"/>
  <c r="B68" i="8"/>
  <c r="F68" i="8" s="1"/>
  <c r="B67" i="8"/>
  <c r="F67" i="8" s="1"/>
  <c r="B66" i="8"/>
  <c r="F66" i="8" s="1"/>
  <c r="B65" i="8"/>
  <c r="F65" i="8" s="1"/>
  <c r="B64" i="8"/>
  <c r="F64" i="8" s="1"/>
  <c r="B63" i="8"/>
  <c r="F63" i="8" s="1"/>
  <c r="B62" i="8"/>
  <c r="F62" i="8" s="1"/>
  <c r="B61" i="8"/>
  <c r="F61" i="8" s="1"/>
  <c r="B60" i="8"/>
  <c r="F60" i="8" s="1"/>
  <c r="B59" i="8"/>
  <c r="F59" i="8" s="1"/>
  <c r="B58" i="8"/>
  <c r="F58" i="8" s="1"/>
  <c r="B57" i="8"/>
  <c r="F57" i="8" s="1"/>
  <c r="B56" i="8"/>
  <c r="F56" i="8" s="1"/>
  <c r="B55" i="8"/>
  <c r="F55" i="8" s="1"/>
  <c r="B54" i="8"/>
  <c r="F54" i="8" s="1"/>
  <c r="B53" i="8"/>
  <c r="F53" i="8" s="1"/>
  <c r="B52" i="8"/>
  <c r="F52" i="8" s="1"/>
  <c r="B51" i="8"/>
  <c r="F51" i="8" s="1"/>
  <c r="B50" i="8"/>
  <c r="F50" i="8" s="1"/>
  <c r="B49" i="8"/>
  <c r="F49" i="8" s="1"/>
  <c r="B48" i="8"/>
  <c r="F48" i="8" s="1"/>
  <c r="B47" i="8"/>
  <c r="F47" i="8" s="1"/>
  <c r="B46" i="8"/>
  <c r="F46" i="8" s="1"/>
  <c r="B45" i="8"/>
  <c r="F45" i="8" s="1"/>
  <c r="B44" i="8"/>
  <c r="F44" i="8" s="1"/>
  <c r="B43" i="8"/>
  <c r="F43" i="8" s="1"/>
  <c r="B42" i="8"/>
  <c r="F42" i="8" s="1"/>
  <c r="B41" i="8"/>
  <c r="F41" i="8" s="1"/>
  <c r="B40" i="8"/>
  <c r="F40" i="8" s="1"/>
  <c r="B39" i="8"/>
  <c r="F39" i="8" s="1"/>
  <c r="B38" i="8"/>
  <c r="F38" i="8" s="1"/>
  <c r="B37" i="8"/>
  <c r="F37" i="8" s="1"/>
  <c r="B36" i="8"/>
  <c r="F36" i="8" s="1"/>
  <c r="B35" i="8"/>
  <c r="F35" i="8" s="1"/>
  <c r="B34" i="8"/>
  <c r="F34" i="8" s="1"/>
  <c r="B33" i="8"/>
  <c r="F33" i="8" s="1"/>
  <c r="B32" i="8"/>
  <c r="F32" i="8" s="1"/>
  <c r="B31" i="8"/>
  <c r="F31" i="8" s="1"/>
  <c r="B30" i="8"/>
  <c r="F30" i="8" s="1"/>
  <c r="B29" i="8"/>
  <c r="F29" i="8" s="1"/>
  <c r="B28" i="8"/>
  <c r="F28" i="8" s="1"/>
  <c r="B27" i="8"/>
  <c r="F27" i="8" s="1"/>
  <c r="B26" i="8"/>
  <c r="F26" i="8" s="1"/>
  <c r="B25" i="8"/>
  <c r="F25" i="8" s="1"/>
  <c r="B24" i="8"/>
  <c r="F24" i="8" s="1"/>
  <c r="B23" i="8"/>
  <c r="F23" i="8" s="1"/>
  <c r="B22" i="8"/>
  <c r="F22" i="8" s="1"/>
  <c r="B21" i="8"/>
  <c r="F21" i="8" s="1"/>
  <c r="B20" i="8"/>
  <c r="F20" i="8" s="1"/>
  <c r="B19" i="8"/>
  <c r="F19" i="8" s="1"/>
  <c r="B18" i="8"/>
  <c r="F18" i="8" s="1"/>
  <c r="B17" i="8"/>
  <c r="F17" i="8" s="1"/>
  <c r="B16" i="8"/>
  <c r="F16" i="8" s="1"/>
  <c r="B15" i="8"/>
  <c r="F15" i="8" s="1"/>
  <c r="B14" i="8"/>
  <c r="F14" i="8" s="1"/>
  <c r="B13" i="8"/>
  <c r="F13" i="8" s="1"/>
  <c r="B12" i="8"/>
  <c r="F12" i="8" s="1"/>
  <c r="B11" i="8"/>
  <c r="F11" i="8" s="1"/>
  <c r="B10" i="8"/>
  <c r="F10" i="8" s="1"/>
  <c r="B9" i="8"/>
  <c r="F9" i="8" s="1"/>
  <c r="B8" i="8"/>
  <c r="F8" i="8" s="1"/>
  <c r="B7" i="8"/>
  <c r="F7" i="8" s="1"/>
  <c r="B6" i="8"/>
  <c r="F6" i="8" s="1"/>
  <c r="B5" i="8"/>
  <c r="F5" i="8" s="1"/>
  <c r="B4" i="8"/>
  <c r="F4" i="8" s="1"/>
  <c r="B3" i="8"/>
  <c r="F3" i="8" s="1"/>
  <c r="B2" i="8"/>
  <c r="F2" i="8" s="1"/>
  <c r="I77" i="8" l="1"/>
  <c r="J77" i="8" s="1"/>
  <c r="K77" i="8" s="1"/>
  <c r="G77" i="8"/>
  <c r="H77" i="8" s="1"/>
  <c r="I78" i="8"/>
  <c r="J78" i="8" s="1"/>
  <c r="K78" i="8" s="1"/>
  <c r="G78" i="8"/>
  <c r="H78" i="8" s="1"/>
  <c r="I107" i="8"/>
  <c r="J107" i="8" s="1"/>
  <c r="K107" i="8" s="1"/>
  <c r="G107" i="8"/>
  <c r="H107" i="8" s="1"/>
  <c r="G53" i="8"/>
  <c r="H53" i="8" s="1"/>
  <c r="I53" i="8"/>
  <c r="J53" i="8" s="1"/>
  <c r="K53" i="8" s="1"/>
  <c r="G109" i="8"/>
  <c r="H109" i="8" s="1"/>
  <c r="I109" i="8"/>
  <c r="J109" i="8" s="1"/>
  <c r="K109" i="8" s="1"/>
  <c r="I54" i="8"/>
  <c r="J54" i="8" s="1"/>
  <c r="K54" i="8" s="1"/>
  <c r="G54" i="8"/>
  <c r="H54" i="8" s="1"/>
  <c r="I110" i="8"/>
  <c r="J110" i="8" s="1"/>
  <c r="K110" i="8" s="1"/>
  <c r="G110" i="8"/>
  <c r="H110" i="8" s="1"/>
  <c r="I55" i="8"/>
  <c r="J55" i="8" s="1"/>
  <c r="K55" i="8" s="1"/>
  <c r="G55" i="8"/>
  <c r="H55" i="8" s="1"/>
  <c r="I111" i="8"/>
  <c r="J111" i="8" s="1"/>
  <c r="K111" i="8" s="1"/>
  <c r="G111" i="8"/>
  <c r="H111" i="8" s="1"/>
  <c r="I56" i="8"/>
  <c r="J56" i="8" s="1"/>
  <c r="K56" i="8" s="1"/>
  <c r="G56" i="8"/>
  <c r="H56" i="8" s="1"/>
  <c r="G112" i="8"/>
  <c r="H112" i="8" s="1"/>
  <c r="I112" i="8"/>
  <c r="J112" i="8" s="1"/>
  <c r="K112" i="8" s="1"/>
  <c r="I57" i="8"/>
  <c r="J57" i="8" s="1"/>
  <c r="K57" i="8" s="1"/>
  <c r="G57" i="8"/>
  <c r="H57" i="8" s="1"/>
  <c r="G113" i="8"/>
  <c r="H113" i="8" s="1"/>
  <c r="I113" i="8"/>
  <c r="J113" i="8" s="1"/>
  <c r="K113" i="8" s="1"/>
  <c r="G30" i="8"/>
  <c r="H30" i="8" s="1"/>
  <c r="I30" i="8"/>
  <c r="J30" i="8" s="1"/>
  <c r="K30" i="8" s="1"/>
  <c r="G86" i="8"/>
  <c r="H86" i="8" s="1"/>
  <c r="I86" i="8"/>
  <c r="J86" i="8" s="1"/>
  <c r="K86" i="8" s="1"/>
  <c r="G3" i="8"/>
  <c r="H3" i="8" s="1"/>
  <c r="I3" i="8"/>
  <c r="J3" i="8" s="1"/>
  <c r="K3" i="8" s="1"/>
  <c r="I59" i="8"/>
  <c r="J59" i="8" s="1"/>
  <c r="K59" i="8" s="1"/>
  <c r="G59" i="8"/>
  <c r="H59" i="8" s="1"/>
  <c r="G4" i="8"/>
  <c r="H4" i="8" s="1"/>
  <c r="I4" i="8"/>
  <c r="J4" i="8" s="1"/>
  <c r="K4" i="8" s="1"/>
  <c r="I89" i="8"/>
  <c r="J89" i="8" s="1"/>
  <c r="K89" i="8" s="1"/>
  <c r="G89" i="8"/>
  <c r="H89" i="8" s="1"/>
  <c r="G49" i="8"/>
  <c r="H49" i="8" s="1"/>
  <c r="I49" i="8"/>
  <c r="J49" i="8" s="1"/>
  <c r="K49" i="8" s="1"/>
  <c r="I22" i="8"/>
  <c r="J22" i="8" s="1"/>
  <c r="K22" i="8" s="1"/>
  <c r="G22" i="8"/>
  <c r="H22" i="8" s="1"/>
  <c r="G79" i="8"/>
  <c r="H79" i="8" s="1"/>
  <c r="I79" i="8"/>
  <c r="J79" i="8" s="1"/>
  <c r="K79" i="8" s="1"/>
  <c r="G52" i="8"/>
  <c r="H52" i="8" s="1"/>
  <c r="I52" i="8"/>
  <c r="J52" i="8" s="1"/>
  <c r="K52" i="8" s="1"/>
  <c r="G25" i="8"/>
  <c r="H25" i="8" s="1"/>
  <c r="I25" i="8"/>
  <c r="J25" i="8" s="1"/>
  <c r="K25" i="8" s="1"/>
  <c r="G81" i="8"/>
  <c r="H81" i="8" s="1"/>
  <c r="I81" i="8"/>
  <c r="J81" i="8" s="1"/>
  <c r="K81" i="8" s="1"/>
  <c r="I26" i="8"/>
  <c r="J26" i="8" s="1"/>
  <c r="K26" i="8" s="1"/>
  <c r="G26" i="8"/>
  <c r="H26" i="8" s="1"/>
  <c r="I82" i="8"/>
  <c r="J82" i="8" s="1"/>
  <c r="K82" i="8" s="1"/>
  <c r="G82" i="8"/>
  <c r="H82" i="8" s="1"/>
  <c r="I27" i="8"/>
  <c r="J27" i="8" s="1"/>
  <c r="K27" i="8" s="1"/>
  <c r="G27" i="8"/>
  <c r="H27" i="8" s="1"/>
  <c r="I83" i="8"/>
  <c r="J83" i="8" s="1"/>
  <c r="K83" i="8" s="1"/>
  <c r="G83" i="8"/>
  <c r="H83" i="8" s="1"/>
  <c r="G28" i="8"/>
  <c r="H28" i="8" s="1"/>
  <c r="I28" i="8"/>
  <c r="J28" i="8" s="1"/>
  <c r="K28" i="8" s="1"/>
  <c r="G84" i="8"/>
  <c r="H84" i="8" s="1"/>
  <c r="I84" i="8"/>
  <c r="J84" i="8" s="1"/>
  <c r="K84" i="8" s="1"/>
  <c r="G29" i="8"/>
  <c r="H29" i="8" s="1"/>
  <c r="I29" i="8"/>
  <c r="J29" i="8" s="1"/>
  <c r="K29" i="8" s="1"/>
  <c r="G85" i="8"/>
  <c r="H85" i="8" s="1"/>
  <c r="I85" i="8"/>
  <c r="J85" i="8" s="1"/>
  <c r="K85" i="8" s="1"/>
  <c r="I2" i="8"/>
  <c r="J2" i="8" s="1"/>
  <c r="K2" i="8" s="1"/>
  <c r="G2" i="8"/>
  <c r="H2" i="8" s="1"/>
  <c r="I58" i="8"/>
  <c r="J58" i="8" s="1"/>
  <c r="K58" i="8" s="1"/>
  <c r="G58" i="8"/>
  <c r="H58" i="8" s="1"/>
  <c r="G114" i="8"/>
  <c r="H114" i="8" s="1"/>
  <c r="I114" i="8"/>
  <c r="J114" i="8" s="1"/>
  <c r="K114" i="8" s="1"/>
  <c r="G31" i="8"/>
  <c r="H31" i="8" s="1"/>
  <c r="I31" i="8"/>
  <c r="J31" i="8" s="1"/>
  <c r="K31" i="8" s="1"/>
  <c r="G87" i="8"/>
  <c r="H87" i="8" s="1"/>
  <c r="I87" i="8"/>
  <c r="J87" i="8" s="1"/>
  <c r="K87" i="8" s="1"/>
  <c r="I115" i="8"/>
  <c r="J115" i="8" s="1"/>
  <c r="K115" i="8" s="1"/>
  <c r="G115" i="8"/>
  <c r="H115" i="8" s="1"/>
  <c r="I32" i="8"/>
  <c r="J32" i="8" s="1"/>
  <c r="K32" i="8" s="1"/>
  <c r="G32" i="8"/>
  <c r="H32" i="8" s="1"/>
  <c r="I60" i="8"/>
  <c r="J60" i="8" s="1"/>
  <c r="K60" i="8" s="1"/>
  <c r="G60" i="8"/>
  <c r="H60" i="8" s="1"/>
  <c r="G88" i="8"/>
  <c r="H88" i="8" s="1"/>
  <c r="I88" i="8"/>
  <c r="J88" i="8" s="1"/>
  <c r="K88" i="8" s="1"/>
  <c r="I116" i="8"/>
  <c r="J116" i="8" s="1"/>
  <c r="K116" i="8" s="1"/>
  <c r="G116" i="8"/>
  <c r="H116" i="8" s="1"/>
  <c r="G5" i="8"/>
  <c r="H5" i="8" s="1"/>
  <c r="I5" i="8"/>
  <c r="J5" i="8" s="1"/>
  <c r="K5" i="8" s="1"/>
  <c r="G33" i="8"/>
  <c r="H33" i="8" s="1"/>
  <c r="I33" i="8"/>
  <c r="J33" i="8" s="1"/>
  <c r="K33" i="8" s="1"/>
  <c r="I61" i="8"/>
  <c r="J61" i="8" s="1"/>
  <c r="K61" i="8" s="1"/>
  <c r="G61" i="8"/>
  <c r="H61" i="8" s="1"/>
  <c r="I117" i="8"/>
  <c r="J117" i="8" s="1"/>
  <c r="K117" i="8" s="1"/>
  <c r="G117" i="8"/>
  <c r="H117" i="8" s="1"/>
  <c r="G6" i="8"/>
  <c r="H6" i="8" s="1"/>
  <c r="I6" i="8"/>
  <c r="J6" i="8" s="1"/>
  <c r="K6" i="8" s="1"/>
  <c r="G34" i="8"/>
  <c r="H34" i="8" s="1"/>
  <c r="I34" i="8"/>
  <c r="J34" i="8" s="1"/>
  <c r="K34" i="8" s="1"/>
  <c r="I62" i="8"/>
  <c r="J62" i="8" s="1"/>
  <c r="K62" i="8" s="1"/>
  <c r="G62" i="8"/>
  <c r="H62" i="8" s="1"/>
  <c r="I90" i="8"/>
  <c r="J90" i="8" s="1"/>
  <c r="K90" i="8" s="1"/>
  <c r="G90" i="8"/>
  <c r="H90" i="8" s="1"/>
  <c r="I118" i="8"/>
  <c r="J118" i="8" s="1"/>
  <c r="K118" i="8" s="1"/>
  <c r="G118" i="8"/>
  <c r="H118" i="8" s="1"/>
  <c r="G21" i="8"/>
  <c r="H21" i="8" s="1"/>
  <c r="I21" i="8"/>
  <c r="J21" i="8" s="1"/>
  <c r="K21" i="8" s="1"/>
  <c r="G105" i="8"/>
  <c r="H105" i="8" s="1"/>
  <c r="I105" i="8"/>
  <c r="J105" i="8" s="1"/>
  <c r="K105" i="8" s="1"/>
  <c r="I51" i="8"/>
  <c r="J51" i="8" s="1"/>
  <c r="K51" i="8" s="1"/>
  <c r="G51" i="8"/>
  <c r="H51" i="8" s="1"/>
  <c r="G108" i="8"/>
  <c r="H108" i="8" s="1"/>
  <c r="I108" i="8"/>
  <c r="J108" i="8" s="1"/>
  <c r="K108" i="8" s="1"/>
  <c r="I35" i="8"/>
  <c r="J35" i="8" s="1"/>
  <c r="K35" i="8" s="1"/>
  <c r="G35" i="8"/>
  <c r="H35" i="8" s="1"/>
  <c r="I91" i="8"/>
  <c r="J91" i="8" s="1"/>
  <c r="K91" i="8" s="1"/>
  <c r="G91" i="8"/>
  <c r="H91" i="8" s="1"/>
  <c r="I36" i="8"/>
  <c r="J36" i="8" s="1"/>
  <c r="K36" i="8" s="1"/>
  <c r="G36" i="8"/>
  <c r="H36" i="8" s="1"/>
  <c r="I92" i="8"/>
  <c r="J92" i="8" s="1"/>
  <c r="K92" i="8" s="1"/>
  <c r="G92" i="8"/>
  <c r="H92" i="8" s="1"/>
  <c r="G37" i="8"/>
  <c r="H37" i="8" s="1"/>
  <c r="I37" i="8"/>
  <c r="J37" i="8" s="1"/>
  <c r="K37" i="8" s="1"/>
  <c r="G121" i="8"/>
  <c r="H121" i="8" s="1"/>
  <c r="I121" i="8"/>
  <c r="J121" i="8" s="1"/>
  <c r="K121" i="8" s="1"/>
  <c r="I66" i="8"/>
  <c r="J66" i="8" s="1"/>
  <c r="K66" i="8" s="1"/>
  <c r="G66" i="8"/>
  <c r="H66" i="8" s="1"/>
  <c r="I122" i="8"/>
  <c r="J122" i="8" s="1"/>
  <c r="K122" i="8" s="1"/>
  <c r="G122" i="8"/>
  <c r="H122" i="8" s="1"/>
  <c r="G39" i="8"/>
  <c r="H39" i="8" s="1"/>
  <c r="I39" i="8"/>
  <c r="J39" i="8" s="1"/>
  <c r="K39" i="8" s="1"/>
  <c r="G95" i="8"/>
  <c r="H95" i="8" s="1"/>
  <c r="I95" i="8"/>
  <c r="J95" i="8" s="1"/>
  <c r="K95" i="8" s="1"/>
  <c r="G12" i="8"/>
  <c r="H12" i="8" s="1"/>
  <c r="I12" i="8"/>
  <c r="J12" i="8" s="1"/>
  <c r="K12" i="8" s="1"/>
  <c r="G68" i="8"/>
  <c r="H68" i="8" s="1"/>
  <c r="I68" i="8"/>
  <c r="J68" i="8" s="1"/>
  <c r="K68" i="8" s="1"/>
  <c r="I13" i="8"/>
  <c r="J13" i="8" s="1"/>
  <c r="K13" i="8" s="1"/>
  <c r="G13" i="8"/>
  <c r="H13" i="8" s="1"/>
  <c r="I69" i="8"/>
  <c r="J69" i="8" s="1"/>
  <c r="K69" i="8" s="1"/>
  <c r="G69" i="8"/>
  <c r="H69" i="8" s="1"/>
  <c r="I14" i="8"/>
  <c r="J14" i="8" s="1"/>
  <c r="K14" i="8" s="1"/>
  <c r="G14" i="8"/>
  <c r="H14" i="8" s="1"/>
  <c r="I70" i="8"/>
  <c r="J70" i="8" s="1"/>
  <c r="K70" i="8" s="1"/>
  <c r="G70" i="8"/>
  <c r="H70" i="8" s="1"/>
  <c r="I15" i="8"/>
  <c r="J15" i="8" s="1"/>
  <c r="K15" i="8" s="1"/>
  <c r="G15" i="8"/>
  <c r="H15" i="8" s="1"/>
  <c r="I99" i="8"/>
  <c r="J99" i="8" s="1"/>
  <c r="K99" i="8" s="1"/>
  <c r="G99" i="8"/>
  <c r="H99" i="8" s="1"/>
  <c r="G44" i="8"/>
  <c r="H44" i="8" s="1"/>
  <c r="I44" i="8"/>
  <c r="J44" i="8" s="1"/>
  <c r="K44" i="8" s="1"/>
  <c r="G72" i="8"/>
  <c r="H72" i="8" s="1"/>
  <c r="I72" i="8"/>
  <c r="J72" i="8" s="1"/>
  <c r="K72" i="8" s="1"/>
  <c r="I45" i="8"/>
  <c r="J45" i="8" s="1"/>
  <c r="K45" i="8" s="1"/>
  <c r="G45" i="8"/>
  <c r="H45" i="8" s="1"/>
  <c r="I101" i="8"/>
  <c r="J101" i="8" s="1"/>
  <c r="K101" i="8" s="1"/>
  <c r="G101" i="8"/>
  <c r="H101" i="8" s="1"/>
  <c r="I18" i="8"/>
  <c r="J18" i="8" s="1"/>
  <c r="K18" i="8" s="1"/>
  <c r="G18" i="8"/>
  <c r="H18" i="8" s="1"/>
  <c r="I46" i="8"/>
  <c r="J46" i="8" s="1"/>
  <c r="K46" i="8" s="1"/>
  <c r="G46" i="8"/>
  <c r="H46" i="8" s="1"/>
  <c r="I74" i="8"/>
  <c r="J74" i="8" s="1"/>
  <c r="K74" i="8" s="1"/>
  <c r="G74" i="8"/>
  <c r="H74" i="8" s="1"/>
  <c r="I102" i="8"/>
  <c r="J102" i="8" s="1"/>
  <c r="K102" i="8" s="1"/>
  <c r="G102" i="8"/>
  <c r="H102" i="8" s="1"/>
  <c r="G130" i="8"/>
  <c r="H130" i="8" s="1"/>
  <c r="I130" i="8"/>
  <c r="J130" i="8" s="1"/>
  <c r="K130" i="8" s="1"/>
  <c r="I50" i="8"/>
  <c r="J50" i="8" s="1"/>
  <c r="K50" i="8" s="1"/>
  <c r="G50" i="8"/>
  <c r="H50" i="8" s="1"/>
  <c r="I23" i="8"/>
  <c r="J23" i="8" s="1"/>
  <c r="K23" i="8" s="1"/>
  <c r="G23" i="8"/>
  <c r="H23" i="8" s="1"/>
  <c r="G80" i="8"/>
  <c r="H80" i="8" s="1"/>
  <c r="I80" i="8"/>
  <c r="J80" i="8" s="1"/>
  <c r="K80" i="8" s="1"/>
  <c r="G119" i="8"/>
  <c r="H119" i="8" s="1"/>
  <c r="I119" i="8"/>
  <c r="J119" i="8" s="1"/>
  <c r="K119" i="8" s="1"/>
  <c r="I64" i="8"/>
  <c r="J64" i="8" s="1"/>
  <c r="K64" i="8" s="1"/>
  <c r="G64" i="8"/>
  <c r="H64" i="8" s="1"/>
  <c r="I9" i="8"/>
  <c r="J9" i="8" s="1"/>
  <c r="K9" i="8" s="1"/>
  <c r="G9" i="8"/>
  <c r="H9" i="8" s="1"/>
  <c r="I65" i="8"/>
  <c r="J65" i="8" s="1"/>
  <c r="K65" i="8" s="1"/>
  <c r="G65" i="8"/>
  <c r="H65" i="8" s="1"/>
  <c r="I10" i="8"/>
  <c r="J10" i="8" s="1"/>
  <c r="K10" i="8" s="1"/>
  <c r="G10" i="8"/>
  <c r="H10" i="8" s="1"/>
  <c r="G94" i="8"/>
  <c r="H94" i="8" s="1"/>
  <c r="I94" i="8"/>
  <c r="J94" i="8" s="1"/>
  <c r="K94" i="8" s="1"/>
  <c r="G11" i="8"/>
  <c r="H11" i="8" s="1"/>
  <c r="I11" i="8"/>
  <c r="J11" i="8" s="1"/>
  <c r="K11" i="8" s="1"/>
  <c r="G67" i="8"/>
  <c r="H67" i="8" s="1"/>
  <c r="I67" i="8"/>
  <c r="J67" i="8" s="1"/>
  <c r="K67" i="8" s="1"/>
  <c r="G40" i="8"/>
  <c r="H40" i="8" s="1"/>
  <c r="I40" i="8"/>
  <c r="J40" i="8" s="1"/>
  <c r="K40" i="8" s="1"/>
  <c r="G96" i="8"/>
  <c r="H96" i="8" s="1"/>
  <c r="I96" i="8"/>
  <c r="J96" i="8" s="1"/>
  <c r="K96" i="8" s="1"/>
  <c r="I41" i="8"/>
  <c r="J41" i="8" s="1"/>
  <c r="K41" i="8" s="1"/>
  <c r="G41" i="8"/>
  <c r="H41" i="8" s="1"/>
  <c r="I125" i="8"/>
  <c r="J125" i="8" s="1"/>
  <c r="K125" i="8" s="1"/>
  <c r="G125" i="8"/>
  <c r="H125" i="8" s="1"/>
  <c r="I98" i="8"/>
  <c r="J98" i="8" s="1"/>
  <c r="K98" i="8" s="1"/>
  <c r="G98" i="8"/>
  <c r="H98" i="8" s="1"/>
  <c r="I43" i="8"/>
  <c r="J43" i="8" s="1"/>
  <c r="K43" i="8" s="1"/>
  <c r="G43" i="8"/>
  <c r="H43" i="8" s="1"/>
  <c r="I127" i="8"/>
  <c r="J127" i="8" s="1"/>
  <c r="K127" i="8" s="1"/>
  <c r="G127" i="8"/>
  <c r="H127" i="8" s="1"/>
  <c r="I128" i="8"/>
  <c r="J128" i="8" s="1"/>
  <c r="K128" i="8" s="1"/>
  <c r="G128" i="8"/>
  <c r="H128" i="8" s="1"/>
  <c r="I129" i="8"/>
  <c r="J129" i="8" s="1"/>
  <c r="K129" i="8" s="1"/>
  <c r="G129" i="8"/>
  <c r="H129" i="8" s="1"/>
  <c r="I19" i="8"/>
  <c r="J19" i="8" s="1"/>
  <c r="K19" i="8" s="1"/>
  <c r="G19" i="8"/>
  <c r="H19" i="8" s="1"/>
  <c r="I47" i="8"/>
  <c r="J47" i="8" s="1"/>
  <c r="K47" i="8" s="1"/>
  <c r="G47" i="8"/>
  <c r="H47" i="8" s="1"/>
  <c r="G75" i="8"/>
  <c r="H75" i="8" s="1"/>
  <c r="I75" i="8"/>
  <c r="J75" i="8" s="1"/>
  <c r="K75" i="8" s="1"/>
  <c r="G103" i="8"/>
  <c r="H103" i="8" s="1"/>
  <c r="I103" i="8"/>
  <c r="J103" i="8" s="1"/>
  <c r="K103" i="8" s="1"/>
  <c r="G131" i="8"/>
  <c r="H131" i="8" s="1"/>
  <c r="I131" i="8"/>
  <c r="J131" i="8" s="1"/>
  <c r="K131" i="8" s="1"/>
  <c r="G106" i="8"/>
  <c r="H106" i="8" s="1"/>
  <c r="I106" i="8"/>
  <c r="J106" i="8" s="1"/>
  <c r="K106" i="8" s="1"/>
  <c r="I24" i="8"/>
  <c r="J24" i="8" s="1"/>
  <c r="K24" i="8" s="1"/>
  <c r="G24" i="8"/>
  <c r="H24" i="8" s="1"/>
  <c r="G7" i="8"/>
  <c r="H7" i="8" s="1"/>
  <c r="I7" i="8"/>
  <c r="J7" i="8" s="1"/>
  <c r="K7" i="8" s="1"/>
  <c r="I63" i="8"/>
  <c r="J63" i="8" s="1"/>
  <c r="K63" i="8" s="1"/>
  <c r="G63" i="8"/>
  <c r="H63" i="8" s="1"/>
  <c r="I8" i="8"/>
  <c r="J8" i="8" s="1"/>
  <c r="K8" i="8" s="1"/>
  <c r="G8" i="8"/>
  <c r="H8" i="8" s="1"/>
  <c r="I120" i="8"/>
  <c r="J120" i="8" s="1"/>
  <c r="K120" i="8" s="1"/>
  <c r="G120" i="8"/>
  <c r="H120" i="8" s="1"/>
  <c r="I93" i="8"/>
  <c r="J93" i="8" s="1"/>
  <c r="K93" i="8" s="1"/>
  <c r="G93" i="8"/>
  <c r="H93" i="8" s="1"/>
  <c r="G38" i="8"/>
  <c r="H38" i="8" s="1"/>
  <c r="I38" i="8"/>
  <c r="J38" i="8" s="1"/>
  <c r="K38" i="8" s="1"/>
  <c r="G123" i="8"/>
  <c r="H123" i="8" s="1"/>
  <c r="I123" i="8"/>
  <c r="J123" i="8" s="1"/>
  <c r="K123" i="8" s="1"/>
  <c r="G124" i="8"/>
  <c r="H124" i="8" s="1"/>
  <c r="I124" i="8"/>
  <c r="J124" i="8" s="1"/>
  <c r="K124" i="8" s="1"/>
  <c r="I97" i="8"/>
  <c r="J97" i="8" s="1"/>
  <c r="K97" i="8" s="1"/>
  <c r="G97" i="8"/>
  <c r="H97" i="8" s="1"/>
  <c r="I42" i="8"/>
  <c r="J42" i="8" s="1"/>
  <c r="K42" i="8" s="1"/>
  <c r="G42" i="8"/>
  <c r="H42" i="8" s="1"/>
  <c r="I126" i="8"/>
  <c r="J126" i="8" s="1"/>
  <c r="K126" i="8" s="1"/>
  <c r="G126" i="8"/>
  <c r="H126" i="8" s="1"/>
  <c r="G71" i="8"/>
  <c r="H71" i="8" s="1"/>
  <c r="I71" i="8"/>
  <c r="J71" i="8" s="1"/>
  <c r="K71" i="8" s="1"/>
  <c r="I16" i="8"/>
  <c r="J16" i="8" s="1"/>
  <c r="K16" i="8" s="1"/>
  <c r="G16" i="8"/>
  <c r="H16" i="8" s="1"/>
  <c r="I100" i="8"/>
  <c r="J100" i="8" s="1"/>
  <c r="K100" i="8" s="1"/>
  <c r="G100" i="8"/>
  <c r="H100" i="8" s="1"/>
  <c r="I17" i="8"/>
  <c r="J17" i="8" s="1"/>
  <c r="K17" i="8" s="1"/>
  <c r="G17" i="8"/>
  <c r="H17" i="8" s="1"/>
  <c r="G73" i="8"/>
  <c r="H73" i="8" s="1"/>
  <c r="I73" i="8"/>
  <c r="J73" i="8" s="1"/>
  <c r="K73" i="8" s="1"/>
  <c r="I20" i="8"/>
  <c r="J20" i="8" s="1"/>
  <c r="K20" i="8" s="1"/>
  <c r="G20" i="8"/>
  <c r="H20" i="8" s="1"/>
  <c r="G48" i="8"/>
  <c r="H48" i="8" s="1"/>
  <c r="I48" i="8"/>
  <c r="J48" i="8" s="1"/>
  <c r="K48" i="8" s="1"/>
  <c r="I76" i="8"/>
  <c r="J76" i="8" s="1"/>
  <c r="K76" i="8" s="1"/>
  <c r="G76" i="8"/>
  <c r="H76" i="8" s="1"/>
  <c r="G104" i="8"/>
  <c r="H104" i="8" s="1"/>
  <c r="I104" i="8"/>
  <c r="J104" i="8" s="1"/>
  <c r="K104" i="8" s="1"/>
  <c r="I132" i="8"/>
  <c r="J132" i="8" s="1"/>
  <c r="K132" i="8" s="1"/>
  <c r="G132" i="8"/>
  <c r="H132" i="8" s="1"/>
  <c r="T14" i="3"/>
  <c r="T13" i="3"/>
  <c r="S14" i="3"/>
  <c r="T346" i="3"/>
  <c r="T295" i="3"/>
  <c r="T290" i="3"/>
  <c r="T262" i="3"/>
  <c r="T206" i="3"/>
  <c r="T180" i="3"/>
  <c r="T178" i="3"/>
  <c r="T150" i="3"/>
  <c r="T97" i="3"/>
  <c r="T94" i="3"/>
  <c r="T66" i="3"/>
  <c r="T64" i="3"/>
  <c r="T63" i="3"/>
  <c r="T62" i="3"/>
  <c r="T61" i="3"/>
  <c r="Q371" i="3"/>
  <c r="R351" i="3"/>
  <c r="T351" i="3" s="1"/>
  <c r="R350" i="3"/>
  <c r="T350" i="3" s="1"/>
  <c r="R349" i="3"/>
  <c r="T349" i="3" s="1"/>
  <c r="R323" i="3"/>
  <c r="T323" i="3" s="1"/>
  <c r="R295" i="3"/>
  <c r="R288" i="3"/>
  <c r="T288" i="3" s="1"/>
  <c r="R286" i="3"/>
  <c r="T286" i="3" s="1"/>
  <c r="R285" i="3"/>
  <c r="T285" i="3" s="1"/>
  <c r="R283" i="3"/>
  <c r="T283" i="3" s="1"/>
  <c r="R282" i="3"/>
  <c r="T282" i="3" s="1"/>
  <c r="R273" i="3"/>
  <c r="T273" i="3" s="1"/>
  <c r="R272" i="3"/>
  <c r="T272" i="3" s="1"/>
  <c r="R271" i="3"/>
  <c r="T271" i="3" s="1"/>
  <c r="R267" i="3"/>
  <c r="T267" i="3" s="1"/>
  <c r="R266" i="3"/>
  <c r="T266" i="3" s="1"/>
  <c r="R211" i="3"/>
  <c r="T211" i="3" s="1"/>
  <c r="R210" i="3"/>
  <c r="T210" i="3" s="1"/>
  <c r="R204" i="3"/>
  <c r="T204" i="3" s="1"/>
  <c r="R202" i="3"/>
  <c r="T202" i="3" s="1"/>
  <c r="R201" i="3"/>
  <c r="T201" i="3" s="1"/>
  <c r="R200" i="3"/>
  <c r="T200" i="3" s="1"/>
  <c r="R199" i="3"/>
  <c r="T199" i="3" s="1"/>
  <c r="R183" i="3"/>
  <c r="T183" i="3" s="1"/>
  <c r="R161" i="3"/>
  <c r="T161" i="3" s="1"/>
  <c r="R160" i="3"/>
  <c r="T160" i="3" s="1"/>
  <c r="R127" i="3"/>
  <c r="T127" i="3" s="1"/>
  <c r="R118" i="3"/>
  <c r="T118" i="3" s="1"/>
  <c r="R93" i="3"/>
  <c r="T93" i="3" s="1"/>
  <c r="R92" i="3"/>
  <c r="T92" i="3" s="1"/>
  <c r="R91" i="3"/>
  <c r="T91" i="3" s="1"/>
  <c r="R89" i="3"/>
  <c r="T89" i="3" s="1"/>
  <c r="R87" i="3"/>
  <c r="T87" i="3" s="1"/>
  <c r="R86" i="3"/>
  <c r="T86" i="3" s="1"/>
  <c r="R80" i="3"/>
  <c r="T80" i="3" s="1"/>
  <c r="R79" i="3"/>
  <c r="T79" i="3" s="1"/>
  <c r="R77" i="3"/>
  <c r="T77" i="3" s="1"/>
  <c r="S62" i="3"/>
  <c r="O371" i="3"/>
  <c r="O370" i="3"/>
  <c r="O369" i="3"/>
  <c r="O368" i="3"/>
  <c r="R368" i="3" s="1"/>
  <c r="T368" i="3" s="1"/>
  <c r="O367" i="3"/>
  <c r="O366" i="3"/>
  <c r="R366" i="3" s="1"/>
  <c r="T366" i="3" s="1"/>
  <c r="O365" i="3"/>
  <c r="O364" i="3"/>
  <c r="R364" i="3" s="1"/>
  <c r="T364" i="3" s="1"/>
  <c r="O363" i="3"/>
  <c r="O362" i="3"/>
  <c r="O361" i="3"/>
  <c r="O360" i="3"/>
  <c r="O359" i="3"/>
  <c r="O358" i="3"/>
  <c r="O357" i="3"/>
  <c r="R357" i="3" s="1"/>
  <c r="T357" i="3" s="1"/>
  <c r="O356" i="3"/>
  <c r="R356" i="3" s="1"/>
  <c r="T356" i="3" s="1"/>
  <c r="O355" i="3"/>
  <c r="R355" i="3" s="1"/>
  <c r="T355" i="3" s="1"/>
  <c r="O354" i="3"/>
  <c r="R354" i="3" s="1"/>
  <c r="T354" i="3" s="1"/>
  <c r="O353" i="3"/>
  <c r="R352" i="3" s="1"/>
  <c r="T352" i="3" s="1"/>
  <c r="O352" i="3"/>
  <c r="O351" i="3"/>
  <c r="O350" i="3"/>
  <c r="O349" i="3"/>
  <c r="O348" i="3"/>
  <c r="R348" i="3" s="1"/>
  <c r="T348" i="3" s="1"/>
  <c r="O347" i="3"/>
  <c r="O346" i="3"/>
  <c r="R346" i="3" s="1"/>
  <c r="O345" i="3"/>
  <c r="R345" i="3" s="1"/>
  <c r="T345" i="3" s="1"/>
  <c r="O344" i="3"/>
  <c r="R344" i="3" s="1"/>
  <c r="T344" i="3" s="1"/>
  <c r="O343" i="3"/>
  <c r="R343" i="3" s="1"/>
  <c r="T343" i="3" s="1"/>
  <c r="O342" i="3"/>
  <c r="R342" i="3" s="1"/>
  <c r="T342" i="3" s="1"/>
  <c r="O341" i="3"/>
  <c r="O340" i="3"/>
  <c r="O339" i="3"/>
  <c r="O338" i="3"/>
  <c r="O337" i="3"/>
  <c r="O336" i="3"/>
  <c r="O335" i="3"/>
  <c r="R335" i="3" s="1"/>
  <c r="T335" i="3" s="1"/>
  <c r="O334" i="3"/>
  <c r="R334" i="3" s="1"/>
  <c r="T334" i="3" s="1"/>
  <c r="O333" i="3"/>
  <c r="R333" i="3" s="1"/>
  <c r="T333" i="3" s="1"/>
  <c r="O332" i="3"/>
  <c r="R332" i="3" s="1"/>
  <c r="T332" i="3" s="1"/>
  <c r="O331" i="3"/>
  <c r="O330" i="3"/>
  <c r="O329" i="3"/>
  <c r="O328" i="3"/>
  <c r="O327" i="3"/>
  <c r="S327" i="3" s="1"/>
  <c r="O326" i="3"/>
  <c r="O325" i="3"/>
  <c r="R325" i="3" s="1"/>
  <c r="T325" i="3" s="1"/>
  <c r="O324" i="3"/>
  <c r="O323" i="3"/>
  <c r="O322" i="3"/>
  <c r="R322" i="3" s="1"/>
  <c r="T322" i="3" s="1"/>
  <c r="O321" i="3"/>
  <c r="O320" i="3"/>
  <c r="O319" i="3"/>
  <c r="O318" i="3"/>
  <c r="O317" i="3"/>
  <c r="R317" i="3" s="1"/>
  <c r="T317" i="3" s="1"/>
  <c r="O316" i="3"/>
  <c r="O315" i="3"/>
  <c r="O314" i="3"/>
  <c r="O313" i="3"/>
  <c r="O312" i="3"/>
  <c r="O311" i="3"/>
  <c r="O310" i="3"/>
  <c r="O309" i="3"/>
  <c r="R309" i="3" s="1"/>
  <c r="T309" i="3" s="1"/>
  <c r="O308" i="3"/>
  <c r="R308" i="3" s="1"/>
  <c r="T308" i="3" s="1"/>
  <c r="O307" i="3"/>
  <c r="R307" i="3" s="1"/>
  <c r="T307" i="3" s="1"/>
  <c r="O306" i="3"/>
  <c r="O305" i="3"/>
  <c r="O304" i="3"/>
  <c r="O303" i="3"/>
  <c r="O302" i="3"/>
  <c r="O301" i="3"/>
  <c r="O300" i="3"/>
  <c r="R300" i="3" s="1"/>
  <c r="T300" i="3" s="1"/>
  <c r="O299" i="3"/>
  <c r="O298" i="3"/>
  <c r="R298" i="3" s="1"/>
  <c r="T298" i="3" s="1"/>
  <c r="O297" i="3"/>
  <c r="R296" i="3" s="1"/>
  <c r="T296" i="3" s="1"/>
  <c r="O296" i="3"/>
  <c r="O295" i="3"/>
  <c r="O294" i="3"/>
  <c r="O293" i="3"/>
  <c r="O292" i="3"/>
  <c r="R292" i="3" s="1"/>
  <c r="T292" i="3" s="1"/>
  <c r="O291" i="3"/>
  <c r="O290" i="3"/>
  <c r="R290" i="3" s="1"/>
  <c r="O289" i="3"/>
  <c r="R289" i="3" s="1"/>
  <c r="T289" i="3" s="1"/>
  <c r="O288" i="3"/>
  <c r="O287" i="3"/>
  <c r="O286" i="3"/>
  <c r="O285" i="3"/>
  <c r="O284" i="3"/>
  <c r="O283" i="3"/>
  <c r="O282" i="3"/>
  <c r="O281" i="3"/>
  <c r="R281" i="3" s="1"/>
  <c r="T281" i="3" s="1"/>
  <c r="O280" i="3"/>
  <c r="R280" i="3" s="1"/>
  <c r="T280" i="3" s="1"/>
  <c r="O279" i="3"/>
  <c r="O278" i="3"/>
  <c r="R278" i="3" s="1"/>
  <c r="T278" i="3" s="1"/>
  <c r="O277" i="3"/>
  <c r="O276" i="3"/>
  <c r="R276" i="3" s="1"/>
  <c r="T276" i="3" s="1"/>
  <c r="O275" i="3"/>
  <c r="O274" i="3"/>
  <c r="O273" i="3"/>
  <c r="O272" i="3"/>
  <c r="O271" i="3"/>
  <c r="O270" i="3"/>
  <c r="R270" i="3" s="1"/>
  <c r="T270" i="3" s="1"/>
  <c r="O269" i="3"/>
  <c r="R268" i="3" s="1"/>
  <c r="T268" i="3" s="1"/>
  <c r="O268" i="3"/>
  <c r="O267" i="3"/>
  <c r="O266" i="3"/>
  <c r="O265" i="3"/>
  <c r="R265" i="3" s="1"/>
  <c r="T265" i="3" s="1"/>
  <c r="O264" i="3"/>
  <c r="R264" i="3" s="1"/>
  <c r="T264" i="3" s="1"/>
  <c r="O263" i="3"/>
  <c r="O262" i="3"/>
  <c r="R262" i="3" s="1"/>
  <c r="O261" i="3"/>
  <c r="O260" i="3"/>
  <c r="R260" i="3" s="1"/>
  <c r="T260" i="3" s="1"/>
  <c r="O259" i="3"/>
  <c r="O258" i="3"/>
  <c r="O257" i="3"/>
  <c r="O256" i="3"/>
  <c r="R256" i="3" s="1"/>
  <c r="T256" i="3" s="1"/>
  <c r="O255" i="3"/>
  <c r="R255" i="3" s="1"/>
  <c r="T255" i="3" s="1"/>
  <c r="O254" i="3"/>
  <c r="O253" i="3"/>
  <c r="R253" i="3" s="1"/>
  <c r="T253" i="3" s="1"/>
  <c r="O252" i="3"/>
  <c r="O251" i="3"/>
  <c r="O250" i="3"/>
  <c r="O249" i="3"/>
  <c r="R249" i="3" s="1"/>
  <c r="T249" i="3" s="1"/>
  <c r="O248" i="3"/>
  <c r="O247" i="3"/>
  <c r="O246" i="3"/>
  <c r="S246" i="3" s="1"/>
  <c r="O245" i="3"/>
  <c r="S245" i="3" s="1"/>
  <c r="R245" i="3" s="1"/>
  <c r="T245" i="3" s="1"/>
  <c r="O244" i="3"/>
  <c r="O243" i="3"/>
  <c r="O242" i="3"/>
  <c r="O241" i="3"/>
  <c r="R240" i="3" s="1"/>
  <c r="T240" i="3" s="1"/>
  <c r="O240" i="3"/>
  <c r="O239" i="3"/>
  <c r="R239" i="3" s="1"/>
  <c r="T239" i="3" s="1"/>
  <c r="O238" i="3"/>
  <c r="O237" i="3"/>
  <c r="R237" i="3" s="1"/>
  <c r="T237" i="3" s="1"/>
  <c r="O236" i="3"/>
  <c r="R236" i="3" s="1"/>
  <c r="T236" i="3" s="1"/>
  <c r="O235" i="3"/>
  <c r="O234" i="3"/>
  <c r="R234" i="3" s="1"/>
  <c r="T234" i="3" s="1"/>
  <c r="O233" i="3"/>
  <c r="R233" i="3" s="1"/>
  <c r="T233" i="3" s="1"/>
  <c r="O232" i="3"/>
  <c r="R232" i="3" s="1"/>
  <c r="T232" i="3" s="1"/>
  <c r="O231" i="3"/>
  <c r="R231" i="3" s="1"/>
  <c r="T231" i="3" s="1"/>
  <c r="O230" i="3"/>
  <c r="R230" i="3" s="1"/>
  <c r="T230" i="3" s="1"/>
  <c r="O229" i="3"/>
  <c r="R229" i="3" s="1"/>
  <c r="T229" i="3" s="1"/>
  <c r="O228" i="3"/>
  <c r="R228" i="3" s="1"/>
  <c r="T228" i="3" s="1"/>
  <c r="O227" i="3"/>
  <c r="R227" i="3" s="1"/>
  <c r="T227" i="3" s="1"/>
  <c r="O226" i="3"/>
  <c r="O225" i="3"/>
  <c r="R225" i="3" s="1"/>
  <c r="T225" i="3" s="1"/>
  <c r="O224" i="3"/>
  <c r="R224" i="3" s="1"/>
  <c r="T224" i="3" s="1"/>
  <c r="O223" i="3"/>
  <c r="O222" i="3"/>
  <c r="R222" i="3" s="1"/>
  <c r="T222" i="3" s="1"/>
  <c r="O221" i="3"/>
  <c r="R221" i="3" s="1"/>
  <c r="T221" i="3" s="1"/>
  <c r="O220" i="3"/>
  <c r="O219" i="3"/>
  <c r="O218" i="3"/>
  <c r="O217" i="3"/>
  <c r="O216" i="3"/>
  <c r="O215" i="3"/>
  <c r="O214" i="3"/>
  <c r="R214" i="3" s="1"/>
  <c r="T214" i="3" s="1"/>
  <c r="O213" i="3"/>
  <c r="R213" i="3" s="1"/>
  <c r="T213" i="3" s="1"/>
  <c r="O212" i="3"/>
  <c r="O211" i="3"/>
  <c r="O210" i="3"/>
  <c r="O209" i="3"/>
  <c r="O208" i="3"/>
  <c r="O207" i="3"/>
  <c r="O206" i="3"/>
  <c r="R206" i="3" s="1"/>
  <c r="O205" i="3"/>
  <c r="O204" i="3"/>
  <c r="O203" i="3"/>
  <c r="O202" i="3"/>
  <c r="O201" i="3"/>
  <c r="O200" i="3"/>
  <c r="O199" i="3"/>
  <c r="O198" i="3"/>
  <c r="O197" i="3"/>
  <c r="O196" i="3"/>
  <c r="R196" i="3" s="1"/>
  <c r="T196" i="3" s="1"/>
  <c r="O195" i="3"/>
  <c r="O194" i="3"/>
  <c r="R194" i="3" s="1"/>
  <c r="T194" i="3" s="1"/>
  <c r="O193" i="3"/>
  <c r="R193" i="3" s="1"/>
  <c r="T193" i="3" s="1"/>
  <c r="O192" i="3"/>
  <c r="R192" i="3" s="1"/>
  <c r="T192" i="3" s="1"/>
  <c r="O191" i="3"/>
  <c r="O190" i="3"/>
  <c r="O189" i="3"/>
  <c r="R189" i="3" s="1"/>
  <c r="T189" i="3" s="1"/>
  <c r="O188" i="3"/>
  <c r="R188" i="3" s="1"/>
  <c r="T188" i="3" s="1"/>
  <c r="O187" i="3"/>
  <c r="R187" i="3" s="1"/>
  <c r="T187" i="3" s="1"/>
  <c r="O186" i="3"/>
  <c r="O185" i="3"/>
  <c r="R185" i="3" s="1"/>
  <c r="T185" i="3" s="1"/>
  <c r="O184" i="3"/>
  <c r="O183" i="3"/>
  <c r="O182" i="3"/>
  <c r="R182" i="3" s="1"/>
  <c r="T182" i="3" s="1"/>
  <c r="O181" i="3"/>
  <c r="R181" i="3" s="1"/>
  <c r="T181" i="3" s="1"/>
  <c r="O180" i="3"/>
  <c r="R180" i="3" s="1"/>
  <c r="O179" i="3"/>
  <c r="O178" i="3"/>
  <c r="R178" i="3" s="1"/>
  <c r="O177" i="3"/>
  <c r="R177" i="3" s="1"/>
  <c r="T177" i="3" s="1"/>
  <c r="O176" i="3"/>
  <c r="O175" i="3"/>
  <c r="O174" i="3"/>
  <c r="R174" i="3" s="1"/>
  <c r="T174" i="3" s="1"/>
  <c r="O173" i="3"/>
  <c r="O172" i="3"/>
  <c r="R172" i="3" s="1"/>
  <c r="T172" i="3" s="1"/>
  <c r="O171" i="3"/>
  <c r="R171" i="3" s="1"/>
  <c r="T171" i="3" s="1"/>
  <c r="O170" i="3"/>
  <c r="O169" i="3"/>
  <c r="R169" i="3" s="1"/>
  <c r="T169" i="3" s="1"/>
  <c r="O168" i="3"/>
  <c r="R168" i="3" s="1"/>
  <c r="T168" i="3" s="1"/>
  <c r="O167" i="3"/>
  <c r="R167" i="3" s="1"/>
  <c r="T167" i="3" s="1"/>
  <c r="O166" i="3"/>
  <c r="R166" i="3" s="1"/>
  <c r="T166" i="3" s="1"/>
  <c r="O165" i="3"/>
  <c r="R165" i="3" s="1"/>
  <c r="T165" i="3" s="1"/>
  <c r="O164" i="3"/>
  <c r="R164" i="3" s="1"/>
  <c r="T164" i="3" s="1"/>
  <c r="O163" i="3"/>
  <c r="R163" i="3" s="1"/>
  <c r="T163" i="3" s="1"/>
  <c r="O162" i="3"/>
  <c r="O161" i="3"/>
  <c r="O160" i="3"/>
  <c r="O159" i="3"/>
  <c r="O158" i="3"/>
  <c r="O157" i="3"/>
  <c r="O156" i="3"/>
  <c r="O155" i="3"/>
  <c r="R155" i="3" s="1"/>
  <c r="T155" i="3" s="1"/>
  <c r="O154" i="3"/>
  <c r="O153" i="3"/>
  <c r="R153" i="3" s="1"/>
  <c r="T153" i="3" s="1"/>
  <c r="O152" i="3"/>
  <c r="O151" i="3"/>
  <c r="O150" i="3"/>
  <c r="R150" i="3" s="1"/>
  <c r="O149" i="3"/>
  <c r="R149" i="3" s="1"/>
  <c r="T149" i="3" s="1"/>
  <c r="O148" i="3"/>
  <c r="R148" i="3" s="1"/>
  <c r="T148" i="3" s="1"/>
  <c r="O147" i="3"/>
  <c r="R147" i="3" s="1"/>
  <c r="T147" i="3" s="1"/>
  <c r="O146" i="3"/>
  <c r="R146" i="3" s="1"/>
  <c r="T146" i="3" s="1"/>
  <c r="O145" i="3"/>
  <c r="O144" i="3"/>
  <c r="O143" i="3"/>
  <c r="O142" i="3"/>
  <c r="O141" i="3"/>
  <c r="R141" i="3" s="1"/>
  <c r="T141" i="3" s="1"/>
  <c r="O140" i="3"/>
  <c r="R140" i="3" s="1"/>
  <c r="T140" i="3" s="1"/>
  <c r="O139" i="3"/>
  <c r="O138" i="3"/>
  <c r="O137" i="3"/>
  <c r="R137" i="3" s="1"/>
  <c r="T137" i="3" s="1"/>
  <c r="O136" i="3"/>
  <c r="R136" i="3" s="1"/>
  <c r="T136" i="3" s="1"/>
  <c r="O135" i="3"/>
  <c r="O134" i="3"/>
  <c r="O133" i="3"/>
  <c r="O132" i="3"/>
  <c r="R132" i="3" s="1"/>
  <c r="T132" i="3" s="1"/>
  <c r="O131" i="3"/>
  <c r="R131" i="3" s="1"/>
  <c r="T131" i="3" s="1"/>
  <c r="O130" i="3"/>
  <c r="R130" i="3" s="1"/>
  <c r="T130" i="3" s="1"/>
  <c r="O129" i="3"/>
  <c r="R128" i="3" s="1"/>
  <c r="T128" i="3" s="1"/>
  <c r="O128" i="3"/>
  <c r="O127" i="3"/>
  <c r="O126" i="3"/>
  <c r="O125" i="3"/>
  <c r="O124" i="3"/>
  <c r="O123" i="3"/>
  <c r="O122" i="3"/>
  <c r="O121" i="3"/>
  <c r="O120" i="3"/>
  <c r="O119" i="3"/>
  <c r="O118" i="3"/>
  <c r="O117" i="3"/>
  <c r="R117" i="3" s="1"/>
  <c r="T117" i="3" s="1"/>
  <c r="O116" i="3"/>
  <c r="R116" i="3" s="1"/>
  <c r="T116" i="3" s="1"/>
  <c r="O115" i="3"/>
  <c r="R115" i="3" s="1"/>
  <c r="T115" i="3" s="1"/>
  <c r="O114" i="3"/>
  <c r="O113" i="3"/>
  <c r="O112" i="3"/>
  <c r="R112" i="3" s="1"/>
  <c r="T112" i="3" s="1"/>
  <c r="O111" i="3"/>
  <c r="R111" i="3" s="1"/>
  <c r="T111" i="3" s="1"/>
  <c r="O110" i="3"/>
  <c r="O109" i="3"/>
  <c r="R109" i="3" s="1"/>
  <c r="T109" i="3" s="1"/>
  <c r="O108" i="3"/>
  <c r="O107" i="3"/>
  <c r="O106" i="3"/>
  <c r="O105" i="3"/>
  <c r="R105" i="3" s="1"/>
  <c r="T105" i="3" s="1"/>
  <c r="O104" i="3"/>
  <c r="R104" i="3" s="1"/>
  <c r="T104" i="3" s="1"/>
  <c r="O103" i="3"/>
  <c r="R103" i="3" s="1"/>
  <c r="T103" i="3" s="1"/>
  <c r="O102" i="3"/>
  <c r="O101" i="3"/>
  <c r="R101" i="3" s="1"/>
  <c r="T101" i="3" s="1"/>
  <c r="O100" i="3"/>
  <c r="O99" i="3"/>
  <c r="O98" i="3"/>
  <c r="O97" i="3"/>
  <c r="R97" i="3" s="1"/>
  <c r="O96" i="3"/>
  <c r="O95" i="3"/>
  <c r="O94" i="3"/>
  <c r="R94" i="3" s="1"/>
  <c r="O93" i="3"/>
  <c r="O92" i="3"/>
  <c r="O91" i="3"/>
  <c r="S91" i="3" s="1"/>
  <c r="S92" i="3" s="1"/>
  <c r="S93" i="3" s="1"/>
  <c r="S94" i="3" s="1"/>
  <c r="S95" i="3" s="1"/>
  <c r="O90" i="3"/>
  <c r="O89" i="3"/>
  <c r="O88" i="3"/>
  <c r="O87" i="3"/>
  <c r="O86" i="3"/>
  <c r="O85" i="3"/>
  <c r="R85" i="3" s="1"/>
  <c r="T85" i="3" s="1"/>
  <c r="O84" i="3"/>
  <c r="R84" i="3" s="1"/>
  <c r="T84" i="3" s="1"/>
  <c r="O83" i="3"/>
  <c r="R83" i="3" s="1"/>
  <c r="T83" i="3" s="1"/>
  <c r="O82" i="3"/>
  <c r="R82" i="3" s="1"/>
  <c r="T82" i="3" s="1"/>
  <c r="O81" i="3"/>
  <c r="R81" i="3" s="1"/>
  <c r="T81" i="3" s="1"/>
  <c r="O80" i="3"/>
  <c r="O79" i="3"/>
  <c r="O78" i="3"/>
  <c r="O77" i="3"/>
  <c r="O76" i="3"/>
  <c r="R76" i="3" s="1"/>
  <c r="T76" i="3" s="1"/>
  <c r="O75" i="3"/>
  <c r="O74" i="3"/>
  <c r="O73" i="3"/>
  <c r="R73" i="3" s="1"/>
  <c r="T73" i="3" s="1"/>
  <c r="O72" i="3"/>
  <c r="R72" i="3" s="1"/>
  <c r="T72" i="3" s="1"/>
  <c r="O71" i="3"/>
  <c r="O70" i="3"/>
  <c r="R70" i="3" s="1"/>
  <c r="T70" i="3" s="1"/>
  <c r="O69" i="3"/>
  <c r="O68" i="3"/>
  <c r="O67" i="3"/>
  <c r="O66" i="3"/>
  <c r="R66" i="3" s="1"/>
  <c r="O65" i="3"/>
  <c r="R65" i="3" s="1"/>
  <c r="T65" i="3" s="1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AO3" i="3"/>
  <c r="AP3" i="3"/>
  <c r="AQ3" i="3"/>
  <c r="AR3" i="3"/>
  <c r="AO4" i="3"/>
  <c r="AP4" i="3"/>
  <c r="AQ4" i="3"/>
  <c r="AR4" i="3"/>
  <c r="AO5" i="3"/>
  <c r="AP5" i="3"/>
  <c r="AQ5" i="3"/>
  <c r="AR5" i="3"/>
  <c r="AO6" i="3"/>
  <c r="AP6" i="3"/>
  <c r="AQ6" i="3"/>
  <c r="AR6" i="3"/>
  <c r="AO7" i="3"/>
  <c r="AP7" i="3"/>
  <c r="AQ7" i="3"/>
  <c r="AR7" i="3"/>
  <c r="AO8" i="3"/>
  <c r="AP8" i="3"/>
  <c r="AQ8" i="3"/>
  <c r="AR8" i="3"/>
  <c r="AO9" i="3"/>
  <c r="AP9" i="3"/>
  <c r="AQ9" i="3"/>
  <c r="AR9" i="3"/>
  <c r="AO10" i="3"/>
  <c r="AP10" i="3"/>
  <c r="AQ10" i="3"/>
  <c r="AR10" i="3"/>
  <c r="AO11" i="3"/>
  <c r="AP11" i="3"/>
  <c r="AQ11" i="3"/>
  <c r="AR11" i="3"/>
  <c r="AO12" i="3"/>
  <c r="AP12" i="3"/>
  <c r="AQ12" i="3"/>
  <c r="AR12" i="3"/>
  <c r="AO13" i="3"/>
  <c r="AP13" i="3"/>
  <c r="AQ13" i="3"/>
  <c r="AR13" i="3"/>
  <c r="AO14" i="3"/>
  <c r="AP14" i="3"/>
  <c r="AQ14" i="3"/>
  <c r="AR14" i="3"/>
  <c r="AO15" i="3"/>
  <c r="AP15" i="3"/>
  <c r="AQ15" i="3"/>
  <c r="AR15" i="3"/>
  <c r="AO16" i="3"/>
  <c r="AP16" i="3"/>
  <c r="AQ16" i="3"/>
  <c r="AR16" i="3"/>
  <c r="AO17" i="3"/>
  <c r="AP17" i="3"/>
  <c r="AQ17" i="3"/>
  <c r="AR17" i="3"/>
  <c r="AO18" i="3"/>
  <c r="AP18" i="3"/>
  <c r="AQ18" i="3"/>
  <c r="AR18" i="3"/>
  <c r="AO19" i="3"/>
  <c r="AP19" i="3"/>
  <c r="AQ19" i="3"/>
  <c r="AR19" i="3"/>
  <c r="AO20" i="3"/>
  <c r="AP20" i="3"/>
  <c r="AQ20" i="3"/>
  <c r="AR20" i="3"/>
  <c r="AO21" i="3"/>
  <c r="AP21" i="3"/>
  <c r="AQ21" i="3"/>
  <c r="AR21" i="3"/>
  <c r="AO22" i="3"/>
  <c r="AP22" i="3"/>
  <c r="AQ22" i="3"/>
  <c r="AR22" i="3"/>
  <c r="AO23" i="3"/>
  <c r="AP23" i="3"/>
  <c r="AQ23" i="3"/>
  <c r="AR23" i="3"/>
  <c r="AO24" i="3"/>
  <c r="AP24" i="3"/>
  <c r="AQ24" i="3"/>
  <c r="AR24" i="3"/>
  <c r="AO25" i="3"/>
  <c r="AP25" i="3"/>
  <c r="AQ25" i="3"/>
  <c r="AR25" i="3"/>
  <c r="AO26" i="3"/>
  <c r="AP26" i="3"/>
  <c r="AQ26" i="3"/>
  <c r="AR26" i="3"/>
  <c r="AO27" i="3"/>
  <c r="AP27" i="3"/>
  <c r="AQ27" i="3"/>
  <c r="AR27" i="3"/>
  <c r="AO28" i="3"/>
  <c r="AP28" i="3"/>
  <c r="AQ28" i="3"/>
  <c r="AR28" i="3"/>
  <c r="AO29" i="3"/>
  <c r="AP29" i="3"/>
  <c r="AQ29" i="3"/>
  <c r="AR29" i="3"/>
  <c r="AO30" i="3"/>
  <c r="AP30" i="3"/>
  <c r="AQ30" i="3"/>
  <c r="AR30" i="3"/>
  <c r="AO31" i="3"/>
  <c r="AP31" i="3"/>
  <c r="AQ31" i="3"/>
  <c r="AR31" i="3"/>
  <c r="AO32" i="3"/>
  <c r="AP32" i="3"/>
  <c r="AQ32" i="3"/>
  <c r="AR32" i="3"/>
  <c r="AO33" i="3"/>
  <c r="AP33" i="3"/>
  <c r="AQ33" i="3"/>
  <c r="AR33" i="3"/>
  <c r="AO34" i="3"/>
  <c r="AP34" i="3"/>
  <c r="AQ34" i="3"/>
  <c r="AR34" i="3"/>
  <c r="AO35" i="3"/>
  <c r="AP35" i="3"/>
  <c r="AQ35" i="3"/>
  <c r="AR35" i="3"/>
  <c r="AO36" i="3"/>
  <c r="AP36" i="3"/>
  <c r="AQ36" i="3"/>
  <c r="AR36" i="3"/>
  <c r="AO37" i="3"/>
  <c r="AP37" i="3"/>
  <c r="AQ37" i="3"/>
  <c r="AR37" i="3"/>
  <c r="AO38" i="3"/>
  <c r="AP38" i="3"/>
  <c r="AQ38" i="3"/>
  <c r="AR38" i="3"/>
  <c r="AO39" i="3"/>
  <c r="AP39" i="3"/>
  <c r="AQ39" i="3"/>
  <c r="AR39" i="3"/>
  <c r="AO40" i="3"/>
  <c r="AP40" i="3"/>
  <c r="AQ40" i="3"/>
  <c r="AR40" i="3"/>
  <c r="AO41" i="3"/>
  <c r="AP41" i="3"/>
  <c r="AQ41" i="3"/>
  <c r="AR41" i="3"/>
  <c r="AO42" i="3"/>
  <c r="AP42" i="3"/>
  <c r="AQ42" i="3"/>
  <c r="AR42" i="3"/>
  <c r="AO43" i="3"/>
  <c r="AP43" i="3"/>
  <c r="AQ43" i="3"/>
  <c r="AR43" i="3"/>
  <c r="AO44" i="3"/>
  <c r="AP44" i="3"/>
  <c r="AQ44" i="3"/>
  <c r="AR44" i="3"/>
  <c r="AO45" i="3"/>
  <c r="AP45" i="3"/>
  <c r="AQ45" i="3"/>
  <c r="AR45" i="3"/>
  <c r="AO46" i="3"/>
  <c r="AP46" i="3"/>
  <c r="AQ46" i="3"/>
  <c r="AR46" i="3"/>
  <c r="AO47" i="3"/>
  <c r="AP47" i="3"/>
  <c r="AQ47" i="3"/>
  <c r="AR47" i="3"/>
  <c r="AO48" i="3"/>
  <c r="AP48" i="3"/>
  <c r="AQ48" i="3"/>
  <c r="AR48" i="3"/>
  <c r="AO49" i="3"/>
  <c r="AP49" i="3"/>
  <c r="AQ49" i="3"/>
  <c r="AR49" i="3"/>
  <c r="AO50" i="3"/>
  <c r="AP50" i="3"/>
  <c r="AQ50" i="3"/>
  <c r="AR50" i="3"/>
  <c r="AO51" i="3"/>
  <c r="AP51" i="3"/>
  <c r="AQ51" i="3"/>
  <c r="AR51" i="3"/>
  <c r="AO52" i="3"/>
  <c r="AP52" i="3"/>
  <c r="AQ52" i="3"/>
  <c r="AR52" i="3"/>
  <c r="AO53" i="3"/>
  <c r="AP53" i="3"/>
  <c r="AQ53" i="3"/>
  <c r="AR53" i="3"/>
  <c r="AO54" i="3"/>
  <c r="AP54" i="3"/>
  <c r="AQ54" i="3"/>
  <c r="AR54" i="3"/>
  <c r="AO55" i="3"/>
  <c r="AP55" i="3"/>
  <c r="AQ55" i="3"/>
  <c r="AR55" i="3"/>
  <c r="AO56" i="3"/>
  <c r="AP56" i="3"/>
  <c r="AQ56" i="3"/>
  <c r="AR56" i="3"/>
  <c r="AO57" i="3"/>
  <c r="AP57" i="3"/>
  <c r="AQ57" i="3"/>
  <c r="AR57" i="3"/>
  <c r="AO58" i="3"/>
  <c r="AP58" i="3"/>
  <c r="AQ58" i="3"/>
  <c r="AR58" i="3"/>
  <c r="AO59" i="3"/>
  <c r="AP59" i="3"/>
  <c r="AQ59" i="3"/>
  <c r="AR59" i="3"/>
  <c r="AO60" i="3"/>
  <c r="AP60" i="3"/>
  <c r="AQ60" i="3"/>
  <c r="AR60" i="3"/>
  <c r="AO61" i="3"/>
  <c r="AP61" i="3"/>
  <c r="AQ61" i="3"/>
  <c r="AR61" i="3"/>
  <c r="AO62" i="3"/>
  <c r="AP62" i="3"/>
  <c r="AQ62" i="3"/>
  <c r="AR62" i="3"/>
  <c r="AO63" i="3"/>
  <c r="AP63" i="3"/>
  <c r="AQ63" i="3"/>
  <c r="AR63" i="3"/>
  <c r="AO64" i="3"/>
  <c r="AP64" i="3"/>
  <c r="AQ64" i="3"/>
  <c r="AR64" i="3"/>
  <c r="AO65" i="3"/>
  <c r="AP65" i="3"/>
  <c r="AQ65" i="3"/>
  <c r="AR65" i="3"/>
  <c r="AO66" i="3"/>
  <c r="AP66" i="3"/>
  <c r="AQ66" i="3"/>
  <c r="AR66" i="3"/>
  <c r="AO67" i="3"/>
  <c r="AP67" i="3"/>
  <c r="AQ67" i="3"/>
  <c r="AR67" i="3"/>
  <c r="AO68" i="3"/>
  <c r="AP68" i="3"/>
  <c r="AQ68" i="3"/>
  <c r="AR68" i="3"/>
  <c r="AO69" i="3"/>
  <c r="AP69" i="3"/>
  <c r="AQ69" i="3"/>
  <c r="AR69" i="3"/>
  <c r="AO70" i="3"/>
  <c r="AP70" i="3"/>
  <c r="AQ70" i="3"/>
  <c r="AR70" i="3"/>
  <c r="AO71" i="3"/>
  <c r="AP71" i="3"/>
  <c r="AQ71" i="3"/>
  <c r="AR71" i="3"/>
  <c r="AO72" i="3"/>
  <c r="AP72" i="3"/>
  <c r="AQ72" i="3"/>
  <c r="AR72" i="3"/>
  <c r="AO73" i="3"/>
  <c r="AP73" i="3"/>
  <c r="AQ73" i="3"/>
  <c r="AR73" i="3"/>
  <c r="AO74" i="3"/>
  <c r="AP74" i="3"/>
  <c r="AQ74" i="3"/>
  <c r="AR74" i="3"/>
  <c r="AO75" i="3"/>
  <c r="AP75" i="3"/>
  <c r="AQ75" i="3"/>
  <c r="AR75" i="3"/>
  <c r="AO76" i="3"/>
  <c r="AP76" i="3"/>
  <c r="AQ76" i="3"/>
  <c r="AR76" i="3"/>
  <c r="AO77" i="3"/>
  <c r="AP77" i="3"/>
  <c r="AQ77" i="3"/>
  <c r="AR77" i="3"/>
  <c r="AO78" i="3"/>
  <c r="AP78" i="3"/>
  <c r="AQ78" i="3"/>
  <c r="AR78" i="3"/>
  <c r="AO79" i="3"/>
  <c r="AP79" i="3"/>
  <c r="AQ79" i="3"/>
  <c r="AR79" i="3"/>
  <c r="AO80" i="3"/>
  <c r="AP80" i="3"/>
  <c r="AQ80" i="3"/>
  <c r="AR80" i="3"/>
  <c r="AO81" i="3"/>
  <c r="AP81" i="3"/>
  <c r="AQ81" i="3"/>
  <c r="AR81" i="3"/>
  <c r="AO82" i="3"/>
  <c r="AP82" i="3"/>
  <c r="AQ82" i="3"/>
  <c r="AR82" i="3"/>
  <c r="AO83" i="3"/>
  <c r="AP83" i="3"/>
  <c r="AQ83" i="3"/>
  <c r="AR83" i="3"/>
  <c r="AO84" i="3"/>
  <c r="AP84" i="3"/>
  <c r="AQ84" i="3"/>
  <c r="AR84" i="3"/>
  <c r="AO85" i="3"/>
  <c r="AP85" i="3"/>
  <c r="AQ85" i="3"/>
  <c r="AR85" i="3"/>
  <c r="AO86" i="3"/>
  <c r="AP86" i="3"/>
  <c r="AQ86" i="3"/>
  <c r="AR86" i="3"/>
  <c r="AO87" i="3"/>
  <c r="AP87" i="3"/>
  <c r="AQ87" i="3"/>
  <c r="AR87" i="3"/>
  <c r="AO88" i="3"/>
  <c r="AP88" i="3"/>
  <c r="AQ88" i="3"/>
  <c r="AR88" i="3"/>
  <c r="AO89" i="3"/>
  <c r="AP89" i="3"/>
  <c r="AQ89" i="3"/>
  <c r="AR89" i="3"/>
  <c r="AO90" i="3"/>
  <c r="AP90" i="3"/>
  <c r="AQ90" i="3"/>
  <c r="AR90" i="3"/>
  <c r="AO91" i="3"/>
  <c r="AP91" i="3"/>
  <c r="AQ91" i="3"/>
  <c r="AR91" i="3"/>
  <c r="AO92" i="3"/>
  <c r="AP92" i="3"/>
  <c r="AQ92" i="3"/>
  <c r="AR92" i="3"/>
  <c r="AO93" i="3"/>
  <c r="AP93" i="3"/>
  <c r="AQ93" i="3"/>
  <c r="AR93" i="3"/>
  <c r="AO94" i="3"/>
  <c r="AP94" i="3"/>
  <c r="AQ94" i="3"/>
  <c r="AR94" i="3"/>
  <c r="AO95" i="3"/>
  <c r="AP95" i="3"/>
  <c r="AQ95" i="3"/>
  <c r="AR95" i="3"/>
  <c r="AO96" i="3"/>
  <c r="AP96" i="3"/>
  <c r="AQ96" i="3"/>
  <c r="AR96" i="3"/>
  <c r="AO97" i="3"/>
  <c r="AP97" i="3"/>
  <c r="AQ97" i="3"/>
  <c r="AR97" i="3"/>
  <c r="AO98" i="3"/>
  <c r="AP98" i="3"/>
  <c r="AQ98" i="3"/>
  <c r="AR98" i="3"/>
  <c r="AO99" i="3"/>
  <c r="AP99" i="3"/>
  <c r="AQ99" i="3"/>
  <c r="AR99" i="3"/>
  <c r="AO100" i="3"/>
  <c r="AP100" i="3"/>
  <c r="AQ100" i="3"/>
  <c r="AR100" i="3"/>
  <c r="AO101" i="3"/>
  <c r="AP101" i="3"/>
  <c r="AQ101" i="3"/>
  <c r="AR101" i="3"/>
  <c r="AO102" i="3"/>
  <c r="AP102" i="3"/>
  <c r="AQ102" i="3"/>
  <c r="AR102" i="3"/>
  <c r="AO103" i="3"/>
  <c r="AP103" i="3"/>
  <c r="AQ103" i="3"/>
  <c r="AR103" i="3"/>
  <c r="AO104" i="3"/>
  <c r="AP104" i="3"/>
  <c r="AQ104" i="3"/>
  <c r="AR104" i="3"/>
  <c r="AO105" i="3"/>
  <c r="AP105" i="3"/>
  <c r="AQ105" i="3"/>
  <c r="AR105" i="3"/>
  <c r="AO106" i="3"/>
  <c r="AP106" i="3"/>
  <c r="AQ106" i="3"/>
  <c r="AR106" i="3"/>
  <c r="AO107" i="3"/>
  <c r="AP107" i="3"/>
  <c r="AQ107" i="3"/>
  <c r="AR107" i="3"/>
  <c r="AO108" i="3"/>
  <c r="AP108" i="3"/>
  <c r="AQ108" i="3"/>
  <c r="AR108" i="3"/>
  <c r="AO109" i="3"/>
  <c r="AP109" i="3"/>
  <c r="AQ109" i="3"/>
  <c r="AR109" i="3"/>
  <c r="AO110" i="3"/>
  <c r="AP110" i="3"/>
  <c r="AQ110" i="3"/>
  <c r="AR110" i="3"/>
  <c r="AO111" i="3"/>
  <c r="AP111" i="3"/>
  <c r="AQ111" i="3"/>
  <c r="AR111" i="3"/>
  <c r="AO112" i="3"/>
  <c r="AP112" i="3"/>
  <c r="AQ112" i="3"/>
  <c r="AR112" i="3"/>
  <c r="AO113" i="3"/>
  <c r="AP113" i="3"/>
  <c r="AQ113" i="3"/>
  <c r="AR113" i="3"/>
  <c r="AO114" i="3"/>
  <c r="AP114" i="3"/>
  <c r="AQ114" i="3"/>
  <c r="AR114" i="3"/>
  <c r="AO115" i="3"/>
  <c r="AP115" i="3"/>
  <c r="AQ115" i="3"/>
  <c r="AR115" i="3"/>
  <c r="AO116" i="3"/>
  <c r="AP116" i="3"/>
  <c r="AQ116" i="3"/>
  <c r="AR116" i="3"/>
  <c r="AO117" i="3"/>
  <c r="AP117" i="3"/>
  <c r="AQ117" i="3"/>
  <c r="AR117" i="3"/>
  <c r="AO118" i="3"/>
  <c r="AP118" i="3"/>
  <c r="AQ118" i="3"/>
  <c r="AR118" i="3"/>
  <c r="AO119" i="3"/>
  <c r="AP119" i="3"/>
  <c r="AQ119" i="3"/>
  <c r="AR119" i="3"/>
  <c r="AO120" i="3"/>
  <c r="AP120" i="3"/>
  <c r="AQ120" i="3"/>
  <c r="AR120" i="3"/>
  <c r="AO121" i="3"/>
  <c r="AP121" i="3"/>
  <c r="AQ121" i="3"/>
  <c r="AR121" i="3"/>
  <c r="AO122" i="3"/>
  <c r="AP122" i="3"/>
  <c r="AQ122" i="3"/>
  <c r="AR122" i="3"/>
  <c r="AO123" i="3"/>
  <c r="AP123" i="3"/>
  <c r="AQ123" i="3"/>
  <c r="AR123" i="3"/>
  <c r="AO124" i="3"/>
  <c r="AP124" i="3"/>
  <c r="AQ124" i="3"/>
  <c r="AR124" i="3"/>
  <c r="AO125" i="3"/>
  <c r="AP125" i="3"/>
  <c r="AQ125" i="3"/>
  <c r="AR125" i="3"/>
  <c r="AO126" i="3"/>
  <c r="AP126" i="3"/>
  <c r="AQ126" i="3"/>
  <c r="AR126" i="3"/>
  <c r="AO127" i="3"/>
  <c r="AP127" i="3"/>
  <c r="AQ127" i="3"/>
  <c r="AR127" i="3"/>
  <c r="AO128" i="3"/>
  <c r="AP128" i="3"/>
  <c r="AQ128" i="3"/>
  <c r="AR128" i="3"/>
  <c r="AO129" i="3"/>
  <c r="AP129" i="3"/>
  <c r="AQ129" i="3"/>
  <c r="AR129" i="3"/>
  <c r="AO130" i="3"/>
  <c r="AP130" i="3"/>
  <c r="AQ130" i="3"/>
  <c r="AR130" i="3"/>
  <c r="AO131" i="3"/>
  <c r="AP131" i="3"/>
  <c r="AQ131" i="3"/>
  <c r="AR131" i="3"/>
  <c r="AO132" i="3"/>
  <c r="AP132" i="3"/>
  <c r="AQ132" i="3"/>
  <c r="AR132" i="3"/>
  <c r="AO133" i="3"/>
  <c r="AP133" i="3"/>
  <c r="AQ133" i="3"/>
  <c r="AR133" i="3"/>
  <c r="AO134" i="3"/>
  <c r="AP134" i="3"/>
  <c r="AQ134" i="3"/>
  <c r="AR134" i="3"/>
  <c r="AO135" i="3"/>
  <c r="AP135" i="3"/>
  <c r="AQ135" i="3"/>
  <c r="AR135" i="3"/>
  <c r="AO136" i="3"/>
  <c r="AP136" i="3"/>
  <c r="AQ136" i="3"/>
  <c r="AR136" i="3"/>
  <c r="AO137" i="3"/>
  <c r="AP137" i="3"/>
  <c r="AQ137" i="3"/>
  <c r="AR137" i="3"/>
  <c r="AO138" i="3"/>
  <c r="AP138" i="3"/>
  <c r="AQ138" i="3"/>
  <c r="AR138" i="3"/>
  <c r="AO139" i="3"/>
  <c r="AP139" i="3"/>
  <c r="AQ139" i="3"/>
  <c r="AR139" i="3"/>
  <c r="AO140" i="3"/>
  <c r="AP140" i="3"/>
  <c r="AQ140" i="3"/>
  <c r="AR140" i="3"/>
  <c r="AO141" i="3"/>
  <c r="AP141" i="3"/>
  <c r="AQ141" i="3"/>
  <c r="AR141" i="3"/>
  <c r="AO142" i="3"/>
  <c r="AP142" i="3"/>
  <c r="AQ142" i="3"/>
  <c r="AR142" i="3"/>
  <c r="AO143" i="3"/>
  <c r="AP143" i="3"/>
  <c r="AQ143" i="3"/>
  <c r="AR143" i="3"/>
  <c r="AO144" i="3"/>
  <c r="AP144" i="3"/>
  <c r="AQ144" i="3"/>
  <c r="AR144" i="3"/>
  <c r="AO145" i="3"/>
  <c r="AP145" i="3"/>
  <c r="AQ145" i="3"/>
  <c r="AR145" i="3"/>
  <c r="AO146" i="3"/>
  <c r="AP146" i="3"/>
  <c r="AQ146" i="3"/>
  <c r="AR146" i="3"/>
  <c r="AO147" i="3"/>
  <c r="AP147" i="3"/>
  <c r="AQ147" i="3"/>
  <c r="AR147" i="3"/>
  <c r="AO148" i="3"/>
  <c r="AP148" i="3"/>
  <c r="AQ148" i="3"/>
  <c r="AR148" i="3"/>
  <c r="AO149" i="3"/>
  <c r="AP149" i="3"/>
  <c r="AQ149" i="3"/>
  <c r="AR149" i="3"/>
  <c r="AO150" i="3"/>
  <c r="AP150" i="3"/>
  <c r="AQ150" i="3"/>
  <c r="AR150" i="3"/>
  <c r="AO151" i="3"/>
  <c r="AP151" i="3"/>
  <c r="AQ151" i="3"/>
  <c r="AR151" i="3"/>
  <c r="AO152" i="3"/>
  <c r="AP152" i="3"/>
  <c r="AQ152" i="3"/>
  <c r="AR152" i="3"/>
  <c r="AO153" i="3"/>
  <c r="AP153" i="3"/>
  <c r="AQ153" i="3"/>
  <c r="AR153" i="3"/>
  <c r="AO154" i="3"/>
  <c r="AP154" i="3"/>
  <c r="AQ154" i="3"/>
  <c r="AR154" i="3"/>
  <c r="AO155" i="3"/>
  <c r="AP155" i="3"/>
  <c r="AQ155" i="3"/>
  <c r="AR155" i="3"/>
  <c r="AO156" i="3"/>
  <c r="AP156" i="3"/>
  <c r="AQ156" i="3"/>
  <c r="AR156" i="3"/>
  <c r="AO157" i="3"/>
  <c r="AP157" i="3"/>
  <c r="AQ157" i="3"/>
  <c r="AR157" i="3"/>
  <c r="AO158" i="3"/>
  <c r="AP158" i="3"/>
  <c r="AQ158" i="3"/>
  <c r="AR158" i="3"/>
  <c r="AO159" i="3"/>
  <c r="AP159" i="3"/>
  <c r="AQ159" i="3"/>
  <c r="AR159" i="3"/>
  <c r="AO160" i="3"/>
  <c r="AP160" i="3"/>
  <c r="AQ160" i="3"/>
  <c r="AR160" i="3"/>
  <c r="AO161" i="3"/>
  <c r="AP161" i="3"/>
  <c r="AQ161" i="3"/>
  <c r="AR161" i="3"/>
  <c r="AO162" i="3"/>
  <c r="AP162" i="3"/>
  <c r="AQ162" i="3"/>
  <c r="AR162" i="3"/>
  <c r="AO163" i="3"/>
  <c r="AP163" i="3"/>
  <c r="AQ163" i="3"/>
  <c r="AR163" i="3"/>
  <c r="AO164" i="3"/>
  <c r="AP164" i="3"/>
  <c r="AQ164" i="3"/>
  <c r="AR164" i="3"/>
  <c r="AO165" i="3"/>
  <c r="AP165" i="3"/>
  <c r="AQ165" i="3"/>
  <c r="AR165" i="3"/>
  <c r="AO166" i="3"/>
  <c r="AP166" i="3"/>
  <c r="AQ166" i="3"/>
  <c r="AR166" i="3"/>
  <c r="AO167" i="3"/>
  <c r="AP167" i="3"/>
  <c r="AQ167" i="3"/>
  <c r="AR167" i="3"/>
  <c r="AO168" i="3"/>
  <c r="AP168" i="3"/>
  <c r="AQ168" i="3"/>
  <c r="AR168" i="3"/>
  <c r="AO169" i="3"/>
  <c r="AP169" i="3"/>
  <c r="AQ169" i="3"/>
  <c r="AR169" i="3"/>
  <c r="AO170" i="3"/>
  <c r="AP170" i="3"/>
  <c r="AQ170" i="3"/>
  <c r="AR170" i="3"/>
  <c r="AO171" i="3"/>
  <c r="AP171" i="3"/>
  <c r="AQ171" i="3"/>
  <c r="AR171" i="3"/>
  <c r="AO172" i="3"/>
  <c r="AP172" i="3"/>
  <c r="AQ172" i="3"/>
  <c r="AR172" i="3"/>
  <c r="AO173" i="3"/>
  <c r="AP173" i="3"/>
  <c r="AQ173" i="3"/>
  <c r="AR173" i="3"/>
  <c r="AO174" i="3"/>
  <c r="AP174" i="3"/>
  <c r="AQ174" i="3"/>
  <c r="AR174" i="3"/>
  <c r="AO175" i="3"/>
  <c r="AP175" i="3"/>
  <c r="AQ175" i="3"/>
  <c r="AR175" i="3"/>
  <c r="AO176" i="3"/>
  <c r="AP176" i="3"/>
  <c r="AQ176" i="3"/>
  <c r="AR176" i="3"/>
  <c r="AO177" i="3"/>
  <c r="AP177" i="3"/>
  <c r="AQ177" i="3"/>
  <c r="AR177" i="3"/>
  <c r="AO178" i="3"/>
  <c r="AP178" i="3"/>
  <c r="AQ178" i="3"/>
  <c r="AR178" i="3"/>
  <c r="AO179" i="3"/>
  <c r="AP179" i="3"/>
  <c r="AQ179" i="3"/>
  <c r="AR179" i="3"/>
  <c r="AO180" i="3"/>
  <c r="AP180" i="3"/>
  <c r="AQ180" i="3"/>
  <c r="AR180" i="3"/>
  <c r="AO181" i="3"/>
  <c r="AP181" i="3"/>
  <c r="AQ181" i="3"/>
  <c r="AR181" i="3"/>
  <c r="AO182" i="3"/>
  <c r="AP182" i="3"/>
  <c r="AQ182" i="3"/>
  <c r="AR182" i="3"/>
  <c r="AO183" i="3"/>
  <c r="AP183" i="3"/>
  <c r="AQ183" i="3"/>
  <c r="AR183" i="3"/>
  <c r="AO184" i="3"/>
  <c r="AP184" i="3"/>
  <c r="AQ184" i="3"/>
  <c r="AR184" i="3"/>
  <c r="AO185" i="3"/>
  <c r="AP185" i="3"/>
  <c r="AQ185" i="3"/>
  <c r="AR185" i="3"/>
  <c r="AO186" i="3"/>
  <c r="AP186" i="3"/>
  <c r="AQ186" i="3"/>
  <c r="AR186" i="3"/>
  <c r="AO187" i="3"/>
  <c r="AP187" i="3"/>
  <c r="AQ187" i="3"/>
  <c r="AR187" i="3"/>
  <c r="AO188" i="3"/>
  <c r="AP188" i="3"/>
  <c r="AQ188" i="3"/>
  <c r="AR188" i="3"/>
  <c r="AO189" i="3"/>
  <c r="AP189" i="3"/>
  <c r="AQ189" i="3"/>
  <c r="AR189" i="3"/>
  <c r="AO190" i="3"/>
  <c r="AP190" i="3"/>
  <c r="AQ190" i="3"/>
  <c r="AR190" i="3"/>
  <c r="AO191" i="3"/>
  <c r="AP191" i="3"/>
  <c r="AQ191" i="3"/>
  <c r="AR191" i="3"/>
  <c r="AO192" i="3"/>
  <c r="AP192" i="3"/>
  <c r="AQ192" i="3"/>
  <c r="AR192" i="3"/>
  <c r="AO193" i="3"/>
  <c r="AP193" i="3"/>
  <c r="AQ193" i="3"/>
  <c r="AR193" i="3"/>
  <c r="AO194" i="3"/>
  <c r="AP194" i="3"/>
  <c r="AQ194" i="3"/>
  <c r="AR194" i="3"/>
  <c r="AO195" i="3"/>
  <c r="AP195" i="3"/>
  <c r="AQ195" i="3"/>
  <c r="AR195" i="3"/>
  <c r="AO196" i="3"/>
  <c r="AP196" i="3"/>
  <c r="AQ196" i="3"/>
  <c r="AR196" i="3"/>
  <c r="AO197" i="3"/>
  <c r="AP197" i="3"/>
  <c r="AQ197" i="3"/>
  <c r="AR197" i="3"/>
  <c r="AO198" i="3"/>
  <c r="AP198" i="3"/>
  <c r="AQ198" i="3"/>
  <c r="AR198" i="3"/>
  <c r="AO199" i="3"/>
  <c r="AP199" i="3"/>
  <c r="AQ199" i="3"/>
  <c r="AR199" i="3"/>
  <c r="AO200" i="3"/>
  <c r="AP200" i="3"/>
  <c r="AQ200" i="3"/>
  <c r="AR200" i="3"/>
  <c r="AO201" i="3"/>
  <c r="AP201" i="3"/>
  <c r="AQ201" i="3"/>
  <c r="AR201" i="3"/>
  <c r="AO202" i="3"/>
  <c r="AP202" i="3"/>
  <c r="AQ202" i="3"/>
  <c r="AR202" i="3"/>
  <c r="AO203" i="3"/>
  <c r="AP203" i="3"/>
  <c r="AQ203" i="3"/>
  <c r="AR203" i="3"/>
  <c r="AO204" i="3"/>
  <c r="AP204" i="3"/>
  <c r="AQ204" i="3"/>
  <c r="AR204" i="3"/>
  <c r="AO205" i="3"/>
  <c r="AP205" i="3"/>
  <c r="AQ205" i="3"/>
  <c r="AR205" i="3"/>
  <c r="AO206" i="3"/>
  <c r="AP206" i="3"/>
  <c r="AQ206" i="3"/>
  <c r="AR206" i="3"/>
  <c r="AO207" i="3"/>
  <c r="AP207" i="3"/>
  <c r="AQ207" i="3"/>
  <c r="AR207" i="3"/>
  <c r="AO208" i="3"/>
  <c r="AP208" i="3"/>
  <c r="AQ208" i="3"/>
  <c r="AR208" i="3"/>
  <c r="AO209" i="3"/>
  <c r="AP209" i="3"/>
  <c r="AQ209" i="3"/>
  <c r="AR209" i="3"/>
  <c r="AO210" i="3"/>
  <c r="AP210" i="3"/>
  <c r="AQ210" i="3"/>
  <c r="AR210" i="3"/>
  <c r="AO211" i="3"/>
  <c r="AP211" i="3"/>
  <c r="AQ211" i="3"/>
  <c r="AR211" i="3"/>
  <c r="AO212" i="3"/>
  <c r="AP212" i="3"/>
  <c r="AQ212" i="3"/>
  <c r="AR212" i="3"/>
  <c r="AO213" i="3"/>
  <c r="AP213" i="3"/>
  <c r="AQ213" i="3"/>
  <c r="AR213" i="3"/>
  <c r="AO214" i="3"/>
  <c r="AP214" i="3"/>
  <c r="AQ214" i="3"/>
  <c r="AR214" i="3"/>
  <c r="AO215" i="3"/>
  <c r="AP215" i="3"/>
  <c r="AQ215" i="3"/>
  <c r="AR215" i="3"/>
  <c r="AO216" i="3"/>
  <c r="AP216" i="3"/>
  <c r="AQ216" i="3"/>
  <c r="AR216" i="3"/>
  <c r="AO217" i="3"/>
  <c r="AP217" i="3"/>
  <c r="AQ217" i="3"/>
  <c r="AR217" i="3"/>
  <c r="AO218" i="3"/>
  <c r="AP218" i="3"/>
  <c r="AQ218" i="3"/>
  <c r="AR218" i="3"/>
  <c r="AO219" i="3"/>
  <c r="AP219" i="3"/>
  <c r="AQ219" i="3"/>
  <c r="AR219" i="3"/>
  <c r="AO220" i="3"/>
  <c r="AP220" i="3"/>
  <c r="AQ220" i="3"/>
  <c r="AR220" i="3"/>
  <c r="AO221" i="3"/>
  <c r="AP221" i="3"/>
  <c r="AQ221" i="3"/>
  <c r="AR221" i="3"/>
  <c r="AO222" i="3"/>
  <c r="AP222" i="3"/>
  <c r="AQ222" i="3"/>
  <c r="AR222" i="3"/>
  <c r="AO223" i="3"/>
  <c r="AP223" i="3"/>
  <c r="AQ223" i="3"/>
  <c r="AR223" i="3"/>
  <c r="AO224" i="3"/>
  <c r="AP224" i="3"/>
  <c r="AQ224" i="3"/>
  <c r="AR224" i="3"/>
  <c r="AO225" i="3"/>
  <c r="AP225" i="3"/>
  <c r="AQ225" i="3"/>
  <c r="AR225" i="3"/>
  <c r="AO226" i="3"/>
  <c r="AP226" i="3"/>
  <c r="AQ226" i="3"/>
  <c r="AR226" i="3"/>
  <c r="AO227" i="3"/>
  <c r="AP227" i="3"/>
  <c r="AQ227" i="3"/>
  <c r="AR227" i="3"/>
  <c r="AO228" i="3"/>
  <c r="AP228" i="3"/>
  <c r="AQ228" i="3"/>
  <c r="AR228" i="3"/>
  <c r="AO229" i="3"/>
  <c r="AP229" i="3"/>
  <c r="AQ229" i="3"/>
  <c r="AR229" i="3"/>
  <c r="AO230" i="3"/>
  <c r="AP230" i="3"/>
  <c r="AQ230" i="3"/>
  <c r="AR230" i="3"/>
  <c r="AO231" i="3"/>
  <c r="AP231" i="3"/>
  <c r="AQ231" i="3"/>
  <c r="AR231" i="3"/>
  <c r="AO232" i="3"/>
  <c r="AP232" i="3"/>
  <c r="AQ232" i="3"/>
  <c r="AR232" i="3"/>
  <c r="AO233" i="3"/>
  <c r="AP233" i="3"/>
  <c r="AQ233" i="3"/>
  <c r="AR233" i="3"/>
  <c r="AO234" i="3"/>
  <c r="AP234" i="3"/>
  <c r="AQ234" i="3"/>
  <c r="AR234" i="3"/>
  <c r="AO235" i="3"/>
  <c r="AP235" i="3"/>
  <c r="AQ235" i="3"/>
  <c r="AR235" i="3"/>
  <c r="AO236" i="3"/>
  <c r="AP236" i="3"/>
  <c r="AQ236" i="3"/>
  <c r="AR236" i="3"/>
  <c r="AO237" i="3"/>
  <c r="AP237" i="3"/>
  <c r="AQ237" i="3"/>
  <c r="AR237" i="3"/>
  <c r="AO238" i="3"/>
  <c r="AP238" i="3"/>
  <c r="AQ238" i="3"/>
  <c r="AR238" i="3"/>
  <c r="AO239" i="3"/>
  <c r="AP239" i="3"/>
  <c r="AQ239" i="3"/>
  <c r="AR239" i="3"/>
  <c r="AO240" i="3"/>
  <c r="AP240" i="3"/>
  <c r="AQ240" i="3"/>
  <c r="AR240" i="3"/>
  <c r="AO241" i="3"/>
  <c r="AP241" i="3"/>
  <c r="AQ241" i="3"/>
  <c r="AR241" i="3"/>
  <c r="AO242" i="3"/>
  <c r="AP242" i="3"/>
  <c r="AQ242" i="3"/>
  <c r="AR242" i="3"/>
  <c r="AO243" i="3"/>
  <c r="AP243" i="3"/>
  <c r="AQ243" i="3"/>
  <c r="AR243" i="3"/>
  <c r="AO244" i="3"/>
  <c r="AP244" i="3"/>
  <c r="AQ244" i="3"/>
  <c r="AR244" i="3"/>
  <c r="AO245" i="3"/>
  <c r="AP245" i="3"/>
  <c r="AQ245" i="3"/>
  <c r="AR245" i="3"/>
  <c r="AO246" i="3"/>
  <c r="AP246" i="3"/>
  <c r="AQ246" i="3"/>
  <c r="AR246" i="3"/>
  <c r="AO247" i="3"/>
  <c r="AP247" i="3"/>
  <c r="AQ247" i="3"/>
  <c r="AR247" i="3"/>
  <c r="AO248" i="3"/>
  <c r="AP248" i="3"/>
  <c r="AQ248" i="3"/>
  <c r="AR248" i="3"/>
  <c r="AO249" i="3"/>
  <c r="AP249" i="3"/>
  <c r="AQ249" i="3"/>
  <c r="AR249" i="3"/>
  <c r="AO250" i="3"/>
  <c r="AP250" i="3"/>
  <c r="AQ250" i="3"/>
  <c r="AR250" i="3"/>
  <c r="AO251" i="3"/>
  <c r="AP251" i="3"/>
  <c r="AQ251" i="3"/>
  <c r="AR251" i="3"/>
  <c r="AO252" i="3"/>
  <c r="AP252" i="3"/>
  <c r="AQ252" i="3"/>
  <c r="AR252" i="3"/>
  <c r="AO253" i="3"/>
  <c r="AP253" i="3"/>
  <c r="AQ253" i="3"/>
  <c r="AR253" i="3"/>
  <c r="AO254" i="3"/>
  <c r="AP254" i="3"/>
  <c r="AQ254" i="3"/>
  <c r="AR254" i="3"/>
  <c r="AO255" i="3"/>
  <c r="AP255" i="3"/>
  <c r="AQ255" i="3"/>
  <c r="AR255" i="3"/>
  <c r="AO256" i="3"/>
  <c r="AP256" i="3"/>
  <c r="AQ256" i="3"/>
  <c r="AR256" i="3"/>
  <c r="AO257" i="3"/>
  <c r="AP257" i="3"/>
  <c r="AQ257" i="3"/>
  <c r="AR257" i="3"/>
  <c r="AO258" i="3"/>
  <c r="AP258" i="3"/>
  <c r="AQ258" i="3"/>
  <c r="AR258" i="3"/>
  <c r="AO259" i="3"/>
  <c r="AP259" i="3"/>
  <c r="AQ259" i="3"/>
  <c r="AR259" i="3"/>
  <c r="AO260" i="3"/>
  <c r="AP260" i="3"/>
  <c r="AQ260" i="3"/>
  <c r="AR260" i="3"/>
  <c r="AO261" i="3"/>
  <c r="AP261" i="3"/>
  <c r="AQ261" i="3"/>
  <c r="AR261" i="3"/>
  <c r="AO262" i="3"/>
  <c r="AP262" i="3"/>
  <c r="AQ262" i="3"/>
  <c r="AR262" i="3"/>
  <c r="AO263" i="3"/>
  <c r="AP263" i="3"/>
  <c r="AQ263" i="3"/>
  <c r="AR263" i="3"/>
  <c r="AO264" i="3"/>
  <c r="AP264" i="3"/>
  <c r="AQ264" i="3"/>
  <c r="AR264" i="3"/>
  <c r="AO265" i="3"/>
  <c r="AP265" i="3"/>
  <c r="AQ265" i="3"/>
  <c r="AR265" i="3"/>
  <c r="AO266" i="3"/>
  <c r="AP266" i="3"/>
  <c r="AQ266" i="3"/>
  <c r="AR266" i="3"/>
  <c r="AO267" i="3"/>
  <c r="AP267" i="3"/>
  <c r="AQ267" i="3"/>
  <c r="AR267" i="3"/>
  <c r="AO268" i="3"/>
  <c r="AP268" i="3"/>
  <c r="AQ268" i="3"/>
  <c r="AR268" i="3"/>
  <c r="AO269" i="3"/>
  <c r="AP269" i="3"/>
  <c r="AQ269" i="3"/>
  <c r="AR269" i="3"/>
  <c r="AO270" i="3"/>
  <c r="AP270" i="3"/>
  <c r="AQ270" i="3"/>
  <c r="AR270" i="3"/>
  <c r="AO271" i="3"/>
  <c r="AP271" i="3"/>
  <c r="AQ271" i="3"/>
  <c r="AR271" i="3"/>
  <c r="AO272" i="3"/>
  <c r="AP272" i="3"/>
  <c r="AQ272" i="3"/>
  <c r="AR272" i="3"/>
  <c r="AO273" i="3"/>
  <c r="AP273" i="3"/>
  <c r="AQ273" i="3"/>
  <c r="AR273" i="3"/>
  <c r="AO274" i="3"/>
  <c r="AP274" i="3"/>
  <c r="AQ274" i="3"/>
  <c r="AR274" i="3"/>
  <c r="AO275" i="3"/>
  <c r="AP275" i="3"/>
  <c r="AQ275" i="3"/>
  <c r="AR275" i="3"/>
  <c r="AO276" i="3"/>
  <c r="AP276" i="3"/>
  <c r="AQ276" i="3"/>
  <c r="AR276" i="3"/>
  <c r="AO277" i="3"/>
  <c r="AP277" i="3"/>
  <c r="AQ277" i="3"/>
  <c r="AR277" i="3"/>
  <c r="AO278" i="3"/>
  <c r="AP278" i="3"/>
  <c r="AQ278" i="3"/>
  <c r="AR278" i="3"/>
  <c r="AO279" i="3"/>
  <c r="AP279" i="3"/>
  <c r="AQ279" i="3"/>
  <c r="AR279" i="3"/>
  <c r="AO280" i="3"/>
  <c r="AP280" i="3"/>
  <c r="AQ280" i="3"/>
  <c r="AR280" i="3"/>
  <c r="AO281" i="3"/>
  <c r="AP281" i="3"/>
  <c r="AQ281" i="3"/>
  <c r="AR281" i="3"/>
  <c r="AO282" i="3"/>
  <c r="AP282" i="3"/>
  <c r="AQ282" i="3"/>
  <c r="AR282" i="3"/>
  <c r="AO283" i="3"/>
  <c r="AP283" i="3"/>
  <c r="AQ283" i="3"/>
  <c r="AR283" i="3"/>
  <c r="AO284" i="3"/>
  <c r="AP284" i="3"/>
  <c r="AQ284" i="3"/>
  <c r="AR284" i="3"/>
  <c r="AO285" i="3"/>
  <c r="AP285" i="3"/>
  <c r="AQ285" i="3"/>
  <c r="AR285" i="3"/>
  <c r="AO286" i="3"/>
  <c r="AP286" i="3"/>
  <c r="AQ286" i="3"/>
  <c r="AR286" i="3"/>
  <c r="AO287" i="3"/>
  <c r="AP287" i="3"/>
  <c r="AQ287" i="3"/>
  <c r="AR287" i="3"/>
  <c r="AO288" i="3"/>
  <c r="AP288" i="3"/>
  <c r="AQ288" i="3"/>
  <c r="AR288" i="3"/>
  <c r="AO289" i="3"/>
  <c r="AP289" i="3"/>
  <c r="AQ289" i="3"/>
  <c r="AR289" i="3"/>
  <c r="AO290" i="3"/>
  <c r="AP290" i="3"/>
  <c r="AQ290" i="3"/>
  <c r="AR290" i="3"/>
  <c r="AO291" i="3"/>
  <c r="AP291" i="3"/>
  <c r="AQ291" i="3"/>
  <c r="AR291" i="3"/>
  <c r="AO292" i="3"/>
  <c r="AP292" i="3"/>
  <c r="AQ292" i="3"/>
  <c r="AR292" i="3"/>
  <c r="AO293" i="3"/>
  <c r="AP293" i="3"/>
  <c r="AQ293" i="3"/>
  <c r="AR293" i="3"/>
  <c r="AO294" i="3"/>
  <c r="AP294" i="3"/>
  <c r="AQ294" i="3"/>
  <c r="AR294" i="3"/>
  <c r="AO295" i="3"/>
  <c r="AP295" i="3"/>
  <c r="AQ295" i="3"/>
  <c r="AR295" i="3"/>
  <c r="AO296" i="3"/>
  <c r="AP296" i="3"/>
  <c r="AQ296" i="3"/>
  <c r="AR296" i="3"/>
  <c r="AO297" i="3"/>
  <c r="AP297" i="3"/>
  <c r="AQ297" i="3"/>
  <c r="AR297" i="3"/>
  <c r="AO298" i="3"/>
  <c r="AP298" i="3"/>
  <c r="AQ298" i="3"/>
  <c r="AR298" i="3"/>
  <c r="AO299" i="3"/>
  <c r="AP299" i="3"/>
  <c r="AQ299" i="3"/>
  <c r="AR299" i="3"/>
  <c r="AO300" i="3"/>
  <c r="AP300" i="3"/>
  <c r="AQ300" i="3"/>
  <c r="AR300" i="3"/>
  <c r="AO301" i="3"/>
  <c r="AP301" i="3"/>
  <c r="AQ301" i="3"/>
  <c r="AR301" i="3"/>
  <c r="AO302" i="3"/>
  <c r="AP302" i="3"/>
  <c r="AQ302" i="3"/>
  <c r="AR302" i="3"/>
  <c r="AO303" i="3"/>
  <c r="AP303" i="3"/>
  <c r="AQ303" i="3"/>
  <c r="AR303" i="3"/>
  <c r="AO304" i="3"/>
  <c r="AP304" i="3"/>
  <c r="AQ304" i="3"/>
  <c r="AR304" i="3"/>
  <c r="AO305" i="3"/>
  <c r="AP305" i="3"/>
  <c r="AQ305" i="3"/>
  <c r="AR305" i="3"/>
  <c r="AO306" i="3"/>
  <c r="AP306" i="3"/>
  <c r="AQ306" i="3"/>
  <c r="AR306" i="3"/>
  <c r="AO307" i="3"/>
  <c r="AP307" i="3"/>
  <c r="AQ307" i="3"/>
  <c r="AR307" i="3"/>
  <c r="AO308" i="3"/>
  <c r="AP308" i="3"/>
  <c r="AQ308" i="3"/>
  <c r="AR308" i="3"/>
  <c r="AO309" i="3"/>
  <c r="AP309" i="3"/>
  <c r="AQ309" i="3"/>
  <c r="AR309" i="3"/>
  <c r="AO310" i="3"/>
  <c r="AP310" i="3"/>
  <c r="AQ310" i="3"/>
  <c r="AR310" i="3"/>
  <c r="AO311" i="3"/>
  <c r="AP311" i="3"/>
  <c r="AQ311" i="3"/>
  <c r="AR311" i="3"/>
  <c r="AO312" i="3"/>
  <c r="AP312" i="3"/>
  <c r="AQ312" i="3"/>
  <c r="AR312" i="3"/>
  <c r="AO313" i="3"/>
  <c r="AP313" i="3"/>
  <c r="AQ313" i="3"/>
  <c r="AR313" i="3"/>
  <c r="AO314" i="3"/>
  <c r="AP314" i="3"/>
  <c r="AQ314" i="3"/>
  <c r="AR314" i="3"/>
  <c r="AO315" i="3"/>
  <c r="AP315" i="3"/>
  <c r="AQ315" i="3"/>
  <c r="AR315" i="3"/>
  <c r="AO316" i="3"/>
  <c r="AP316" i="3"/>
  <c r="AQ316" i="3"/>
  <c r="AR316" i="3"/>
  <c r="AO317" i="3"/>
  <c r="AP317" i="3"/>
  <c r="AQ317" i="3"/>
  <c r="AR317" i="3"/>
  <c r="AO318" i="3"/>
  <c r="AP318" i="3"/>
  <c r="AQ318" i="3"/>
  <c r="AR318" i="3"/>
  <c r="AO319" i="3"/>
  <c r="AP319" i="3"/>
  <c r="AQ319" i="3"/>
  <c r="AR319" i="3"/>
  <c r="AO320" i="3"/>
  <c r="AP320" i="3"/>
  <c r="AQ320" i="3"/>
  <c r="AR320" i="3"/>
  <c r="AO321" i="3"/>
  <c r="AP321" i="3"/>
  <c r="AQ321" i="3"/>
  <c r="AR321" i="3"/>
  <c r="AO322" i="3"/>
  <c r="AP322" i="3"/>
  <c r="AQ322" i="3"/>
  <c r="AR322" i="3"/>
  <c r="AO323" i="3"/>
  <c r="AP323" i="3"/>
  <c r="AQ323" i="3"/>
  <c r="AR323" i="3"/>
  <c r="AO324" i="3"/>
  <c r="AP324" i="3"/>
  <c r="AQ324" i="3"/>
  <c r="AR324" i="3"/>
  <c r="AO325" i="3"/>
  <c r="AP325" i="3"/>
  <c r="AQ325" i="3"/>
  <c r="AR325" i="3"/>
  <c r="AO326" i="3"/>
  <c r="AP326" i="3"/>
  <c r="AQ326" i="3"/>
  <c r="AR326" i="3"/>
  <c r="AO327" i="3"/>
  <c r="AP327" i="3"/>
  <c r="AQ327" i="3"/>
  <c r="AR327" i="3"/>
  <c r="AO328" i="3"/>
  <c r="AP328" i="3"/>
  <c r="AQ328" i="3"/>
  <c r="AR328" i="3"/>
  <c r="AO329" i="3"/>
  <c r="AP329" i="3"/>
  <c r="AQ329" i="3"/>
  <c r="AR329" i="3"/>
  <c r="AO330" i="3"/>
  <c r="AP330" i="3"/>
  <c r="AQ330" i="3"/>
  <c r="AR330" i="3"/>
  <c r="AO331" i="3"/>
  <c r="AP331" i="3"/>
  <c r="AQ331" i="3"/>
  <c r="AR331" i="3"/>
  <c r="AO332" i="3"/>
  <c r="AP332" i="3"/>
  <c r="AQ332" i="3"/>
  <c r="AR332" i="3"/>
  <c r="AO333" i="3"/>
  <c r="AP333" i="3"/>
  <c r="AQ333" i="3"/>
  <c r="AR333" i="3"/>
  <c r="AO334" i="3"/>
  <c r="AP334" i="3"/>
  <c r="AQ334" i="3"/>
  <c r="AR334" i="3"/>
  <c r="AO335" i="3"/>
  <c r="AP335" i="3"/>
  <c r="AQ335" i="3"/>
  <c r="AR335" i="3"/>
  <c r="AO336" i="3"/>
  <c r="AP336" i="3"/>
  <c r="AQ336" i="3"/>
  <c r="AR336" i="3"/>
  <c r="AO337" i="3"/>
  <c r="AP337" i="3"/>
  <c r="AQ337" i="3"/>
  <c r="AR337" i="3"/>
  <c r="AO338" i="3"/>
  <c r="AP338" i="3"/>
  <c r="AQ338" i="3"/>
  <c r="AR338" i="3"/>
  <c r="AO339" i="3"/>
  <c r="AP339" i="3"/>
  <c r="AQ339" i="3"/>
  <c r="AR339" i="3"/>
  <c r="AO340" i="3"/>
  <c r="AP340" i="3"/>
  <c r="AQ340" i="3"/>
  <c r="AR340" i="3"/>
  <c r="AO341" i="3"/>
  <c r="AP341" i="3"/>
  <c r="AQ341" i="3"/>
  <c r="AR341" i="3"/>
  <c r="AO342" i="3"/>
  <c r="AP342" i="3"/>
  <c r="AQ342" i="3"/>
  <c r="AR342" i="3"/>
  <c r="AO343" i="3"/>
  <c r="AP343" i="3"/>
  <c r="AQ343" i="3"/>
  <c r="AR343" i="3"/>
  <c r="AO344" i="3"/>
  <c r="AP344" i="3"/>
  <c r="AQ344" i="3"/>
  <c r="AR344" i="3"/>
  <c r="AO345" i="3"/>
  <c r="AP345" i="3"/>
  <c r="AQ345" i="3"/>
  <c r="AR345" i="3"/>
  <c r="AO346" i="3"/>
  <c r="AP346" i="3"/>
  <c r="AQ346" i="3"/>
  <c r="AR346" i="3"/>
  <c r="AO347" i="3"/>
  <c r="AP347" i="3"/>
  <c r="AQ347" i="3"/>
  <c r="AR347" i="3"/>
  <c r="AO348" i="3"/>
  <c r="AP348" i="3"/>
  <c r="AQ348" i="3"/>
  <c r="AR348" i="3"/>
  <c r="AO349" i="3"/>
  <c r="AP349" i="3"/>
  <c r="AQ349" i="3"/>
  <c r="AR349" i="3"/>
  <c r="AO350" i="3"/>
  <c r="AP350" i="3"/>
  <c r="AQ350" i="3"/>
  <c r="AR350" i="3"/>
  <c r="AO351" i="3"/>
  <c r="AP351" i="3"/>
  <c r="AQ351" i="3"/>
  <c r="AR351" i="3"/>
  <c r="AO352" i="3"/>
  <c r="AP352" i="3"/>
  <c r="AQ352" i="3"/>
  <c r="AR352" i="3"/>
  <c r="AO353" i="3"/>
  <c r="AP353" i="3"/>
  <c r="AQ353" i="3"/>
  <c r="AR353" i="3"/>
  <c r="AO354" i="3"/>
  <c r="AP354" i="3"/>
  <c r="AQ354" i="3"/>
  <c r="AR354" i="3"/>
  <c r="AO355" i="3"/>
  <c r="AP355" i="3"/>
  <c r="AQ355" i="3"/>
  <c r="AR355" i="3"/>
  <c r="AO356" i="3"/>
  <c r="AP356" i="3"/>
  <c r="AQ356" i="3"/>
  <c r="AR356" i="3"/>
  <c r="AO357" i="3"/>
  <c r="AP357" i="3"/>
  <c r="AQ357" i="3"/>
  <c r="AR357" i="3"/>
  <c r="AO358" i="3"/>
  <c r="AP358" i="3"/>
  <c r="AQ358" i="3"/>
  <c r="AR358" i="3"/>
  <c r="AO359" i="3"/>
  <c r="AP359" i="3"/>
  <c r="AQ359" i="3"/>
  <c r="AR359" i="3"/>
  <c r="AO360" i="3"/>
  <c r="AP360" i="3"/>
  <c r="AQ360" i="3"/>
  <c r="AR360" i="3"/>
  <c r="AO361" i="3"/>
  <c r="AP361" i="3"/>
  <c r="AQ361" i="3"/>
  <c r="AR361" i="3"/>
  <c r="AO362" i="3"/>
  <c r="AP362" i="3"/>
  <c r="AQ362" i="3"/>
  <c r="AR362" i="3"/>
  <c r="AO363" i="3"/>
  <c r="AP363" i="3"/>
  <c r="AQ363" i="3"/>
  <c r="AR363" i="3"/>
  <c r="AO364" i="3"/>
  <c r="AP364" i="3"/>
  <c r="AQ364" i="3"/>
  <c r="AR364" i="3"/>
  <c r="AO365" i="3"/>
  <c r="AP365" i="3"/>
  <c r="AQ365" i="3"/>
  <c r="AR365" i="3"/>
  <c r="AO366" i="3"/>
  <c r="AP366" i="3"/>
  <c r="AQ366" i="3"/>
  <c r="AR366" i="3"/>
  <c r="AO367" i="3"/>
  <c r="AP367" i="3"/>
  <c r="AQ367" i="3"/>
  <c r="AR367" i="3"/>
  <c r="AO368" i="3"/>
  <c r="AP368" i="3"/>
  <c r="AQ368" i="3"/>
  <c r="AR368" i="3"/>
  <c r="AO369" i="3"/>
  <c r="AP369" i="3"/>
  <c r="AQ369" i="3"/>
  <c r="AR369" i="3"/>
  <c r="AO370" i="3"/>
  <c r="AP370" i="3"/>
  <c r="AQ370" i="3"/>
  <c r="AR370" i="3"/>
  <c r="AO371" i="3"/>
  <c r="AP371" i="3"/>
  <c r="AQ371" i="3"/>
  <c r="AR371" i="3"/>
  <c r="AR2" i="3"/>
  <c r="AQ2" i="3"/>
  <c r="AP2" i="3"/>
  <c r="AO2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P287" i="3"/>
  <c r="P286" i="3"/>
  <c r="P285" i="3"/>
  <c r="P284" i="3"/>
  <c r="P283" i="3"/>
  <c r="P282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AP3" i="1"/>
  <c r="AQ3" i="1"/>
  <c r="AR3" i="1"/>
  <c r="AS3" i="1"/>
  <c r="AP4" i="1"/>
  <c r="AQ4" i="1"/>
  <c r="AR4" i="1"/>
  <c r="AS4" i="1"/>
  <c r="AP5" i="1"/>
  <c r="AQ5" i="1"/>
  <c r="AR5" i="1"/>
  <c r="AS5" i="1"/>
  <c r="AP6" i="1"/>
  <c r="AQ6" i="1"/>
  <c r="AR6" i="1"/>
  <c r="AS6" i="1"/>
  <c r="AP7" i="1"/>
  <c r="AQ7" i="1"/>
  <c r="AR7" i="1"/>
  <c r="AS7" i="1"/>
  <c r="AP8" i="1"/>
  <c r="AQ8" i="1"/>
  <c r="AR8" i="1"/>
  <c r="AS8" i="1"/>
  <c r="AP9" i="1"/>
  <c r="AQ9" i="1"/>
  <c r="AR9" i="1"/>
  <c r="AS9" i="1"/>
  <c r="AP10" i="1"/>
  <c r="AQ10" i="1"/>
  <c r="AR10" i="1"/>
  <c r="AS10" i="1"/>
  <c r="AP11" i="1"/>
  <c r="AQ11" i="1"/>
  <c r="AR11" i="1"/>
  <c r="AS11" i="1"/>
  <c r="AP12" i="1"/>
  <c r="AQ12" i="1"/>
  <c r="AR12" i="1"/>
  <c r="AS12" i="1"/>
  <c r="AP13" i="1"/>
  <c r="AQ13" i="1"/>
  <c r="AR13" i="1"/>
  <c r="AS13" i="1"/>
  <c r="AP14" i="1"/>
  <c r="AQ14" i="1"/>
  <c r="AR14" i="1"/>
  <c r="AS14" i="1"/>
  <c r="AP15" i="1"/>
  <c r="AQ15" i="1"/>
  <c r="AR15" i="1"/>
  <c r="AS15" i="1"/>
  <c r="AP16" i="1"/>
  <c r="AQ16" i="1"/>
  <c r="AR16" i="1"/>
  <c r="AS16" i="1"/>
  <c r="AP17" i="1"/>
  <c r="AQ17" i="1"/>
  <c r="AR17" i="1"/>
  <c r="AS17" i="1"/>
  <c r="AP18" i="1"/>
  <c r="AQ18" i="1"/>
  <c r="AR18" i="1"/>
  <c r="AS18" i="1"/>
  <c r="AP19" i="1"/>
  <c r="AQ19" i="1"/>
  <c r="AR19" i="1"/>
  <c r="AS19" i="1"/>
  <c r="AP20" i="1"/>
  <c r="AQ20" i="1"/>
  <c r="AR20" i="1"/>
  <c r="AS20" i="1"/>
  <c r="AP21" i="1"/>
  <c r="AQ21" i="1"/>
  <c r="AR21" i="1"/>
  <c r="AS21" i="1"/>
  <c r="AP22" i="1"/>
  <c r="AQ22" i="1"/>
  <c r="AR22" i="1"/>
  <c r="AS22" i="1"/>
  <c r="AP23" i="1"/>
  <c r="AQ23" i="1"/>
  <c r="AR23" i="1"/>
  <c r="AS23" i="1"/>
  <c r="AP24" i="1"/>
  <c r="AQ24" i="1"/>
  <c r="AR24" i="1"/>
  <c r="AS24" i="1"/>
  <c r="AP25" i="1"/>
  <c r="AQ25" i="1"/>
  <c r="AR25" i="1"/>
  <c r="AS25" i="1"/>
  <c r="AP26" i="1"/>
  <c r="AQ26" i="1"/>
  <c r="AR26" i="1"/>
  <c r="AS26" i="1"/>
  <c r="AP27" i="1"/>
  <c r="AQ27" i="1"/>
  <c r="AR27" i="1"/>
  <c r="AS27" i="1"/>
  <c r="AP28" i="1"/>
  <c r="AQ28" i="1"/>
  <c r="AR28" i="1"/>
  <c r="AS28" i="1"/>
  <c r="AP29" i="1"/>
  <c r="AQ29" i="1"/>
  <c r="AR29" i="1"/>
  <c r="AS29" i="1"/>
  <c r="AP30" i="1"/>
  <c r="AQ30" i="1"/>
  <c r="AR30" i="1"/>
  <c r="AS30" i="1"/>
  <c r="AP31" i="1"/>
  <c r="AQ31" i="1"/>
  <c r="AR31" i="1"/>
  <c r="AS31" i="1"/>
  <c r="AP32" i="1"/>
  <c r="AQ32" i="1"/>
  <c r="AR32" i="1"/>
  <c r="AS32" i="1"/>
  <c r="AP33" i="1"/>
  <c r="AQ33" i="1"/>
  <c r="AR33" i="1"/>
  <c r="AS33" i="1"/>
  <c r="AP34" i="1"/>
  <c r="AQ34" i="1"/>
  <c r="AR34" i="1"/>
  <c r="AS34" i="1"/>
  <c r="AP35" i="1"/>
  <c r="AQ35" i="1"/>
  <c r="AR35" i="1"/>
  <c r="AS35" i="1"/>
  <c r="AP36" i="1"/>
  <c r="AQ36" i="1"/>
  <c r="AR36" i="1"/>
  <c r="AS36" i="1"/>
  <c r="AP37" i="1"/>
  <c r="AQ37" i="1"/>
  <c r="AR37" i="1"/>
  <c r="AS37" i="1"/>
  <c r="AP38" i="1"/>
  <c r="AQ38" i="1"/>
  <c r="AR38" i="1"/>
  <c r="AS38" i="1"/>
  <c r="AP39" i="1"/>
  <c r="AQ39" i="1"/>
  <c r="AR39" i="1"/>
  <c r="AS39" i="1"/>
  <c r="AP40" i="1"/>
  <c r="AQ40" i="1"/>
  <c r="AR40" i="1"/>
  <c r="AS40" i="1"/>
  <c r="AP41" i="1"/>
  <c r="AQ41" i="1"/>
  <c r="AR41" i="1"/>
  <c r="AS41" i="1"/>
  <c r="AP42" i="1"/>
  <c r="AQ42" i="1"/>
  <c r="AR42" i="1"/>
  <c r="AS42" i="1"/>
  <c r="AP43" i="1"/>
  <c r="AQ43" i="1"/>
  <c r="AR43" i="1"/>
  <c r="AS43" i="1"/>
  <c r="AP44" i="1"/>
  <c r="AQ44" i="1"/>
  <c r="AR44" i="1"/>
  <c r="AS44" i="1"/>
  <c r="AP45" i="1"/>
  <c r="AQ45" i="1"/>
  <c r="AR45" i="1"/>
  <c r="AS45" i="1"/>
  <c r="AP46" i="1"/>
  <c r="AQ46" i="1"/>
  <c r="AR46" i="1"/>
  <c r="AS46" i="1"/>
  <c r="AP47" i="1"/>
  <c r="AQ47" i="1"/>
  <c r="AR47" i="1"/>
  <c r="AS47" i="1"/>
  <c r="AP48" i="1"/>
  <c r="AQ48" i="1"/>
  <c r="AR48" i="1"/>
  <c r="AS48" i="1"/>
  <c r="AP49" i="1"/>
  <c r="AQ49" i="1"/>
  <c r="AR49" i="1"/>
  <c r="AS49" i="1"/>
  <c r="AP50" i="1"/>
  <c r="AQ50" i="1"/>
  <c r="AR50" i="1"/>
  <c r="AS50" i="1"/>
  <c r="AP51" i="1"/>
  <c r="AQ51" i="1"/>
  <c r="AR51" i="1"/>
  <c r="AS51" i="1"/>
  <c r="AP52" i="1"/>
  <c r="AQ52" i="1"/>
  <c r="AR52" i="1"/>
  <c r="AS52" i="1"/>
  <c r="AP53" i="1"/>
  <c r="AQ53" i="1"/>
  <c r="AR53" i="1"/>
  <c r="AS53" i="1"/>
  <c r="AP54" i="1"/>
  <c r="AQ54" i="1"/>
  <c r="AR54" i="1"/>
  <c r="AS54" i="1"/>
  <c r="AP55" i="1"/>
  <c r="AQ55" i="1"/>
  <c r="AR55" i="1"/>
  <c r="AS55" i="1"/>
  <c r="AP56" i="1"/>
  <c r="AQ56" i="1"/>
  <c r="AR56" i="1"/>
  <c r="AS56" i="1"/>
  <c r="AP57" i="1"/>
  <c r="AQ57" i="1"/>
  <c r="AR57" i="1"/>
  <c r="AS57" i="1"/>
  <c r="AP58" i="1"/>
  <c r="AQ58" i="1"/>
  <c r="AR58" i="1"/>
  <c r="AS58" i="1"/>
  <c r="AP59" i="1"/>
  <c r="AQ59" i="1"/>
  <c r="AR59" i="1"/>
  <c r="AS59" i="1"/>
  <c r="AP60" i="1"/>
  <c r="AQ60" i="1"/>
  <c r="AR60" i="1"/>
  <c r="AS60" i="1"/>
  <c r="AP61" i="1"/>
  <c r="AQ61" i="1"/>
  <c r="AR61" i="1"/>
  <c r="AS61" i="1"/>
  <c r="AP62" i="1"/>
  <c r="AQ62" i="1"/>
  <c r="AR62" i="1"/>
  <c r="AS62" i="1"/>
  <c r="AP63" i="1"/>
  <c r="AQ63" i="1"/>
  <c r="AR63" i="1"/>
  <c r="AS63" i="1"/>
  <c r="AP64" i="1"/>
  <c r="AQ64" i="1"/>
  <c r="AR64" i="1"/>
  <c r="AS64" i="1"/>
  <c r="AP65" i="1"/>
  <c r="AQ65" i="1"/>
  <c r="AR65" i="1"/>
  <c r="AS65" i="1"/>
  <c r="AP66" i="1"/>
  <c r="AQ66" i="1"/>
  <c r="AR66" i="1"/>
  <c r="AS66" i="1"/>
  <c r="AP67" i="1"/>
  <c r="AQ67" i="1"/>
  <c r="AR67" i="1"/>
  <c r="AS67" i="1"/>
  <c r="AP68" i="1"/>
  <c r="AQ68" i="1"/>
  <c r="AR68" i="1"/>
  <c r="AS68" i="1"/>
  <c r="AP69" i="1"/>
  <c r="AQ69" i="1"/>
  <c r="AR69" i="1"/>
  <c r="AS69" i="1"/>
  <c r="AP70" i="1"/>
  <c r="AQ70" i="1"/>
  <c r="AR70" i="1"/>
  <c r="AS70" i="1"/>
  <c r="AP71" i="1"/>
  <c r="AQ71" i="1"/>
  <c r="AR71" i="1"/>
  <c r="AS71" i="1"/>
  <c r="AP72" i="1"/>
  <c r="AQ72" i="1"/>
  <c r="AR72" i="1"/>
  <c r="AS72" i="1"/>
  <c r="AP73" i="1"/>
  <c r="AQ73" i="1"/>
  <c r="AR73" i="1"/>
  <c r="AS73" i="1"/>
  <c r="AP74" i="1"/>
  <c r="AQ74" i="1"/>
  <c r="AR74" i="1"/>
  <c r="AS74" i="1"/>
  <c r="AP75" i="1"/>
  <c r="AQ75" i="1"/>
  <c r="AR75" i="1"/>
  <c r="AS75" i="1"/>
  <c r="AP76" i="1"/>
  <c r="AQ76" i="1"/>
  <c r="AR76" i="1"/>
  <c r="AS76" i="1"/>
  <c r="AP77" i="1"/>
  <c r="AQ77" i="1"/>
  <c r="AR77" i="1"/>
  <c r="AS77" i="1"/>
  <c r="AP78" i="1"/>
  <c r="AQ78" i="1"/>
  <c r="AR78" i="1"/>
  <c r="AS78" i="1"/>
  <c r="AP79" i="1"/>
  <c r="AQ79" i="1"/>
  <c r="AR79" i="1"/>
  <c r="AS79" i="1"/>
  <c r="AP80" i="1"/>
  <c r="AQ80" i="1"/>
  <c r="AR80" i="1"/>
  <c r="AS80" i="1"/>
  <c r="AP81" i="1"/>
  <c r="AQ81" i="1"/>
  <c r="AR81" i="1"/>
  <c r="AS81" i="1"/>
  <c r="AP82" i="1"/>
  <c r="AQ82" i="1"/>
  <c r="AR82" i="1"/>
  <c r="AS82" i="1"/>
  <c r="AP83" i="1"/>
  <c r="AQ83" i="1"/>
  <c r="AR83" i="1"/>
  <c r="AS83" i="1"/>
  <c r="AP84" i="1"/>
  <c r="AQ84" i="1"/>
  <c r="AR84" i="1"/>
  <c r="AS84" i="1"/>
  <c r="AP85" i="1"/>
  <c r="AQ85" i="1"/>
  <c r="AR85" i="1"/>
  <c r="AS85" i="1"/>
  <c r="AP86" i="1"/>
  <c r="AQ86" i="1"/>
  <c r="AR86" i="1"/>
  <c r="AS86" i="1"/>
  <c r="AP87" i="1"/>
  <c r="AQ87" i="1"/>
  <c r="AR87" i="1"/>
  <c r="AS87" i="1"/>
  <c r="AP88" i="1"/>
  <c r="AQ88" i="1"/>
  <c r="AR88" i="1"/>
  <c r="AS88" i="1"/>
  <c r="AP89" i="1"/>
  <c r="AQ89" i="1"/>
  <c r="AR89" i="1"/>
  <c r="AS89" i="1"/>
  <c r="AP90" i="1"/>
  <c r="AQ90" i="1"/>
  <c r="AR90" i="1"/>
  <c r="AS90" i="1"/>
  <c r="AP91" i="1"/>
  <c r="AQ91" i="1"/>
  <c r="AR91" i="1"/>
  <c r="AS91" i="1"/>
  <c r="AP92" i="1"/>
  <c r="AQ92" i="1"/>
  <c r="AR92" i="1"/>
  <c r="AS92" i="1"/>
  <c r="AP93" i="1"/>
  <c r="AQ93" i="1"/>
  <c r="AR93" i="1"/>
  <c r="AS93" i="1"/>
  <c r="AP94" i="1"/>
  <c r="AQ94" i="1"/>
  <c r="AR94" i="1"/>
  <c r="AS94" i="1"/>
  <c r="AP95" i="1"/>
  <c r="AQ95" i="1"/>
  <c r="AR95" i="1"/>
  <c r="AS95" i="1"/>
  <c r="AP96" i="1"/>
  <c r="AQ96" i="1"/>
  <c r="AR96" i="1"/>
  <c r="AS96" i="1"/>
  <c r="AP97" i="1"/>
  <c r="AQ97" i="1"/>
  <c r="AR97" i="1"/>
  <c r="AS97" i="1"/>
  <c r="AP98" i="1"/>
  <c r="AQ98" i="1"/>
  <c r="AR98" i="1"/>
  <c r="AS98" i="1"/>
  <c r="AP99" i="1"/>
  <c r="AQ99" i="1"/>
  <c r="AR99" i="1"/>
  <c r="AS99" i="1"/>
  <c r="AP100" i="1"/>
  <c r="AQ100" i="1"/>
  <c r="AR100" i="1"/>
  <c r="AS100" i="1"/>
  <c r="AP101" i="1"/>
  <c r="AQ101" i="1"/>
  <c r="AR101" i="1"/>
  <c r="AS101" i="1"/>
  <c r="AP102" i="1"/>
  <c r="AQ102" i="1"/>
  <c r="AR102" i="1"/>
  <c r="AS102" i="1"/>
  <c r="AP103" i="1"/>
  <c r="AQ103" i="1"/>
  <c r="AR103" i="1"/>
  <c r="AS103" i="1"/>
  <c r="AP104" i="1"/>
  <c r="AQ104" i="1"/>
  <c r="AR104" i="1"/>
  <c r="AS104" i="1"/>
  <c r="AP105" i="1"/>
  <c r="AQ105" i="1"/>
  <c r="AR105" i="1"/>
  <c r="AS105" i="1"/>
  <c r="AP106" i="1"/>
  <c r="AQ106" i="1"/>
  <c r="AR106" i="1"/>
  <c r="AS106" i="1"/>
  <c r="AP107" i="1"/>
  <c r="AQ107" i="1"/>
  <c r="AR107" i="1"/>
  <c r="AS107" i="1"/>
  <c r="AP108" i="1"/>
  <c r="AQ108" i="1"/>
  <c r="AR108" i="1"/>
  <c r="AS108" i="1"/>
  <c r="AP109" i="1"/>
  <c r="AQ109" i="1"/>
  <c r="AR109" i="1"/>
  <c r="AS109" i="1"/>
  <c r="AP110" i="1"/>
  <c r="AQ110" i="1"/>
  <c r="AR110" i="1"/>
  <c r="AS110" i="1"/>
  <c r="AP111" i="1"/>
  <c r="AQ111" i="1"/>
  <c r="AR111" i="1"/>
  <c r="AS111" i="1"/>
  <c r="AP112" i="1"/>
  <c r="AQ112" i="1"/>
  <c r="AR112" i="1"/>
  <c r="AS112" i="1"/>
  <c r="AP113" i="1"/>
  <c r="AQ113" i="1"/>
  <c r="AR113" i="1"/>
  <c r="AS113" i="1"/>
  <c r="AP114" i="1"/>
  <c r="AQ114" i="1"/>
  <c r="AR114" i="1"/>
  <c r="AS114" i="1"/>
  <c r="AP115" i="1"/>
  <c r="AQ115" i="1"/>
  <c r="AR115" i="1"/>
  <c r="AS115" i="1"/>
  <c r="AP116" i="1"/>
  <c r="AQ116" i="1"/>
  <c r="AR116" i="1"/>
  <c r="AS116" i="1"/>
  <c r="AP117" i="1"/>
  <c r="AQ117" i="1"/>
  <c r="AR117" i="1"/>
  <c r="AS117" i="1"/>
  <c r="AP118" i="1"/>
  <c r="AQ118" i="1"/>
  <c r="AR118" i="1"/>
  <c r="AS118" i="1"/>
  <c r="AP119" i="1"/>
  <c r="AQ119" i="1"/>
  <c r="AR119" i="1"/>
  <c r="AS119" i="1"/>
  <c r="AP120" i="1"/>
  <c r="AQ120" i="1"/>
  <c r="AR120" i="1"/>
  <c r="AS120" i="1"/>
  <c r="AP121" i="1"/>
  <c r="AQ121" i="1"/>
  <c r="AR121" i="1"/>
  <c r="AS121" i="1"/>
  <c r="AP122" i="1"/>
  <c r="AQ122" i="1"/>
  <c r="AR122" i="1"/>
  <c r="AS122" i="1"/>
  <c r="AP123" i="1"/>
  <c r="AQ123" i="1"/>
  <c r="AR123" i="1"/>
  <c r="AS123" i="1"/>
  <c r="AP124" i="1"/>
  <c r="AQ124" i="1"/>
  <c r="AR124" i="1"/>
  <c r="AS124" i="1"/>
  <c r="AP125" i="1"/>
  <c r="AQ125" i="1"/>
  <c r="AR125" i="1"/>
  <c r="AS125" i="1"/>
  <c r="AP126" i="1"/>
  <c r="AQ126" i="1"/>
  <c r="AR126" i="1"/>
  <c r="AS126" i="1"/>
  <c r="AP127" i="1"/>
  <c r="AQ127" i="1"/>
  <c r="AR127" i="1"/>
  <c r="AS127" i="1"/>
  <c r="AP128" i="1"/>
  <c r="AQ128" i="1"/>
  <c r="AR128" i="1"/>
  <c r="AS128" i="1"/>
  <c r="AP129" i="1"/>
  <c r="AQ129" i="1"/>
  <c r="AR129" i="1"/>
  <c r="AS129" i="1"/>
  <c r="AP130" i="1"/>
  <c r="AQ130" i="1"/>
  <c r="AR130" i="1"/>
  <c r="AS130" i="1"/>
  <c r="AP131" i="1"/>
  <c r="AQ131" i="1"/>
  <c r="AR131" i="1"/>
  <c r="AS131" i="1"/>
  <c r="AP132" i="1"/>
  <c r="AQ132" i="1"/>
  <c r="AR132" i="1"/>
  <c r="AS132" i="1"/>
  <c r="AP133" i="1"/>
  <c r="AQ133" i="1"/>
  <c r="AR133" i="1"/>
  <c r="AS133" i="1"/>
  <c r="AP134" i="1"/>
  <c r="AQ134" i="1"/>
  <c r="AR134" i="1"/>
  <c r="AS134" i="1"/>
  <c r="AP135" i="1"/>
  <c r="AQ135" i="1"/>
  <c r="AR135" i="1"/>
  <c r="AS135" i="1"/>
  <c r="AP136" i="1"/>
  <c r="AQ136" i="1"/>
  <c r="AR136" i="1"/>
  <c r="AS136" i="1"/>
  <c r="AP137" i="1"/>
  <c r="AQ137" i="1"/>
  <c r="AR137" i="1"/>
  <c r="AS137" i="1"/>
  <c r="AP138" i="1"/>
  <c r="AQ138" i="1"/>
  <c r="AR138" i="1"/>
  <c r="AS138" i="1"/>
  <c r="AP139" i="1"/>
  <c r="AQ139" i="1"/>
  <c r="AR139" i="1"/>
  <c r="AS139" i="1"/>
  <c r="AP140" i="1"/>
  <c r="AQ140" i="1"/>
  <c r="AR140" i="1"/>
  <c r="AS140" i="1"/>
  <c r="AP141" i="1"/>
  <c r="AQ141" i="1"/>
  <c r="AR141" i="1"/>
  <c r="AS141" i="1"/>
  <c r="AP142" i="1"/>
  <c r="AQ142" i="1"/>
  <c r="AR142" i="1"/>
  <c r="AS142" i="1"/>
  <c r="AP143" i="1"/>
  <c r="AQ143" i="1"/>
  <c r="AR143" i="1"/>
  <c r="AS143" i="1"/>
  <c r="AP144" i="1"/>
  <c r="AQ144" i="1"/>
  <c r="AR144" i="1"/>
  <c r="AS144" i="1"/>
  <c r="AP145" i="1"/>
  <c r="AQ145" i="1"/>
  <c r="AR145" i="1"/>
  <c r="AS145" i="1"/>
  <c r="AP146" i="1"/>
  <c r="AQ146" i="1"/>
  <c r="AR146" i="1"/>
  <c r="AS146" i="1"/>
  <c r="AP147" i="1"/>
  <c r="AQ147" i="1"/>
  <c r="AR147" i="1"/>
  <c r="AS147" i="1"/>
  <c r="AP148" i="1"/>
  <c r="AQ148" i="1"/>
  <c r="AR148" i="1"/>
  <c r="AS148" i="1"/>
  <c r="AP149" i="1"/>
  <c r="AQ149" i="1"/>
  <c r="AR149" i="1"/>
  <c r="AS149" i="1"/>
  <c r="AP150" i="1"/>
  <c r="AQ150" i="1"/>
  <c r="AR150" i="1"/>
  <c r="AS150" i="1"/>
  <c r="AP151" i="1"/>
  <c r="AQ151" i="1"/>
  <c r="AR151" i="1"/>
  <c r="AS151" i="1"/>
  <c r="AP152" i="1"/>
  <c r="AQ152" i="1"/>
  <c r="AR152" i="1"/>
  <c r="AS152" i="1"/>
  <c r="AP153" i="1"/>
  <c r="AQ153" i="1"/>
  <c r="AR153" i="1"/>
  <c r="AS153" i="1"/>
  <c r="AP154" i="1"/>
  <c r="AQ154" i="1"/>
  <c r="AR154" i="1"/>
  <c r="AS154" i="1"/>
  <c r="AP155" i="1"/>
  <c r="AQ155" i="1"/>
  <c r="AR155" i="1"/>
  <c r="AS155" i="1"/>
  <c r="AP156" i="1"/>
  <c r="AQ156" i="1"/>
  <c r="AR156" i="1"/>
  <c r="AS156" i="1"/>
  <c r="AP157" i="1"/>
  <c r="AQ157" i="1"/>
  <c r="AR157" i="1"/>
  <c r="AS157" i="1"/>
  <c r="AP158" i="1"/>
  <c r="AQ158" i="1"/>
  <c r="AR158" i="1"/>
  <c r="AS158" i="1"/>
  <c r="AP159" i="1"/>
  <c r="AQ159" i="1"/>
  <c r="AR159" i="1"/>
  <c r="AS159" i="1"/>
  <c r="AP160" i="1"/>
  <c r="AQ160" i="1"/>
  <c r="AR160" i="1"/>
  <c r="AS160" i="1"/>
  <c r="AP161" i="1"/>
  <c r="AQ161" i="1"/>
  <c r="AR161" i="1"/>
  <c r="AS161" i="1"/>
  <c r="AP162" i="1"/>
  <c r="AQ162" i="1"/>
  <c r="AR162" i="1"/>
  <c r="AS162" i="1"/>
  <c r="AP163" i="1"/>
  <c r="AQ163" i="1"/>
  <c r="AR163" i="1"/>
  <c r="AS163" i="1"/>
  <c r="AP164" i="1"/>
  <c r="AQ164" i="1"/>
  <c r="AR164" i="1"/>
  <c r="AS164" i="1"/>
  <c r="AP165" i="1"/>
  <c r="AQ165" i="1"/>
  <c r="AR165" i="1"/>
  <c r="AS165" i="1"/>
  <c r="AP166" i="1"/>
  <c r="AQ166" i="1"/>
  <c r="AR166" i="1"/>
  <c r="AS166" i="1"/>
  <c r="AP167" i="1"/>
  <c r="AQ167" i="1"/>
  <c r="AR167" i="1"/>
  <c r="AS167" i="1"/>
  <c r="AP168" i="1"/>
  <c r="AQ168" i="1"/>
  <c r="AR168" i="1"/>
  <c r="AS168" i="1"/>
  <c r="AP169" i="1"/>
  <c r="AQ169" i="1"/>
  <c r="AR169" i="1"/>
  <c r="AS169" i="1"/>
  <c r="AP170" i="1"/>
  <c r="AQ170" i="1"/>
  <c r="AR170" i="1"/>
  <c r="AS170" i="1"/>
  <c r="AP171" i="1"/>
  <c r="AQ171" i="1"/>
  <c r="AR171" i="1"/>
  <c r="AS171" i="1"/>
  <c r="AP172" i="1"/>
  <c r="AQ172" i="1"/>
  <c r="AR172" i="1"/>
  <c r="AS172" i="1"/>
  <c r="AP173" i="1"/>
  <c r="AQ173" i="1"/>
  <c r="AR173" i="1"/>
  <c r="AS173" i="1"/>
  <c r="AP174" i="1"/>
  <c r="AQ174" i="1"/>
  <c r="AR174" i="1"/>
  <c r="AS174" i="1"/>
  <c r="AP175" i="1"/>
  <c r="AQ175" i="1"/>
  <c r="AR175" i="1"/>
  <c r="AS175" i="1"/>
  <c r="AP176" i="1"/>
  <c r="AQ176" i="1"/>
  <c r="AR176" i="1"/>
  <c r="AS176" i="1"/>
  <c r="AP177" i="1"/>
  <c r="AQ177" i="1"/>
  <c r="AR177" i="1"/>
  <c r="AS177" i="1"/>
  <c r="AP178" i="1"/>
  <c r="AQ178" i="1"/>
  <c r="AR178" i="1"/>
  <c r="AS178" i="1"/>
  <c r="AP179" i="1"/>
  <c r="AQ179" i="1"/>
  <c r="AR179" i="1"/>
  <c r="AS179" i="1"/>
  <c r="AP180" i="1"/>
  <c r="AQ180" i="1"/>
  <c r="AR180" i="1"/>
  <c r="AS180" i="1"/>
  <c r="AP181" i="1"/>
  <c r="AQ181" i="1"/>
  <c r="AR181" i="1"/>
  <c r="AS181" i="1"/>
  <c r="AP182" i="1"/>
  <c r="AQ182" i="1"/>
  <c r="AR182" i="1"/>
  <c r="AS182" i="1"/>
  <c r="AP183" i="1"/>
  <c r="AQ183" i="1"/>
  <c r="AR183" i="1"/>
  <c r="AS183" i="1"/>
  <c r="AP184" i="1"/>
  <c r="AQ184" i="1"/>
  <c r="AR184" i="1"/>
  <c r="AS184" i="1"/>
  <c r="AP185" i="1"/>
  <c r="AQ185" i="1"/>
  <c r="AR185" i="1"/>
  <c r="AS185" i="1"/>
  <c r="AP186" i="1"/>
  <c r="AQ186" i="1"/>
  <c r="AR186" i="1"/>
  <c r="AS186" i="1"/>
  <c r="AP187" i="1"/>
  <c r="AQ187" i="1"/>
  <c r="AR187" i="1"/>
  <c r="AS187" i="1"/>
  <c r="AP188" i="1"/>
  <c r="AQ188" i="1"/>
  <c r="AR188" i="1"/>
  <c r="AS188" i="1"/>
  <c r="AP189" i="1"/>
  <c r="AQ189" i="1"/>
  <c r="AR189" i="1"/>
  <c r="AS189" i="1"/>
  <c r="AP190" i="1"/>
  <c r="AQ190" i="1"/>
  <c r="AR190" i="1"/>
  <c r="AS190" i="1"/>
  <c r="AP191" i="1"/>
  <c r="AQ191" i="1"/>
  <c r="AR191" i="1"/>
  <c r="AS191" i="1"/>
  <c r="AP192" i="1"/>
  <c r="AQ192" i="1"/>
  <c r="AR192" i="1"/>
  <c r="AS192" i="1"/>
  <c r="AP193" i="1"/>
  <c r="AQ193" i="1"/>
  <c r="AR193" i="1"/>
  <c r="AS193" i="1"/>
  <c r="AP194" i="1"/>
  <c r="AQ194" i="1"/>
  <c r="AR194" i="1"/>
  <c r="AS194" i="1"/>
  <c r="AP195" i="1"/>
  <c r="AQ195" i="1"/>
  <c r="AR195" i="1"/>
  <c r="AS195" i="1"/>
  <c r="AP196" i="1"/>
  <c r="AQ196" i="1"/>
  <c r="AR196" i="1"/>
  <c r="AS196" i="1"/>
  <c r="AP197" i="1"/>
  <c r="AQ197" i="1"/>
  <c r="AR197" i="1"/>
  <c r="AS197" i="1"/>
  <c r="AP198" i="1"/>
  <c r="AQ198" i="1"/>
  <c r="AR198" i="1"/>
  <c r="AS198" i="1"/>
  <c r="AP199" i="1"/>
  <c r="AQ199" i="1"/>
  <c r="AR199" i="1"/>
  <c r="AS199" i="1"/>
  <c r="AP200" i="1"/>
  <c r="AQ200" i="1"/>
  <c r="AR200" i="1"/>
  <c r="AS200" i="1"/>
  <c r="AP201" i="1"/>
  <c r="AQ201" i="1"/>
  <c r="AR201" i="1"/>
  <c r="AS201" i="1"/>
  <c r="AP202" i="1"/>
  <c r="AQ202" i="1"/>
  <c r="AR202" i="1"/>
  <c r="AS202" i="1"/>
  <c r="AP203" i="1"/>
  <c r="AQ203" i="1"/>
  <c r="AR203" i="1"/>
  <c r="AS203" i="1"/>
  <c r="AP204" i="1"/>
  <c r="AQ204" i="1"/>
  <c r="AR204" i="1"/>
  <c r="AS204" i="1"/>
  <c r="AP205" i="1"/>
  <c r="AQ205" i="1"/>
  <c r="AR205" i="1"/>
  <c r="AS205" i="1"/>
  <c r="AP206" i="1"/>
  <c r="AQ206" i="1"/>
  <c r="AR206" i="1"/>
  <c r="AS206" i="1"/>
  <c r="AP207" i="1"/>
  <c r="AQ207" i="1"/>
  <c r="AR207" i="1"/>
  <c r="AS207" i="1"/>
  <c r="AP208" i="1"/>
  <c r="AQ208" i="1"/>
  <c r="AR208" i="1"/>
  <c r="AS208" i="1"/>
  <c r="AP209" i="1"/>
  <c r="AQ209" i="1"/>
  <c r="AR209" i="1"/>
  <c r="AS209" i="1"/>
  <c r="AP210" i="1"/>
  <c r="AQ210" i="1"/>
  <c r="AR210" i="1"/>
  <c r="AS210" i="1"/>
  <c r="AP211" i="1"/>
  <c r="AQ211" i="1"/>
  <c r="AR211" i="1"/>
  <c r="AS211" i="1"/>
  <c r="AP212" i="1"/>
  <c r="AQ212" i="1"/>
  <c r="AR212" i="1"/>
  <c r="AS212" i="1"/>
  <c r="AP213" i="1"/>
  <c r="AQ213" i="1"/>
  <c r="AR213" i="1"/>
  <c r="AS213" i="1"/>
  <c r="AP214" i="1"/>
  <c r="AQ214" i="1"/>
  <c r="AR214" i="1"/>
  <c r="AS214" i="1"/>
  <c r="AP215" i="1"/>
  <c r="AQ215" i="1"/>
  <c r="AR215" i="1"/>
  <c r="AS215" i="1"/>
  <c r="AP216" i="1"/>
  <c r="AQ216" i="1"/>
  <c r="AR216" i="1"/>
  <c r="AS216" i="1"/>
  <c r="AP217" i="1"/>
  <c r="AQ217" i="1"/>
  <c r="AR217" i="1"/>
  <c r="AS217" i="1"/>
  <c r="AP218" i="1"/>
  <c r="AQ218" i="1"/>
  <c r="AR218" i="1"/>
  <c r="AS218" i="1"/>
  <c r="AP219" i="1"/>
  <c r="AQ219" i="1"/>
  <c r="AR219" i="1"/>
  <c r="AS219" i="1"/>
  <c r="AP220" i="1"/>
  <c r="AQ220" i="1"/>
  <c r="AR220" i="1"/>
  <c r="AS220" i="1"/>
  <c r="AP221" i="1"/>
  <c r="AQ221" i="1"/>
  <c r="AR221" i="1"/>
  <c r="AS221" i="1"/>
  <c r="AP222" i="1"/>
  <c r="AQ222" i="1"/>
  <c r="AR222" i="1"/>
  <c r="AS222" i="1"/>
  <c r="AP223" i="1"/>
  <c r="AQ223" i="1"/>
  <c r="AR223" i="1"/>
  <c r="AS223" i="1"/>
  <c r="AP224" i="1"/>
  <c r="AQ224" i="1"/>
  <c r="AR224" i="1"/>
  <c r="AS224" i="1"/>
  <c r="AP225" i="1"/>
  <c r="AQ225" i="1"/>
  <c r="AR225" i="1"/>
  <c r="AS225" i="1"/>
  <c r="AP226" i="1"/>
  <c r="AQ226" i="1"/>
  <c r="AR226" i="1"/>
  <c r="AS226" i="1"/>
  <c r="AP227" i="1"/>
  <c r="AQ227" i="1"/>
  <c r="AR227" i="1"/>
  <c r="AS227" i="1"/>
  <c r="AP228" i="1"/>
  <c r="AQ228" i="1"/>
  <c r="AR228" i="1"/>
  <c r="AS228" i="1"/>
  <c r="AP229" i="1"/>
  <c r="AQ229" i="1"/>
  <c r="AR229" i="1"/>
  <c r="AS229" i="1"/>
  <c r="AP230" i="1"/>
  <c r="AQ230" i="1"/>
  <c r="AR230" i="1"/>
  <c r="AS230" i="1"/>
  <c r="AP231" i="1"/>
  <c r="AQ231" i="1"/>
  <c r="AR231" i="1"/>
  <c r="AS231" i="1"/>
  <c r="AP232" i="1"/>
  <c r="AQ232" i="1"/>
  <c r="AR232" i="1"/>
  <c r="AS232" i="1"/>
  <c r="AP233" i="1"/>
  <c r="AQ233" i="1"/>
  <c r="AR233" i="1"/>
  <c r="AS233" i="1"/>
  <c r="AP234" i="1"/>
  <c r="AQ234" i="1"/>
  <c r="AR234" i="1"/>
  <c r="AS234" i="1"/>
  <c r="AP235" i="1"/>
  <c r="AQ235" i="1"/>
  <c r="AR235" i="1"/>
  <c r="AS235" i="1"/>
  <c r="AP236" i="1"/>
  <c r="AQ236" i="1"/>
  <c r="AR236" i="1"/>
  <c r="AS236" i="1"/>
  <c r="AP237" i="1"/>
  <c r="AQ237" i="1"/>
  <c r="AR237" i="1"/>
  <c r="AS237" i="1"/>
  <c r="AP238" i="1"/>
  <c r="AQ238" i="1"/>
  <c r="AR238" i="1"/>
  <c r="AS238" i="1"/>
  <c r="AP239" i="1"/>
  <c r="AQ239" i="1"/>
  <c r="AR239" i="1"/>
  <c r="AS239" i="1"/>
  <c r="AP240" i="1"/>
  <c r="AQ240" i="1"/>
  <c r="AR240" i="1"/>
  <c r="AS240" i="1"/>
  <c r="AP241" i="1"/>
  <c r="AQ241" i="1"/>
  <c r="AR241" i="1"/>
  <c r="AS241" i="1"/>
  <c r="AP242" i="1"/>
  <c r="AQ242" i="1"/>
  <c r="AR242" i="1"/>
  <c r="AS242" i="1"/>
  <c r="AP243" i="1"/>
  <c r="AQ243" i="1"/>
  <c r="AR243" i="1"/>
  <c r="AS243" i="1"/>
  <c r="AP244" i="1"/>
  <c r="AQ244" i="1"/>
  <c r="AR244" i="1"/>
  <c r="AS244" i="1"/>
  <c r="AP245" i="1"/>
  <c r="AQ245" i="1"/>
  <c r="AR245" i="1"/>
  <c r="AS245" i="1"/>
  <c r="AP246" i="1"/>
  <c r="AQ246" i="1"/>
  <c r="AR246" i="1"/>
  <c r="AS246" i="1"/>
  <c r="AP247" i="1"/>
  <c r="AQ247" i="1"/>
  <c r="AR247" i="1"/>
  <c r="AS247" i="1"/>
  <c r="AP248" i="1"/>
  <c r="AQ248" i="1"/>
  <c r="AR248" i="1"/>
  <c r="AS248" i="1"/>
  <c r="AP249" i="1"/>
  <c r="AQ249" i="1"/>
  <c r="AR249" i="1"/>
  <c r="AS249" i="1"/>
  <c r="AP250" i="1"/>
  <c r="AQ250" i="1"/>
  <c r="AR250" i="1"/>
  <c r="AS250" i="1"/>
  <c r="AP251" i="1"/>
  <c r="AQ251" i="1"/>
  <c r="AR251" i="1"/>
  <c r="AS251" i="1"/>
  <c r="AP252" i="1"/>
  <c r="AQ252" i="1"/>
  <c r="AR252" i="1"/>
  <c r="AS252" i="1"/>
  <c r="AP253" i="1"/>
  <c r="AQ253" i="1"/>
  <c r="AR253" i="1"/>
  <c r="AS253" i="1"/>
  <c r="AP254" i="1"/>
  <c r="AQ254" i="1"/>
  <c r="AR254" i="1"/>
  <c r="AS254" i="1"/>
  <c r="AP255" i="1"/>
  <c r="AQ255" i="1"/>
  <c r="AR255" i="1"/>
  <c r="AS255" i="1"/>
  <c r="AP256" i="1"/>
  <c r="AQ256" i="1"/>
  <c r="AR256" i="1"/>
  <c r="AS256" i="1"/>
  <c r="AP257" i="1"/>
  <c r="AQ257" i="1"/>
  <c r="AR257" i="1"/>
  <c r="AS257" i="1"/>
  <c r="AP258" i="1"/>
  <c r="AQ258" i="1"/>
  <c r="AR258" i="1"/>
  <c r="AS258" i="1"/>
  <c r="AP259" i="1"/>
  <c r="AQ259" i="1"/>
  <c r="AR259" i="1"/>
  <c r="AS259" i="1"/>
  <c r="AP260" i="1"/>
  <c r="AQ260" i="1"/>
  <c r="AR260" i="1"/>
  <c r="AS260" i="1"/>
  <c r="AP261" i="1"/>
  <c r="AQ261" i="1"/>
  <c r="AR261" i="1"/>
  <c r="AS261" i="1"/>
  <c r="AP262" i="1"/>
  <c r="AQ262" i="1"/>
  <c r="AR262" i="1"/>
  <c r="AS262" i="1"/>
  <c r="AP263" i="1"/>
  <c r="AQ263" i="1"/>
  <c r="AR263" i="1"/>
  <c r="AS263" i="1"/>
  <c r="AP264" i="1"/>
  <c r="AQ264" i="1"/>
  <c r="AR264" i="1"/>
  <c r="AS264" i="1"/>
  <c r="AP265" i="1"/>
  <c r="AQ265" i="1"/>
  <c r="AR265" i="1"/>
  <c r="AS265" i="1"/>
  <c r="AP266" i="1"/>
  <c r="AQ266" i="1"/>
  <c r="AR266" i="1"/>
  <c r="AS266" i="1"/>
  <c r="AP267" i="1"/>
  <c r="AQ267" i="1"/>
  <c r="AR267" i="1"/>
  <c r="AS267" i="1"/>
  <c r="AP268" i="1"/>
  <c r="AQ268" i="1"/>
  <c r="AR268" i="1"/>
  <c r="AS268" i="1"/>
  <c r="AP269" i="1"/>
  <c r="AQ269" i="1"/>
  <c r="AR269" i="1"/>
  <c r="AS269" i="1"/>
  <c r="AP270" i="1"/>
  <c r="AQ270" i="1"/>
  <c r="AR270" i="1"/>
  <c r="AS270" i="1"/>
  <c r="AP271" i="1"/>
  <c r="AQ271" i="1"/>
  <c r="AR271" i="1"/>
  <c r="AS271" i="1"/>
  <c r="AP272" i="1"/>
  <c r="AQ272" i="1"/>
  <c r="AR272" i="1"/>
  <c r="AS272" i="1"/>
  <c r="AP273" i="1"/>
  <c r="AQ273" i="1"/>
  <c r="AR273" i="1"/>
  <c r="AS273" i="1"/>
  <c r="AP274" i="1"/>
  <c r="AQ274" i="1"/>
  <c r="AR274" i="1"/>
  <c r="AS274" i="1"/>
  <c r="AP275" i="1"/>
  <c r="AQ275" i="1"/>
  <c r="AR275" i="1"/>
  <c r="AS275" i="1"/>
  <c r="AP276" i="1"/>
  <c r="AQ276" i="1"/>
  <c r="AR276" i="1"/>
  <c r="AS276" i="1"/>
  <c r="AP277" i="1"/>
  <c r="AQ277" i="1"/>
  <c r="AR277" i="1"/>
  <c r="AS277" i="1"/>
  <c r="AP278" i="1"/>
  <c r="AQ278" i="1"/>
  <c r="AR278" i="1"/>
  <c r="AS278" i="1"/>
  <c r="AP279" i="1"/>
  <c r="AQ279" i="1"/>
  <c r="AR279" i="1"/>
  <c r="AS279" i="1"/>
  <c r="AP280" i="1"/>
  <c r="AQ280" i="1"/>
  <c r="AR280" i="1"/>
  <c r="AS280" i="1"/>
  <c r="AP281" i="1"/>
  <c r="AQ281" i="1"/>
  <c r="AR281" i="1"/>
  <c r="AS281" i="1"/>
  <c r="AP282" i="1"/>
  <c r="AQ282" i="1"/>
  <c r="AR282" i="1"/>
  <c r="AS282" i="1"/>
  <c r="AP283" i="1"/>
  <c r="AQ283" i="1"/>
  <c r="AR283" i="1"/>
  <c r="AS283" i="1"/>
  <c r="AP284" i="1"/>
  <c r="AQ284" i="1"/>
  <c r="AR284" i="1"/>
  <c r="AS284" i="1"/>
  <c r="AP285" i="1"/>
  <c r="AQ285" i="1"/>
  <c r="AR285" i="1"/>
  <c r="AS285" i="1"/>
  <c r="AP286" i="1"/>
  <c r="AQ286" i="1"/>
  <c r="AR286" i="1"/>
  <c r="AS286" i="1"/>
  <c r="AP287" i="1"/>
  <c r="AQ287" i="1"/>
  <c r="AR287" i="1"/>
  <c r="AS287" i="1"/>
  <c r="AP288" i="1"/>
  <c r="AQ288" i="1"/>
  <c r="AR288" i="1"/>
  <c r="AS288" i="1"/>
  <c r="AP289" i="1"/>
  <c r="AQ289" i="1"/>
  <c r="AR289" i="1"/>
  <c r="AS289" i="1"/>
  <c r="AP290" i="1"/>
  <c r="AQ290" i="1"/>
  <c r="AR290" i="1"/>
  <c r="AS290" i="1"/>
  <c r="AP291" i="1"/>
  <c r="AQ291" i="1"/>
  <c r="AR291" i="1"/>
  <c r="AS291" i="1"/>
  <c r="AP292" i="1"/>
  <c r="AQ292" i="1"/>
  <c r="AR292" i="1"/>
  <c r="AS292" i="1"/>
  <c r="AP293" i="1"/>
  <c r="AQ293" i="1"/>
  <c r="AR293" i="1"/>
  <c r="AS293" i="1"/>
  <c r="AP294" i="1"/>
  <c r="AQ294" i="1"/>
  <c r="AR294" i="1"/>
  <c r="AS294" i="1"/>
  <c r="AP295" i="1"/>
  <c r="AQ295" i="1"/>
  <c r="AR295" i="1"/>
  <c r="AS295" i="1"/>
  <c r="AP296" i="1"/>
  <c r="AQ296" i="1"/>
  <c r="AR296" i="1"/>
  <c r="AS296" i="1"/>
  <c r="AP297" i="1"/>
  <c r="AQ297" i="1"/>
  <c r="AR297" i="1"/>
  <c r="AS297" i="1"/>
  <c r="AP298" i="1"/>
  <c r="AQ298" i="1"/>
  <c r="AR298" i="1"/>
  <c r="AS298" i="1"/>
  <c r="AP299" i="1"/>
  <c r="AQ299" i="1"/>
  <c r="AR299" i="1"/>
  <c r="AS299" i="1"/>
  <c r="AP300" i="1"/>
  <c r="AQ300" i="1"/>
  <c r="AR300" i="1"/>
  <c r="AS300" i="1"/>
  <c r="AP301" i="1"/>
  <c r="AQ301" i="1"/>
  <c r="AR301" i="1"/>
  <c r="AS301" i="1"/>
  <c r="AP302" i="1"/>
  <c r="AQ302" i="1"/>
  <c r="AR302" i="1"/>
  <c r="AS302" i="1"/>
  <c r="AP303" i="1"/>
  <c r="AQ303" i="1"/>
  <c r="AR303" i="1"/>
  <c r="AS303" i="1"/>
  <c r="AP304" i="1"/>
  <c r="AQ304" i="1"/>
  <c r="AR304" i="1"/>
  <c r="AS304" i="1"/>
  <c r="AP305" i="1"/>
  <c r="AQ305" i="1"/>
  <c r="AR305" i="1"/>
  <c r="AS305" i="1"/>
  <c r="AP306" i="1"/>
  <c r="AQ306" i="1"/>
  <c r="AR306" i="1"/>
  <c r="AS306" i="1"/>
  <c r="AP307" i="1"/>
  <c r="AQ307" i="1"/>
  <c r="AR307" i="1"/>
  <c r="AS307" i="1"/>
  <c r="AP308" i="1"/>
  <c r="AQ308" i="1"/>
  <c r="AR308" i="1"/>
  <c r="AS308" i="1"/>
  <c r="AP309" i="1"/>
  <c r="AQ309" i="1"/>
  <c r="AR309" i="1"/>
  <c r="AS309" i="1"/>
  <c r="AP310" i="1"/>
  <c r="AQ310" i="1"/>
  <c r="AR310" i="1"/>
  <c r="AS310" i="1"/>
  <c r="AP311" i="1"/>
  <c r="AQ311" i="1"/>
  <c r="AR311" i="1"/>
  <c r="AS311" i="1"/>
  <c r="AP312" i="1"/>
  <c r="AQ312" i="1"/>
  <c r="AR312" i="1"/>
  <c r="AS312" i="1"/>
  <c r="AP313" i="1"/>
  <c r="AQ313" i="1"/>
  <c r="AR313" i="1"/>
  <c r="AS313" i="1"/>
  <c r="AP314" i="1"/>
  <c r="AQ314" i="1"/>
  <c r="AR314" i="1"/>
  <c r="AS314" i="1"/>
  <c r="AP315" i="1"/>
  <c r="AQ315" i="1"/>
  <c r="AR315" i="1"/>
  <c r="AS315" i="1"/>
  <c r="AP316" i="1"/>
  <c r="AQ316" i="1"/>
  <c r="AR316" i="1"/>
  <c r="AS316" i="1"/>
  <c r="AP317" i="1"/>
  <c r="AQ317" i="1"/>
  <c r="AR317" i="1"/>
  <c r="AS317" i="1"/>
  <c r="AP318" i="1"/>
  <c r="AQ318" i="1"/>
  <c r="AR318" i="1"/>
  <c r="AS318" i="1"/>
  <c r="AP319" i="1"/>
  <c r="AQ319" i="1"/>
  <c r="AR319" i="1"/>
  <c r="AS319" i="1"/>
  <c r="AP320" i="1"/>
  <c r="AQ320" i="1"/>
  <c r="AR320" i="1"/>
  <c r="AS320" i="1"/>
  <c r="AP321" i="1"/>
  <c r="AQ321" i="1"/>
  <c r="AR321" i="1"/>
  <c r="AS321" i="1"/>
  <c r="AP322" i="1"/>
  <c r="AQ322" i="1"/>
  <c r="AR322" i="1"/>
  <c r="AS322" i="1"/>
  <c r="AP323" i="1"/>
  <c r="AQ323" i="1"/>
  <c r="AR323" i="1"/>
  <c r="AS323" i="1"/>
  <c r="AP324" i="1"/>
  <c r="AQ324" i="1"/>
  <c r="AR324" i="1"/>
  <c r="AS324" i="1"/>
  <c r="AP325" i="1"/>
  <c r="AQ325" i="1"/>
  <c r="AR325" i="1"/>
  <c r="AS325" i="1"/>
  <c r="AP326" i="1"/>
  <c r="AQ326" i="1"/>
  <c r="AR326" i="1"/>
  <c r="AS326" i="1"/>
  <c r="AP327" i="1"/>
  <c r="AQ327" i="1"/>
  <c r="AR327" i="1"/>
  <c r="AS327" i="1"/>
  <c r="AP328" i="1"/>
  <c r="AQ328" i="1"/>
  <c r="AR328" i="1"/>
  <c r="AS328" i="1"/>
  <c r="AP329" i="1"/>
  <c r="AQ329" i="1"/>
  <c r="AR329" i="1"/>
  <c r="AS329" i="1"/>
  <c r="AP330" i="1"/>
  <c r="AQ330" i="1"/>
  <c r="AR330" i="1"/>
  <c r="AS330" i="1"/>
  <c r="AP331" i="1"/>
  <c r="AQ331" i="1"/>
  <c r="AR331" i="1"/>
  <c r="AS331" i="1"/>
  <c r="AP332" i="1"/>
  <c r="AQ332" i="1"/>
  <c r="AR332" i="1"/>
  <c r="AS332" i="1"/>
  <c r="AP333" i="1"/>
  <c r="AQ333" i="1"/>
  <c r="AR333" i="1"/>
  <c r="AS333" i="1"/>
  <c r="AP334" i="1"/>
  <c r="AQ334" i="1"/>
  <c r="AR334" i="1"/>
  <c r="AS334" i="1"/>
  <c r="AP335" i="1"/>
  <c r="AQ335" i="1"/>
  <c r="AR335" i="1"/>
  <c r="AS335" i="1"/>
  <c r="AP336" i="1"/>
  <c r="AQ336" i="1"/>
  <c r="AR336" i="1"/>
  <c r="AS336" i="1"/>
  <c r="AP337" i="1"/>
  <c r="AQ337" i="1"/>
  <c r="AR337" i="1"/>
  <c r="AS337" i="1"/>
  <c r="AP338" i="1"/>
  <c r="AQ338" i="1"/>
  <c r="AR338" i="1"/>
  <c r="AS338" i="1"/>
  <c r="AP339" i="1"/>
  <c r="AQ339" i="1"/>
  <c r="AR339" i="1"/>
  <c r="AS339" i="1"/>
  <c r="AP340" i="1"/>
  <c r="AQ340" i="1"/>
  <c r="AR340" i="1"/>
  <c r="AS340" i="1"/>
  <c r="AP341" i="1"/>
  <c r="AQ341" i="1"/>
  <c r="AR341" i="1"/>
  <c r="AS341" i="1"/>
  <c r="AP342" i="1"/>
  <c r="AQ342" i="1"/>
  <c r="AR342" i="1"/>
  <c r="AS342" i="1"/>
  <c r="AP343" i="1"/>
  <c r="AQ343" i="1"/>
  <c r="AR343" i="1"/>
  <c r="AS343" i="1"/>
  <c r="AP344" i="1"/>
  <c r="AQ344" i="1"/>
  <c r="AR344" i="1"/>
  <c r="AS344" i="1"/>
  <c r="AP345" i="1"/>
  <c r="AQ345" i="1"/>
  <c r="AR345" i="1"/>
  <c r="AS345" i="1"/>
  <c r="AP346" i="1"/>
  <c r="AQ346" i="1"/>
  <c r="AR346" i="1"/>
  <c r="AS346" i="1"/>
  <c r="AP347" i="1"/>
  <c r="AQ347" i="1"/>
  <c r="AR347" i="1"/>
  <c r="AS347" i="1"/>
  <c r="AP348" i="1"/>
  <c r="AQ348" i="1"/>
  <c r="AR348" i="1"/>
  <c r="AS348" i="1"/>
  <c r="AP349" i="1"/>
  <c r="AQ349" i="1"/>
  <c r="AR349" i="1"/>
  <c r="AS349" i="1"/>
  <c r="AP350" i="1"/>
  <c r="AQ350" i="1"/>
  <c r="AR350" i="1"/>
  <c r="AS350" i="1"/>
  <c r="AP351" i="1"/>
  <c r="AQ351" i="1"/>
  <c r="AR351" i="1"/>
  <c r="AS351" i="1"/>
  <c r="AP352" i="1"/>
  <c r="AQ352" i="1"/>
  <c r="AR352" i="1"/>
  <c r="AS352" i="1"/>
  <c r="AP353" i="1"/>
  <c r="AQ353" i="1"/>
  <c r="AR353" i="1"/>
  <c r="AS353" i="1"/>
  <c r="AP354" i="1"/>
  <c r="AQ354" i="1"/>
  <c r="AR354" i="1"/>
  <c r="AS354" i="1"/>
  <c r="AP355" i="1"/>
  <c r="AQ355" i="1"/>
  <c r="AR355" i="1"/>
  <c r="AS355" i="1"/>
  <c r="AP356" i="1"/>
  <c r="AQ356" i="1"/>
  <c r="AR356" i="1"/>
  <c r="AS356" i="1"/>
  <c r="AP357" i="1"/>
  <c r="AQ357" i="1"/>
  <c r="AR357" i="1"/>
  <c r="AS357" i="1"/>
  <c r="AP358" i="1"/>
  <c r="AQ358" i="1"/>
  <c r="AR358" i="1"/>
  <c r="AS358" i="1"/>
  <c r="AP359" i="1"/>
  <c r="AQ359" i="1"/>
  <c r="AR359" i="1"/>
  <c r="AS359" i="1"/>
  <c r="AP360" i="1"/>
  <c r="AQ360" i="1"/>
  <c r="AR360" i="1"/>
  <c r="AS360" i="1"/>
  <c r="AP361" i="1"/>
  <c r="AQ361" i="1"/>
  <c r="AR361" i="1"/>
  <c r="AS361" i="1"/>
  <c r="AP362" i="1"/>
  <c r="AQ362" i="1"/>
  <c r="AR362" i="1"/>
  <c r="AS362" i="1"/>
  <c r="AP363" i="1"/>
  <c r="AQ363" i="1"/>
  <c r="AR363" i="1"/>
  <c r="AS363" i="1"/>
  <c r="AP364" i="1"/>
  <c r="AQ364" i="1"/>
  <c r="AR364" i="1"/>
  <c r="AS364" i="1"/>
  <c r="AP365" i="1"/>
  <c r="AQ365" i="1"/>
  <c r="AR365" i="1"/>
  <c r="AS365" i="1"/>
  <c r="AP366" i="1"/>
  <c r="AQ366" i="1"/>
  <c r="AR366" i="1"/>
  <c r="AS366" i="1"/>
  <c r="AP367" i="1"/>
  <c r="AQ367" i="1"/>
  <c r="AR367" i="1"/>
  <c r="AS367" i="1"/>
  <c r="AP368" i="1"/>
  <c r="AQ368" i="1"/>
  <c r="AR368" i="1"/>
  <c r="AS368" i="1"/>
  <c r="AP369" i="1"/>
  <c r="AQ369" i="1"/>
  <c r="AR369" i="1"/>
  <c r="AS369" i="1"/>
  <c r="AP370" i="1"/>
  <c r="AQ370" i="1"/>
  <c r="AR370" i="1"/>
  <c r="AS370" i="1"/>
  <c r="AP371" i="1"/>
  <c r="AQ371" i="1"/>
  <c r="AR371" i="1"/>
  <c r="AS371" i="1"/>
  <c r="AS2" i="1"/>
  <c r="AR2" i="1"/>
  <c r="AQ2" i="1"/>
  <c r="AP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X63" i="1" s="1"/>
  <c r="X64" i="1" s="1"/>
  <c r="X65" i="1" s="1"/>
  <c r="X66" i="1" s="1"/>
  <c r="X67" i="1" s="1"/>
  <c r="Q63" i="1"/>
  <c r="Q64" i="1"/>
  <c r="W63" i="1" s="1"/>
  <c r="Q65" i="1"/>
  <c r="V65" i="1" s="1"/>
  <c r="Z65" i="1" s="1"/>
  <c r="Q66" i="1"/>
  <c r="V66" i="1" s="1"/>
  <c r="Z66" i="1" s="1"/>
  <c r="Q67" i="1"/>
  <c r="Q68" i="1"/>
  <c r="Q69" i="1"/>
  <c r="Q70" i="1"/>
  <c r="Q71" i="1"/>
  <c r="W71" i="1" s="1"/>
  <c r="Q72" i="1"/>
  <c r="Q73" i="1"/>
  <c r="V73" i="1" s="1"/>
  <c r="Z73" i="1" s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W87" i="1" s="1"/>
  <c r="Q88" i="1"/>
  <c r="Q89" i="1"/>
  <c r="W89" i="1" s="1"/>
  <c r="Q90" i="1"/>
  <c r="V89" i="1" s="1"/>
  <c r="Z89" i="1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V115" i="1" s="1"/>
  <c r="Z115" i="1" s="1"/>
  <c r="Q116" i="1"/>
  <c r="V116" i="1" s="1"/>
  <c r="Z116" i="1" s="1"/>
  <c r="Q117" i="1"/>
  <c r="W117" i="1" s="1"/>
  <c r="Q118" i="1"/>
  <c r="Q119" i="1"/>
  <c r="Q120" i="1"/>
  <c r="W119" i="1" s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V146" i="1" s="1"/>
  <c r="Z146" i="1" s="1"/>
  <c r="Q147" i="1"/>
  <c r="Q148" i="1"/>
  <c r="Q149" i="1"/>
  <c r="Q150" i="1"/>
  <c r="Q151" i="1"/>
  <c r="Q152" i="1"/>
  <c r="Q153" i="1"/>
  <c r="Q154" i="1"/>
  <c r="W154" i="1" s="1"/>
  <c r="Q155" i="1"/>
  <c r="W155" i="1" s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W178" i="1" s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W199" i="1" s="1"/>
  <c r="Q200" i="1"/>
  <c r="W200" i="1" s="1"/>
  <c r="Q201" i="1"/>
  <c r="W201" i="1" s="1"/>
  <c r="Q202" i="1"/>
  <c r="W202" i="1" s="1"/>
  <c r="Q203" i="1"/>
  <c r="Q204" i="1"/>
  <c r="Q205" i="1"/>
  <c r="Q206" i="1"/>
  <c r="W206" i="1" s="1"/>
  <c r="Q207" i="1"/>
  <c r="Q208" i="1"/>
  <c r="Q209" i="1"/>
  <c r="Q210" i="1"/>
  <c r="Q211" i="1"/>
  <c r="Q212" i="1"/>
  <c r="Q213" i="1"/>
  <c r="Q214" i="1"/>
  <c r="Q215" i="1"/>
  <c r="Q216" i="1"/>
  <c r="V216" i="1" s="1"/>
  <c r="Z216" i="1" s="1"/>
  <c r="Q217" i="1"/>
  <c r="Q218" i="1"/>
  <c r="Q219" i="1"/>
  <c r="Q220" i="1"/>
  <c r="Q221" i="1"/>
  <c r="Q222" i="1"/>
  <c r="V222" i="1" s="1"/>
  <c r="Z222" i="1" s="1"/>
  <c r="Q223" i="1"/>
  <c r="Q224" i="1"/>
  <c r="Q225" i="1"/>
  <c r="Q226" i="1"/>
  <c r="Q227" i="1"/>
  <c r="Q228" i="1"/>
  <c r="Q229" i="1"/>
  <c r="Q230" i="1"/>
  <c r="Q231" i="1"/>
  <c r="Q232" i="1"/>
  <c r="V231" i="1" s="1"/>
  <c r="Z231" i="1" s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W262" i="1" s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W283" i="1" s="1"/>
  <c r="Q284" i="1"/>
  <c r="Q285" i="1"/>
  <c r="Q286" i="1"/>
  <c r="W286" i="1" s="1"/>
  <c r="Q287" i="1"/>
  <c r="Q288" i="1"/>
  <c r="W288" i="1" s="1"/>
  <c r="Q289" i="1"/>
  <c r="Q290" i="1"/>
  <c r="Q291" i="1"/>
  <c r="Q292" i="1"/>
  <c r="Q293" i="1"/>
  <c r="Q294" i="1"/>
  <c r="Q295" i="1"/>
  <c r="Q296" i="1"/>
  <c r="W296" i="1" s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W313" i="1" s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W339" i="1" s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W352" i="1" s="1"/>
  <c r="Q353" i="1"/>
  <c r="V353" i="1" s="1"/>
  <c r="Z353" i="1" s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2" i="1"/>
  <c r="Y40" i="1"/>
  <c r="X40" i="1"/>
  <c r="Z356" i="1"/>
  <c r="Z178" i="1"/>
  <c r="Y39" i="1"/>
  <c r="V356" i="1"/>
  <c r="W355" i="1"/>
  <c r="V355" i="1"/>
  <c r="Z355" i="1" s="1"/>
  <c r="W354" i="1"/>
  <c r="V354" i="1"/>
  <c r="Z354" i="1" s="1"/>
  <c r="W349" i="1"/>
  <c r="V330" i="1"/>
  <c r="Z330" i="1" s="1"/>
  <c r="W318" i="1"/>
  <c r="V318" i="1"/>
  <c r="Z318" i="1" s="1"/>
  <c r="V300" i="1"/>
  <c r="Z300" i="1" s="1"/>
  <c r="W299" i="1"/>
  <c r="V299" i="1"/>
  <c r="Z299" i="1" s="1"/>
  <c r="W298" i="1"/>
  <c r="V298" i="1"/>
  <c r="Z298" i="1" s="1"/>
  <c r="W276" i="1"/>
  <c r="V276" i="1"/>
  <c r="Z276" i="1" s="1"/>
  <c r="V267" i="1"/>
  <c r="Z267" i="1" s="1"/>
  <c r="W266" i="1"/>
  <c r="V266" i="1"/>
  <c r="Z266" i="1" s="1"/>
  <c r="W265" i="1"/>
  <c r="V264" i="1"/>
  <c r="Z264" i="1" s="1"/>
  <c r="W260" i="1"/>
  <c r="V260" i="1"/>
  <c r="Z260" i="1" s="1"/>
  <c r="W247" i="1"/>
  <c r="V247" i="1"/>
  <c r="Z247" i="1" s="1"/>
  <c r="W246" i="1"/>
  <c r="V246" i="1"/>
  <c r="Z246" i="1" s="1"/>
  <c r="V234" i="1"/>
  <c r="Z234" i="1" s="1"/>
  <c r="W233" i="1"/>
  <c r="V233" i="1"/>
  <c r="Z233" i="1" s="1"/>
  <c r="W231" i="1"/>
  <c r="W204" i="1"/>
  <c r="V178" i="1"/>
  <c r="W177" i="1"/>
  <c r="V177" i="1"/>
  <c r="Z177" i="1" s="1"/>
  <c r="W176" i="1"/>
  <c r="V176" i="1"/>
  <c r="Z176" i="1" s="1"/>
  <c r="W175" i="1"/>
  <c r="V175" i="1"/>
  <c r="Z175" i="1" s="1"/>
  <c r="V149" i="1"/>
  <c r="Z149" i="1" s="1"/>
  <c r="W148" i="1"/>
  <c r="W131" i="1"/>
  <c r="W125" i="1"/>
  <c r="V124" i="1"/>
  <c r="Z124" i="1" s="1"/>
  <c r="W123" i="1"/>
  <c r="V119" i="1"/>
  <c r="Z119" i="1" s="1"/>
  <c r="W101" i="1"/>
  <c r="V101" i="1"/>
  <c r="Z101" i="1" s="1"/>
  <c r="W100" i="1"/>
  <c r="V100" i="1"/>
  <c r="Z100" i="1" s="1"/>
  <c r="W92" i="1"/>
  <c r="V92" i="1"/>
  <c r="Z92" i="1" s="1"/>
  <c r="V69" i="1"/>
  <c r="Z69" i="1" s="1"/>
  <c r="V70" i="1"/>
  <c r="Z70" i="1" s="1"/>
  <c r="V71" i="1"/>
  <c r="Z71" i="1" s="1"/>
  <c r="V72" i="1"/>
  <c r="Z72" i="1" s="1"/>
  <c r="W62" i="1"/>
  <c r="V62" i="1"/>
  <c r="U5" i="1"/>
  <c r="U6" i="1"/>
  <c r="U7" i="1"/>
  <c r="U8" i="1"/>
  <c r="U11" i="1"/>
  <c r="U12" i="1"/>
  <c r="U13" i="1"/>
  <c r="U17" i="1"/>
  <c r="U18" i="1"/>
  <c r="U19" i="1"/>
  <c r="U20" i="1"/>
  <c r="U26" i="1"/>
  <c r="U27" i="1"/>
  <c r="T27" i="1" s="1"/>
  <c r="U28" i="1"/>
  <c r="T28" i="1" s="1"/>
  <c r="U30" i="1"/>
  <c r="U42" i="1"/>
  <c r="U45" i="1"/>
  <c r="U46" i="1"/>
  <c r="U47" i="1"/>
  <c r="U58" i="1"/>
  <c r="U61" i="1"/>
  <c r="U62" i="1"/>
  <c r="T62" i="1" s="1"/>
  <c r="U63" i="1"/>
  <c r="T63" i="1" s="1"/>
  <c r="U64" i="1"/>
  <c r="T64" i="1" s="1"/>
  <c r="U65" i="1"/>
  <c r="T65" i="1" s="1"/>
  <c r="U73" i="1"/>
  <c r="U74" i="1"/>
  <c r="U75" i="1"/>
  <c r="U79" i="1"/>
  <c r="U80" i="1"/>
  <c r="U81" i="1"/>
  <c r="U86" i="1"/>
  <c r="U89" i="1"/>
  <c r="U90" i="1"/>
  <c r="T90" i="1" s="1"/>
  <c r="U91" i="1"/>
  <c r="U92" i="1"/>
  <c r="U98" i="1"/>
  <c r="U101" i="1"/>
  <c r="U102" i="1"/>
  <c r="U108" i="1"/>
  <c r="U109" i="1"/>
  <c r="U114" i="1"/>
  <c r="U117" i="1"/>
  <c r="U126" i="1"/>
  <c r="U129" i="1"/>
  <c r="U130" i="1"/>
  <c r="U131" i="1"/>
  <c r="U132" i="1"/>
  <c r="U133" i="1"/>
  <c r="T133" i="1" s="1"/>
  <c r="U142" i="1"/>
  <c r="U145" i="1"/>
  <c r="U146" i="1"/>
  <c r="T146" i="1" s="1"/>
  <c r="U147" i="1"/>
  <c r="T147" i="1" s="1"/>
  <c r="U148" i="1"/>
  <c r="U154" i="1"/>
  <c r="U157" i="1"/>
  <c r="U158" i="1"/>
  <c r="U159" i="1"/>
  <c r="U160" i="1"/>
  <c r="U161" i="1"/>
  <c r="U163" i="1"/>
  <c r="U164" i="1"/>
  <c r="U165" i="1"/>
  <c r="U170" i="1"/>
  <c r="U174" i="1"/>
  <c r="U175" i="1"/>
  <c r="U176" i="1"/>
  <c r="U182" i="1"/>
  <c r="U185" i="1"/>
  <c r="U186" i="1"/>
  <c r="U198" i="1"/>
  <c r="U201" i="1"/>
  <c r="U202" i="1"/>
  <c r="U210" i="1"/>
  <c r="T210" i="1" s="1"/>
  <c r="U213" i="1"/>
  <c r="U214" i="1"/>
  <c r="U215" i="1"/>
  <c r="U224" i="1"/>
  <c r="U226" i="1"/>
  <c r="U229" i="1"/>
  <c r="U230" i="1"/>
  <c r="T230" i="1" s="1"/>
  <c r="U231" i="1"/>
  <c r="T231" i="1" s="1"/>
  <c r="U232" i="1"/>
  <c r="T232" i="1" s="1"/>
  <c r="U233" i="1"/>
  <c r="T233" i="1" s="1"/>
  <c r="U234" i="1"/>
  <c r="U241" i="1"/>
  <c r="U242" i="1"/>
  <c r="U250" i="1"/>
  <c r="U254" i="1"/>
  <c r="U257" i="1"/>
  <c r="U258" i="1"/>
  <c r="U259" i="1"/>
  <c r="U260" i="1"/>
  <c r="U266" i="1"/>
  <c r="U269" i="1"/>
  <c r="U270" i="1"/>
  <c r="U277" i="1"/>
  <c r="U278" i="1"/>
  <c r="U279" i="1"/>
  <c r="T279" i="1" s="1"/>
  <c r="U280" i="1"/>
  <c r="U282" i="1"/>
  <c r="U285" i="1"/>
  <c r="U286" i="1"/>
  <c r="U287" i="1"/>
  <c r="U294" i="1"/>
  <c r="U297" i="1"/>
  <c r="U298" i="1"/>
  <c r="U299" i="1"/>
  <c r="U300" i="1"/>
  <c r="U301" i="1"/>
  <c r="U303" i="1"/>
  <c r="U310" i="1"/>
  <c r="U313" i="1"/>
  <c r="U314" i="1"/>
  <c r="T314" i="1" s="1"/>
  <c r="U315" i="1"/>
  <c r="T315" i="1" s="1"/>
  <c r="U316" i="1"/>
  <c r="T316" i="1" s="1"/>
  <c r="U325" i="1"/>
  <c r="U326" i="1"/>
  <c r="U327" i="1"/>
  <c r="U328" i="1"/>
  <c r="U329" i="1"/>
  <c r="U338" i="1"/>
  <c r="U350" i="1"/>
  <c r="U353" i="1"/>
  <c r="U354" i="1"/>
  <c r="U355" i="1"/>
  <c r="U364" i="1"/>
  <c r="U366" i="1"/>
  <c r="U369" i="1"/>
  <c r="U370" i="1"/>
  <c r="U371" i="1"/>
  <c r="U2" i="1"/>
  <c r="T2" i="1" s="1"/>
  <c r="T259" i="1"/>
  <c r="T175" i="1"/>
  <c r="T148" i="1"/>
  <c r="T8" i="1"/>
  <c r="T7" i="1"/>
  <c r="T6" i="1"/>
  <c r="R3" i="1"/>
  <c r="U3" i="1" s="1"/>
  <c r="R4" i="1"/>
  <c r="U4" i="1" s="1"/>
  <c r="R5" i="1"/>
  <c r="R6" i="1"/>
  <c r="S6" i="1" s="1"/>
  <c r="R7" i="1"/>
  <c r="S7" i="1" s="1"/>
  <c r="R8" i="1"/>
  <c r="S8" i="1" s="1"/>
  <c r="R9" i="1"/>
  <c r="R10" i="1"/>
  <c r="R11" i="1"/>
  <c r="S11" i="1" s="1"/>
  <c r="R12" i="1"/>
  <c r="S12" i="1" s="1"/>
  <c r="R13" i="1"/>
  <c r="S13" i="1" s="1"/>
  <c r="R14" i="1"/>
  <c r="R15" i="1"/>
  <c r="S15" i="1" s="1"/>
  <c r="R16" i="1"/>
  <c r="R17" i="1"/>
  <c r="R18" i="1"/>
  <c r="R19" i="1"/>
  <c r="R20" i="1"/>
  <c r="R21" i="1"/>
  <c r="S21" i="1" s="1"/>
  <c r="R22" i="1"/>
  <c r="R23" i="1"/>
  <c r="R24" i="1"/>
  <c r="R25" i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U32" i="1" s="1"/>
  <c r="R33" i="1"/>
  <c r="U33" i="1" s="1"/>
  <c r="R34" i="1"/>
  <c r="S34" i="1" s="1"/>
  <c r="R35" i="1"/>
  <c r="S35" i="1" s="1"/>
  <c r="R36" i="1"/>
  <c r="S36" i="1" s="1"/>
  <c r="R37" i="1"/>
  <c r="R38" i="1"/>
  <c r="R39" i="1"/>
  <c r="R40" i="1"/>
  <c r="S40" i="1" s="1"/>
  <c r="R41" i="1"/>
  <c r="S41" i="1" s="1"/>
  <c r="R42" i="1"/>
  <c r="S42" i="1" s="1"/>
  <c r="R43" i="1"/>
  <c r="S43" i="1" s="1"/>
  <c r="R44" i="1"/>
  <c r="R45" i="1"/>
  <c r="R46" i="1"/>
  <c r="R47" i="1"/>
  <c r="R48" i="1"/>
  <c r="U48" i="1" s="1"/>
  <c r="R49" i="1"/>
  <c r="U49" i="1" s="1"/>
  <c r="R50" i="1"/>
  <c r="R51" i="1"/>
  <c r="R52" i="1"/>
  <c r="R53" i="1"/>
  <c r="R54" i="1"/>
  <c r="R55" i="1"/>
  <c r="R56" i="1"/>
  <c r="R57" i="1"/>
  <c r="S57" i="1" s="1"/>
  <c r="R58" i="1"/>
  <c r="R59" i="1"/>
  <c r="U59" i="1" s="1"/>
  <c r="R60" i="1"/>
  <c r="U60" i="1" s="1"/>
  <c r="R61" i="1"/>
  <c r="R62" i="1"/>
  <c r="S62" i="1" s="1"/>
  <c r="R63" i="1"/>
  <c r="S63" i="1" s="1"/>
  <c r="R64" i="1"/>
  <c r="S64" i="1" s="1"/>
  <c r="R65" i="1"/>
  <c r="S65" i="1" s="1"/>
  <c r="R66" i="1"/>
  <c r="R67" i="1"/>
  <c r="R68" i="1"/>
  <c r="R69" i="1"/>
  <c r="R70" i="1"/>
  <c r="R71" i="1"/>
  <c r="S71" i="1" s="1"/>
  <c r="R72" i="1"/>
  <c r="R73" i="1"/>
  <c r="S73" i="1" s="1"/>
  <c r="R74" i="1"/>
  <c r="S74" i="1" s="1"/>
  <c r="R75" i="1"/>
  <c r="R76" i="1"/>
  <c r="U76" i="1" s="1"/>
  <c r="R77" i="1"/>
  <c r="S77" i="1" s="1"/>
  <c r="R78" i="1"/>
  <c r="R79" i="1"/>
  <c r="S79" i="1" s="1"/>
  <c r="R80" i="1"/>
  <c r="S80" i="1" s="1"/>
  <c r="R81" i="1"/>
  <c r="S81" i="1" s="1"/>
  <c r="R82" i="1"/>
  <c r="R83" i="1"/>
  <c r="R84" i="1"/>
  <c r="R85" i="1"/>
  <c r="U85" i="1" s="1"/>
  <c r="R86" i="1"/>
  <c r="R87" i="1"/>
  <c r="U87" i="1" s="1"/>
  <c r="R88" i="1"/>
  <c r="U88" i="1" s="1"/>
  <c r="R89" i="1"/>
  <c r="R90" i="1"/>
  <c r="S90" i="1" s="1"/>
  <c r="R91" i="1"/>
  <c r="S91" i="1" s="1"/>
  <c r="R92" i="1"/>
  <c r="S92" i="1" s="1"/>
  <c r="R93" i="1"/>
  <c r="R94" i="1"/>
  <c r="R95" i="1"/>
  <c r="R96" i="1"/>
  <c r="R97" i="1"/>
  <c r="R98" i="1"/>
  <c r="S98" i="1" s="1"/>
  <c r="R99" i="1"/>
  <c r="S99" i="1" s="1"/>
  <c r="R100" i="1"/>
  <c r="R101" i="1"/>
  <c r="R102" i="1"/>
  <c r="R103" i="1"/>
  <c r="U103" i="1" s="1"/>
  <c r="R104" i="1"/>
  <c r="U104" i="1" s="1"/>
  <c r="R105" i="1"/>
  <c r="R106" i="1"/>
  <c r="R107" i="1"/>
  <c r="R108" i="1"/>
  <c r="S108" i="1" s="1"/>
  <c r="R109" i="1"/>
  <c r="S109" i="1" s="1"/>
  <c r="R110" i="1"/>
  <c r="S110" i="1" s="1"/>
  <c r="R111" i="1"/>
  <c r="S111" i="1" s="1"/>
  <c r="R112" i="1"/>
  <c r="S112" i="1" s="1"/>
  <c r="R113" i="1"/>
  <c r="U113" i="1" s="1"/>
  <c r="R114" i="1"/>
  <c r="S114" i="1" s="1"/>
  <c r="R115" i="1"/>
  <c r="S115" i="1" s="1"/>
  <c r="R116" i="1"/>
  <c r="R117" i="1"/>
  <c r="R118" i="1"/>
  <c r="S118" i="1" s="1"/>
  <c r="R119" i="1"/>
  <c r="S119" i="1" s="1"/>
  <c r="R120" i="1"/>
  <c r="S120" i="1" s="1"/>
  <c r="R121" i="1"/>
  <c r="R122" i="1"/>
  <c r="R123" i="1"/>
  <c r="R124" i="1"/>
  <c r="R125" i="1"/>
  <c r="R126" i="1"/>
  <c r="S126" i="1" s="1"/>
  <c r="R127" i="1"/>
  <c r="S127" i="1" s="1"/>
  <c r="R128" i="1"/>
  <c r="R129" i="1"/>
  <c r="R130" i="1"/>
  <c r="R131" i="1"/>
  <c r="R132" i="1"/>
  <c r="R133" i="1"/>
  <c r="S133" i="1" s="1"/>
  <c r="R134" i="1"/>
  <c r="R135" i="1"/>
  <c r="R136" i="1"/>
  <c r="R137" i="1"/>
  <c r="R138" i="1"/>
  <c r="R139" i="1"/>
  <c r="R140" i="1"/>
  <c r="R141" i="1"/>
  <c r="S141" i="1" s="1"/>
  <c r="R142" i="1"/>
  <c r="S142" i="1" s="1"/>
  <c r="R143" i="1"/>
  <c r="S143" i="1" s="1"/>
  <c r="R144" i="1"/>
  <c r="U144" i="1" s="1"/>
  <c r="R145" i="1"/>
  <c r="R146" i="1"/>
  <c r="S146" i="1" s="1"/>
  <c r="R147" i="1"/>
  <c r="S147" i="1" s="1"/>
  <c r="R148" i="1"/>
  <c r="S148" i="1" s="1"/>
  <c r="R149" i="1"/>
  <c r="R150" i="1"/>
  <c r="R151" i="1"/>
  <c r="R152" i="1"/>
  <c r="R153" i="1"/>
  <c r="R154" i="1"/>
  <c r="S154" i="1" s="1"/>
  <c r="R155" i="1"/>
  <c r="S155" i="1" s="1"/>
  <c r="R156" i="1"/>
  <c r="R157" i="1"/>
  <c r="S157" i="1" s="1"/>
  <c r="R158" i="1"/>
  <c r="S158" i="1" s="1"/>
  <c r="R159" i="1"/>
  <c r="R160" i="1"/>
  <c r="R161" i="1"/>
  <c r="S161" i="1" s="1"/>
  <c r="R162" i="1"/>
  <c r="S162" i="1" s="1"/>
  <c r="R163" i="1"/>
  <c r="S163" i="1" s="1"/>
  <c r="R164" i="1"/>
  <c r="S164" i="1" s="1"/>
  <c r="R165" i="1"/>
  <c r="S165" i="1" s="1"/>
  <c r="R166" i="1"/>
  <c r="R167" i="1"/>
  <c r="R168" i="1"/>
  <c r="R169" i="1"/>
  <c r="U169" i="1" s="1"/>
  <c r="R170" i="1"/>
  <c r="R171" i="1"/>
  <c r="U171" i="1" s="1"/>
  <c r="R172" i="1"/>
  <c r="U172" i="1" s="1"/>
  <c r="R173" i="1"/>
  <c r="U173" i="1" s="1"/>
  <c r="R174" i="1"/>
  <c r="S174" i="1" s="1"/>
  <c r="R175" i="1"/>
  <c r="S175" i="1" s="1"/>
  <c r="R176" i="1"/>
  <c r="S176" i="1" s="1"/>
  <c r="R177" i="1"/>
  <c r="S177" i="1" s="1"/>
  <c r="R178" i="1"/>
  <c r="S178" i="1" s="1"/>
  <c r="R179" i="1"/>
  <c r="S179" i="1" s="1"/>
  <c r="R180" i="1"/>
  <c r="S180" i="1" s="1"/>
  <c r="R181" i="1"/>
  <c r="S181" i="1" s="1"/>
  <c r="R182" i="1"/>
  <c r="S182" i="1" s="1"/>
  <c r="R183" i="1"/>
  <c r="S183" i="1" s="1"/>
  <c r="R184" i="1"/>
  <c r="R185" i="1"/>
  <c r="S185" i="1" s="1"/>
  <c r="R186" i="1"/>
  <c r="S186" i="1" s="1"/>
  <c r="R187" i="1"/>
  <c r="U187" i="1" s="1"/>
  <c r="R188" i="1"/>
  <c r="U188" i="1" s="1"/>
  <c r="R189" i="1"/>
  <c r="S189" i="1" s="1"/>
  <c r="R190" i="1"/>
  <c r="R191" i="1"/>
  <c r="R192" i="1"/>
  <c r="R193" i="1"/>
  <c r="R194" i="1"/>
  <c r="R195" i="1"/>
  <c r="R196" i="1"/>
  <c r="R197" i="1"/>
  <c r="U197" i="1" s="1"/>
  <c r="R198" i="1"/>
  <c r="R199" i="1"/>
  <c r="U199" i="1" s="1"/>
  <c r="R200" i="1"/>
  <c r="R201" i="1"/>
  <c r="R202" i="1"/>
  <c r="S202" i="1" s="1"/>
  <c r="R203" i="1"/>
  <c r="S203" i="1" s="1"/>
  <c r="R204" i="1"/>
  <c r="S204" i="1" s="1"/>
  <c r="R205" i="1"/>
  <c r="R206" i="1"/>
  <c r="R207" i="1"/>
  <c r="R208" i="1"/>
  <c r="R209" i="1"/>
  <c r="R210" i="1"/>
  <c r="S210" i="1" s="1"/>
  <c r="R211" i="1"/>
  <c r="S211" i="1" s="1"/>
  <c r="R212" i="1"/>
  <c r="R213" i="1"/>
  <c r="R214" i="1"/>
  <c r="R215" i="1"/>
  <c r="R216" i="1"/>
  <c r="U216" i="1" s="1"/>
  <c r="R217" i="1"/>
  <c r="U217" i="1" s="1"/>
  <c r="R218" i="1"/>
  <c r="R219" i="1"/>
  <c r="R220" i="1"/>
  <c r="R221" i="1"/>
  <c r="R222" i="1"/>
  <c r="R223" i="1"/>
  <c r="R224" i="1"/>
  <c r="S224" i="1" s="1"/>
  <c r="R225" i="1"/>
  <c r="S225" i="1" s="1"/>
  <c r="R226" i="1"/>
  <c r="S226" i="1" s="1"/>
  <c r="R227" i="1"/>
  <c r="R228" i="1"/>
  <c r="R229" i="1"/>
  <c r="R230" i="1"/>
  <c r="S230" i="1" s="1"/>
  <c r="R231" i="1"/>
  <c r="S231" i="1" s="1"/>
  <c r="R232" i="1"/>
  <c r="S232" i="1" s="1"/>
  <c r="R233" i="1"/>
  <c r="S233" i="1" s="1"/>
  <c r="R234" i="1"/>
  <c r="S234" i="1" s="1"/>
  <c r="R235" i="1"/>
  <c r="R236" i="1"/>
  <c r="R237" i="1"/>
  <c r="R238" i="1"/>
  <c r="R239" i="1"/>
  <c r="S239" i="1" s="1"/>
  <c r="R240" i="1"/>
  <c r="R241" i="1"/>
  <c r="R242" i="1"/>
  <c r="R243" i="1"/>
  <c r="U243" i="1" s="1"/>
  <c r="R244" i="1"/>
  <c r="U244" i="1" s="1"/>
  <c r="R245" i="1"/>
  <c r="S245" i="1" s="1"/>
  <c r="R246" i="1"/>
  <c r="R247" i="1"/>
  <c r="R248" i="1"/>
  <c r="R249" i="1"/>
  <c r="R250" i="1"/>
  <c r="S250" i="1" s="1"/>
  <c r="R251" i="1"/>
  <c r="S251" i="1" s="1"/>
  <c r="R252" i="1"/>
  <c r="R253" i="1"/>
  <c r="U253" i="1" s="1"/>
  <c r="R254" i="1"/>
  <c r="R255" i="1"/>
  <c r="U255" i="1" s="1"/>
  <c r="R256" i="1"/>
  <c r="U256" i="1" s="1"/>
  <c r="R257" i="1"/>
  <c r="R258" i="1"/>
  <c r="S258" i="1" s="1"/>
  <c r="R259" i="1"/>
  <c r="S259" i="1" s="1"/>
  <c r="R260" i="1"/>
  <c r="S260" i="1" s="1"/>
  <c r="R261" i="1"/>
  <c r="R262" i="1"/>
  <c r="R263" i="1"/>
  <c r="R264" i="1"/>
  <c r="R265" i="1"/>
  <c r="R266" i="1"/>
  <c r="S266" i="1" s="1"/>
  <c r="R267" i="1"/>
  <c r="S267" i="1" s="1"/>
  <c r="R268" i="1"/>
  <c r="R269" i="1"/>
  <c r="S269" i="1" s="1"/>
  <c r="R270" i="1"/>
  <c r="S270" i="1" s="1"/>
  <c r="R271" i="1"/>
  <c r="U271" i="1" s="1"/>
  <c r="R272" i="1"/>
  <c r="U272" i="1" s="1"/>
  <c r="R273" i="1"/>
  <c r="R274" i="1"/>
  <c r="R275" i="1"/>
  <c r="R276" i="1"/>
  <c r="R277" i="1"/>
  <c r="S277" i="1" s="1"/>
  <c r="R278" i="1"/>
  <c r="S278" i="1" s="1"/>
  <c r="R279" i="1"/>
  <c r="S279" i="1" s="1"/>
  <c r="R280" i="1"/>
  <c r="S280" i="1" s="1"/>
  <c r="R281" i="1"/>
  <c r="U281" i="1" s="1"/>
  <c r="R282" i="1"/>
  <c r="R283" i="1"/>
  <c r="U283" i="1" s="1"/>
  <c r="R284" i="1"/>
  <c r="U284" i="1" s="1"/>
  <c r="R285" i="1"/>
  <c r="R286" i="1"/>
  <c r="S286" i="1" s="1"/>
  <c r="R287" i="1"/>
  <c r="S287" i="1" s="1"/>
  <c r="R288" i="1"/>
  <c r="S288" i="1" s="1"/>
  <c r="R289" i="1"/>
  <c r="R290" i="1"/>
  <c r="R291" i="1"/>
  <c r="U291" i="1" s="1"/>
  <c r="R292" i="1"/>
  <c r="U292" i="1" s="1"/>
  <c r="R293" i="1"/>
  <c r="U293" i="1" s="1"/>
  <c r="R294" i="1"/>
  <c r="S294" i="1" s="1"/>
  <c r="R295" i="1"/>
  <c r="S295" i="1" s="1"/>
  <c r="R296" i="1"/>
  <c r="R297" i="1"/>
  <c r="R298" i="1"/>
  <c r="R299" i="1"/>
  <c r="R300" i="1"/>
  <c r="R301" i="1"/>
  <c r="S301" i="1" s="1"/>
  <c r="R302" i="1"/>
  <c r="S302" i="1" s="1"/>
  <c r="R303" i="1"/>
  <c r="S303" i="1" s="1"/>
  <c r="R304" i="1"/>
  <c r="R305" i="1"/>
  <c r="R306" i="1"/>
  <c r="R307" i="1"/>
  <c r="R308" i="1"/>
  <c r="R309" i="1"/>
  <c r="U309" i="1" s="1"/>
  <c r="R310" i="1"/>
  <c r="R311" i="1"/>
  <c r="R312" i="1"/>
  <c r="R313" i="1"/>
  <c r="R314" i="1"/>
  <c r="S314" i="1" s="1"/>
  <c r="R315" i="1"/>
  <c r="S315" i="1" s="1"/>
  <c r="R316" i="1"/>
  <c r="S316" i="1" s="1"/>
  <c r="R317" i="1"/>
  <c r="R318" i="1"/>
  <c r="S318" i="1" s="1"/>
  <c r="R319" i="1"/>
  <c r="S319" i="1" s="1"/>
  <c r="R320" i="1"/>
  <c r="S320" i="1" s="1"/>
  <c r="R321" i="1"/>
  <c r="R322" i="1"/>
  <c r="R323" i="1"/>
  <c r="S323" i="1" s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U337" i="1" s="1"/>
  <c r="R338" i="1"/>
  <c r="R339" i="1"/>
  <c r="U339" i="1" s="1"/>
  <c r="R340" i="1"/>
  <c r="U340" i="1" s="1"/>
  <c r="R341" i="1"/>
  <c r="U341" i="1" s="1"/>
  <c r="R342" i="1"/>
  <c r="S342" i="1" s="1"/>
  <c r="R343" i="1"/>
  <c r="S343" i="1" s="1"/>
  <c r="R344" i="1"/>
  <c r="S344" i="1" s="1"/>
  <c r="R345" i="1"/>
  <c r="R346" i="1"/>
  <c r="R347" i="1"/>
  <c r="U347" i="1" s="1"/>
  <c r="R348" i="1"/>
  <c r="S348" i="1" s="1"/>
  <c r="R349" i="1"/>
  <c r="S349" i="1" s="1"/>
  <c r="R350" i="1"/>
  <c r="S350" i="1" s="1"/>
  <c r="R351" i="1"/>
  <c r="S351" i="1" s="1"/>
  <c r="R352" i="1"/>
  <c r="R353" i="1"/>
  <c r="R354" i="1"/>
  <c r="S354" i="1" s="1"/>
  <c r="R355" i="1"/>
  <c r="R356" i="1"/>
  <c r="U356" i="1" s="1"/>
  <c r="R357" i="1"/>
  <c r="U357" i="1" s="1"/>
  <c r="R358" i="1"/>
  <c r="R359" i="1"/>
  <c r="R360" i="1"/>
  <c r="R361" i="1"/>
  <c r="R362" i="1"/>
  <c r="R363" i="1"/>
  <c r="R364" i="1"/>
  <c r="S364" i="1" s="1"/>
  <c r="R365" i="1"/>
  <c r="U365" i="1" s="1"/>
  <c r="R366" i="1"/>
  <c r="R367" i="1"/>
  <c r="U367" i="1" s="1"/>
  <c r="R368" i="1"/>
  <c r="U368" i="1" s="1"/>
  <c r="R369" i="1"/>
  <c r="R370" i="1"/>
  <c r="S370" i="1" s="1"/>
  <c r="R371" i="1"/>
  <c r="S371" i="1" s="1"/>
  <c r="R2" i="1"/>
  <c r="S2" i="1" s="1"/>
  <c r="C2" i="7"/>
  <c r="A2" i="7"/>
  <c r="D2" i="7"/>
  <c r="M30" i="8" l="1"/>
  <c r="L30" i="8"/>
  <c r="N30" i="8" s="1"/>
  <c r="M63" i="8"/>
  <c r="L63" i="8"/>
  <c r="L69" i="8"/>
  <c r="M69" i="8"/>
  <c r="O69" i="8" s="1"/>
  <c r="P69" i="8" s="1"/>
  <c r="M7" i="8"/>
  <c r="L7" i="8"/>
  <c r="M113" i="8"/>
  <c r="L113" i="8"/>
  <c r="N113" i="8" s="1"/>
  <c r="M13" i="8"/>
  <c r="L13" i="8"/>
  <c r="L60" i="8"/>
  <c r="M60" i="8"/>
  <c r="M24" i="8"/>
  <c r="L24" i="8"/>
  <c r="L102" i="8"/>
  <c r="M102" i="8"/>
  <c r="M57" i="8"/>
  <c r="L57" i="8"/>
  <c r="N57" i="8" s="1"/>
  <c r="M106" i="8"/>
  <c r="L106" i="8"/>
  <c r="N106" i="8" s="1"/>
  <c r="M40" i="8"/>
  <c r="L40" i="8"/>
  <c r="N40" i="8" s="1"/>
  <c r="M12" i="8"/>
  <c r="L12" i="8"/>
  <c r="M21" i="8"/>
  <c r="L21" i="8"/>
  <c r="M81" i="8"/>
  <c r="L81" i="8"/>
  <c r="L112" i="8"/>
  <c r="M112" i="8"/>
  <c r="L16" i="8"/>
  <c r="P16" i="8" s="1"/>
  <c r="M16" i="8"/>
  <c r="O16" i="8" s="1"/>
  <c r="L74" i="8"/>
  <c r="P74" i="8" s="1"/>
  <c r="M74" i="8"/>
  <c r="O74" i="8" s="1"/>
  <c r="L115" i="8"/>
  <c r="M115" i="8"/>
  <c r="L71" i="8"/>
  <c r="M71" i="8"/>
  <c r="L131" i="8"/>
  <c r="P131" i="8" s="1"/>
  <c r="M131" i="8"/>
  <c r="M67" i="8"/>
  <c r="L67" i="8"/>
  <c r="M95" i="8"/>
  <c r="L95" i="8"/>
  <c r="L87" i="8"/>
  <c r="M87" i="8"/>
  <c r="O87" i="8" s="1"/>
  <c r="P87" i="8" s="1"/>
  <c r="L25" i="8"/>
  <c r="M25" i="8"/>
  <c r="O25" i="8" s="1"/>
  <c r="P25" i="8" s="1"/>
  <c r="L46" i="8"/>
  <c r="P46" i="8" s="1"/>
  <c r="M46" i="8"/>
  <c r="O46" i="8" s="1"/>
  <c r="M118" i="8"/>
  <c r="L118" i="8"/>
  <c r="N118" i="8" s="1"/>
  <c r="M56" i="8"/>
  <c r="L56" i="8"/>
  <c r="L103" i="8"/>
  <c r="M103" i="8"/>
  <c r="M11" i="8"/>
  <c r="L11" i="8"/>
  <c r="M39" i="8"/>
  <c r="L39" i="8"/>
  <c r="N39" i="8" s="1"/>
  <c r="L31" i="8"/>
  <c r="M31" i="8"/>
  <c r="O31" i="8" s="1"/>
  <c r="P31" i="8" s="1"/>
  <c r="M52" i="8"/>
  <c r="L52" i="8"/>
  <c r="N52" i="8" s="1"/>
  <c r="M126" i="8"/>
  <c r="L126" i="8"/>
  <c r="L18" i="8"/>
  <c r="P18" i="8" s="1"/>
  <c r="M18" i="8"/>
  <c r="L90" i="8"/>
  <c r="M90" i="8"/>
  <c r="L111" i="8"/>
  <c r="M111" i="8"/>
  <c r="L75" i="8"/>
  <c r="M75" i="8"/>
  <c r="O75" i="8" s="1"/>
  <c r="P75" i="8" s="1"/>
  <c r="M94" i="8"/>
  <c r="L94" i="8"/>
  <c r="M114" i="8"/>
  <c r="L114" i="8"/>
  <c r="N114" i="8" s="1"/>
  <c r="M79" i="8"/>
  <c r="L79" i="8"/>
  <c r="N79" i="8" s="1"/>
  <c r="M42" i="8"/>
  <c r="L42" i="8"/>
  <c r="L101" i="8"/>
  <c r="M101" i="8"/>
  <c r="L122" i="8"/>
  <c r="M122" i="8"/>
  <c r="M62" i="8"/>
  <c r="L62" i="8"/>
  <c r="N62" i="8" s="1"/>
  <c r="L55" i="8"/>
  <c r="P55" i="8" s="1"/>
  <c r="M55" i="8"/>
  <c r="O55" i="8" s="1"/>
  <c r="M58" i="8"/>
  <c r="L58" i="8"/>
  <c r="N58" i="8" s="1"/>
  <c r="L4" i="8"/>
  <c r="P4" i="8" s="1"/>
  <c r="M4" i="8"/>
  <c r="M48" i="8"/>
  <c r="L48" i="8"/>
  <c r="M80" i="8"/>
  <c r="L80" i="8"/>
  <c r="L5" i="8"/>
  <c r="P5" i="8" s="1"/>
  <c r="M5" i="8"/>
  <c r="O5" i="8" s="1"/>
  <c r="L28" i="8"/>
  <c r="M28" i="8"/>
  <c r="O28" i="8" s="1"/>
  <c r="P28" i="8" s="1"/>
  <c r="L3" i="8"/>
  <c r="M3" i="8"/>
  <c r="O3" i="8" s="1"/>
  <c r="P3" i="8" s="1"/>
  <c r="M108" i="8"/>
  <c r="L108" i="8"/>
  <c r="N108" i="8" s="1"/>
  <c r="M50" i="8"/>
  <c r="L50" i="8"/>
  <c r="N50" i="8" s="1"/>
  <c r="L27" i="8"/>
  <c r="M27" i="8"/>
  <c r="L130" i="8"/>
  <c r="M130" i="8"/>
  <c r="L17" i="8"/>
  <c r="P17" i="8" s="1"/>
  <c r="M17" i="8"/>
  <c r="M51" i="8"/>
  <c r="L51" i="8"/>
  <c r="N51" i="8" s="1"/>
  <c r="M96" i="8"/>
  <c r="L96" i="8"/>
  <c r="L32" i="8"/>
  <c r="M32" i="8"/>
  <c r="O32" i="8" s="1"/>
  <c r="P32" i="8" s="1"/>
  <c r="L34" i="8"/>
  <c r="M34" i="8"/>
  <c r="M47" i="8"/>
  <c r="L47" i="8"/>
  <c r="L45" i="8"/>
  <c r="M45" i="8"/>
  <c r="M22" i="8"/>
  <c r="L22" i="8"/>
  <c r="N22" i="8" s="1"/>
  <c r="M124" i="8"/>
  <c r="L124" i="8"/>
  <c r="N124" i="8" s="1"/>
  <c r="M72" i="8"/>
  <c r="L72" i="8"/>
  <c r="N72" i="8" s="1"/>
  <c r="M121" i="8"/>
  <c r="L121" i="8"/>
  <c r="M6" i="8"/>
  <c r="L6" i="8"/>
  <c r="M65" i="8"/>
  <c r="L65" i="8"/>
  <c r="M123" i="8"/>
  <c r="L123" i="8"/>
  <c r="P123" i="8" s="1"/>
  <c r="L129" i="8"/>
  <c r="M129" i="8"/>
  <c r="L117" i="8"/>
  <c r="M117" i="8"/>
  <c r="L89" i="8"/>
  <c r="P89" i="8" s="1"/>
  <c r="M89" i="8"/>
  <c r="O89" i="8" s="1"/>
  <c r="L104" i="8"/>
  <c r="M104" i="8"/>
  <c r="L53" i="8"/>
  <c r="M53" i="8"/>
  <c r="M64" i="8"/>
  <c r="L64" i="8"/>
  <c r="M92" i="8"/>
  <c r="L92" i="8"/>
  <c r="P92" i="8" s="1"/>
  <c r="L33" i="8"/>
  <c r="M33" i="8"/>
  <c r="O33" i="8" s="1"/>
  <c r="P33" i="8" s="1"/>
  <c r="M76" i="8"/>
  <c r="L76" i="8"/>
  <c r="L127" i="8"/>
  <c r="M127" i="8"/>
  <c r="M15" i="8"/>
  <c r="L15" i="8"/>
  <c r="M107" i="8"/>
  <c r="L107" i="8"/>
  <c r="N107" i="8" s="1"/>
  <c r="M120" i="8"/>
  <c r="L120" i="8"/>
  <c r="L43" i="8"/>
  <c r="M43" i="8"/>
  <c r="O43" i="8" s="1"/>
  <c r="P43" i="8" s="1"/>
  <c r="L70" i="8"/>
  <c r="M70" i="8"/>
  <c r="L91" i="8"/>
  <c r="P91" i="8" s="1"/>
  <c r="M91" i="8"/>
  <c r="O91" i="8" s="1"/>
  <c r="M78" i="8"/>
  <c r="L78" i="8"/>
  <c r="N78" i="8" s="1"/>
  <c r="L88" i="8"/>
  <c r="M88" i="8"/>
  <c r="O88" i="8" s="1"/>
  <c r="P88" i="8" s="1"/>
  <c r="L68" i="8"/>
  <c r="M68" i="8"/>
  <c r="L2" i="8"/>
  <c r="M2" i="8"/>
  <c r="M132" i="8"/>
  <c r="L132" i="8"/>
  <c r="M29" i="8"/>
  <c r="L29" i="8"/>
  <c r="N29" i="8" s="1"/>
  <c r="M119" i="8"/>
  <c r="L119" i="8"/>
  <c r="N119" i="8" s="1"/>
  <c r="L86" i="8"/>
  <c r="M86" i="8"/>
  <c r="O86" i="8" s="1"/>
  <c r="P86" i="8" s="1"/>
  <c r="L73" i="8"/>
  <c r="M73" i="8"/>
  <c r="M125" i="8"/>
  <c r="L125" i="8"/>
  <c r="N125" i="8" s="1"/>
  <c r="M41" i="8"/>
  <c r="L41" i="8"/>
  <c r="M82" i="8"/>
  <c r="L82" i="8"/>
  <c r="L105" i="8"/>
  <c r="M105" i="8"/>
  <c r="M100" i="8"/>
  <c r="L100" i="8"/>
  <c r="L26" i="8"/>
  <c r="M26" i="8"/>
  <c r="O26" i="8" s="1"/>
  <c r="P26" i="8" s="1"/>
  <c r="M97" i="8"/>
  <c r="L97" i="8"/>
  <c r="L10" i="8"/>
  <c r="M10" i="8"/>
  <c r="M66" i="8"/>
  <c r="L66" i="8"/>
  <c r="L110" i="8"/>
  <c r="M110" i="8"/>
  <c r="L49" i="8"/>
  <c r="M49" i="8"/>
  <c r="O49" i="8" s="1"/>
  <c r="P49" i="8" s="1"/>
  <c r="L19" i="8"/>
  <c r="M19" i="8"/>
  <c r="O19" i="8" s="1"/>
  <c r="P19" i="8" s="1"/>
  <c r="L54" i="8"/>
  <c r="M54" i="8"/>
  <c r="O54" i="8" s="1"/>
  <c r="P54" i="8" s="1"/>
  <c r="L44" i="8"/>
  <c r="M44" i="8"/>
  <c r="O44" i="8" s="1"/>
  <c r="P44" i="8" s="1"/>
  <c r="M37" i="8"/>
  <c r="L37" i="8"/>
  <c r="N37" i="8" s="1"/>
  <c r="L85" i="8"/>
  <c r="M85" i="8"/>
  <c r="L109" i="8"/>
  <c r="M109" i="8"/>
  <c r="M9" i="8"/>
  <c r="L9" i="8"/>
  <c r="M38" i="8"/>
  <c r="L38" i="8"/>
  <c r="N38" i="8" s="1"/>
  <c r="L128" i="8"/>
  <c r="M128" i="8"/>
  <c r="O128" i="8" s="1"/>
  <c r="P128" i="8" s="1"/>
  <c r="M99" i="8"/>
  <c r="L99" i="8"/>
  <c r="L61" i="8"/>
  <c r="M61" i="8"/>
  <c r="L84" i="8"/>
  <c r="M84" i="8"/>
  <c r="M93" i="8"/>
  <c r="L93" i="8"/>
  <c r="P93" i="8" s="1"/>
  <c r="M36" i="8"/>
  <c r="L36" i="8"/>
  <c r="N36" i="8" s="1"/>
  <c r="L59" i="8"/>
  <c r="M59" i="8"/>
  <c r="O59" i="8" s="1"/>
  <c r="P59" i="8" s="1"/>
  <c r="L20" i="8"/>
  <c r="M20" i="8"/>
  <c r="O20" i="8" s="1"/>
  <c r="P20" i="8" s="1"/>
  <c r="M8" i="8"/>
  <c r="L8" i="8"/>
  <c r="M98" i="8"/>
  <c r="L98" i="8"/>
  <c r="N98" i="8" s="1"/>
  <c r="M23" i="8"/>
  <c r="L23" i="8"/>
  <c r="M14" i="8"/>
  <c r="L14" i="8"/>
  <c r="L35" i="8"/>
  <c r="M35" i="8"/>
  <c r="L116" i="8"/>
  <c r="M116" i="8"/>
  <c r="M83" i="8"/>
  <c r="L83" i="8"/>
  <c r="N83" i="8" s="1"/>
  <c r="M77" i="8"/>
  <c r="L77" i="8"/>
  <c r="N77" i="8" s="1"/>
  <c r="R102" i="3"/>
  <c r="T102" i="3" s="1"/>
  <c r="R242" i="3"/>
  <c r="T242" i="3" s="1"/>
  <c r="R244" i="3"/>
  <c r="T244" i="3" s="1"/>
  <c r="S328" i="3"/>
  <c r="S329" i="3" s="1"/>
  <c r="R184" i="3"/>
  <c r="T184" i="3" s="1"/>
  <c r="R100" i="3"/>
  <c r="T100" i="3" s="1"/>
  <c r="R327" i="3"/>
  <c r="T327" i="3" s="1"/>
  <c r="S341" i="3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R353" i="3"/>
  <c r="T353" i="3" s="1"/>
  <c r="S227" i="3"/>
  <c r="S228" i="3" s="1"/>
  <c r="S229" i="3" s="1"/>
  <c r="S230" i="3" s="1"/>
  <c r="S231" i="3" s="1"/>
  <c r="S232" i="3" s="1"/>
  <c r="S233" i="3" s="1"/>
  <c r="S234" i="3" s="1"/>
  <c r="S235" i="3" s="1"/>
  <c r="S236" i="3" s="1"/>
  <c r="S237" i="3" s="1"/>
  <c r="S238" i="3" s="1"/>
  <c r="S239" i="3" s="1"/>
  <c r="S240" i="3" s="1"/>
  <c r="S241" i="3" s="1"/>
  <c r="S242" i="3" s="1"/>
  <c r="S243" i="3" s="1"/>
  <c r="R243" i="3" s="1"/>
  <c r="T243" i="3" s="1"/>
  <c r="R241" i="3"/>
  <c r="T241" i="3" s="1"/>
  <c r="R99" i="3"/>
  <c r="T99" i="3" s="1"/>
  <c r="R324" i="3"/>
  <c r="T324" i="3" s="1"/>
  <c r="R198" i="3"/>
  <c r="T198" i="3" s="1"/>
  <c r="R338" i="3"/>
  <c r="T338" i="3" s="1"/>
  <c r="S63" i="3"/>
  <c r="S64" i="3" s="1"/>
  <c r="S65" i="3" s="1"/>
  <c r="S66" i="3" s="1"/>
  <c r="S67" i="3" s="1"/>
  <c r="R318" i="3"/>
  <c r="T318" i="3" s="1"/>
  <c r="S244" i="3"/>
  <c r="S209" i="3"/>
  <c r="S210" i="3" s="1"/>
  <c r="S211" i="3" s="1"/>
  <c r="S212" i="3" s="1"/>
  <c r="S258" i="3"/>
  <c r="S259" i="3" s="1"/>
  <c r="S260" i="3" s="1"/>
  <c r="S261" i="3" s="1"/>
  <c r="S262" i="3" s="1"/>
  <c r="S263" i="3" s="1"/>
  <c r="S264" i="3" s="1"/>
  <c r="S265" i="3" s="1"/>
  <c r="S266" i="3" s="1"/>
  <c r="S267" i="3" s="1"/>
  <c r="S268" i="3" s="1"/>
  <c r="S269" i="3" s="1"/>
  <c r="S270" i="3" s="1"/>
  <c r="S271" i="3" s="1"/>
  <c r="S272" i="3" s="1"/>
  <c r="S273" i="3" s="1"/>
  <c r="S274" i="3" s="1"/>
  <c r="S275" i="3" s="1"/>
  <c r="S276" i="3" s="1"/>
  <c r="S277" i="3" s="1"/>
  <c r="S278" i="3" s="1"/>
  <c r="S279" i="3" s="1"/>
  <c r="R238" i="3"/>
  <c r="T238" i="3" s="1"/>
  <c r="S330" i="3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R340" i="3" s="1"/>
  <c r="T340" i="3" s="1"/>
  <c r="R329" i="3"/>
  <c r="T329" i="3" s="1"/>
  <c r="R107" i="3"/>
  <c r="T107" i="3" s="1"/>
  <c r="R134" i="3"/>
  <c r="T134" i="3" s="1"/>
  <c r="R191" i="3"/>
  <c r="T191" i="3" s="1"/>
  <c r="S191" i="3"/>
  <c r="S192" i="3" s="1"/>
  <c r="S193" i="3" s="1"/>
  <c r="S194" i="3" s="1"/>
  <c r="S195" i="3" s="1"/>
  <c r="R218" i="3"/>
  <c r="T218" i="3" s="1"/>
  <c r="R246" i="3"/>
  <c r="T246" i="3" s="1"/>
  <c r="S247" i="3"/>
  <c r="S248" i="3" s="1"/>
  <c r="R274" i="3"/>
  <c r="T274" i="3" s="1"/>
  <c r="R331" i="3"/>
  <c r="T331" i="3" s="1"/>
  <c r="R330" i="3"/>
  <c r="T330" i="3" s="1"/>
  <c r="R359" i="3"/>
  <c r="T359" i="3" s="1"/>
  <c r="R358" i="3"/>
  <c r="T358" i="3" s="1"/>
  <c r="R108" i="3"/>
  <c r="T108" i="3" s="1"/>
  <c r="R305" i="3"/>
  <c r="T305" i="3" s="1"/>
  <c r="S361" i="3"/>
  <c r="R361" i="3" s="1"/>
  <c r="T361" i="3" s="1"/>
  <c r="S362" i="3"/>
  <c r="R362" i="3" s="1"/>
  <c r="T362" i="3" s="1"/>
  <c r="R139" i="3"/>
  <c r="T139" i="3" s="1"/>
  <c r="S139" i="3"/>
  <c r="S140" i="3" s="1"/>
  <c r="S141" i="3" s="1"/>
  <c r="S142" i="3" s="1"/>
  <c r="S143" i="3" s="1"/>
  <c r="R195" i="3"/>
  <c r="T195" i="3" s="1"/>
  <c r="S196" i="3"/>
  <c r="S197" i="3" s="1"/>
  <c r="S198" i="3" s="1"/>
  <c r="S199" i="3" s="1"/>
  <c r="S200" i="3" s="1"/>
  <c r="S201" i="3" s="1"/>
  <c r="S202" i="3" s="1"/>
  <c r="S203" i="3" s="1"/>
  <c r="R363" i="3"/>
  <c r="T363" i="3" s="1"/>
  <c r="S363" i="3"/>
  <c r="S364" i="3" s="1"/>
  <c r="S365" i="3" s="1"/>
  <c r="S366" i="3" s="1"/>
  <c r="S367" i="3" s="1"/>
  <c r="R336" i="3"/>
  <c r="T336" i="3" s="1"/>
  <c r="R162" i="3"/>
  <c r="T162" i="3" s="1"/>
  <c r="R98" i="3"/>
  <c r="T98" i="3" s="1"/>
  <c r="R269" i="3"/>
  <c r="T269" i="3" s="1"/>
  <c r="R328" i="3"/>
  <c r="T328" i="3" s="1"/>
  <c r="S359" i="3"/>
  <c r="S360" i="3" s="1"/>
  <c r="R360" i="3" s="1"/>
  <c r="T360" i="3" s="1"/>
  <c r="R259" i="3"/>
  <c r="T259" i="3" s="1"/>
  <c r="R124" i="3"/>
  <c r="T124" i="3" s="1"/>
  <c r="R315" i="3"/>
  <c r="T315" i="3" s="1"/>
  <c r="R209" i="3"/>
  <c r="T209" i="3" s="1"/>
  <c r="R321" i="3"/>
  <c r="T321" i="3" s="1"/>
  <c r="R197" i="3"/>
  <c r="T197" i="3" s="1"/>
  <c r="R254" i="3"/>
  <c r="T254" i="3" s="1"/>
  <c r="R339" i="3"/>
  <c r="T339" i="3" s="1"/>
  <c r="S121" i="3"/>
  <c r="R176" i="3"/>
  <c r="T176" i="3" s="1"/>
  <c r="R170" i="3"/>
  <c r="T170" i="3" s="1"/>
  <c r="S313" i="3"/>
  <c r="R313" i="3" s="1"/>
  <c r="T313" i="3" s="1"/>
  <c r="S314" i="3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R326" i="3" s="1"/>
  <c r="T326" i="3" s="1"/>
  <c r="R341" i="3"/>
  <c r="T341" i="3" s="1"/>
  <c r="R261" i="3"/>
  <c r="T261" i="3" s="1"/>
  <c r="R95" i="3"/>
  <c r="T95" i="3" s="1"/>
  <c r="R179" i="3"/>
  <c r="T179" i="3" s="1"/>
  <c r="R207" i="3"/>
  <c r="T207" i="3" s="1"/>
  <c r="R263" i="3"/>
  <c r="T263" i="3" s="1"/>
  <c r="R291" i="3"/>
  <c r="T291" i="3" s="1"/>
  <c r="R319" i="3"/>
  <c r="T319" i="3" s="1"/>
  <c r="R347" i="3"/>
  <c r="T347" i="3" s="1"/>
  <c r="R320" i="3"/>
  <c r="T320" i="3" s="1"/>
  <c r="S96" i="3"/>
  <c r="S97" i="3" s="1"/>
  <c r="S98" i="3" s="1"/>
  <c r="S99" i="3" s="1"/>
  <c r="S100" i="3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295" i="3"/>
  <c r="S296" i="3" s="1"/>
  <c r="S297" i="3" s="1"/>
  <c r="R75" i="3"/>
  <c r="T75" i="3" s="1"/>
  <c r="W143" i="1"/>
  <c r="W88" i="1"/>
  <c r="W342" i="1"/>
  <c r="V342" i="1"/>
  <c r="Z342" i="1" s="1"/>
  <c r="V258" i="1"/>
  <c r="Z258" i="1" s="1"/>
  <c r="W341" i="1"/>
  <c r="V341" i="1"/>
  <c r="Z341" i="1" s="1"/>
  <c r="W285" i="1"/>
  <c r="V285" i="1"/>
  <c r="Z285" i="1" s="1"/>
  <c r="W145" i="1"/>
  <c r="W144" i="1"/>
  <c r="W171" i="1"/>
  <c r="W282" i="1"/>
  <c r="W115" i="1"/>
  <c r="W258" i="1"/>
  <c r="Z62" i="1"/>
  <c r="W281" i="1"/>
  <c r="W141" i="1"/>
  <c r="V313" i="1"/>
  <c r="Z313" i="1" s="1"/>
  <c r="W280" i="1"/>
  <c r="W116" i="1"/>
  <c r="V117" i="1"/>
  <c r="Z117" i="1" s="1"/>
  <c r="V194" i="1"/>
  <c r="Z194" i="1" s="1"/>
  <c r="V201" i="1"/>
  <c r="Z201" i="1" s="1"/>
  <c r="V202" i="1"/>
  <c r="Z202" i="1" s="1"/>
  <c r="Y63" i="1"/>
  <c r="Y64" i="1" s="1"/>
  <c r="Y65" i="1" s="1"/>
  <c r="Y66" i="1" s="1"/>
  <c r="Y67" i="1" s="1"/>
  <c r="W67" i="1" s="1"/>
  <c r="V87" i="1"/>
  <c r="Z87" i="1" s="1"/>
  <c r="W157" i="1"/>
  <c r="V283" i="1"/>
  <c r="Z283" i="1" s="1"/>
  <c r="V295" i="1"/>
  <c r="Z295" i="1" s="1"/>
  <c r="V322" i="1"/>
  <c r="Z322" i="1" s="1"/>
  <c r="W98" i="1"/>
  <c r="W153" i="1"/>
  <c r="V352" i="1"/>
  <c r="Z352" i="1" s="1"/>
  <c r="W97" i="1"/>
  <c r="W69" i="1"/>
  <c r="V154" i="1"/>
  <c r="Z154" i="1" s="1"/>
  <c r="V296" i="1"/>
  <c r="Z296" i="1" s="1"/>
  <c r="W263" i="1"/>
  <c r="V67" i="1"/>
  <c r="Z67" i="1" s="1"/>
  <c r="W353" i="1"/>
  <c r="W122" i="1"/>
  <c r="W230" i="1"/>
  <c r="V230" i="1"/>
  <c r="Z230" i="1" s="1"/>
  <c r="W174" i="1"/>
  <c r="V174" i="1"/>
  <c r="Z174" i="1" s="1"/>
  <c r="W118" i="1"/>
  <c r="V118" i="1"/>
  <c r="Z118" i="1" s="1"/>
  <c r="W229" i="1"/>
  <c r="V229" i="1"/>
  <c r="Z229" i="1" s="1"/>
  <c r="W173" i="1"/>
  <c r="W368" i="1"/>
  <c r="V368" i="1"/>
  <c r="Z368" i="1" s="1"/>
  <c r="W256" i="1"/>
  <c r="V256" i="1"/>
  <c r="Z256" i="1" s="1"/>
  <c r="W172" i="1"/>
  <c r="V172" i="1"/>
  <c r="Z172" i="1" s="1"/>
  <c r="W255" i="1"/>
  <c r="V255" i="1"/>
  <c r="Z255" i="1" s="1"/>
  <c r="V199" i="1"/>
  <c r="Z199" i="1" s="1"/>
  <c r="W338" i="1"/>
  <c r="W170" i="1"/>
  <c r="V86" i="1"/>
  <c r="Z86" i="1" s="1"/>
  <c r="W140" i="1"/>
  <c r="V200" i="1"/>
  <c r="Z200" i="1" s="1"/>
  <c r="V339" i="1"/>
  <c r="Z339" i="1" s="1"/>
  <c r="W146" i="1"/>
  <c r="W156" i="1"/>
  <c r="V351" i="1"/>
  <c r="Z351" i="1" s="1"/>
  <c r="W99" i="1"/>
  <c r="V99" i="1"/>
  <c r="Z99" i="1" s="1"/>
  <c r="W351" i="1"/>
  <c r="W70" i="1"/>
  <c r="W295" i="1"/>
  <c r="W319" i="1"/>
  <c r="W207" i="1"/>
  <c r="V123" i="1"/>
  <c r="Z123" i="1" s="1"/>
  <c r="V155" i="1"/>
  <c r="Z155" i="1" s="1"/>
  <c r="V171" i="1"/>
  <c r="Z171" i="1" s="1"/>
  <c r="W333" i="1"/>
  <c r="W249" i="1"/>
  <c r="V193" i="1"/>
  <c r="Z193" i="1" s="1"/>
  <c r="W137" i="1"/>
  <c r="W81" i="1"/>
  <c r="V206" i="1"/>
  <c r="Z206" i="1" s="1"/>
  <c r="V319" i="1"/>
  <c r="Z319" i="1" s="1"/>
  <c r="W192" i="1"/>
  <c r="W80" i="1"/>
  <c r="V207" i="1"/>
  <c r="Z207" i="1" s="1"/>
  <c r="W190" i="1"/>
  <c r="V78" i="1"/>
  <c r="Z78" i="1" s="1"/>
  <c r="V64" i="1"/>
  <c r="Z64" i="1" s="1"/>
  <c r="W189" i="1"/>
  <c r="W133" i="1"/>
  <c r="V77" i="1"/>
  <c r="Z77" i="1" s="1"/>
  <c r="V288" i="1"/>
  <c r="Z288" i="1" s="1"/>
  <c r="W188" i="1"/>
  <c r="W132" i="1"/>
  <c r="W104" i="1"/>
  <c r="V76" i="1"/>
  <c r="Z76" i="1" s="1"/>
  <c r="W215" i="1"/>
  <c r="W103" i="1"/>
  <c r="W158" i="1"/>
  <c r="W102" i="1"/>
  <c r="W291" i="1"/>
  <c r="W235" i="1"/>
  <c r="W95" i="1"/>
  <c r="V262" i="1"/>
  <c r="Z262" i="1" s="1"/>
  <c r="W290" i="1"/>
  <c r="W94" i="1"/>
  <c r="W66" i="1"/>
  <c r="W193" i="1"/>
  <c r="W289" i="1"/>
  <c r="W93" i="1"/>
  <c r="W65" i="1"/>
  <c r="V263" i="1"/>
  <c r="Z263" i="1" s="1"/>
  <c r="W344" i="1"/>
  <c r="V204" i="1"/>
  <c r="Z204" i="1" s="1"/>
  <c r="V148" i="1"/>
  <c r="Z148" i="1" s="1"/>
  <c r="W64" i="1"/>
  <c r="V343" i="1"/>
  <c r="Z343" i="1" s="1"/>
  <c r="W254" i="1"/>
  <c r="V254" i="1"/>
  <c r="Z254" i="1" s="1"/>
  <c r="W365" i="1"/>
  <c r="V365" i="1"/>
  <c r="Z365" i="1" s="1"/>
  <c r="W309" i="1"/>
  <c r="V309" i="1"/>
  <c r="Z309" i="1" s="1"/>
  <c r="W253" i="1"/>
  <c r="V253" i="1"/>
  <c r="Z253" i="1" s="1"/>
  <c r="W225" i="1"/>
  <c r="V169" i="1"/>
  <c r="Z169" i="1" s="1"/>
  <c r="W113" i="1"/>
  <c r="V85" i="1"/>
  <c r="Z85" i="1" s="1"/>
  <c r="V198" i="1"/>
  <c r="Z198" i="1" s="1"/>
  <c r="W364" i="1"/>
  <c r="V364" i="1"/>
  <c r="Z364" i="1" s="1"/>
  <c r="W308" i="1"/>
  <c r="V308" i="1"/>
  <c r="Z308" i="1" s="1"/>
  <c r="W196" i="1"/>
  <c r="V196" i="1"/>
  <c r="Z196" i="1" s="1"/>
  <c r="W168" i="1"/>
  <c r="V168" i="1"/>
  <c r="Z168" i="1" s="1"/>
  <c r="W112" i="1"/>
  <c r="V112" i="1"/>
  <c r="Z112" i="1" s="1"/>
  <c r="V84" i="1"/>
  <c r="Z84" i="1" s="1"/>
  <c r="W198" i="1"/>
  <c r="V224" i="1"/>
  <c r="Z224" i="1" s="1"/>
  <c r="V363" i="1"/>
  <c r="Z363" i="1" s="1"/>
  <c r="W363" i="1"/>
  <c r="V335" i="1"/>
  <c r="Z335" i="1" s="1"/>
  <c r="V307" i="1"/>
  <c r="Z307" i="1" s="1"/>
  <c r="W307" i="1"/>
  <c r="V279" i="1"/>
  <c r="Z279" i="1" s="1"/>
  <c r="V195" i="1"/>
  <c r="Z195" i="1" s="1"/>
  <c r="W195" i="1"/>
  <c r="V167" i="1"/>
  <c r="Z167" i="1" s="1"/>
  <c r="W167" i="1"/>
  <c r="V139" i="1"/>
  <c r="Z139" i="1" s="1"/>
  <c r="V111" i="1"/>
  <c r="Z111" i="1" s="1"/>
  <c r="W111" i="1"/>
  <c r="V83" i="1"/>
  <c r="Z83" i="1" s="1"/>
  <c r="W224" i="1"/>
  <c r="W334" i="1"/>
  <c r="W278" i="1"/>
  <c r="W250" i="1"/>
  <c r="W222" i="1"/>
  <c r="W194" i="1"/>
  <c r="W166" i="1"/>
  <c r="V166" i="1"/>
  <c r="Z166" i="1" s="1"/>
  <c r="W138" i="1"/>
  <c r="W110" i="1"/>
  <c r="V82" i="1"/>
  <c r="Z82" i="1" s="1"/>
  <c r="V225" i="1"/>
  <c r="Z225" i="1" s="1"/>
  <c r="V333" i="1"/>
  <c r="Z333" i="1" s="1"/>
  <c r="W361" i="1"/>
  <c r="V361" i="1"/>
  <c r="Z361" i="1" s="1"/>
  <c r="W305" i="1"/>
  <c r="V305" i="1"/>
  <c r="Z305" i="1" s="1"/>
  <c r="W221" i="1"/>
  <c r="V221" i="1"/>
  <c r="Z221" i="1" s="1"/>
  <c r="W165" i="1"/>
  <c r="V165" i="1"/>
  <c r="Z165" i="1" s="1"/>
  <c r="W109" i="1"/>
  <c r="V109" i="1"/>
  <c r="Z109" i="1" s="1"/>
  <c r="W360" i="1"/>
  <c r="V360" i="1"/>
  <c r="Z360" i="1" s="1"/>
  <c r="W332" i="1"/>
  <c r="V332" i="1"/>
  <c r="Z332" i="1" s="1"/>
  <c r="W304" i="1"/>
  <c r="W164" i="1"/>
  <c r="V164" i="1"/>
  <c r="Z164" i="1" s="1"/>
  <c r="W136" i="1"/>
  <c r="V136" i="1"/>
  <c r="Z136" i="1" s="1"/>
  <c r="W108" i="1"/>
  <c r="V108" i="1"/>
  <c r="Z108" i="1" s="1"/>
  <c r="V249" i="1"/>
  <c r="Z249" i="1" s="1"/>
  <c r="V334" i="1"/>
  <c r="Z334" i="1" s="1"/>
  <c r="W359" i="1"/>
  <c r="V359" i="1"/>
  <c r="Z359" i="1" s="1"/>
  <c r="W331" i="1"/>
  <c r="V331" i="1"/>
  <c r="Z331" i="1" s="1"/>
  <c r="W163" i="1"/>
  <c r="V163" i="1"/>
  <c r="Z163" i="1" s="1"/>
  <c r="W135" i="1"/>
  <c r="V278" i="1"/>
  <c r="Z278" i="1" s="1"/>
  <c r="W335" i="1"/>
  <c r="W330" i="1"/>
  <c r="W274" i="1"/>
  <c r="V274" i="1"/>
  <c r="Z274" i="1" s="1"/>
  <c r="W218" i="1"/>
  <c r="V218" i="1"/>
  <c r="Z218" i="1" s="1"/>
  <c r="W162" i="1"/>
  <c r="V162" i="1"/>
  <c r="Z162" i="1" s="1"/>
  <c r="W106" i="1"/>
  <c r="V250" i="1"/>
  <c r="Z250" i="1" s="1"/>
  <c r="W279" i="1"/>
  <c r="W357" i="1"/>
  <c r="W273" i="1"/>
  <c r="V273" i="1"/>
  <c r="Z273" i="1" s="1"/>
  <c r="W217" i="1"/>
  <c r="V217" i="1"/>
  <c r="Z217" i="1" s="1"/>
  <c r="W161" i="1"/>
  <c r="V161" i="1"/>
  <c r="Z161" i="1" s="1"/>
  <c r="W105" i="1"/>
  <c r="V105" i="1"/>
  <c r="Z105" i="1" s="1"/>
  <c r="V280" i="1"/>
  <c r="Z280" i="1" s="1"/>
  <c r="W356" i="1"/>
  <c r="W300" i="1"/>
  <c r="W272" i="1"/>
  <c r="V272" i="1"/>
  <c r="Z272" i="1" s="1"/>
  <c r="W216" i="1"/>
  <c r="W160" i="1"/>
  <c r="V132" i="1"/>
  <c r="Z132" i="1" s="1"/>
  <c r="V357" i="1"/>
  <c r="Z357" i="1" s="1"/>
  <c r="W327" i="1"/>
  <c r="V327" i="1"/>
  <c r="Z327" i="1" s="1"/>
  <c r="W271" i="1"/>
  <c r="V271" i="1"/>
  <c r="Z271" i="1" s="1"/>
  <c r="V131" i="1"/>
  <c r="Z131" i="1" s="1"/>
  <c r="W75" i="1"/>
  <c r="V281" i="1"/>
  <c r="Z281" i="1" s="1"/>
  <c r="V304" i="1"/>
  <c r="Z304" i="1" s="1"/>
  <c r="W270" i="1"/>
  <c r="V270" i="1"/>
  <c r="Z270" i="1" s="1"/>
  <c r="W242" i="1"/>
  <c r="V242" i="1"/>
  <c r="Z242" i="1" s="1"/>
  <c r="W186" i="1"/>
  <c r="W130" i="1"/>
  <c r="V130" i="1"/>
  <c r="Z130" i="1" s="1"/>
  <c r="W74" i="1"/>
  <c r="V102" i="1"/>
  <c r="Z102" i="1" s="1"/>
  <c r="V338" i="1"/>
  <c r="Z338" i="1" s="1"/>
  <c r="W325" i="1"/>
  <c r="V325" i="1"/>
  <c r="Z325" i="1" s="1"/>
  <c r="W241" i="1"/>
  <c r="V241" i="1"/>
  <c r="Z241" i="1" s="1"/>
  <c r="W185" i="1"/>
  <c r="V185" i="1"/>
  <c r="Z185" i="1" s="1"/>
  <c r="W129" i="1"/>
  <c r="W72" i="1"/>
  <c r="V282" i="1"/>
  <c r="Z282" i="1" s="1"/>
  <c r="W324" i="1"/>
  <c r="V324" i="1"/>
  <c r="Z324" i="1" s="1"/>
  <c r="W268" i="1"/>
  <c r="V268" i="1"/>
  <c r="Z268" i="1" s="1"/>
  <c r="W240" i="1"/>
  <c r="W184" i="1"/>
  <c r="V184" i="1"/>
  <c r="Z184" i="1" s="1"/>
  <c r="W128" i="1"/>
  <c r="V128" i="1"/>
  <c r="Z128" i="1" s="1"/>
  <c r="W73" i="1"/>
  <c r="V103" i="1"/>
  <c r="Z103" i="1" s="1"/>
  <c r="V134" i="1"/>
  <c r="Z134" i="1" s="1"/>
  <c r="V187" i="1"/>
  <c r="Z187" i="1" s="1"/>
  <c r="W323" i="1"/>
  <c r="V323" i="1"/>
  <c r="Z323" i="1" s="1"/>
  <c r="W322" i="1"/>
  <c r="W267" i="1"/>
  <c r="V239" i="1"/>
  <c r="Z239" i="1" s="1"/>
  <c r="W211" i="1"/>
  <c r="V211" i="1"/>
  <c r="Z211" i="1" s="1"/>
  <c r="W183" i="1"/>
  <c r="V183" i="1"/>
  <c r="Z183" i="1" s="1"/>
  <c r="W127" i="1"/>
  <c r="V127" i="1"/>
  <c r="Z127" i="1" s="1"/>
  <c r="W76" i="1"/>
  <c r="W134" i="1"/>
  <c r="W187" i="1"/>
  <c r="W126" i="1"/>
  <c r="W77" i="1"/>
  <c r="V104" i="1"/>
  <c r="Z104" i="1" s="1"/>
  <c r="V137" i="1"/>
  <c r="Z137" i="1" s="1"/>
  <c r="V188" i="1"/>
  <c r="Z188" i="1" s="1"/>
  <c r="W78" i="1"/>
  <c r="V81" i="1"/>
  <c r="Z81" i="1" s="1"/>
  <c r="W79" i="1"/>
  <c r="V107" i="1"/>
  <c r="Z107" i="1" s="1"/>
  <c r="V189" i="1"/>
  <c r="Z189" i="1" s="1"/>
  <c r="V80" i="1"/>
  <c r="Z80" i="1" s="1"/>
  <c r="W107" i="1"/>
  <c r="W139" i="1"/>
  <c r="V79" i="1"/>
  <c r="Z79" i="1" s="1"/>
  <c r="W114" i="1"/>
  <c r="V140" i="1"/>
  <c r="Z140" i="1" s="1"/>
  <c r="V210" i="1"/>
  <c r="Z210" i="1" s="1"/>
  <c r="W239" i="1"/>
  <c r="W82" i="1"/>
  <c r="W159" i="1"/>
  <c r="V213" i="1"/>
  <c r="Z213" i="1" s="1"/>
  <c r="V240" i="1"/>
  <c r="Z240" i="1" s="1"/>
  <c r="W83" i="1"/>
  <c r="V141" i="1"/>
  <c r="Z141" i="1" s="1"/>
  <c r="V160" i="1"/>
  <c r="Z160" i="1" s="1"/>
  <c r="V191" i="1"/>
  <c r="Z191" i="1" s="1"/>
  <c r="W213" i="1"/>
  <c r="W84" i="1"/>
  <c r="W169" i="1"/>
  <c r="W191" i="1"/>
  <c r="V214" i="1"/>
  <c r="Z214" i="1" s="1"/>
  <c r="V75" i="1"/>
  <c r="Z75" i="1" s="1"/>
  <c r="W85" i="1"/>
  <c r="V170" i="1"/>
  <c r="Z170" i="1" s="1"/>
  <c r="V192" i="1"/>
  <c r="Z192" i="1" s="1"/>
  <c r="W214" i="1"/>
  <c r="V350" i="1"/>
  <c r="Z350" i="1" s="1"/>
  <c r="V74" i="1"/>
  <c r="Z74" i="1" s="1"/>
  <c r="W86" i="1"/>
  <c r="V215" i="1"/>
  <c r="Z215" i="1" s="1"/>
  <c r="W350" i="1"/>
  <c r="W210" i="1"/>
  <c r="W182" i="1"/>
  <c r="V182" i="1"/>
  <c r="Z182" i="1" s="1"/>
  <c r="V349" i="1"/>
  <c r="Z349" i="1" s="1"/>
  <c r="V265" i="1"/>
  <c r="Z265" i="1" s="1"/>
  <c r="V237" i="1"/>
  <c r="Z237" i="1" s="1"/>
  <c r="V181" i="1"/>
  <c r="Z181" i="1" s="1"/>
  <c r="W181" i="1"/>
  <c r="V153" i="1"/>
  <c r="Z153" i="1" s="1"/>
  <c r="V125" i="1"/>
  <c r="Z125" i="1" s="1"/>
  <c r="V97" i="1"/>
  <c r="Z97" i="1" s="1"/>
  <c r="X69" i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W348" i="1"/>
  <c r="W292" i="1"/>
  <c r="W264" i="1"/>
  <c r="W236" i="1"/>
  <c r="W180" i="1"/>
  <c r="V180" i="1"/>
  <c r="Z180" i="1" s="1"/>
  <c r="W124" i="1"/>
  <c r="W96" i="1"/>
  <c r="V179" i="1"/>
  <c r="Z179" i="1" s="1"/>
  <c r="W347" i="1"/>
  <c r="V347" i="1"/>
  <c r="Z347" i="1" s="1"/>
  <c r="W179" i="1"/>
  <c r="W151" i="1"/>
  <c r="X68" i="1"/>
  <c r="V68" i="1" s="1"/>
  <c r="Z68" i="1" s="1"/>
  <c r="W234" i="1"/>
  <c r="W346" i="1"/>
  <c r="V346" i="1"/>
  <c r="Z346" i="1" s="1"/>
  <c r="W150" i="1"/>
  <c r="V150" i="1"/>
  <c r="Z150" i="1" s="1"/>
  <c r="Y68" i="1"/>
  <c r="Y69" i="1" s="1"/>
  <c r="Y70" i="1" s="1"/>
  <c r="Y71" i="1" s="1"/>
  <c r="Y72" i="1" s="1"/>
  <c r="Y73" i="1" s="1"/>
  <c r="Y74" i="1" s="1"/>
  <c r="Y75" i="1" s="1"/>
  <c r="Y76" i="1" s="1"/>
  <c r="Y77" i="1" s="1"/>
  <c r="Y78" i="1" s="1"/>
  <c r="Y79" i="1" s="1"/>
  <c r="Y80" i="1" s="1"/>
  <c r="Y81" i="1" s="1"/>
  <c r="Y82" i="1" s="1"/>
  <c r="Y83" i="1" s="1"/>
  <c r="Y84" i="1" s="1"/>
  <c r="Y85" i="1" s="1"/>
  <c r="Y86" i="1" s="1"/>
  <c r="Y87" i="1" s="1"/>
  <c r="Y88" i="1" s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V93" i="1"/>
  <c r="Z93" i="1" s="1"/>
  <c r="V235" i="1"/>
  <c r="Z235" i="1" s="1"/>
  <c r="V289" i="1"/>
  <c r="Z289" i="1" s="1"/>
  <c r="W345" i="1"/>
  <c r="W317" i="1"/>
  <c r="V317" i="1"/>
  <c r="Z317" i="1" s="1"/>
  <c r="W149" i="1"/>
  <c r="W121" i="1"/>
  <c r="W316" i="1"/>
  <c r="V316" i="1"/>
  <c r="Z316" i="1" s="1"/>
  <c r="W120" i="1"/>
  <c r="V94" i="1"/>
  <c r="Z94" i="1" s="1"/>
  <c r="V236" i="1"/>
  <c r="Z236" i="1" s="1"/>
  <c r="V290" i="1"/>
  <c r="Z290" i="1" s="1"/>
  <c r="W343" i="1"/>
  <c r="W91" i="1"/>
  <c r="W237" i="1"/>
  <c r="V344" i="1"/>
  <c r="Z344" i="1" s="1"/>
  <c r="V95" i="1"/>
  <c r="Z95" i="1" s="1"/>
  <c r="V147" i="1"/>
  <c r="Z147" i="1" s="1"/>
  <c r="V291" i="1"/>
  <c r="Z291" i="1" s="1"/>
  <c r="W147" i="1"/>
  <c r="W203" i="1"/>
  <c r="V345" i="1"/>
  <c r="Z345" i="1" s="1"/>
  <c r="V292" i="1"/>
  <c r="Z292" i="1" s="1"/>
  <c r="V348" i="1"/>
  <c r="Z348" i="1" s="1"/>
  <c r="V63" i="1"/>
  <c r="Z63" i="1" s="1"/>
  <c r="V286" i="1"/>
  <c r="Z286" i="1" s="1"/>
  <c r="W90" i="1"/>
  <c r="V91" i="1"/>
  <c r="Z91" i="1" s="1"/>
  <c r="S330" i="1"/>
  <c r="U330" i="1"/>
  <c r="S218" i="1"/>
  <c r="U218" i="1"/>
  <c r="S50" i="1"/>
  <c r="U50" i="1"/>
  <c r="T50" i="1" s="1"/>
  <c r="U302" i="1"/>
  <c r="S209" i="1"/>
  <c r="U209" i="1"/>
  <c r="T209" i="1" s="1"/>
  <c r="S97" i="1"/>
  <c r="U97" i="1"/>
  <c r="S68" i="1"/>
  <c r="U68" i="1"/>
  <c r="T68" i="1" s="1"/>
  <c r="S263" i="1"/>
  <c r="U263" i="1"/>
  <c r="S235" i="1"/>
  <c r="U235" i="1"/>
  <c r="S207" i="1"/>
  <c r="U207" i="1"/>
  <c r="T207" i="1" s="1"/>
  <c r="S151" i="1"/>
  <c r="U151" i="1"/>
  <c r="T151" i="1" s="1"/>
  <c r="S123" i="1"/>
  <c r="U123" i="1"/>
  <c r="T123" i="1" s="1"/>
  <c r="S95" i="1"/>
  <c r="U95" i="1"/>
  <c r="T95" i="1" s="1"/>
  <c r="S67" i="1"/>
  <c r="U67" i="1"/>
  <c r="T67" i="1" s="1"/>
  <c r="S39" i="1"/>
  <c r="U39" i="1"/>
  <c r="S346" i="1"/>
  <c r="U346" i="1"/>
  <c r="S290" i="1"/>
  <c r="U290" i="1"/>
  <c r="S262" i="1"/>
  <c r="U262" i="1"/>
  <c r="S206" i="1"/>
  <c r="U206" i="1"/>
  <c r="S150" i="1"/>
  <c r="U150" i="1"/>
  <c r="S122" i="1"/>
  <c r="U122" i="1"/>
  <c r="S94" i="1"/>
  <c r="U94" i="1"/>
  <c r="S66" i="1"/>
  <c r="U66" i="1"/>
  <c r="T66" i="1" s="1"/>
  <c r="S38" i="1"/>
  <c r="U38" i="1"/>
  <c r="T38" i="1" s="1"/>
  <c r="S10" i="1"/>
  <c r="U10" i="1"/>
  <c r="T10" i="1" s="1"/>
  <c r="S345" i="1"/>
  <c r="U345" i="1"/>
  <c r="T345" i="1" s="1"/>
  <c r="S317" i="1"/>
  <c r="U317" i="1"/>
  <c r="T317" i="1" s="1"/>
  <c r="S289" i="1"/>
  <c r="U289" i="1"/>
  <c r="S261" i="1"/>
  <c r="U261" i="1"/>
  <c r="T261" i="1" s="1"/>
  <c r="S205" i="1"/>
  <c r="U205" i="1"/>
  <c r="T205" i="1" s="1"/>
  <c r="S149" i="1"/>
  <c r="U149" i="1"/>
  <c r="T149" i="1" s="1"/>
  <c r="S121" i="1"/>
  <c r="U121" i="1"/>
  <c r="T121" i="1" s="1"/>
  <c r="S93" i="1"/>
  <c r="U93" i="1"/>
  <c r="S37" i="1"/>
  <c r="U37" i="1"/>
  <c r="T37" i="1" s="1"/>
  <c r="S9" i="1"/>
  <c r="U9" i="1"/>
  <c r="S358" i="1"/>
  <c r="U358" i="1"/>
  <c r="S246" i="1"/>
  <c r="U246" i="1"/>
  <c r="S106" i="1"/>
  <c r="U106" i="1"/>
  <c r="T106" i="1" s="1"/>
  <c r="U162" i="1"/>
  <c r="T162" i="1" s="1"/>
  <c r="S265" i="1"/>
  <c r="U265" i="1"/>
  <c r="T265" i="1" s="1"/>
  <c r="S125" i="1"/>
  <c r="U125" i="1"/>
  <c r="S264" i="1"/>
  <c r="U264" i="1"/>
  <c r="U348" i="1"/>
  <c r="S167" i="1"/>
  <c r="U167" i="1"/>
  <c r="T167" i="1" s="1"/>
  <c r="S83" i="1"/>
  <c r="U83" i="1"/>
  <c r="T83" i="1" s="1"/>
  <c r="S362" i="1"/>
  <c r="U362" i="1"/>
  <c r="S306" i="1"/>
  <c r="U306" i="1"/>
  <c r="S222" i="1"/>
  <c r="U222" i="1"/>
  <c r="S166" i="1"/>
  <c r="U166" i="1"/>
  <c r="T166" i="1" s="1"/>
  <c r="S138" i="1"/>
  <c r="U138" i="1"/>
  <c r="T138" i="1" s="1"/>
  <c r="S82" i="1"/>
  <c r="U82" i="1"/>
  <c r="T82" i="1" s="1"/>
  <c r="S54" i="1"/>
  <c r="U54" i="1"/>
  <c r="T54" i="1" s="1"/>
  <c r="U319" i="1"/>
  <c r="T319" i="1" s="1"/>
  <c r="U178" i="1"/>
  <c r="T178" i="1" s="1"/>
  <c r="S190" i="1"/>
  <c r="U190" i="1"/>
  <c r="S78" i="1"/>
  <c r="U78" i="1"/>
  <c r="S321" i="1"/>
  <c r="U321" i="1"/>
  <c r="T321" i="1" s="1"/>
  <c r="S153" i="1"/>
  <c r="U153" i="1"/>
  <c r="S69" i="1"/>
  <c r="U69" i="1"/>
  <c r="S152" i="1"/>
  <c r="U152" i="1"/>
  <c r="T152" i="1" s="1"/>
  <c r="S96" i="1"/>
  <c r="U96" i="1"/>
  <c r="U349" i="1"/>
  <c r="T349" i="1" s="1"/>
  <c r="S168" i="1"/>
  <c r="U168" i="1"/>
  <c r="T168" i="1" s="1"/>
  <c r="S84" i="1"/>
  <c r="U84" i="1"/>
  <c r="U180" i="1"/>
  <c r="T180" i="1" s="1"/>
  <c r="S55" i="1"/>
  <c r="U55" i="1"/>
  <c r="T55" i="1" s="1"/>
  <c r="U320" i="1"/>
  <c r="T320" i="1" s="1"/>
  <c r="U179" i="1"/>
  <c r="S334" i="1"/>
  <c r="U334" i="1"/>
  <c r="S194" i="1"/>
  <c r="U194" i="1"/>
  <c r="S333" i="1"/>
  <c r="U333" i="1"/>
  <c r="S249" i="1"/>
  <c r="U249" i="1"/>
  <c r="T249" i="1" s="1"/>
  <c r="S221" i="1"/>
  <c r="U221" i="1"/>
  <c r="T221" i="1" s="1"/>
  <c r="S193" i="1"/>
  <c r="U193" i="1"/>
  <c r="T193" i="1" s="1"/>
  <c r="S137" i="1"/>
  <c r="U137" i="1"/>
  <c r="S53" i="1"/>
  <c r="U53" i="1"/>
  <c r="S25" i="1"/>
  <c r="U25" i="1"/>
  <c r="T25" i="1" s="1"/>
  <c r="U318" i="1"/>
  <c r="U177" i="1"/>
  <c r="T177" i="1" s="1"/>
  <c r="U112" i="1"/>
  <c r="S22" i="1"/>
  <c r="U22" i="1"/>
  <c r="T22" i="1" s="1"/>
  <c r="S237" i="1"/>
  <c r="U237" i="1"/>
  <c r="T237" i="1" s="1"/>
  <c r="S208" i="1"/>
  <c r="U208" i="1"/>
  <c r="S124" i="1"/>
  <c r="U124" i="1"/>
  <c r="S336" i="1"/>
  <c r="U336" i="1"/>
  <c r="T336" i="1" s="1"/>
  <c r="S252" i="1"/>
  <c r="U252" i="1"/>
  <c r="T252" i="1" s="1"/>
  <c r="S140" i="1"/>
  <c r="U140" i="1"/>
  <c r="T140" i="1" s="1"/>
  <c r="S56" i="1"/>
  <c r="U56" i="1"/>
  <c r="T56" i="1" s="1"/>
  <c r="S335" i="1"/>
  <c r="U335" i="1"/>
  <c r="T335" i="1" s="1"/>
  <c r="S195" i="1"/>
  <c r="U195" i="1"/>
  <c r="T195" i="1" s="1"/>
  <c r="S361" i="1"/>
  <c r="U361" i="1"/>
  <c r="S305" i="1"/>
  <c r="U305" i="1"/>
  <c r="T305" i="1" s="1"/>
  <c r="S360" i="1"/>
  <c r="U360" i="1"/>
  <c r="T360" i="1" s="1"/>
  <c r="S332" i="1"/>
  <c r="U332" i="1"/>
  <c r="T332" i="1" s="1"/>
  <c r="S304" i="1"/>
  <c r="U304" i="1"/>
  <c r="S276" i="1"/>
  <c r="U276" i="1"/>
  <c r="S248" i="1"/>
  <c r="U248" i="1"/>
  <c r="S220" i="1"/>
  <c r="U220" i="1"/>
  <c r="S192" i="1"/>
  <c r="U192" i="1"/>
  <c r="T192" i="1" s="1"/>
  <c r="S136" i="1"/>
  <c r="U136" i="1"/>
  <c r="T136" i="1" s="1"/>
  <c r="S52" i="1"/>
  <c r="U52" i="1"/>
  <c r="S24" i="1"/>
  <c r="U24" i="1"/>
  <c r="U111" i="1"/>
  <c r="T111" i="1" s="1"/>
  <c r="U41" i="1"/>
  <c r="S274" i="1"/>
  <c r="U274" i="1"/>
  <c r="T274" i="1" s="1"/>
  <c r="S134" i="1"/>
  <c r="U134" i="1"/>
  <c r="T134" i="1" s="1"/>
  <c r="S236" i="1"/>
  <c r="U236" i="1"/>
  <c r="T236" i="1" s="1"/>
  <c r="U181" i="1"/>
  <c r="S308" i="1"/>
  <c r="U308" i="1"/>
  <c r="S196" i="1"/>
  <c r="U196" i="1"/>
  <c r="S363" i="1"/>
  <c r="U363" i="1"/>
  <c r="T363" i="1" s="1"/>
  <c r="S307" i="1"/>
  <c r="U307" i="1"/>
  <c r="T307" i="1" s="1"/>
  <c r="S223" i="1"/>
  <c r="U223" i="1"/>
  <c r="T223" i="1" s="1"/>
  <c r="S139" i="1"/>
  <c r="U139" i="1"/>
  <c r="T139" i="1" s="1"/>
  <c r="S359" i="1"/>
  <c r="U359" i="1"/>
  <c r="T359" i="1" s="1"/>
  <c r="S331" i="1"/>
  <c r="U331" i="1"/>
  <c r="S275" i="1"/>
  <c r="U275" i="1"/>
  <c r="S247" i="1"/>
  <c r="U247" i="1"/>
  <c r="T247" i="1" s="1"/>
  <c r="S219" i="1"/>
  <c r="U219" i="1"/>
  <c r="S191" i="1"/>
  <c r="U191" i="1"/>
  <c r="S135" i="1"/>
  <c r="U135" i="1"/>
  <c r="S107" i="1"/>
  <c r="U107" i="1"/>
  <c r="S51" i="1"/>
  <c r="U51" i="1"/>
  <c r="S23" i="1"/>
  <c r="U23" i="1"/>
  <c r="U251" i="1"/>
  <c r="T251" i="1" s="1"/>
  <c r="U110" i="1"/>
  <c r="T110" i="1" s="1"/>
  <c r="U40" i="1"/>
  <c r="T40" i="1" s="1"/>
  <c r="U77" i="1"/>
  <c r="U21" i="1"/>
  <c r="S296" i="1"/>
  <c r="U296" i="1"/>
  <c r="T296" i="1" s="1"/>
  <c r="S184" i="1"/>
  <c r="U184" i="1"/>
  <c r="S72" i="1"/>
  <c r="U72" i="1"/>
  <c r="T72" i="1" s="1"/>
  <c r="S217" i="1"/>
  <c r="S105" i="1"/>
  <c r="U105" i="1"/>
  <c r="T105" i="1" s="1"/>
  <c r="S352" i="1"/>
  <c r="U352" i="1"/>
  <c r="S240" i="1"/>
  <c r="U240" i="1"/>
  <c r="S156" i="1"/>
  <c r="U156" i="1"/>
  <c r="T156" i="1" s="1"/>
  <c r="S44" i="1"/>
  <c r="U44" i="1"/>
  <c r="T44" i="1" s="1"/>
  <c r="S273" i="1"/>
  <c r="U273" i="1"/>
  <c r="T273" i="1" s="1"/>
  <c r="U245" i="1"/>
  <c r="T245" i="1" s="1"/>
  <c r="S324" i="1"/>
  <c r="U324" i="1"/>
  <c r="T324" i="1" s="1"/>
  <c r="S268" i="1"/>
  <c r="U268" i="1"/>
  <c r="T268" i="1" s="1"/>
  <c r="S212" i="1"/>
  <c r="U212" i="1"/>
  <c r="S128" i="1"/>
  <c r="U128" i="1"/>
  <c r="S100" i="1"/>
  <c r="U100" i="1"/>
  <c r="S16" i="1"/>
  <c r="U16" i="1"/>
  <c r="S322" i="1"/>
  <c r="U322" i="1"/>
  <c r="S238" i="1"/>
  <c r="U238" i="1"/>
  <c r="S70" i="1"/>
  <c r="U70" i="1"/>
  <c r="T70" i="1" s="1"/>
  <c r="S14" i="1"/>
  <c r="U14" i="1"/>
  <c r="T14" i="1" s="1"/>
  <c r="U189" i="1"/>
  <c r="U120" i="1"/>
  <c r="T120" i="1" s="1"/>
  <c r="U119" i="1"/>
  <c r="T119" i="1" s="1"/>
  <c r="U288" i="1"/>
  <c r="T288" i="1" s="1"/>
  <c r="U118" i="1"/>
  <c r="T118" i="1" s="1"/>
  <c r="U343" i="1"/>
  <c r="T343" i="1" s="1"/>
  <c r="U36" i="1"/>
  <c r="T36" i="1" s="1"/>
  <c r="U342" i="1"/>
  <c r="T342" i="1" s="1"/>
  <c r="U35" i="1"/>
  <c r="T35" i="1" s="1"/>
  <c r="S228" i="1"/>
  <c r="U228" i="1"/>
  <c r="S200" i="1"/>
  <c r="U200" i="1"/>
  <c r="S116" i="1"/>
  <c r="U116" i="1"/>
  <c r="U204" i="1"/>
  <c r="T204" i="1" s="1"/>
  <c r="U34" i="1"/>
  <c r="U344" i="1"/>
  <c r="T344" i="1" s="1"/>
  <c r="S312" i="1"/>
  <c r="U312" i="1"/>
  <c r="S311" i="1"/>
  <c r="U311" i="1"/>
  <c r="S227" i="1"/>
  <c r="U227" i="1"/>
  <c r="U203" i="1"/>
  <c r="U351" i="1"/>
  <c r="T351" i="1" s="1"/>
  <c r="U323" i="1"/>
  <c r="U295" i="1"/>
  <c r="T295" i="1" s="1"/>
  <c r="U267" i="1"/>
  <c r="T267" i="1" s="1"/>
  <c r="U239" i="1"/>
  <c r="U211" i="1"/>
  <c r="U183" i="1"/>
  <c r="T183" i="1" s="1"/>
  <c r="U155" i="1"/>
  <c r="T155" i="1" s="1"/>
  <c r="U127" i="1"/>
  <c r="T127" i="1" s="1"/>
  <c r="U99" i="1"/>
  <c r="T99" i="1" s="1"/>
  <c r="U71" i="1"/>
  <c r="T71" i="1" s="1"/>
  <c r="U43" i="1"/>
  <c r="U15" i="1"/>
  <c r="U143" i="1"/>
  <c r="T143" i="1" s="1"/>
  <c r="U115" i="1"/>
  <c r="U31" i="1"/>
  <c r="U225" i="1"/>
  <c r="U141" i="1"/>
  <c r="U57" i="1"/>
  <c r="T57" i="1" s="1"/>
  <c r="U29" i="1"/>
  <c r="T29" i="1" s="1"/>
  <c r="T246" i="1"/>
  <c r="T331" i="1"/>
  <c r="T21" i="1"/>
  <c r="T91" i="1"/>
  <c r="T163" i="1"/>
  <c r="T92" i="1"/>
  <c r="T23" i="1"/>
  <c r="T93" i="1"/>
  <c r="T174" i="1"/>
  <c r="T258" i="1"/>
  <c r="T77" i="1"/>
  <c r="T79" i="1"/>
  <c r="T330" i="1"/>
  <c r="S357" i="1"/>
  <c r="T189" i="1"/>
  <c r="S329" i="1"/>
  <c r="T287" i="1"/>
  <c r="T78" i="1"/>
  <c r="T260" i="1"/>
  <c r="T100" i="1"/>
  <c r="T358" i="1"/>
  <c r="T370" i="1"/>
  <c r="T286" i="1"/>
  <c r="S293" i="1"/>
  <c r="T51" i="1"/>
  <c r="T202" i="1"/>
  <c r="T301" i="1"/>
  <c r="T135" i="1"/>
  <c r="S49" i="1"/>
  <c r="T49" i="1" s="1"/>
  <c r="T303" i="1"/>
  <c r="T219" i="1"/>
  <c r="T161" i="1"/>
  <c r="T292" i="1"/>
  <c r="T98" i="1"/>
  <c r="T107" i="1"/>
  <c r="T115" i="1"/>
  <c r="T371" i="1"/>
  <c r="S292" i="1"/>
  <c r="T203" i="1"/>
  <c r="T302" i="1"/>
  <c r="T218" i="1"/>
  <c r="T176" i="1"/>
  <c r="T34" i="1"/>
  <c r="T182" i="1"/>
  <c r="T184" i="1"/>
  <c r="T275" i="1"/>
  <c r="S347" i="1"/>
  <c r="T42" i="1"/>
  <c r="T190" i="1"/>
  <c r="T116" i="1"/>
  <c r="T191" i="1"/>
  <c r="S291" i="1"/>
  <c r="T294" i="1"/>
  <c r="S216" i="1"/>
  <c r="T216" i="1"/>
  <c r="S48" i="1"/>
  <c r="T48" i="1"/>
  <c r="S327" i="1"/>
  <c r="S271" i="1"/>
  <c r="T271" i="1"/>
  <c r="S215" i="1"/>
  <c r="T215" i="1"/>
  <c r="T131" i="1"/>
  <c r="S75" i="1"/>
  <c r="S19" i="1"/>
  <c r="S132" i="1"/>
  <c r="S326" i="1"/>
  <c r="T326" i="1"/>
  <c r="S298" i="1"/>
  <c r="T298" i="1"/>
  <c r="S242" i="1"/>
  <c r="T242" i="1"/>
  <c r="S130" i="1"/>
  <c r="T130" i="1"/>
  <c r="S102" i="1"/>
  <c r="T102" i="1"/>
  <c r="S46" i="1"/>
  <c r="T46" i="1"/>
  <c r="S131" i="1"/>
  <c r="S353" i="1"/>
  <c r="T353" i="1"/>
  <c r="S213" i="1"/>
  <c r="T213" i="1"/>
  <c r="S17" i="1"/>
  <c r="T17" i="1"/>
  <c r="T185" i="1"/>
  <c r="T270" i="1"/>
  <c r="T73" i="1"/>
  <c r="T354" i="1"/>
  <c r="S328" i="1"/>
  <c r="S300" i="1"/>
  <c r="S244" i="1"/>
  <c r="T244" i="1"/>
  <c r="S188" i="1"/>
  <c r="T188" i="1"/>
  <c r="S160" i="1"/>
  <c r="T160" i="1"/>
  <c r="S104" i="1"/>
  <c r="T104" i="1"/>
  <c r="S76" i="1"/>
  <c r="S20" i="1"/>
  <c r="S355" i="1"/>
  <c r="S299" i="1"/>
  <c r="T299" i="1"/>
  <c r="S243" i="1"/>
  <c r="T243" i="1"/>
  <c r="S187" i="1"/>
  <c r="T187" i="1"/>
  <c r="S159" i="1"/>
  <c r="T159" i="1"/>
  <c r="S103" i="1"/>
  <c r="T103" i="1"/>
  <c r="S47" i="1"/>
  <c r="S214" i="1"/>
  <c r="T214" i="1"/>
  <c r="S18" i="1"/>
  <c r="T18" i="1"/>
  <c r="S325" i="1"/>
  <c r="T325" i="1" s="1"/>
  <c r="S297" i="1"/>
  <c r="T297" i="1"/>
  <c r="S241" i="1"/>
  <c r="S129" i="1"/>
  <c r="T129" i="1"/>
  <c r="S101" i="1"/>
  <c r="S45" i="1"/>
  <c r="T45" i="1"/>
  <c r="T186" i="1"/>
  <c r="T269" i="1"/>
  <c r="T200" i="1"/>
  <c r="T74" i="1"/>
  <c r="T141" i="1"/>
  <c r="T142" i="1"/>
  <c r="S369" i="1"/>
  <c r="T369" i="1"/>
  <c r="S285" i="1"/>
  <c r="S201" i="1"/>
  <c r="T201" i="1"/>
  <c r="S145" i="1"/>
  <c r="T145" i="1"/>
  <c r="S61" i="1"/>
  <c r="T61" i="1"/>
  <c r="S340" i="1"/>
  <c r="T340" i="1"/>
  <c r="S144" i="1"/>
  <c r="T144" i="1"/>
  <c r="S32" i="1"/>
  <c r="T32" i="1"/>
  <c r="S339" i="1"/>
  <c r="T339" i="1"/>
  <c r="S3" i="1"/>
  <c r="T3" i="1"/>
  <c r="S310" i="1"/>
  <c r="T310" i="1"/>
  <c r="S254" i="1"/>
  <c r="T254" i="1"/>
  <c r="S170" i="1"/>
  <c r="T170" i="1"/>
  <c r="S58" i="1"/>
  <c r="T58" i="1"/>
  <c r="S341" i="1"/>
  <c r="T341" i="1"/>
  <c r="S257" i="1"/>
  <c r="S173" i="1"/>
  <c r="T173" i="1"/>
  <c r="S89" i="1"/>
  <c r="T89" i="1"/>
  <c r="S5" i="1"/>
  <c r="T5" i="1"/>
  <c r="S368" i="1"/>
  <c r="T368" i="1"/>
  <c r="S60" i="1"/>
  <c r="T60" i="1"/>
  <c r="S367" i="1"/>
  <c r="T367" i="1" s="1"/>
  <c r="S283" i="1"/>
  <c r="T283" i="1"/>
  <c r="S255" i="1"/>
  <c r="T255" i="1"/>
  <c r="S199" i="1"/>
  <c r="T199" i="1"/>
  <c r="S59" i="1"/>
  <c r="T59" i="1"/>
  <c r="S366" i="1"/>
  <c r="T366" i="1"/>
  <c r="T157" i="1"/>
  <c r="S337" i="1"/>
  <c r="T337" i="1"/>
  <c r="S169" i="1"/>
  <c r="T169" i="1"/>
  <c r="T158" i="1"/>
  <c r="S313" i="1"/>
  <c r="T313" i="1"/>
  <c r="S229" i="1"/>
  <c r="T229" i="1"/>
  <c r="S117" i="1"/>
  <c r="T117" i="1"/>
  <c r="S33" i="1"/>
  <c r="T33" i="1"/>
  <c r="S284" i="1"/>
  <c r="T284" i="1"/>
  <c r="S256" i="1"/>
  <c r="S172" i="1"/>
  <c r="S88" i="1"/>
  <c r="T88" i="1"/>
  <c r="S4" i="1"/>
  <c r="T4" i="1"/>
  <c r="S171" i="1"/>
  <c r="T171" i="1"/>
  <c r="S87" i="1"/>
  <c r="S338" i="1"/>
  <c r="T338" i="1"/>
  <c r="S282" i="1"/>
  <c r="T282" i="1"/>
  <c r="S198" i="1"/>
  <c r="S86" i="1"/>
  <c r="S365" i="1"/>
  <c r="T365" i="1"/>
  <c r="S309" i="1"/>
  <c r="T309" i="1"/>
  <c r="S281" i="1"/>
  <c r="T281" i="1"/>
  <c r="S253" i="1"/>
  <c r="T253" i="1"/>
  <c r="S197" i="1"/>
  <c r="T197" i="1"/>
  <c r="S113" i="1"/>
  <c r="S85" i="1"/>
  <c r="T85" i="1"/>
  <c r="S356" i="1"/>
  <c r="T30" i="1"/>
  <c r="T225" i="1"/>
  <c r="T31" i="1"/>
  <c r="T226" i="1"/>
  <c r="T228" i="1"/>
  <c r="T311" i="1"/>
  <c r="T312" i="1"/>
  <c r="S272" i="1"/>
  <c r="T114" i="1"/>
  <c r="T211" i="1"/>
  <c r="T84" i="1"/>
  <c r="T43" i="1"/>
  <c r="T308" i="1"/>
  <c r="T128" i="1"/>
  <c r="T350" i="1"/>
  <c r="T126" i="1"/>
  <c r="T266" i="1"/>
  <c r="T352" i="1"/>
  <c r="T224" i="1"/>
  <c r="T15" i="1"/>
  <c r="T364" i="1"/>
  <c r="T16" i="1"/>
  <c r="T322" i="1"/>
  <c r="T280" i="1"/>
  <c r="T323" i="1"/>
  <c r="T238" i="1"/>
  <c r="T196" i="1"/>
  <c r="T239" i="1"/>
  <c r="T154" i="1"/>
  <c r="T240" i="1"/>
  <c r="T112" i="1"/>
  <c r="T80" i="1"/>
  <c r="T276" i="1"/>
  <c r="T53" i="1"/>
  <c r="T81" i="1"/>
  <c r="T109" i="1"/>
  <c r="T137" i="1"/>
  <c r="T165" i="1"/>
  <c r="T277" i="1"/>
  <c r="T333" i="1"/>
  <c r="T361" i="1"/>
  <c r="T24" i="1"/>
  <c r="T52" i="1"/>
  <c r="T108" i="1"/>
  <c r="T164" i="1"/>
  <c r="T220" i="1"/>
  <c r="T248" i="1"/>
  <c r="T304" i="1"/>
  <c r="T26" i="1"/>
  <c r="T194" i="1"/>
  <c r="T222" i="1"/>
  <c r="T250" i="1"/>
  <c r="T278" i="1"/>
  <c r="T306" i="1"/>
  <c r="T334" i="1"/>
  <c r="T362" i="1"/>
  <c r="T94" i="1"/>
  <c r="T150" i="1"/>
  <c r="T206" i="1"/>
  <c r="T234" i="1"/>
  <c r="T262" i="1"/>
  <c r="T290" i="1"/>
  <c r="T318" i="1"/>
  <c r="T346" i="1"/>
  <c r="T11" i="1"/>
  <c r="T39" i="1"/>
  <c r="T263" i="1"/>
  <c r="T12" i="1"/>
  <c r="T96" i="1"/>
  <c r="T124" i="1"/>
  <c r="T208" i="1"/>
  <c r="T264" i="1"/>
  <c r="T348" i="1"/>
  <c r="T179" i="1"/>
  <c r="T235" i="1"/>
  <c r="T13" i="1"/>
  <c r="T41" i="1"/>
  <c r="T69" i="1"/>
  <c r="T97" i="1"/>
  <c r="T125" i="1"/>
  <c r="T153" i="1"/>
  <c r="T181" i="1"/>
  <c r="F359" i="5"/>
  <c r="E359" i="5"/>
  <c r="D359" i="5"/>
  <c r="C359" i="5"/>
  <c r="F359" i="6"/>
  <c r="E359" i="6"/>
  <c r="D359" i="6"/>
  <c r="C359" i="6"/>
  <c r="B359" i="6"/>
  <c r="J359" i="3"/>
  <c r="I359" i="3"/>
  <c r="H359" i="3"/>
  <c r="G359" i="3"/>
  <c r="F359" i="3"/>
  <c r="E359" i="3"/>
  <c r="D359" i="3"/>
  <c r="C359" i="3"/>
  <c r="B359" i="3"/>
  <c r="O10" i="8" l="1"/>
  <c r="P10" i="8" s="1"/>
  <c r="O68" i="8"/>
  <c r="P68" i="8" s="1"/>
  <c r="O53" i="8"/>
  <c r="P53" i="8" s="1"/>
  <c r="O34" i="8"/>
  <c r="P34" i="8" s="1"/>
  <c r="O4" i="8"/>
  <c r="N126" i="8"/>
  <c r="O71" i="8"/>
  <c r="P71" i="8" s="1"/>
  <c r="N13" i="8"/>
  <c r="O123" i="8"/>
  <c r="O45" i="8"/>
  <c r="P45" i="8" s="1"/>
  <c r="N103" i="8"/>
  <c r="O84" i="8"/>
  <c r="P84" i="8" s="1"/>
  <c r="O2" i="8"/>
  <c r="V3" i="8" s="1"/>
  <c r="V4" i="8" s="1"/>
  <c r="O18" i="8"/>
  <c r="O131" i="8"/>
  <c r="O60" i="8"/>
  <c r="P60" i="8" s="1"/>
  <c r="O9" i="8"/>
  <c r="O11" i="8"/>
  <c r="P11" i="8" s="1"/>
  <c r="O81" i="8"/>
  <c r="P81" i="8" s="1"/>
  <c r="O23" i="8"/>
  <c r="P23" i="8" s="1"/>
  <c r="O42" i="8"/>
  <c r="P42" i="8" s="1"/>
  <c r="N63" i="8"/>
  <c r="O41" i="8"/>
  <c r="P41" i="8" s="1"/>
  <c r="O56" i="8"/>
  <c r="P56" i="8" s="1"/>
  <c r="O120" i="8"/>
  <c r="O21" i="8"/>
  <c r="P21" i="8" s="1"/>
  <c r="O30" i="8"/>
  <c r="P30" i="8" s="1"/>
  <c r="N12" i="8"/>
  <c r="P12" i="8"/>
  <c r="O83" i="8"/>
  <c r="P83" i="8" s="1"/>
  <c r="O85" i="8"/>
  <c r="P85" i="8" s="1"/>
  <c r="N41" i="8"/>
  <c r="N120" i="8"/>
  <c r="P120" i="8"/>
  <c r="N65" i="8"/>
  <c r="O27" i="8"/>
  <c r="P27" i="8" s="1"/>
  <c r="N42" i="8"/>
  <c r="N56" i="8"/>
  <c r="N21" i="8"/>
  <c r="O37" i="8"/>
  <c r="P37" i="8" s="1"/>
  <c r="O118" i="8"/>
  <c r="P118" i="8"/>
  <c r="O73" i="8"/>
  <c r="P73" i="8"/>
  <c r="O40" i="8"/>
  <c r="P40" i="8" s="1"/>
  <c r="O127" i="8"/>
  <c r="P127" i="8"/>
  <c r="O111" i="8"/>
  <c r="P111" i="8"/>
  <c r="O22" i="8"/>
  <c r="P22" i="8" s="1"/>
  <c r="O80" i="8"/>
  <c r="P80" i="8" s="1"/>
  <c r="O126" i="8"/>
  <c r="P126" i="8"/>
  <c r="O13" i="8"/>
  <c r="P13" i="8"/>
  <c r="N99" i="8"/>
  <c r="P99" i="8"/>
  <c r="N97" i="8"/>
  <c r="P97" i="8"/>
  <c r="O104" i="8"/>
  <c r="P104" i="8"/>
  <c r="O115" i="8"/>
  <c r="P115" i="8"/>
  <c r="O12" i="8"/>
  <c r="O102" i="8"/>
  <c r="P102" i="8"/>
  <c r="O77" i="8"/>
  <c r="P77" i="8"/>
  <c r="O99" i="8"/>
  <c r="O97" i="8"/>
  <c r="O58" i="8"/>
  <c r="P58" i="8" s="1"/>
  <c r="O52" i="8"/>
  <c r="P52" i="8" s="1"/>
  <c r="O113" i="8"/>
  <c r="P113" i="8"/>
  <c r="N7" i="8"/>
  <c r="P7" i="8"/>
  <c r="O50" i="8"/>
  <c r="P50" i="8" s="1"/>
  <c r="N15" i="8"/>
  <c r="P15" i="8"/>
  <c r="O8" i="8"/>
  <c r="P8" i="8"/>
  <c r="O108" i="8"/>
  <c r="P108" i="8"/>
  <c r="N94" i="8"/>
  <c r="P94" i="8"/>
  <c r="O124" i="8"/>
  <c r="P124" i="8"/>
  <c r="O132" i="8"/>
  <c r="P132" i="8"/>
  <c r="N48" i="8"/>
  <c r="P48" i="8"/>
  <c r="O66" i="8"/>
  <c r="P66" i="8"/>
  <c r="O48" i="8"/>
  <c r="O96" i="8"/>
  <c r="O38" i="8"/>
  <c r="P38" i="8" s="1"/>
  <c r="O100" i="8"/>
  <c r="O51" i="8"/>
  <c r="P51" i="8" s="1"/>
  <c r="O62" i="8"/>
  <c r="P62" i="8"/>
  <c r="O39" i="8"/>
  <c r="P39" i="8" s="1"/>
  <c r="O107" i="8"/>
  <c r="P107" i="8"/>
  <c r="O114" i="8"/>
  <c r="P114" i="8"/>
  <c r="O106" i="8"/>
  <c r="P106" i="8"/>
  <c r="N76" i="8"/>
  <c r="P76" i="8"/>
  <c r="O76" i="8"/>
  <c r="O29" i="8"/>
  <c r="P29" i="8" s="1"/>
  <c r="O67" i="8"/>
  <c r="P67" i="8"/>
  <c r="N64" i="8"/>
  <c r="P64" i="8"/>
  <c r="O64" i="8"/>
  <c r="O116" i="8"/>
  <c r="P116" i="8"/>
  <c r="N100" i="8"/>
  <c r="P100" i="8"/>
  <c r="O35" i="8"/>
  <c r="P35" i="8" s="1"/>
  <c r="N9" i="8"/>
  <c r="P9" i="8"/>
  <c r="O105" i="8"/>
  <c r="P105" i="8"/>
  <c r="O70" i="8"/>
  <c r="P70" i="8" s="1"/>
  <c r="O129" i="8"/>
  <c r="P129" i="8"/>
  <c r="O17" i="8"/>
  <c r="O122" i="8"/>
  <c r="P122" i="8" s="1"/>
  <c r="O112" i="8"/>
  <c r="P112" i="8"/>
  <c r="O65" i="8"/>
  <c r="P65" i="8"/>
  <c r="N6" i="8"/>
  <c r="P6" i="8"/>
  <c r="O125" i="8"/>
  <c r="P125" i="8"/>
  <c r="N121" i="8"/>
  <c r="P121" i="8"/>
  <c r="O15" i="8"/>
  <c r="O72" i="8"/>
  <c r="P72" i="8"/>
  <c r="O110" i="8"/>
  <c r="P110" i="8"/>
  <c r="O93" i="8"/>
  <c r="O47" i="8"/>
  <c r="O78" i="8"/>
  <c r="P78" i="8" s="1"/>
  <c r="O7" i="8"/>
  <c r="O63" i="8"/>
  <c r="P63" i="8" s="1"/>
  <c r="O98" i="8"/>
  <c r="P98" i="8"/>
  <c r="O79" i="8"/>
  <c r="P79" i="8" s="1"/>
  <c r="O94" i="8"/>
  <c r="O57" i="8"/>
  <c r="P57" i="8" s="1"/>
  <c r="O36" i="8"/>
  <c r="P36" i="8" s="1"/>
  <c r="O95" i="8"/>
  <c r="O90" i="8"/>
  <c r="P90" i="8"/>
  <c r="O24" i="8"/>
  <c r="P24" i="8" s="1"/>
  <c r="N47" i="8"/>
  <c r="P47" i="8"/>
  <c r="N14" i="8"/>
  <c r="P14" i="8"/>
  <c r="O109" i="8"/>
  <c r="P109" i="8"/>
  <c r="O130" i="8"/>
  <c r="P130" i="8"/>
  <c r="O101" i="8"/>
  <c r="O103" i="8"/>
  <c r="P103" i="8"/>
  <c r="N81" i="8"/>
  <c r="O6" i="8"/>
  <c r="O121" i="8"/>
  <c r="O119" i="8"/>
  <c r="P119" i="8"/>
  <c r="N95" i="8"/>
  <c r="P95" i="8"/>
  <c r="O92" i="8"/>
  <c r="O61" i="8"/>
  <c r="P61" i="8"/>
  <c r="N96" i="8"/>
  <c r="P96" i="8"/>
  <c r="O117" i="8"/>
  <c r="P117" i="8"/>
  <c r="O14" i="8"/>
  <c r="O82" i="8"/>
  <c r="P82" i="8" s="1"/>
  <c r="N43" i="8"/>
  <c r="N101" i="8"/>
  <c r="P101" i="8"/>
  <c r="N93" i="8"/>
  <c r="N132" i="8"/>
  <c r="N67" i="8"/>
  <c r="N24" i="8"/>
  <c r="AN16" i="8"/>
  <c r="N110" i="8"/>
  <c r="N90" i="8"/>
  <c r="N11" i="8"/>
  <c r="N23" i="8"/>
  <c r="N85" i="8"/>
  <c r="AN4" i="8"/>
  <c r="N44" i="8"/>
  <c r="N73" i="8"/>
  <c r="N46" i="8"/>
  <c r="N54" i="8"/>
  <c r="N127" i="8"/>
  <c r="N3" i="8"/>
  <c r="AN10" i="8"/>
  <c r="AM10" i="8"/>
  <c r="N59" i="8"/>
  <c r="N28" i="8"/>
  <c r="N75" i="8"/>
  <c r="AN3" i="8"/>
  <c r="N49" i="8"/>
  <c r="AM3" i="8"/>
  <c r="N5" i="8"/>
  <c r="N92" i="8"/>
  <c r="N80" i="8"/>
  <c r="N8" i="8"/>
  <c r="AM4" i="8"/>
  <c r="AN2" i="8"/>
  <c r="AM2" i="8"/>
  <c r="N20" i="8"/>
  <c r="N86" i="8"/>
  <c r="N25" i="8"/>
  <c r="AN5" i="8"/>
  <c r="AM5" i="8"/>
  <c r="N19" i="8"/>
  <c r="N87" i="8"/>
  <c r="AN13" i="8"/>
  <c r="N33" i="8"/>
  <c r="N111" i="8"/>
  <c r="N102" i="8"/>
  <c r="AM13" i="8"/>
  <c r="N45" i="8"/>
  <c r="AN6" i="8"/>
  <c r="N84" i="8"/>
  <c r="AM6" i="8"/>
  <c r="N2" i="8"/>
  <c r="N18" i="8"/>
  <c r="N60" i="8"/>
  <c r="N61" i="8"/>
  <c r="AM11" i="8"/>
  <c r="AM16" i="8"/>
  <c r="N68" i="8"/>
  <c r="AN17" i="8"/>
  <c r="N128" i="8"/>
  <c r="N89" i="8"/>
  <c r="N117" i="8"/>
  <c r="N16" i="8"/>
  <c r="N35" i="8"/>
  <c r="N105" i="8"/>
  <c r="N70" i="8"/>
  <c r="N129" i="8"/>
  <c r="N17" i="8"/>
  <c r="N122" i="8"/>
  <c r="N112" i="8"/>
  <c r="N27" i="8"/>
  <c r="AN12" i="8"/>
  <c r="N131" i="8"/>
  <c r="AN7" i="8"/>
  <c r="AM7" i="8"/>
  <c r="N10" i="8"/>
  <c r="N34" i="8"/>
  <c r="N71" i="8"/>
  <c r="N88" i="8"/>
  <c r="N32" i="8"/>
  <c r="N115" i="8"/>
  <c r="N26" i="8"/>
  <c r="AM17" i="8"/>
  <c r="N74" i="8"/>
  <c r="N116" i="8"/>
  <c r="N91" i="8"/>
  <c r="N82" i="8"/>
  <c r="N123" i="8"/>
  <c r="N66" i="8"/>
  <c r="AM12" i="8"/>
  <c r="AN11" i="8"/>
  <c r="AN8" i="8"/>
  <c r="N53" i="8"/>
  <c r="AM8" i="8"/>
  <c r="N4" i="8"/>
  <c r="N104" i="8"/>
  <c r="N55" i="8"/>
  <c r="N31" i="8"/>
  <c r="N69" i="8"/>
  <c r="N109" i="8"/>
  <c r="N130" i="8"/>
  <c r="S280" i="3"/>
  <c r="S281" i="3" s="1"/>
  <c r="S282" i="3" s="1"/>
  <c r="S283" i="3" s="1"/>
  <c r="S284" i="3" s="1"/>
  <c r="S285" i="3" s="1"/>
  <c r="S286" i="3" s="1"/>
  <c r="S287" i="3" s="1"/>
  <c r="R279" i="3"/>
  <c r="T279" i="3" s="1"/>
  <c r="R258" i="3"/>
  <c r="T258" i="3" s="1"/>
  <c r="R316" i="3"/>
  <c r="T316" i="3" s="1"/>
  <c r="R247" i="3"/>
  <c r="T247" i="3" s="1"/>
  <c r="R235" i="3"/>
  <c r="T235" i="3" s="1"/>
  <c r="S111" i="3"/>
  <c r="S112" i="3" s="1"/>
  <c r="S113" i="3" s="1"/>
  <c r="R110" i="3"/>
  <c r="T110" i="3" s="1"/>
  <c r="S249" i="3"/>
  <c r="S250" i="3" s="1"/>
  <c r="R248" i="3"/>
  <c r="T248" i="3" s="1"/>
  <c r="S68" i="3"/>
  <c r="R67" i="3"/>
  <c r="T67" i="3" s="1"/>
  <c r="R284" i="3"/>
  <c r="T284" i="3" s="1"/>
  <c r="R365" i="3"/>
  <c r="T365" i="3" s="1"/>
  <c r="R275" i="3"/>
  <c r="T275" i="3" s="1"/>
  <c r="S144" i="3"/>
  <c r="R143" i="3"/>
  <c r="T143" i="3" s="1"/>
  <c r="R96" i="3"/>
  <c r="T96" i="3" s="1"/>
  <c r="R337" i="3"/>
  <c r="T337" i="3" s="1"/>
  <c r="R277" i="3"/>
  <c r="T277" i="3" s="1"/>
  <c r="S368" i="3"/>
  <c r="S369" i="3" s="1"/>
  <c r="R367" i="3"/>
  <c r="T367" i="3" s="1"/>
  <c r="S213" i="3"/>
  <c r="S214" i="3" s="1"/>
  <c r="S215" i="3" s="1"/>
  <c r="R212" i="3"/>
  <c r="T212" i="3" s="1"/>
  <c r="S204" i="3"/>
  <c r="S205" i="3" s="1"/>
  <c r="R203" i="3"/>
  <c r="T203" i="3" s="1"/>
  <c r="R314" i="3"/>
  <c r="T314" i="3" s="1"/>
  <c r="R142" i="3"/>
  <c r="T142" i="3" s="1"/>
  <c r="S122" i="3"/>
  <c r="R121" i="3"/>
  <c r="T121" i="3" s="1"/>
  <c r="R106" i="3"/>
  <c r="T106" i="3" s="1"/>
  <c r="S298" i="3"/>
  <c r="S299" i="3" s="1"/>
  <c r="R297" i="3"/>
  <c r="T297" i="3" s="1"/>
  <c r="W197" i="1"/>
  <c r="W152" i="1"/>
  <c r="W142" i="1"/>
  <c r="W68" i="1"/>
  <c r="Y206" i="1"/>
  <c r="Y207" i="1" s="1"/>
  <c r="Y208" i="1" s="1"/>
  <c r="W205" i="1"/>
  <c r="V88" i="1"/>
  <c r="Z88" i="1" s="1"/>
  <c r="X89" i="1"/>
  <c r="X90" i="1" s="1"/>
  <c r="T227" i="1"/>
  <c r="T122" i="1"/>
  <c r="T132" i="1"/>
  <c r="T293" i="1"/>
  <c r="T356" i="1"/>
  <c r="T256" i="1"/>
  <c r="T9" i="1"/>
  <c r="T357" i="1"/>
  <c r="T217" i="1"/>
  <c r="T289" i="1"/>
  <c r="T212" i="1"/>
  <c r="T272" i="1"/>
  <c r="T347" i="1"/>
  <c r="T291" i="1"/>
  <c r="T329" i="1"/>
  <c r="T257" i="1"/>
  <c r="T285" i="1"/>
  <c r="T75" i="1"/>
  <c r="T241" i="1"/>
  <c r="T87" i="1"/>
  <c r="T76" i="1"/>
  <c r="T86" i="1"/>
  <c r="T300" i="1"/>
  <c r="T19" i="1"/>
  <c r="T198" i="1"/>
  <c r="T47" i="1"/>
  <c r="T328" i="1"/>
  <c r="T327" i="1"/>
  <c r="T355" i="1"/>
  <c r="T113" i="1"/>
  <c r="T172" i="1"/>
  <c r="T101" i="1"/>
  <c r="T20" i="1"/>
  <c r="L359" i="1"/>
  <c r="K359" i="1"/>
  <c r="J359" i="1"/>
  <c r="I359" i="1"/>
  <c r="H359" i="1"/>
  <c r="G359" i="1"/>
  <c r="F359" i="1"/>
  <c r="E359" i="1"/>
  <c r="D359" i="1"/>
  <c r="C359" i="1"/>
  <c r="B359" i="1"/>
  <c r="V5" i="8" l="1"/>
  <c r="V6" i="8" s="1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P2" i="8"/>
  <c r="W3" i="8" s="1"/>
  <c r="AP17" i="8"/>
  <c r="AO17" i="8"/>
  <c r="AQ17" i="8" s="1"/>
  <c r="AR17" i="8" s="1"/>
  <c r="AP13" i="8"/>
  <c r="AO13" i="8"/>
  <c r="AP12" i="8"/>
  <c r="AO12" i="8"/>
  <c r="AO16" i="8"/>
  <c r="AP16" i="8"/>
  <c r="AO11" i="8"/>
  <c r="AP11" i="8"/>
  <c r="AO6" i="8"/>
  <c r="AP6" i="8"/>
  <c r="AO4" i="8"/>
  <c r="AP4" i="8"/>
  <c r="AP7" i="8"/>
  <c r="AO7" i="8"/>
  <c r="AP2" i="8"/>
  <c r="AO2" i="8"/>
  <c r="AQ2" i="8" s="1"/>
  <c r="AR2" i="8" s="1"/>
  <c r="AO3" i="8"/>
  <c r="AP3" i="8"/>
  <c r="AP10" i="8"/>
  <c r="AO10" i="8"/>
  <c r="AO5" i="8"/>
  <c r="AP5" i="8"/>
  <c r="AO8" i="8"/>
  <c r="AP8" i="8"/>
  <c r="S300" i="3"/>
  <c r="S301" i="3" s="1"/>
  <c r="R299" i="3"/>
  <c r="T299" i="3" s="1"/>
  <c r="S216" i="3"/>
  <c r="R215" i="3"/>
  <c r="T215" i="3" s="1"/>
  <c r="R369" i="3"/>
  <c r="T369" i="3" s="1"/>
  <c r="S370" i="3"/>
  <c r="R370" i="3" s="1"/>
  <c r="T370" i="3" s="1"/>
  <c r="S251" i="3"/>
  <c r="S252" i="3" s="1"/>
  <c r="R250" i="3"/>
  <c r="T250" i="3" s="1"/>
  <c r="S302" i="3"/>
  <c r="R301" i="3"/>
  <c r="T301" i="3" s="1"/>
  <c r="S123" i="3"/>
  <c r="R122" i="3"/>
  <c r="T122" i="3" s="1"/>
  <c r="S206" i="3"/>
  <c r="S207" i="3" s="1"/>
  <c r="S208" i="3" s="1"/>
  <c r="R208" i="3" s="1"/>
  <c r="T208" i="3" s="1"/>
  <c r="R205" i="3"/>
  <c r="T205" i="3" s="1"/>
  <c r="R219" i="3"/>
  <c r="T219" i="3" s="1"/>
  <c r="S145" i="3"/>
  <c r="R144" i="3"/>
  <c r="T144" i="3" s="1"/>
  <c r="S288" i="3"/>
  <c r="S289" i="3" s="1"/>
  <c r="S290" i="3" s="1"/>
  <c r="S291" i="3" s="1"/>
  <c r="S292" i="3" s="1"/>
  <c r="S293" i="3" s="1"/>
  <c r="R287" i="3"/>
  <c r="T287" i="3" s="1"/>
  <c r="S69" i="3"/>
  <c r="R68" i="3"/>
  <c r="T68" i="3" s="1"/>
  <c r="R251" i="3"/>
  <c r="T251" i="3" s="1"/>
  <c r="S114" i="3"/>
  <c r="R113" i="3"/>
  <c r="T113" i="3" s="1"/>
  <c r="Y209" i="1"/>
  <c r="W208" i="1"/>
  <c r="V90" i="1"/>
  <c r="Z90" i="1" s="1"/>
  <c r="X91" i="1"/>
  <c r="X92" i="1" s="1"/>
  <c r="X93" i="1" s="1"/>
  <c r="X94" i="1" s="1"/>
  <c r="X95" i="1" s="1"/>
  <c r="X96" i="1" s="1"/>
  <c r="F358" i="5"/>
  <c r="E358" i="5"/>
  <c r="D358" i="5"/>
  <c r="C358" i="5"/>
  <c r="F358" i="6"/>
  <c r="E358" i="6"/>
  <c r="D358" i="6"/>
  <c r="C358" i="6"/>
  <c r="B358" i="6"/>
  <c r="J358" i="3"/>
  <c r="I358" i="3"/>
  <c r="H358" i="3"/>
  <c r="G358" i="3"/>
  <c r="F358" i="3"/>
  <c r="E358" i="3"/>
  <c r="D358" i="3"/>
  <c r="C358" i="3"/>
  <c r="B358" i="3"/>
  <c r="L358" i="1"/>
  <c r="K358" i="1"/>
  <c r="J358" i="1"/>
  <c r="I358" i="1"/>
  <c r="H358" i="1"/>
  <c r="G358" i="1"/>
  <c r="F358" i="1"/>
  <c r="E358" i="1"/>
  <c r="D358" i="1"/>
  <c r="C358" i="1"/>
  <c r="B358" i="1"/>
  <c r="AQ12" i="8" l="1"/>
  <c r="AR12" i="8" s="1"/>
  <c r="X3" i="8"/>
  <c r="W4" i="8"/>
  <c r="AQ13" i="8"/>
  <c r="AR13" i="8" s="1"/>
  <c r="AQ7" i="8"/>
  <c r="AR7" i="8" s="1"/>
  <c r="AQ4" i="8"/>
  <c r="AR4" i="8" s="1"/>
  <c r="AQ3" i="8"/>
  <c r="AR3" i="8" s="1"/>
  <c r="AQ8" i="8"/>
  <c r="AR8" i="8" s="1"/>
  <c r="AQ6" i="8"/>
  <c r="AR6" i="8" s="1"/>
  <c r="AQ11" i="8"/>
  <c r="AR11" i="8" s="1"/>
  <c r="AQ5" i="8"/>
  <c r="AR5" i="8" s="1"/>
  <c r="AQ16" i="8"/>
  <c r="AR16" i="8" s="1"/>
  <c r="S217" i="3"/>
  <c r="R216" i="3"/>
  <c r="T216" i="3" s="1"/>
  <c r="S124" i="3"/>
  <c r="S125" i="3" s="1"/>
  <c r="R123" i="3"/>
  <c r="T123" i="3" s="1"/>
  <c r="S115" i="3"/>
  <c r="S116" i="3" s="1"/>
  <c r="S117" i="3" s="1"/>
  <c r="S118" i="3" s="1"/>
  <c r="S119" i="3" s="1"/>
  <c r="R114" i="3"/>
  <c r="T114" i="3" s="1"/>
  <c r="S253" i="3"/>
  <c r="S254" i="3" s="1"/>
  <c r="S255" i="3" s="1"/>
  <c r="S256" i="3" s="1"/>
  <c r="S257" i="3" s="1"/>
  <c r="R257" i="3" s="1"/>
  <c r="T257" i="3" s="1"/>
  <c r="R252" i="3"/>
  <c r="T252" i="3" s="1"/>
  <c r="R69" i="3"/>
  <c r="T69" i="3" s="1"/>
  <c r="S70" i="3"/>
  <c r="S71" i="3" s="1"/>
  <c r="S294" i="3"/>
  <c r="R294" i="3" s="1"/>
  <c r="T294" i="3" s="1"/>
  <c r="R293" i="3"/>
  <c r="T293" i="3" s="1"/>
  <c r="S146" i="3"/>
  <c r="S147" i="3" s="1"/>
  <c r="S148" i="3" s="1"/>
  <c r="S149" i="3" s="1"/>
  <c r="S150" i="3" s="1"/>
  <c r="S151" i="3" s="1"/>
  <c r="R145" i="3"/>
  <c r="T145" i="3" s="1"/>
  <c r="R220" i="3"/>
  <c r="T220" i="3" s="1"/>
  <c r="R126" i="3"/>
  <c r="T126" i="3" s="1"/>
  <c r="S303" i="3"/>
  <c r="R302" i="3"/>
  <c r="T302" i="3" s="1"/>
  <c r="X97" i="1"/>
  <c r="X98" i="1" s="1"/>
  <c r="V96" i="1"/>
  <c r="Z96" i="1" s="1"/>
  <c r="Y210" i="1"/>
  <c r="Y211" i="1" s="1"/>
  <c r="Y212" i="1" s="1"/>
  <c r="W209" i="1"/>
  <c r="B357" i="6"/>
  <c r="F357" i="6"/>
  <c r="E357" i="6"/>
  <c r="D357" i="6"/>
  <c r="C357" i="6"/>
  <c r="F357" i="5"/>
  <c r="E357" i="5"/>
  <c r="D357" i="5"/>
  <c r="C357" i="5"/>
  <c r="J357" i="3"/>
  <c r="I357" i="3"/>
  <c r="H357" i="3"/>
  <c r="G357" i="3"/>
  <c r="F357" i="3"/>
  <c r="E357" i="3"/>
  <c r="D357" i="3"/>
  <c r="C357" i="3"/>
  <c r="B357" i="3"/>
  <c r="J356" i="3"/>
  <c r="I356" i="3"/>
  <c r="H356" i="3"/>
  <c r="G356" i="3"/>
  <c r="F356" i="3"/>
  <c r="E356" i="3"/>
  <c r="D356" i="3"/>
  <c r="C356" i="3"/>
  <c r="B356" i="3"/>
  <c r="L357" i="1"/>
  <c r="K357" i="1"/>
  <c r="J357" i="1"/>
  <c r="I357" i="1"/>
  <c r="H357" i="1"/>
  <c r="G357" i="1"/>
  <c r="F357" i="1"/>
  <c r="E357" i="1"/>
  <c r="D357" i="1"/>
  <c r="C357" i="1"/>
  <c r="B357" i="1"/>
  <c r="L356" i="1"/>
  <c r="K356" i="1"/>
  <c r="J356" i="1"/>
  <c r="I356" i="1"/>
  <c r="H356" i="1"/>
  <c r="G356" i="1"/>
  <c r="F356" i="1"/>
  <c r="E356" i="1"/>
  <c r="D356" i="1"/>
  <c r="C356" i="1"/>
  <c r="B356" i="1"/>
  <c r="W5" i="8" l="1"/>
  <c r="X4" i="8"/>
  <c r="S120" i="3"/>
  <c r="R120" i="3" s="1"/>
  <c r="T120" i="3" s="1"/>
  <c r="R119" i="3"/>
  <c r="T119" i="3" s="1"/>
  <c r="S126" i="3"/>
  <c r="S127" i="3" s="1"/>
  <c r="S128" i="3" s="1"/>
  <c r="S129" i="3" s="1"/>
  <c r="R125" i="3"/>
  <c r="T125" i="3" s="1"/>
  <c r="S218" i="3"/>
  <c r="S219" i="3" s="1"/>
  <c r="S220" i="3" s="1"/>
  <c r="S221" i="3" s="1"/>
  <c r="S222" i="3" s="1"/>
  <c r="S223" i="3" s="1"/>
  <c r="R217" i="3"/>
  <c r="T217" i="3" s="1"/>
  <c r="S304" i="3"/>
  <c r="R303" i="3"/>
  <c r="T303" i="3" s="1"/>
  <c r="S130" i="3"/>
  <c r="S131" i="3" s="1"/>
  <c r="S132" i="3" s="1"/>
  <c r="S133" i="3" s="1"/>
  <c r="R129" i="3"/>
  <c r="T129" i="3" s="1"/>
  <c r="S224" i="3"/>
  <c r="S225" i="3" s="1"/>
  <c r="S226" i="3" s="1"/>
  <c r="R226" i="3" s="1"/>
  <c r="T226" i="3" s="1"/>
  <c r="R223" i="3"/>
  <c r="T223" i="3" s="1"/>
  <c r="S152" i="3"/>
  <c r="R151" i="3"/>
  <c r="T151" i="3" s="1"/>
  <c r="R71" i="3"/>
  <c r="T71" i="3" s="1"/>
  <c r="S72" i="3"/>
  <c r="S73" i="3" s="1"/>
  <c r="S74" i="3" s="1"/>
  <c r="Y213" i="1"/>
  <c r="Y214" i="1" s="1"/>
  <c r="Y215" i="1" s="1"/>
  <c r="Y216" i="1" s="1"/>
  <c r="Y217" i="1" s="1"/>
  <c r="Y218" i="1" s="1"/>
  <c r="Y219" i="1" s="1"/>
  <c r="W212" i="1"/>
  <c r="X99" i="1"/>
  <c r="X100" i="1" s="1"/>
  <c r="X101" i="1" s="1"/>
  <c r="X102" i="1" s="1"/>
  <c r="X103" i="1" s="1"/>
  <c r="X104" i="1" s="1"/>
  <c r="X105" i="1" s="1"/>
  <c r="X106" i="1" s="1"/>
  <c r="V98" i="1"/>
  <c r="Z98" i="1" s="1"/>
  <c r="W6" i="8" l="1"/>
  <c r="X5" i="8"/>
  <c r="S305" i="3"/>
  <c r="S306" i="3" s="1"/>
  <c r="R304" i="3"/>
  <c r="T304" i="3" s="1"/>
  <c r="R74" i="3"/>
  <c r="T74" i="3" s="1"/>
  <c r="S75" i="3"/>
  <c r="S76" i="3" s="1"/>
  <c r="S77" i="3" s="1"/>
  <c r="S78" i="3" s="1"/>
  <c r="S153" i="3"/>
  <c r="S154" i="3" s="1"/>
  <c r="R152" i="3"/>
  <c r="T152" i="3" s="1"/>
  <c r="S134" i="3"/>
  <c r="S135" i="3" s="1"/>
  <c r="R133" i="3"/>
  <c r="T133" i="3" s="1"/>
  <c r="S307" i="3"/>
  <c r="S308" i="3" s="1"/>
  <c r="S309" i="3" s="1"/>
  <c r="S310" i="3" s="1"/>
  <c r="R306" i="3"/>
  <c r="T306" i="3" s="1"/>
  <c r="X107" i="1"/>
  <c r="X108" i="1" s="1"/>
  <c r="X109" i="1" s="1"/>
  <c r="X110" i="1" s="1"/>
  <c r="V106" i="1"/>
  <c r="Z106" i="1" s="1"/>
  <c r="Y220" i="1"/>
  <c r="W219" i="1"/>
  <c r="W7" i="8" l="1"/>
  <c r="X6" i="8"/>
  <c r="S155" i="3"/>
  <c r="S156" i="3" s="1"/>
  <c r="R154" i="3"/>
  <c r="T154" i="3" s="1"/>
  <c r="S311" i="3"/>
  <c r="R310" i="3"/>
  <c r="T310" i="3" s="1"/>
  <c r="S136" i="3"/>
  <c r="S137" i="3" s="1"/>
  <c r="S138" i="3" s="1"/>
  <c r="R138" i="3" s="1"/>
  <c r="T138" i="3" s="1"/>
  <c r="R135" i="3"/>
  <c r="T135" i="3" s="1"/>
  <c r="S157" i="3"/>
  <c r="R156" i="3"/>
  <c r="T156" i="3" s="1"/>
  <c r="S79" i="3"/>
  <c r="S80" i="3" s="1"/>
  <c r="S81" i="3" s="1"/>
  <c r="S82" i="3" s="1"/>
  <c r="S83" i="3" s="1"/>
  <c r="S84" i="3" s="1"/>
  <c r="S85" i="3" s="1"/>
  <c r="S86" i="3" s="1"/>
  <c r="S87" i="3" s="1"/>
  <c r="S88" i="3" s="1"/>
  <c r="R78" i="3"/>
  <c r="T78" i="3" s="1"/>
  <c r="Y221" i="1"/>
  <c r="Y222" i="1" s="1"/>
  <c r="Y223" i="1" s="1"/>
  <c r="W220" i="1"/>
  <c r="X111" i="1"/>
  <c r="X112" i="1" s="1"/>
  <c r="X113" i="1" s="1"/>
  <c r="V110" i="1"/>
  <c r="Z110" i="1" s="1"/>
  <c r="W8" i="8" l="1"/>
  <c r="X7" i="8"/>
  <c r="S89" i="3"/>
  <c r="S90" i="3" s="1"/>
  <c r="R90" i="3" s="1"/>
  <c r="T90" i="3" s="1"/>
  <c r="R88" i="3"/>
  <c r="T88" i="3" s="1"/>
  <c r="S158" i="3"/>
  <c r="R157" i="3"/>
  <c r="T157" i="3" s="1"/>
  <c r="S312" i="3"/>
  <c r="R312" i="3" s="1"/>
  <c r="T312" i="3" s="1"/>
  <c r="R311" i="3"/>
  <c r="T311" i="3" s="1"/>
  <c r="X114" i="1"/>
  <c r="V113" i="1"/>
  <c r="Z113" i="1" s="1"/>
  <c r="Y224" i="1"/>
  <c r="Y225" i="1" s="1"/>
  <c r="Y226" i="1" s="1"/>
  <c r="W223" i="1"/>
  <c r="U19" i="3"/>
  <c r="U17" i="3"/>
  <c r="U16" i="3"/>
  <c r="T17" i="3"/>
  <c r="U18" i="3"/>
  <c r="T19" i="3"/>
  <c r="T18" i="3"/>
  <c r="T16" i="3"/>
  <c r="W9" i="8" l="1"/>
  <c r="X8" i="8"/>
  <c r="S159" i="3"/>
  <c r="R158" i="3"/>
  <c r="T158" i="3" s="1"/>
  <c r="Y227" i="1"/>
  <c r="W226" i="1"/>
  <c r="X115" i="1"/>
  <c r="X116" i="1" s="1"/>
  <c r="X117" i="1" s="1"/>
  <c r="X118" i="1" s="1"/>
  <c r="X119" i="1" s="1"/>
  <c r="X120" i="1" s="1"/>
  <c r="V114" i="1"/>
  <c r="Z114" i="1" s="1"/>
  <c r="W10" i="8" l="1"/>
  <c r="X9" i="8"/>
  <c r="S160" i="3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R159" i="3"/>
  <c r="T159" i="3" s="1"/>
  <c r="X121" i="1"/>
  <c r="V120" i="1"/>
  <c r="Z120" i="1" s="1"/>
  <c r="Y228" i="1"/>
  <c r="W227" i="1"/>
  <c r="W11" i="8" l="1"/>
  <c r="X10" i="8"/>
  <c r="S174" i="3"/>
  <c r="S175" i="3" s="1"/>
  <c r="R173" i="3"/>
  <c r="T173" i="3" s="1"/>
  <c r="Y229" i="1"/>
  <c r="Y230" i="1" s="1"/>
  <c r="Y231" i="1" s="1"/>
  <c r="Y232" i="1" s="1"/>
  <c r="W228" i="1"/>
  <c r="X122" i="1"/>
  <c r="V121" i="1"/>
  <c r="Z121" i="1" s="1"/>
  <c r="W12" i="8" l="1"/>
  <c r="X11" i="8"/>
  <c r="S176" i="3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R175" i="3"/>
  <c r="T175" i="3" s="1"/>
  <c r="S187" i="3"/>
  <c r="S188" i="3" s="1"/>
  <c r="S189" i="3" s="1"/>
  <c r="S190" i="3" s="1"/>
  <c r="R190" i="3" s="1"/>
  <c r="T190" i="3" s="1"/>
  <c r="R186" i="3"/>
  <c r="T186" i="3" s="1"/>
  <c r="X123" i="1"/>
  <c r="X124" i="1" s="1"/>
  <c r="X125" i="1" s="1"/>
  <c r="X126" i="1" s="1"/>
  <c r="V122" i="1"/>
  <c r="Z122" i="1" s="1"/>
  <c r="Y233" i="1"/>
  <c r="Y234" i="1" s="1"/>
  <c r="Y235" i="1" s="1"/>
  <c r="Y236" i="1" s="1"/>
  <c r="Y237" i="1" s="1"/>
  <c r="Y238" i="1" s="1"/>
  <c r="W232" i="1"/>
  <c r="W13" i="8" l="1"/>
  <c r="X12" i="8"/>
  <c r="Y239" i="1"/>
  <c r="Y240" i="1" s="1"/>
  <c r="Y241" i="1" s="1"/>
  <c r="Y242" i="1" s="1"/>
  <c r="Y243" i="1" s="1"/>
  <c r="W238" i="1"/>
  <c r="X127" i="1"/>
  <c r="X128" i="1" s="1"/>
  <c r="X129" i="1" s="1"/>
  <c r="V126" i="1"/>
  <c r="Z126" i="1" s="1"/>
  <c r="W14" i="8" l="1"/>
  <c r="X13" i="8"/>
  <c r="X130" i="1"/>
  <c r="X131" i="1" s="1"/>
  <c r="X132" i="1" s="1"/>
  <c r="X133" i="1" s="1"/>
  <c r="V129" i="1"/>
  <c r="Z129" i="1" s="1"/>
  <c r="Y244" i="1"/>
  <c r="W243" i="1"/>
  <c r="W15" i="8" l="1"/>
  <c r="X14" i="8"/>
  <c r="Y245" i="1"/>
  <c r="W244" i="1"/>
  <c r="X134" i="1"/>
  <c r="X135" i="1" s="1"/>
  <c r="V133" i="1"/>
  <c r="Z133" i="1" s="1"/>
  <c r="W16" i="8" l="1"/>
  <c r="X15" i="8"/>
  <c r="X136" i="1"/>
  <c r="X137" i="1" s="1"/>
  <c r="X138" i="1" s="1"/>
  <c r="V135" i="1"/>
  <c r="Z135" i="1" s="1"/>
  <c r="Y246" i="1"/>
  <c r="Y247" i="1" s="1"/>
  <c r="Y248" i="1" s="1"/>
  <c r="W245" i="1"/>
  <c r="W17" i="8" l="1"/>
  <c r="X16" i="8"/>
  <c r="Y249" i="1"/>
  <c r="Y250" i="1" s="1"/>
  <c r="Y251" i="1" s="1"/>
  <c r="W248" i="1"/>
  <c r="X139" i="1"/>
  <c r="X140" i="1" s="1"/>
  <c r="X141" i="1" s="1"/>
  <c r="X142" i="1" s="1"/>
  <c r="V138" i="1"/>
  <c r="Z138" i="1" s="1"/>
  <c r="W18" i="8" l="1"/>
  <c r="X17" i="8"/>
  <c r="X143" i="1"/>
  <c r="V142" i="1"/>
  <c r="Z142" i="1" s="1"/>
  <c r="Y252" i="1"/>
  <c r="W251" i="1"/>
  <c r="W19" i="8" l="1"/>
  <c r="X18" i="8"/>
  <c r="Y253" i="1"/>
  <c r="Y254" i="1" s="1"/>
  <c r="Y255" i="1" s="1"/>
  <c r="Y256" i="1" s="1"/>
  <c r="Y257" i="1" s="1"/>
  <c r="W252" i="1"/>
  <c r="X144" i="1"/>
  <c r="V143" i="1"/>
  <c r="Z143" i="1" s="1"/>
  <c r="W20" i="8" l="1"/>
  <c r="X19" i="8"/>
  <c r="X145" i="1"/>
  <c r="V144" i="1"/>
  <c r="Z144" i="1" s="1"/>
  <c r="Y258" i="1"/>
  <c r="Y259" i="1" s="1"/>
  <c r="W257" i="1"/>
  <c r="W21" i="8" l="1"/>
  <c r="X20" i="8"/>
  <c r="Y260" i="1"/>
  <c r="Y261" i="1" s="1"/>
  <c r="W259" i="1"/>
  <c r="X146" i="1"/>
  <c r="X147" i="1" s="1"/>
  <c r="X148" i="1" s="1"/>
  <c r="X149" i="1" s="1"/>
  <c r="X150" i="1" s="1"/>
  <c r="X151" i="1" s="1"/>
  <c r="V145" i="1"/>
  <c r="Z145" i="1" s="1"/>
  <c r="W22" i="8" l="1"/>
  <c r="X21" i="8"/>
  <c r="X152" i="1"/>
  <c r="V151" i="1"/>
  <c r="Z151" i="1" s="1"/>
  <c r="Y262" i="1"/>
  <c r="Y263" i="1" s="1"/>
  <c r="Y264" i="1" s="1"/>
  <c r="Y265" i="1" s="1"/>
  <c r="Y266" i="1" s="1"/>
  <c r="Y267" i="1" s="1"/>
  <c r="Y268" i="1" s="1"/>
  <c r="Y269" i="1" s="1"/>
  <c r="W261" i="1"/>
  <c r="W23" i="8" l="1"/>
  <c r="X22" i="8"/>
  <c r="Y270" i="1"/>
  <c r="Y271" i="1" s="1"/>
  <c r="Y272" i="1" s="1"/>
  <c r="Y273" i="1" s="1"/>
  <c r="Y274" i="1" s="1"/>
  <c r="Y275" i="1" s="1"/>
  <c r="W269" i="1"/>
  <c r="X153" i="1"/>
  <c r="X154" i="1" s="1"/>
  <c r="X155" i="1" s="1"/>
  <c r="X156" i="1" s="1"/>
  <c r="V152" i="1"/>
  <c r="Z152" i="1" s="1"/>
  <c r="W24" i="8" l="1"/>
  <c r="X23" i="8"/>
  <c r="X157" i="1"/>
  <c r="V156" i="1"/>
  <c r="Z156" i="1" s="1"/>
  <c r="Y276" i="1"/>
  <c r="Y277" i="1" s="1"/>
  <c r="W275" i="1"/>
  <c r="W25" i="8" l="1"/>
  <c r="X24" i="8"/>
  <c r="Y278" i="1"/>
  <c r="Y279" i="1" s="1"/>
  <c r="Y280" i="1" s="1"/>
  <c r="Y281" i="1" s="1"/>
  <c r="Y282" i="1" s="1"/>
  <c r="Y283" i="1" s="1"/>
  <c r="Y284" i="1" s="1"/>
  <c r="W277" i="1"/>
  <c r="X158" i="1"/>
  <c r="V157" i="1"/>
  <c r="Z157" i="1" s="1"/>
  <c r="W26" i="8" l="1"/>
  <c r="X25" i="8"/>
  <c r="X159" i="1"/>
  <c r="V158" i="1"/>
  <c r="Z158" i="1" s="1"/>
  <c r="Y285" i="1"/>
  <c r="Y286" i="1" s="1"/>
  <c r="Y287" i="1" s="1"/>
  <c r="W284" i="1"/>
  <c r="W27" i="8" l="1"/>
  <c r="X26" i="8"/>
  <c r="Y288" i="1"/>
  <c r="Y289" i="1" s="1"/>
  <c r="Y290" i="1" s="1"/>
  <c r="Y291" i="1" s="1"/>
  <c r="Y292" i="1" s="1"/>
  <c r="Y293" i="1" s="1"/>
  <c r="W287" i="1"/>
  <c r="X160" i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V159" i="1"/>
  <c r="Z159" i="1" s="1"/>
  <c r="W28" i="8" l="1"/>
  <c r="X27" i="8"/>
  <c r="X174" i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V173" i="1"/>
  <c r="Z173" i="1" s="1"/>
  <c r="Y294" i="1"/>
  <c r="W293" i="1"/>
  <c r="W29" i="8" l="1"/>
  <c r="X28" i="8"/>
  <c r="Y295" i="1"/>
  <c r="Y296" i="1" s="1"/>
  <c r="Y297" i="1" s="1"/>
  <c r="W294" i="1"/>
  <c r="X187" i="1"/>
  <c r="X188" i="1" s="1"/>
  <c r="X189" i="1" s="1"/>
  <c r="X190" i="1" s="1"/>
  <c r="V186" i="1"/>
  <c r="Z186" i="1" s="1"/>
  <c r="W30" i="8" l="1"/>
  <c r="X29" i="8"/>
  <c r="X191" i="1"/>
  <c r="X192" i="1" s="1"/>
  <c r="X193" i="1" s="1"/>
  <c r="X194" i="1" s="1"/>
  <c r="X195" i="1" s="1"/>
  <c r="X196" i="1" s="1"/>
  <c r="X197" i="1" s="1"/>
  <c r="V190" i="1"/>
  <c r="Z190" i="1" s="1"/>
  <c r="Y298" i="1"/>
  <c r="Y299" i="1" s="1"/>
  <c r="Y300" i="1" s="1"/>
  <c r="Y301" i="1" s="1"/>
  <c r="W297" i="1"/>
  <c r="W31" i="8" l="1"/>
  <c r="X30" i="8"/>
  <c r="Y302" i="1"/>
  <c r="W301" i="1"/>
  <c r="X198" i="1"/>
  <c r="X199" i="1" s="1"/>
  <c r="X200" i="1" s="1"/>
  <c r="X201" i="1" s="1"/>
  <c r="X202" i="1" s="1"/>
  <c r="X203" i="1" s="1"/>
  <c r="V197" i="1"/>
  <c r="Z197" i="1" s="1"/>
  <c r="W32" i="8" l="1"/>
  <c r="X31" i="8"/>
  <c r="X204" i="1"/>
  <c r="X205" i="1" s="1"/>
  <c r="V203" i="1"/>
  <c r="Z203" i="1" s="1"/>
  <c r="Y303" i="1"/>
  <c r="W302" i="1"/>
  <c r="W33" i="8" l="1"/>
  <c r="X32" i="8"/>
  <c r="Y304" i="1"/>
  <c r="Y305" i="1" s="1"/>
  <c r="Y306" i="1" s="1"/>
  <c r="W303" i="1"/>
  <c r="X206" i="1"/>
  <c r="X207" i="1" s="1"/>
  <c r="X208" i="1" s="1"/>
  <c r="V205" i="1"/>
  <c r="Z205" i="1" s="1"/>
  <c r="W34" i="8" l="1"/>
  <c r="X33" i="8"/>
  <c r="X209" i="1"/>
  <c r="V208" i="1"/>
  <c r="Z208" i="1" s="1"/>
  <c r="Y307" i="1"/>
  <c r="Y308" i="1" s="1"/>
  <c r="Y309" i="1" s="1"/>
  <c r="Y310" i="1" s="1"/>
  <c r="W306" i="1"/>
  <c r="W35" i="8" l="1"/>
  <c r="X34" i="8"/>
  <c r="Y311" i="1"/>
  <c r="W310" i="1"/>
  <c r="X210" i="1"/>
  <c r="X211" i="1" s="1"/>
  <c r="X212" i="1" s="1"/>
  <c r="V209" i="1"/>
  <c r="Z209" i="1" s="1"/>
  <c r="W36" i="8" l="1"/>
  <c r="X35" i="8"/>
  <c r="X213" i="1"/>
  <c r="X214" i="1" s="1"/>
  <c r="X215" i="1" s="1"/>
  <c r="X216" i="1" s="1"/>
  <c r="X217" i="1" s="1"/>
  <c r="X218" i="1" s="1"/>
  <c r="X219" i="1" s="1"/>
  <c r="V212" i="1"/>
  <c r="Z212" i="1" s="1"/>
  <c r="Y312" i="1"/>
  <c r="W311" i="1"/>
  <c r="W37" i="8" l="1"/>
  <c r="X36" i="8"/>
  <c r="Y313" i="1"/>
  <c r="Y314" i="1" s="1"/>
  <c r="W312" i="1"/>
  <c r="X220" i="1"/>
  <c r="V219" i="1"/>
  <c r="Z219" i="1" s="1"/>
  <c r="W38" i="8" l="1"/>
  <c r="X37" i="8"/>
  <c r="X221" i="1"/>
  <c r="X222" i="1" s="1"/>
  <c r="X223" i="1" s="1"/>
  <c r="V220" i="1"/>
  <c r="Z220" i="1" s="1"/>
  <c r="Y315" i="1"/>
  <c r="W314" i="1"/>
  <c r="W39" i="8" l="1"/>
  <c r="X38" i="8"/>
  <c r="Y316" i="1"/>
  <c r="Y317" i="1" s="1"/>
  <c r="Y318" i="1" s="1"/>
  <c r="Y319" i="1" s="1"/>
  <c r="Y320" i="1" s="1"/>
  <c r="W315" i="1"/>
  <c r="X224" i="1"/>
  <c r="X225" i="1" s="1"/>
  <c r="X226" i="1" s="1"/>
  <c r="V223" i="1"/>
  <c r="Z223" i="1" s="1"/>
  <c r="W40" i="8" l="1"/>
  <c r="X39" i="8"/>
  <c r="X227" i="1"/>
  <c r="V226" i="1"/>
  <c r="Z226" i="1" s="1"/>
  <c r="Y321" i="1"/>
  <c r="W320" i="1"/>
  <c r="W41" i="8" l="1"/>
  <c r="X40" i="8"/>
  <c r="Y322" i="1"/>
  <c r="Y323" i="1" s="1"/>
  <c r="Y324" i="1" s="1"/>
  <c r="Y325" i="1" s="1"/>
  <c r="Y326" i="1" s="1"/>
  <c r="W321" i="1"/>
  <c r="X228" i="1"/>
  <c r="V227" i="1"/>
  <c r="Z227" i="1" s="1"/>
  <c r="W42" i="8" l="1"/>
  <c r="X41" i="8"/>
  <c r="X229" i="1"/>
  <c r="X230" i="1" s="1"/>
  <c r="X231" i="1" s="1"/>
  <c r="X232" i="1" s="1"/>
  <c r="V228" i="1"/>
  <c r="Z228" i="1" s="1"/>
  <c r="Y327" i="1"/>
  <c r="Y328" i="1" s="1"/>
  <c r="W326" i="1"/>
  <c r="W43" i="8" l="1"/>
  <c r="X42" i="8"/>
  <c r="Y329" i="1"/>
  <c r="W328" i="1"/>
  <c r="X233" i="1"/>
  <c r="X234" i="1" s="1"/>
  <c r="X235" i="1" s="1"/>
  <c r="X236" i="1" s="1"/>
  <c r="X237" i="1" s="1"/>
  <c r="X238" i="1" s="1"/>
  <c r="V232" i="1"/>
  <c r="Z232" i="1" s="1"/>
  <c r="W44" i="8" l="1"/>
  <c r="X43" i="8"/>
  <c r="X239" i="1"/>
  <c r="X240" i="1" s="1"/>
  <c r="X241" i="1" s="1"/>
  <c r="X242" i="1" s="1"/>
  <c r="X243" i="1" s="1"/>
  <c r="V238" i="1"/>
  <c r="Z238" i="1" s="1"/>
  <c r="Y330" i="1"/>
  <c r="Y331" i="1" s="1"/>
  <c r="Y332" i="1" s="1"/>
  <c r="Y333" i="1" s="1"/>
  <c r="Y334" i="1" s="1"/>
  <c r="Y335" i="1" s="1"/>
  <c r="Y336" i="1" s="1"/>
  <c r="W329" i="1"/>
  <c r="W45" i="8" l="1"/>
  <c r="X44" i="8"/>
  <c r="Y337" i="1"/>
  <c r="W336" i="1"/>
  <c r="X244" i="1"/>
  <c r="V243" i="1"/>
  <c r="Z243" i="1" s="1"/>
  <c r="W46" i="8" l="1"/>
  <c r="X45" i="8"/>
  <c r="X245" i="1"/>
  <c r="V244" i="1"/>
  <c r="Z244" i="1" s="1"/>
  <c r="Y338" i="1"/>
  <c r="Y339" i="1" s="1"/>
  <c r="Y340" i="1" s="1"/>
  <c r="W337" i="1"/>
  <c r="W47" i="8" l="1"/>
  <c r="X46" i="8"/>
  <c r="Y341" i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Y356" i="1" s="1"/>
  <c r="Y357" i="1" s="1"/>
  <c r="Y358" i="1" s="1"/>
  <c r="W340" i="1"/>
  <c r="X246" i="1"/>
  <c r="X247" i="1" s="1"/>
  <c r="X248" i="1" s="1"/>
  <c r="V245" i="1"/>
  <c r="Z245" i="1" s="1"/>
  <c r="W48" i="8" l="1"/>
  <c r="X47" i="8"/>
  <c r="X249" i="1"/>
  <c r="X250" i="1" s="1"/>
  <c r="X251" i="1" s="1"/>
  <c r="V248" i="1"/>
  <c r="Z248" i="1" s="1"/>
  <c r="Y359" i="1"/>
  <c r="Y360" i="1" s="1"/>
  <c r="Y361" i="1" s="1"/>
  <c r="Y362" i="1" s="1"/>
  <c r="W358" i="1"/>
  <c r="W49" i="8" l="1"/>
  <c r="X48" i="8"/>
  <c r="Y363" i="1"/>
  <c r="Y364" i="1" s="1"/>
  <c r="Y365" i="1" s="1"/>
  <c r="Y366" i="1" s="1"/>
  <c r="W362" i="1"/>
  <c r="X252" i="1"/>
  <c r="V251" i="1"/>
  <c r="Z251" i="1" s="1"/>
  <c r="W50" i="8" l="1"/>
  <c r="X49" i="8"/>
  <c r="X253" i="1"/>
  <c r="X254" i="1" s="1"/>
  <c r="X255" i="1" s="1"/>
  <c r="X256" i="1" s="1"/>
  <c r="X257" i="1" s="1"/>
  <c r="V252" i="1"/>
  <c r="Z252" i="1" s="1"/>
  <c r="Y367" i="1"/>
  <c r="W366" i="1"/>
  <c r="W51" i="8" l="1"/>
  <c r="X50" i="8"/>
  <c r="Y368" i="1"/>
  <c r="Y369" i="1" s="1"/>
  <c r="W367" i="1"/>
  <c r="X258" i="1"/>
  <c r="X259" i="1" s="1"/>
  <c r="V257" i="1"/>
  <c r="Z257" i="1" s="1"/>
  <c r="W52" i="8" l="1"/>
  <c r="X51" i="8"/>
  <c r="X260" i="1"/>
  <c r="X261" i="1" s="1"/>
  <c r="V259" i="1"/>
  <c r="Z259" i="1" s="1"/>
  <c r="Y370" i="1"/>
  <c r="W369" i="1"/>
  <c r="W53" i="8" l="1"/>
  <c r="X52" i="8"/>
  <c r="W370" i="1"/>
  <c r="X262" i="1"/>
  <c r="X263" i="1" s="1"/>
  <c r="X264" i="1" s="1"/>
  <c r="X265" i="1" s="1"/>
  <c r="X266" i="1" s="1"/>
  <c r="X267" i="1" s="1"/>
  <c r="X268" i="1" s="1"/>
  <c r="X269" i="1" s="1"/>
  <c r="V261" i="1"/>
  <c r="Z261" i="1" s="1"/>
  <c r="W54" i="8" l="1"/>
  <c r="X53" i="8"/>
  <c r="X270" i="1"/>
  <c r="X271" i="1" s="1"/>
  <c r="X272" i="1" s="1"/>
  <c r="X273" i="1" s="1"/>
  <c r="X274" i="1" s="1"/>
  <c r="X275" i="1" s="1"/>
  <c r="V269" i="1"/>
  <c r="Z269" i="1" s="1"/>
  <c r="W55" i="8" l="1"/>
  <c r="X54" i="8"/>
  <c r="X276" i="1"/>
  <c r="X277" i="1" s="1"/>
  <c r="V275" i="1"/>
  <c r="Z275" i="1" s="1"/>
  <c r="W56" i="8" l="1"/>
  <c r="X55" i="8"/>
  <c r="X278" i="1"/>
  <c r="X279" i="1" s="1"/>
  <c r="X280" i="1" s="1"/>
  <c r="X281" i="1" s="1"/>
  <c r="X282" i="1" s="1"/>
  <c r="X283" i="1" s="1"/>
  <c r="X284" i="1" s="1"/>
  <c r="V277" i="1"/>
  <c r="Z277" i="1" s="1"/>
  <c r="W57" i="8" l="1"/>
  <c r="X56" i="8"/>
  <c r="X285" i="1"/>
  <c r="X286" i="1" s="1"/>
  <c r="X287" i="1" s="1"/>
  <c r="V284" i="1"/>
  <c r="Z284" i="1" s="1"/>
  <c r="W58" i="8" l="1"/>
  <c r="X57" i="8"/>
  <c r="X288" i="1"/>
  <c r="X289" i="1" s="1"/>
  <c r="X290" i="1" s="1"/>
  <c r="X291" i="1" s="1"/>
  <c r="X292" i="1" s="1"/>
  <c r="X293" i="1" s="1"/>
  <c r="V287" i="1"/>
  <c r="Z287" i="1" s="1"/>
  <c r="W59" i="8" l="1"/>
  <c r="X58" i="8"/>
  <c r="X294" i="1"/>
  <c r="V293" i="1"/>
  <c r="Z293" i="1" s="1"/>
  <c r="W60" i="8" l="1"/>
  <c r="X59" i="8"/>
  <c r="X295" i="1"/>
  <c r="X296" i="1" s="1"/>
  <c r="X297" i="1" s="1"/>
  <c r="V294" i="1"/>
  <c r="Z294" i="1" s="1"/>
  <c r="W61" i="8" l="1"/>
  <c r="X60" i="8"/>
  <c r="X298" i="1"/>
  <c r="X299" i="1" s="1"/>
  <c r="X300" i="1" s="1"/>
  <c r="X301" i="1" s="1"/>
  <c r="V297" i="1"/>
  <c r="Z297" i="1" s="1"/>
  <c r="W62" i="8" l="1"/>
  <c r="X61" i="8"/>
  <c r="X302" i="1"/>
  <c r="V301" i="1"/>
  <c r="Z301" i="1" s="1"/>
  <c r="W63" i="8" l="1"/>
  <c r="X62" i="8"/>
  <c r="X303" i="1"/>
  <c r="V302" i="1"/>
  <c r="Z302" i="1" s="1"/>
  <c r="W64" i="8" l="1"/>
  <c r="X63" i="8"/>
  <c r="X304" i="1"/>
  <c r="X305" i="1" s="1"/>
  <c r="X306" i="1" s="1"/>
  <c r="V303" i="1"/>
  <c r="Z303" i="1" s="1"/>
  <c r="W65" i="8" l="1"/>
  <c r="X64" i="8"/>
  <c r="X307" i="1"/>
  <c r="X308" i="1" s="1"/>
  <c r="X309" i="1" s="1"/>
  <c r="X310" i="1" s="1"/>
  <c r="V306" i="1"/>
  <c r="Z306" i="1" s="1"/>
  <c r="W66" i="8" l="1"/>
  <c r="X65" i="8"/>
  <c r="X311" i="1"/>
  <c r="V310" i="1"/>
  <c r="Z310" i="1" s="1"/>
  <c r="W67" i="8" l="1"/>
  <c r="X66" i="8"/>
  <c r="X312" i="1"/>
  <c r="V311" i="1"/>
  <c r="Z311" i="1" s="1"/>
  <c r="W68" i="8" l="1"/>
  <c r="X67" i="8"/>
  <c r="X313" i="1"/>
  <c r="X314" i="1" s="1"/>
  <c r="V312" i="1"/>
  <c r="Z312" i="1" s="1"/>
  <c r="W69" i="8" l="1"/>
  <c r="X68" i="8"/>
  <c r="X315" i="1"/>
  <c r="V314" i="1"/>
  <c r="Z314" i="1" s="1"/>
  <c r="W70" i="8" l="1"/>
  <c r="X69" i="8"/>
  <c r="X316" i="1"/>
  <c r="X317" i="1" s="1"/>
  <c r="X318" i="1" s="1"/>
  <c r="X319" i="1" s="1"/>
  <c r="X320" i="1" s="1"/>
  <c r="V315" i="1"/>
  <c r="Z315" i="1" s="1"/>
  <c r="W71" i="8" l="1"/>
  <c r="X70" i="8"/>
  <c r="X321" i="1"/>
  <c r="V320" i="1"/>
  <c r="Z320" i="1" s="1"/>
  <c r="X71" i="8" l="1"/>
  <c r="X322" i="1"/>
  <c r="X323" i="1" s="1"/>
  <c r="X324" i="1" s="1"/>
  <c r="X325" i="1" s="1"/>
  <c r="X326" i="1" s="1"/>
  <c r="V321" i="1"/>
  <c r="Z321" i="1" s="1"/>
  <c r="X72" i="8" l="1"/>
  <c r="X327" i="1"/>
  <c r="X328" i="1" s="1"/>
  <c r="V326" i="1"/>
  <c r="Z326" i="1" s="1"/>
  <c r="X73" i="8" l="1"/>
  <c r="X329" i="1"/>
  <c r="V328" i="1"/>
  <c r="Z328" i="1" s="1"/>
  <c r="X74" i="8" l="1"/>
  <c r="X330" i="1"/>
  <c r="X331" i="1" s="1"/>
  <c r="X332" i="1" s="1"/>
  <c r="X333" i="1" s="1"/>
  <c r="X334" i="1" s="1"/>
  <c r="X335" i="1" s="1"/>
  <c r="X336" i="1" s="1"/>
  <c r="V329" i="1"/>
  <c r="Z329" i="1" s="1"/>
  <c r="X75" i="8" l="1"/>
  <c r="X337" i="1"/>
  <c r="V336" i="1"/>
  <c r="Z336" i="1" s="1"/>
  <c r="X76" i="8" l="1"/>
  <c r="X338" i="1"/>
  <c r="X339" i="1" s="1"/>
  <c r="X340" i="1" s="1"/>
  <c r="V337" i="1"/>
  <c r="Z337" i="1" s="1"/>
  <c r="X77" i="8" l="1"/>
  <c r="X341" i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V340" i="1"/>
  <c r="Z340" i="1" s="1"/>
  <c r="X78" i="8" l="1"/>
  <c r="X359" i="1"/>
  <c r="X360" i="1" s="1"/>
  <c r="X361" i="1" s="1"/>
  <c r="X362" i="1" s="1"/>
  <c r="V358" i="1"/>
  <c r="Z358" i="1" s="1"/>
  <c r="X79" i="8" l="1"/>
  <c r="X363" i="1"/>
  <c r="X364" i="1" s="1"/>
  <c r="X365" i="1" s="1"/>
  <c r="X366" i="1" s="1"/>
  <c r="V362" i="1"/>
  <c r="Z362" i="1" s="1"/>
  <c r="X80" i="8" l="1"/>
  <c r="X367" i="1"/>
  <c r="V366" i="1"/>
  <c r="Z366" i="1" s="1"/>
  <c r="X81" i="8" l="1"/>
  <c r="X368" i="1"/>
  <c r="X369" i="1" s="1"/>
  <c r="V367" i="1"/>
  <c r="Z367" i="1" s="1"/>
  <c r="X82" i="8" l="1"/>
  <c r="X370" i="1"/>
  <c r="V369" i="1"/>
  <c r="Z369" i="1" s="1"/>
  <c r="X83" i="8" l="1"/>
  <c r="V370" i="1"/>
  <c r="Z370" i="1" s="1"/>
  <c r="AA45" i="1"/>
  <c r="AA43" i="1"/>
  <c r="AA42" i="1"/>
  <c r="Z45" i="1"/>
  <c r="Z44" i="1"/>
  <c r="Z43" i="1"/>
  <c r="Z42" i="1"/>
  <c r="Y45" i="1"/>
  <c r="Y44" i="1"/>
  <c r="Y43" i="1"/>
  <c r="Y42" i="1"/>
  <c r="AA44" i="1"/>
  <c r="X84" i="8" l="1"/>
  <c r="X85" i="8" l="1"/>
  <c r="X86" i="8" l="1"/>
  <c r="X87" i="8" l="1"/>
  <c r="X88" i="8" l="1"/>
  <c r="X89" i="8" l="1"/>
  <c r="X90" i="8" l="1"/>
  <c r="X91" i="8" l="1"/>
  <c r="X92" i="8" l="1"/>
  <c r="X93" i="8" l="1"/>
  <c r="X94" i="8" l="1"/>
  <c r="X95" i="8" l="1"/>
  <c r="X96" i="8" l="1"/>
  <c r="X97" i="8" l="1"/>
  <c r="X98" i="8" l="1"/>
  <c r="X99" i="8" l="1"/>
  <c r="X100" i="8" l="1"/>
  <c r="X101" i="8" l="1"/>
  <c r="X102" i="8" l="1"/>
  <c r="X103" i="8" l="1"/>
  <c r="X104" i="8" l="1"/>
  <c r="X105" i="8" l="1"/>
  <c r="X106" i="8" l="1"/>
  <c r="X107" i="8" l="1"/>
  <c r="X108" i="8" l="1"/>
  <c r="X109" i="8" l="1"/>
  <c r="X110" i="8" l="1"/>
  <c r="X111" i="8" l="1"/>
  <c r="X112" i="8" l="1"/>
  <c r="X113" i="8" l="1"/>
  <c r="X114" i="8" l="1"/>
  <c r="X115" i="8" l="1"/>
  <c r="X116" i="8" l="1"/>
  <c r="X117" i="8" l="1"/>
  <c r="X118" i="8" l="1"/>
  <c r="X119" i="8" l="1"/>
  <c r="X122" i="8" l="1"/>
  <c r="X120" i="8"/>
  <c r="X121" i="8" l="1"/>
  <c r="X123" i="8" l="1"/>
  <c r="X124" i="8" l="1"/>
  <c r="X125" i="8" l="1"/>
  <c r="X126" i="8" l="1"/>
  <c r="X127" i="8" l="1"/>
  <c r="X128" i="8" l="1"/>
  <c r="X129" i="8" l="1"/>
  <c r="X130" i="8" l="1"/>
  <c r="X132" i="8" l="1"/>
  <c r="X131" i="8"/>
</calcChain>
</file>

<file path=xl/sharedStrings.xml><?xml version="1.0" encoding="utf-8"?>
<sst xmlns="http://schemas.openxmlformats.org/spreadsheetml/2006/main" count="563" uniqueCount="135">
  <si>
    <t>US Initial Jobless Claims SA</t>
  </si>
  <si>
    <t>Conference Board Consumer Confidence SA 1985=100</t>
  </si>
  <si>
    <t>U-3 US Unemployment Rate Total in Labor Force Seasonally Adjusted</t>
  </si>
  <si>
    <t>US Personal Income YoY SA</t>
  </si>
  <si>
    <t>ISM Manufacturing PMI SA</t>
  </si>
  <si>
    <t>Federal Reserve Consumer Credit Outstanding Amount Total YoY% Chg SA</t>
  </si>
  <si>
    <t>MBS+BANK</t>
  </si>
  <si>
    <t>M&amp;A Transaction Value US</t>
  </si>
  <si>
    <t>Bloomberg US Agg Finance Statistics Index</t>
  </si>
  <si>
    <t>U.S. 10-Year and 2-Year Treasury Yield Spread</t>
  </si>
  <si>
    <t>DATE</t>
    <phoneticPr fontId="2" type="noConversion"/>
  </si>
  <si>
    <t>des</t>
    <phoneticPr fontId="2" type="noConversion"/>
  </si>
  <si>
    <t>var</t>
    <phoneticPr fontId="2" type="noConversion"/>
  </si>
  <si>
    <t>ECO_F01</t>
  </si>
  <si>
    <t>ECO_F01</t>
    <phoneticPr fontId="2" type="noConversion"/>
  </si>
  <si>
    <t>ECO_F02</t>
  </si>
  <si>
    <t>ECO_F02</t>
    <phoneticPr fontId="2" type="noConversion"/>
  </si>
  <si>
    <t>ECO_F03</t>
  </si>
  <si>
    <t>ECO_F04</t>
  </si>
  <si>
    <t>ECO_F05</t>
  </si>
  <si>
    <t>ECO_F06</t>
  </si>
  <si>
    <t>ECO_F07</t>
  </si>
  <si>
    <t>ECO_F08</t>
  </si>
  <si>
    <t>ECO_F09</t>
  </si>
  <si>
    <t>ECO_F10</t>
  </si>
  <si>
    <t>Economic_Cycle_Indicator</t>
    <phoneticPr fontId="2" type="noConversion"/>
  </si>
  <si>
    <t>Expansion</t>
  </si>
  <si>
    <t>Downturn</t>
  </si>
  <si>
    <t>Repair</t>
  </si>
  <si>
    <t>Recovery</t>
  </si>
  <si>
    <t>Real Federal Funds Target Rate - Upper Bound</t>
  </si>
  <si>
    <t>Corporate Leverage</t>
  </si>
  <si>
    <t>Earnings YoY</t>
  </si>
  <si>
    <t>Earnings Yield - Debt Yield</t>
  </si>
  <si>
    <t>GDP-10Y</t>
  </si>
  <si>
    <t>CRE_F01</t>
  </si>
  <si>
    <t>CRE_F01</t>
    <phoneticPr fontId="2" type="noConversion"/>
  </si>
  <si>
    <t>CRE_F02</t>
  </si>
  <si>
    <t>CRE_F02</t>
    <phoneticPr fontId="2" type="noConversion"/>
  </si>
  <si>
    <t>CRE_F03</t>
  </si>
  <si>
    <t>CRE_F04</t>
  </si>
  <si>
    <t>CRE_F05</t>
  </si>
  <si>
    <t>CRE_F06</t>
  </si>
  <si>
    <t>CRE_F07</t>
  </si>
  <si>
    <t>CRE_F08</t>
  </si>
  <si>
    <t>Credit_Cycle_Indicator</t>
    <phoneticPr fontId="2" type="noConversion"/>
  </si>
  <si>
    <t>Economic_Cycle_Indicator_MSCI</t>
    <phoneticPr fontId="2" type="noConversion"/>
  </si>
  <si>
    <t>Credit_Cycle_Indicator_MSCI</t>
    <phoneticPr fontId="2" type="noConversion"/>
  </si>
  <si>
    <t>INJCJC Index</t>
  </si>
  <si>
    <t>CONCCONF Index</t>
  </si>
  <si>
    <t>UST 2Y-10Y</t>
  </si>
  <si>
    <t>USURTOT Index</t>
  </si>
  <si>
    <t>PITLYOY Index</t>
  </si>
  <si>
    <t>NAPMPMI Index</t>
  </si>
  <si>
    <t>CCOSYOY Index</t>
  </si>
  <si>
    <t>LUMS+ALBNRLES</t>
  </si>
  <si>
    <t>MAATUS Index</t>
  </si>
  <si>
    <t>I00159 Index</t>
  </si>
  <si>
    <t>고용1</t>
    <phoneticPr fontId="2" type="noConversion"/>
  </si>
  <si>
    <t>소비심리</t>
    <phoneticPr fontId="2" type="noConversion"/>
  </si>
  <si>
    <t>장단기스프레드</t>
    <phoneticPr fontId="2" type="noConversion"/>
  </si>
  <si>
    <t>소득</t>
    <phoneticPr fontId="2" type="noConversion"/>
  </si>
  <si>
    <t>제조업</t>
    <phoneticPr fontId="2" type="noConversion"/>
  </si>
  <si>
    <t>USGG10YR Index</t>
    <phoneticPr fontId="2" type="noConversion"/>
  </si>
  <si>
    <t>LUACOAS Index</t>
    <phoneticPr fontId="2" type="noConversion"/>
  </si>
  <si>
    <t>EOM</t>
    <phoneticPr fontId="2" type="noConversion"/>
  </si>
  <si>
    <t>주간 신규실업수당 청구건수</t>
    <phoneticPr fontId="2" type="noConversion"/>
  </si>
  <si>
    <t>컨퍼런스보드 소비자 신뢰지수</t>
    <phoneticPr fontId="2" type="noConversion"/>
  </si>
  <si>
    <t>미 국채 2년-10년 스프레드</t>
    <phoneticPr fontId="2" type="noConversion"/>
  </si>
  <si>
    <t>U-3 실업률</t>
    <phoneticPr fontId="2" type="noConversion"/>
  </si>
  <si>
    <t>개인소득 증가율</t>
    <phoneticPr fontId="2" type="noConversion"/>
  </si>
  <si>
    <t>ISM 제조업 지수</t>
    <phoneticPr fontId="2" type="noConversion"/>
  </si>
  <si>
    <t>MBS+주담대 잔액 증가율</t>
    <phoneticPr fontId="2" type="noConversion"/>
  </si>
  <si>
    <t>월간 M&amp;A 총액</t>
    <phoneticPr fontId="2" type="noConversion"/>
  </si>
  <si>
    <t>금융기업 회사채 발행잔액 증가율</t>
    <phoneticPr fontId="2" type="noConversion"/>
  </si>
  <si>
    <t>주택시장</t>
    <phoneticPr fontId="2" type="noConversion"/>
  </si>
  <si>
    <t>M&amp;A</t>
    <phoneticPr fontId="2" type="noConversion"/>
  </si>
  <si>
    <t>소비자신용</t>
    <phoneticPr fontId="2" type="noConversion"/>
  </si>
  <si>
    <t>고용2</t>
    <phoneticPr fontId="2" type="noConversion"/>
  </si>
  <si>
    <t>금융기업레버리지</t>
    <phoneticPr fontId="2" type="noConversion"/>
  </si>
  <si>
    <t>Fed 소비자신용 미상환 총액 증가율</t>
    <phoneticPr fontId="2" type="noConversion"/>
  </si>
  <si>
    <t>FDTR-PCE</t>
  </si>
  <si>
    <t>S&amp;P 500 Leverage</t>
  </si>
  <si>
    <t>S&amp;P 500 EBITDA</t>
  </si>
  <si>
    <t>Leveraging Incentive</t>
  </si>
  <si>
    <t>장단기스프레드</t>
  </si>
  <si>
    <t>실질정책금리</t>
    <phoneticPr fontId="2" type="noConversion"/>
  </si>
  <si>
    <t>제조업</t>
  </si>
  <si>
    <t>성장</t>
    <phoneticPr fontId="2" type="noConversion"/>
  </si>
  <si>
    <t>기업레버리지</t>
    <phoneticPr fontId="2" type="noConversion"/>
  </si>
  <si>
    <t>기업영업이익</t>
    <phoneticPr fontId="2" type="noConversion"/>
  </si>
  <si>
    <t>레버리지인센티브</t>
    <phoneticPr fontId="2" type="noConversion"/>
  </si>
  <si>
    <t>M&amp;A</t>
  </si>
  <si>
    <t>고용1</t>
  </si>
  <si>
    <t>소비심리</t>
  </si>
  <si>
    <t>고용2</t>
  </si>
  <si>
    <t>소득</t>
  </si>
  <si>
    <t>소비자신용</t>
  </si>
  <si>
    <t>주택시장</t>
  </si>
  <si>
    <t>금융기업레버리지</t>
  </si>
  <si>
    <t>US30</t>
    <phoneticPr fontId="2" type="noConversion"/>
  </si>
  <si>
    <t>USGG30YR Index</t>
    <phoneticPr fontId="2" type="noConversion"/>
  </si>
  <si>
    <t>빈도</t>
    <phoneticPr fontId="2" type="noConversion"/>
  </si>
  <si>
    <t>금리상승P</t>
    <phoneticPr fontId="2" type="noConversion"/>
  </si>
  <si>
    <t>SPR확대P</t>
    <phoneticPr fontId="2" type="noConversion"/>
  </si>
  <si>
    <t>US10(L)</t>
    <phoneticPr fontId="2" type="noConversion"/>
  </si>
  <si>
    <t>10-30 Spr(R)</t>
    <phoneticPr fontId="2" type="noConversion"/>
  </si>
  <si>
    <t>Phase</t>
    <phoneticPr fontId="2" type="noConversion"/>
  </si>
  <si>
    <t>USIG Spr(L)</t>
    <phoneticPr fontId="2" type="noConversion"/>
  </si>
  <si>
    <t>DATE</t>
  </si>
  <si>
    <t>Cycle_E</t>
    <phoneticPr fontId="2" type="noConversion"/>
  </si>
  <si>
    <t>Cycle_C</t>
    <phoneticPr fontId="2" type="noConversion"/>
  </si>
  <si>
    <t>GOVT US Equity</t>
  </si>
  <si>
    <t>LQD US Equity</t>
  </si>
  <si>
    <t>Trade in</t>
    <phoneticPr fontId="2" type="noConversion"/>
  </si>
  <si>
    <t>strt</t>
    <phoneticPr fontId="2" type="noConversion"/>
  </si>
  <si>
    <t>end</t>
    <phoneticPr fontId="2" type="noConversion"/>
  </si>
  <si>
    <t>out</t>
    <phoneticPr fontId="2" type="noConversion"/>
  </si>
  <si>
    <t>TR</t>
    <phoneticPr fontId="2" type="noConversion"/>
  </si>
  <si>
    <t>CORP</t>
    <phoneticPr fontId="2" type="noConversion"/>
  </si>
  <si>
    <t>BASE</t>
    <phoneticPr fontId="2" type="noConversion"/>
  </si>
  <si>
    <t>Strategy</t>
    <phoneticPr fontId="2" type="noConversion"/>
  </si>
  <si>
    <t>중립</t>
  </si>
  <si>
    <t>중립</t>
    <phoneticPr fontId="2" type="noConversion"/>
  </si>
  <si>
    <t>회사채 선호</t>
  </si>
  <si>
    <t>회사채 선호</t>
    <phoneticPr fontId="2" type="noConversion"/>
  </si>
  <si>
    <t>국채 선호</t>
  </si>
  <si>
    <t>국채 선호</t>
    <phoneticPr fontId="2" type="noConversion"/>
  </si>
  <si>
    <t>Strategy(R)</t>
    <phoneticPr fontId="2" type="noConversion"/>
  </si>
  <si>
    <t>BASE(R)</t>
    <phoneticPr fontId="2" type="noConversion"/>
  </si>
  <si>
    <t>Excess(L)</t>
    <phoneticPr fontId="2" type="noConversion"/>
  </si>
  <si>
    <t>국채</t>
    <phoneticPr fontId="2" type="noConversion"/>
  </si>
  <si>
    <t>회사채</t>
    <phoneticPr fontId="2" type="noConversion"/>
  </si>
  <si>
    <t>국채(R)</t>
    <phoneticPr fontId="2" type="noConversion"/>
  </si>
  <si>
    <t>회사채(R)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</si>
</sst>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%"/>
    <numFmt numFmtId="177" formatCode="yyyy\-mm\-dd"/>
    <numFmt numFmtId="178" formatCode="yy\.mm"/>
    <numFmt numFmtId="179" formatCode="0.000_ "/>
    <numFmt numFmtId="180" formatCode="0_ "/>
    <numFmt numFmtId="181" formatCode="0.0000_ "/>
    <numFmt numFmtId="182" formatCode="0.00_ "/>
  </numFmts>
  <fonts count="6" x14ac:knownFonts="1">
    <font>
      <sz val="10"/>
      <color theme="1"/>
      <name val="KoPub돋움체_Pro Light"/>
      <family val="2"/>
      <charset val="129"/>
    </font>
    <font>
      <sz val="11"/>
      <color theme="1"/>
      <name val="맑은 고딕"/>
      <family val="2"/>
      <charset val="129"/>
      <scheme val="minor"/>
    </font>
    <font>
      <sz val="8"/>
      <name val="KoPub돋움체_Pro Light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10"/>
      <color theme="1"/>
      <name val="KoPub돋움체_Pro Light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34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179" fontId="3" fillId="0" borderId="0" xfId="0" applyNumberFormat="1" applyFont="1">
      <alignment vertical="center"/>
    </xf>
    <xf numFmtId="176" fontId="3" fillId="0" borderId="0" xfId="1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2" applyFont="1">
      <alignment vertical="center"/>
    </xf>
    <xf numFmtId="177" fontId="4" fillId="0" borderId="0" xfId="2" applyNumberFormat="1" applyFont="1">
      <alignment vertical="center"/>
    </xf>
    <xf numFmtId="14" fontId="4" fillId="0" borderId="0" xfId="0" applyNumberFormat="1" applyFont="1">
      <alignment vertical="center"/>
    </xf>
    <xf numFmtId="179" fontId="4" fillId="0" borderId="0" xfId="0" applyNumberFormat="1" applyFont="1">
      <alignment vertical="center"/>
    </xf>
    <xf numFmtId="181" fontId="4" fillId="0" borderId="0" xfId="0" applyNumberFormat="1" applyFont="1">
      <alignment vertical="center"/>
    </xf>
    <xf numFmtId="14" fontId="4" fillId="2" borderId="0" xfId="0" applyNumberFormat="1" applyFont="1" applyFill="1">
      <alignment vertical="center"/>
    </xf>
    <xf numFmtId="0" fontId="4" fillId="2" borderId="0" xfId="0" applyFont="1" applyFill="1">
      <alignment vertical="center"/>
    </xf>
    <xf numFmtId="176" fontId="4" fillId="0" borderId="0" xfId="1" applyNumberFormat="1" applyFont="1">
      <alignment vertical="center"/>
    </xf>
    <xf numFmtId="10" fontId="4" fillId="0" borderId="0" xfId="1" applyNumberFormat="1" applyFont="1">
      <alignment vertical="center"/>
    </xf>
    <xf numFmtId="10" fontId="4" fillId="2" borderId="0" xfId="1" applyNumberFormat="1" applyFont="1" applyFill="1">
      <alignment vertical="center"/>
    </xf>
    <xf numFmtId="176" fontId="4" fillId="2" borderId="0" xfId="1" applyNumberFormat="1" applyFont="1" applyFill="1">
      <alignment vertical="center"/>
    </xf>
    <xf numFmtId="176" fontId="4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10" fontId="4" fillId="3" borderId="0" xfId="1" applyNumberFormat="1" applyFont="1" applyFill="1">
      <alignment vertical="center"/>
    </xf>
    <xf numFmtId="176" fontId="4" fillId="3" borderId="0" xfId="1" applyNumberFormat="1" applyFont="1" applyFill="1">
      <alignment vertical="center"/>
    </xf>
    <xf numFmtId="176" fontId="4" fillId="3" borderId="0" xfId="0" applyNumberFormat="1" applyFont="1" applyFill="1">
      <alignment vertical="center"/>
    </xf>
    <xf numFmtId="0" fontId="4" fillId="0" borderId="0" xfId="1" applyNumberFormat="1" applyFont="1">
      <alignment vertical="center"/>
    </xf>
    <xf numFmtId="14" fontId="4" fillId="0" borderId="0" xfId="1" applyNumberFormat="1" applyFont="1">
      <alignment vertical="center"/>
    </xf>
    <xf numFmtId="182" fontId="4" fillId="0" borderId="0" xfId="0" applyNumberFormat="1" applyFont="1">
      <alignment vertical="center"/>
    </xf>
    <xf numFmtId="182" fontId="4" fillId="0" borderId="0" xfId="1" applyNumberFormat="1" applyFont="1">
      <alignment vertical="center"/>
    </xf>
    <xf numFmtId="0" fontId="4" fillId="4" borderId="0" xfId="0" applyFont="1" applyFill="1">
      <alignment vertical="center"/>
    </xf>
  </cellXfs>
  <cellStyles count="3">
    <cellStyle name="백분율" xfId="1" builtinId="5"/>
    <cellStyle name="표준" xfId="0" builtinId="0"/>
    <cellStyle name="표준 2" xfId="2" xr:uid="{AB69B156-6038-4E45-B169-D6CDD30DE1E8}"/>
  </cellStyles>
  <dxfs count="0"/>
  <tableStyles count="0" defaultTableStyle="TableStyleMedium2" defaultPivotStyle="PivotStyleLight16"/>
  <colors>
    <mruColors>
      <color rgb="FFF58220"/>
      <color rgb="FF0D2D4F"/>
      <color rgb="FF00A9CE"/>
      <color rgb="FF043B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CycleE!$M$1</c:f>
              <c:strCache>
                <c:ptCount val="1"/>
                <c:pt idx="0">
                  <c:v>Expansion</c:v>
                </c:pt>
              </c:strCache>
            </c:strRef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CycleE!$M$2:$M$371</c:f>
              <c:numCache>
                <c:formatCode>General</c:formatCode>
                <c:ptCount val="37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</c:v>
                </c:pt>
                <c:pt idx="14">
                  <c:v>6</c:v>
                </c:pt>
                <c:pt idx="15">
                  <c:v>0</c:v>
                </c:pt>
                <c:pt idx="16">
                  <c:v>0</c:v>
                </c:pt>
                <c:pt idx="17">
                  <c:v>6</c:v>
                </c:pt>
                <c:pt idx="18">
                  <c:v>0</c:v>
                </c:pt>
                <c:pt idx="19">
                  <c:v>6</c:v>
                </c:pt>
                <c:pt idx="20">
                  <c:v>6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0</c:v>
                </c:pt>
                <c:pt idx="28">
                  <c:v>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6</c:v>
                </c:pt>
                <c:pt idx="38">
                  <c:v>0</c:v>
                </c:pt>
                <c:pt idx="39">
                  <c:v>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6</c:v>
                </c:pt>
                <c:pt idx="47">
                  <c:v>0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0</c:v>
                </c:pt>
                <c:pt idx="60">
                  <c:v>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6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</c:v>
                </c:pt>
                <c:pt idx="142">
                  <c:v>0</c:v>
                </c:pt>
                <c:pt idx="143">
                  <c:v>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6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0</c:v>
                </c:pt>
                <c:pt idx="226">
                  <c:v>6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6</c:v>
                </c:pt>
                <c:pt idx="243">
                  <c:v>0</c:v>
                </c:pt>
                <c:pt idx="244">
                  <c:v>6</c:v>
                </c:pt>
                <c:pt idx="245">
                  <c:v>6</c:v>
                </c:pt>
                <c:pt idx="246">
                  <c:v>6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6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6</c:v>
                </c:pt>
                <c:pt idx="257">
                  <c:v>6</c:v>
                </c:pt>
                <c:pt idx="258">
                  <c:v>0</c:v>
                </c:pt>
                <c:pt idx="259">
                  <c:v>0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6</c:v>
                </c:pt>
                <c:pt idx="265">
                  <c:v>6</c:v>
                </c:pt>
                <c:pt idx="266">
                  <c:v>6</c:v>
                </c:pt>
                <c:pt idx="267">
                  <c:v>6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6</c:v>
                </c:pt>
                <c:pt idx="275">
                  <c:v>6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6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6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6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0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6</c:v>
                </c:pt>
                <c:pt idx="324">
                  <c:v>6</c:v>
                </c:pt>
                <c:pt idx="325">
                  <c:v>0</c:v>
                </c:pt>
                <c:pt idx="326">
                  <c:v>0</c:v>
                </c:pt>
                <c:pt idx="327">
                  <c:v>6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6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8-4C7E-997C-EFA2A065967B}"/>
            </c:ext>
          </c:extLst>
        </c:ser>
        <c:ser>
          <c:idx val="1"/>
          <c:order val="1"/>
          <c:tx>
            <c:strRef>
              <c:f>CycleE!$N$1</c:f>
              <c:strCache>
                <c:ptCount val="1"/>
                <c:pt idx="0">
                  <c:v>Downturn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CycleE!$N$2:$N$371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0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6</c:v>
                </c:pt>
                <c:pt idx="17">
                  <c:v>0</c:v>
                </c:pt>
                <c:pt idx="18">
                  <c:v>6</c:v>
                </c:pt>
                <c:pt idx="19">
                  <c:v>0</c:v>
                </c:pt>
                <c:pt idx="20">
                  <c:v>0</c:v>
                </c:pt>
                <c:pt idx="21">
                  <c:v>6</c:v>
                </c:pt>
                <c:pt idx="22">
                  <c:v>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</c:v>
                </c:pt>
                <c:pt idx="28">
                  <c:v>0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0</c:v>
                </c:pt>
                <c:pt idx="47">
                  <c:v>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</c:v>
                </c:pt>
                <c:pt idx="60">
                  <c:v>0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0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0</c:v>
                </c:pt>
                <c:pt idx="142">
                  <c:v>6</c:v>
                </c:pt>
                <c:pt idx="143">
                  <c:v>0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0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6</c:v>
                </c:pt>
                <c:pt idx="155">
                  <c:v>0</c:v>
                </c:pt>
                <c:pt idx="156">
                  <c:v>6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6</c:v>
                </c:pt>
                <c:pt idx="226">
                  <c:v>0</c:v>
                </c:pt>
                <c:pt idx="227">
                  <c:v>6</c:v>
                </c:pt>
                <c:pt idx="228">
                  <c:v>6</c:v>
                </c:pt>
                <c:pt idx="229">
                  <c:v>6</c:v>
                </c:pt>
                <c:pt idx="230">
                  <c:v>6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0</c:v>
                </c:pt>
                <c:pt idx="243">
                  <c:v>6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0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</c:v>
                </c:pt>
                <c:pt idx="255">
                  <c:v>6</c:v>
                </c:pt>
                <c:pt idx="256">
                  <c:v>0</c:v>
                </c:pt>
                <c:pt idx="257">
                  <c:v>0</c:v>
                </c:pt>
                <c:pt idx="258">
                  <c:v>6</c:v>
                </c:pt>
                <c:pt idx="259">
                  <c:v>6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0</c:v>
                </c:pt>
                <c:pt idx="275">
                  <c:v>0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0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6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6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6</c:v>
                </c:pt>
                <c:pt idx="326">
                  <c:v>6</c:v>
                </c:pt>
                <c:pt idx="327">
                  <c:v>0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0</c:v>
                </c:pt>
                <c:pt idx="336">
                  <c:v>6</c:v>
                </c:pt>
                <c:pt idx="337">
                  <c:v>6</c:v>
                </c:pt>
                <c:pt idx="338">
                  <c:v>6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58-4C7E-997C-EFA2A065967B}"/>
            </c:ext>
          </c:extLst>
        </c:ser>
        <c:ser>
          <c:idx val="2"/>
          <c:order val="2"/>
          <c:tx>
            <c:strRef>
              <c:f>CycleE!$O$1</c:f>
              <c:strCache>
                <c:ptCount val="1"/>
                <c:pt idx="0">
                  <c:v>Repair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CycleE!$O$2:$O$371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6</c:v>
                </c:pt>
                <c:pt idx="86">
                  <c:v>6</c:v>
                </c:pt>
                <c:pt idx="87">
                  <c:v>0</c:v>
                </c:pt>
                <c:pt idx="88">
                  <c:v>0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0</c:v>
                </c:pt>
                <c:pt idx="96">
                  <c:v>0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0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0</c:v>
                </c:pt>
                <c:pt idx="120">
                  <c:v>0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6</c:v>
                </c:pt>
                <c:pt idx="156">
                  <c:v>0</c:v>
                </c:pt>
                <c:pt idx="157">
                  <c:v>0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6</c:v>
                </c:pt>
                <c:pt idx="186">
                  <c:v>6</c:v>
                </c:pt>
                <c:pt idx="187">
                  <c:v>6</c:v>
                </c:pt>
                <c:pt idx="188">
                  <c:v>6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6</c:v>
                </c:pt>
                <c:pt idx="197">
                  <c:v>6</c:v>
                </c:pt>
                <c:pt idx="198">
                  <c:v>6</c:v>
                </c:pt>
                <c:pt idx="199">
                  <c:v>6</c:v>
                </c:pt>
                <c:pt idx="200">
                  <c:v>6</c:v>
                </c:pt>
                <c:pt idx="201">
                  <c:v>6</c:v>
                </c:pt>
                <c:pt idx="202">
                  <c:v>0</c:v>
                </c:pt>
                <c:pt idx="203">
                  <c:v>0</c:v>
                </c:pt>
                <c:pt idx="204">
                  <c:v>6</c:v>
                </c:pt>
                <c:pt idx="205">
                  <c:v>6</c:v>
                </c:pt>
                <c:pt idx="206">
                  <c:v>6</c:v>
                </c:pt>
                <c:pt idx="207">
                  <c:v>0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6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0</c:v>
                </c:pt>
                <c:pt idx="301">
                  <c:v>0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6</c:v>
                </c:pt>
                <c:pt idx="350">
                  <c:v>6</c:v>
                </c:pt>
                <c:pt idx="351">
                  <c:v>6</c:v>
                </c:pt>
                <c:pt idx="352">
                  <c:v>6</c:v>
                </c:pt>
                <c:pt idx="353">
                  <c:v>6</c:v>
                </c:pt>
                <c:pt idx="354">
                  <c:v>6</c:v>
                </c:pt>
                <c:pt idx="355">
                  <c:v>6</c:v>
                </c:pt>
                <c:pt idx="356">
                  <c:v>6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6</c:v>
                </c:pt>
                <c:pt idx="365">
                  <c:v>0</c:v>
                </c:pt>
                <c:pt idx="366">
                  <c:v>6</c:v>
                </c:pt>
                <c:pt idx="367">
                  <c:v>6</c:v>
                </c:pt>
                <c:pt idx="368">
                  <c:v>0</c:v>
                </c:pt>
                <c:pt idx="36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58-4C7E-997C-EFA2A065967B}"/>
            </c:ext>
          </c:extLst>
        </c:ser>
        <c:ser>
          <c:idx val="3"/>
          <c:order val="3"/>
          <c:tx>
            <c:strRef>
              <c:f>CycleE!$P$1</c:f>
              <c:strCache>
                <c:ptCount val="1"/>
                <c:pt idx="0">
                  <c:v>Recovery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CycleE!$P$2:$P$371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</c:v>
                </c:pt>
                <c:pt idx="88">
                  <c:v>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6</c:v>
                </c:pt>
                <c:pt idx="96">
                  <c:v>6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6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6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6</c:v>
                </c:pt>
                <c:pt idx="133">
                  <c:v>6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6</c:v>
                </c:pt>
                <c:pt idx="173">
                  <c:v>6</c:v>
                </c:pt>
                <c:pt idx="174">
                  <c:v>6</c:v>
                </c:pt>
                <c:pt idx="175">
                  <c:v>6</c:v>
                </c:pt>
                <c:pt idx="176">
                  <c:v>6</c:v>
                </c:pt>
                <c:pt idx="177">
                  <c:v>6</c:v>
                </c:pt>
                <c:pt idx="178">
                  <c:v>6</c:v>
                </c:pt>
                <c:pt idx="179">
                  <c:v>6</c:v>
                </c:pt>
                <c:pt idx="180">
                  <c:v>6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6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6</c:v>
                </c:pt>
                <c:pt idx="190">
                  <c:v>6</c:v>
                </c:pt>
                <c:pt idx="191">
                  <c:v>6</c:v>
                </c:pt>
                <c:pt idx="192">
                  <c:v>6</c:v>
                </c:pt>
                <c:pt idx="193">
                  <c:v>6</c:v>
                </c:pt>
                <c:pt idx="194">
                  <c:v>6</c:v>
                </c:pt>
                <c:pt idx="195">
                  <c:v>6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6</c:v>
                </c:pt>
                <c:pt idx="203">
                  <c:v>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6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6</c:v>
                </c:pt>
                <c:pt idx="217">
                  <c:v>6</c:v>
                </c:pt>
                <c:pt idx="218">
                  <c:v>0</c:v>
                </c:pt>
                <c:pt idx="219">
                  <c:v>6</c:v>
                </c:pt>
                <c:pt idx="220">
                  <c:v>6</c:v>
                </c:pt>
                <c:pt idx="221">
                  <c:v>6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6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0</c:v>
                </c:pt>
                <c:pt idx="310">
                  <c:v>0</c:v>
                </c:pt>
                <c:pt idx="311">
                  <c:v>6</c:v>
                </c:pt>
                <c:pt idx="312">
                  <c:v>6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6</c:v>
                </c:pt>
                <c:pt idx="366">
                  <c:v>0</c:v>
                </c:pt>
                <c:pt idx="367">
                  <c:v>0</c:v>
                </c:pt>
                <c:pt idx="368">
                  <c:v>6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58-4C7E-997C-EFA2A0659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323946207"/>
        <c:axId val="323948127"/>
      </c:barChart>
      <c:lineChart>
        <c:grouping val="standard"/>
        <c:varyColors val="0"/>
        <c:ser>
          <c:idx val="4"/>
          <c:order val="4"/>
          <c:tx>
            <c:strRef>
              <c:f>CycleE!$S$1</c:f>
              <c:strCache>
                <c:ptCount val="1"/>
                <c:pt idx="0">
                  <c:v>US10(L)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CycleE!$S$2:$S$371</c:f>
              <c:numCache>
                <c:formatCode>General</c:formatCode>
                <c:ptCount val="37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6.4420000000000002</c:v>
                </c:pt>
                <c:pt idx="60">
                  <c:v>6.665</c:v>
                </c:pt>
                <c:pt idx="61">
                  <c:v>6.4089999999999998</c:v>
                </c:pt>
                <c:pt idx="62">
                  <c:v>6.0039999999999996</c:v>
                </c:pt>
                <c:pt idx="63">
                  <c:v>6.2119999999999997</c:v>
                </c:pt>
                <c:pt idx="64">
                  <c:v>6.2720000000000002</c:v>
                </c:pt>
                <c:pt idx="65">
                  <c:v>6.0309999999999997</c:v>
                </c:pt>
                <c:pt idx="66">
                  <c:v>6.0309999999999997</c:v>
                </c:pt>
                <c:pt idx="67">
                  <c:v>5.7249999999999996</c:v>
                </c:pt>
                <c:pt idx="68">
                  <c:v>5.8019999999999996</c:v>
                </c:pt>
                <c:pt idx="69">
                  <c:v>5.7510000000000003</c:v>
                </c:pt>
                <c:pt idx="70">
                  <c:v>5.468</c:v>
                </c:pt>
                <c:pt idx="71">
                  <c:v>5.1120000000000001</c:v>
                </c:pt>
                <c:pt idx="72">
                  <c:v>5.1139999999999999</c:v>
                </c:pt>
                <c:pt idx="73">
                  <c:v>4.8959999999999999</c:v>
                </c:pt>
                <c:pt idx="74">
                  <c:v>4.9169999999999998</c:v>
                </c:pt>
                <c:pt idx="75">
                  <c:v>5.3380000000000001</c:v>
                </c:pt>
                <c:pt idx="76">
                  <c:v>5.3810000000000002</c:v>
                </c:pt>
                <c:pt idx="77">
                  <c:v>5.4119999999999999</c:v>
                </c:pt>
                <c:pt idx="78">
                  <c:v>5.0540000000000003</c:v>
                </c:pt>
                <c:pt idx="79">
                  <c:v>4.8319999999999999</c:v>
                </c:pt>
                <c:pt idx="80">
                  <c:v>4.5880000000000001</c:v>
                </c:pt>
                <c:pt idx="81">
                  <c:v>4.2320000000000002</c:v>
                </c:pt>
                <c:pt idx="82">
                  <c:v>4.7519999999999998</c:v>
                </c:pt>
                <c:pt idx="83">
                  <c:v>5.0510000000000002</c:v>
                </c:pt>
                <c:pt idx="84">
                  <c:v>5.0330000000000004</c:v>
                </c:pt>
                <c:pt idx="85">
                  <c:v>4.8769999999999998</c:v>
                </c:pt>
                <c:pt idx="86">
                  <c:v>5.3959999999999999</c:v>
                </c:pt>
                <c:pt idx="87">
                  <c:v>5.0846999999999998</c:v>
                </c:pt>
                <c:pt idx="88">
                  <c:v>5.0427</c:v>
                </c:pt>
                <c:pt idx="89">
                  <c:v>4.7965</c:v>
                </c:pt>
                <c:pt idx="90">
                  <c:v>4.4588000000000001</c:v>
                </c:pt>
                <c:pt idx="91">
                  <c:v>4.1409000000000002</c:v>
                </c:pt>
                <c:pt idx="92">
                  <c:v>3.5941999999999998</c:v>
                </c:pt>
                <c:pt idx="93">
                  <c:v>3.8925000000000001</c:v>
                </c:pt>
                <c:pt idx="94">
                  <c:v>4.2051999999999996</c:v>
                </c:pt>
                <c:pt idx="95">
                  <c:v>3.8159999999999998</c:v>
                </c:pt>
                <c:pt idx="96">
                  <c:v>3.9624999999999999</c:v>
                </c:pt>
                <c:pt idx="97">
                  <c:v>3.6897000000000002</c:v>
                </c:pt>
                <c:pt idx="98">
                  <c:v>3.7959999999999998</c:v>
                </c:pt>
                <c:pt idx="99">
                  <c:v>3.8359000000000001</c:v>
                </c:pt>
                <c:pt idx="100">
                  <c:v>3.3698999999999999</c:v>
                </c:pt>
                <c:pt idx="101">
                  <c:v>3.5133000000000001</c:v>
                </c:pt>
                <c:pt idx="102">
                  <c:v>4.4055</c:v>
                </c:pt>
                <c:pt idx="103">
                  <c:v>4.4635999999999996</c:v>
                </c:pt>
                <c:pt idx="104">
                  <c:v>3.9376000000000002</c:v>
                </c:pt>
                <c:pt idx="105">
                  <c:v>4.2927</c:v>
                </c:pt>
                <c:pt idx="106">
                  <c:v>4.3315999999999999</c:v>
                </c:pt>
                <c:pt idx="107">
                  <c:v>4.2454999999999998</c:v>
                </c:pt>
                <c:pt idx="108">
                  <c:v>4.1318999999999999</c:v>
                </c:pt>
                <c:pt idx="109">
                  <c:v>3.9710999999999999</c:v>
                </c:pt>
                <c:pt idx="110">
                  <c:v>3.8348</c:v>
                </c:pt>
                <c:pt idx="111">
                  <c:v>4.5053000000000001</c:v>
                </c:pt>
                <c:pt idx="112">
                  <c:v>4.6467999999999998</c:v>
                </c:pt>
                <c:pt idx="113">
                  <c:v>4.5805999999999996</c:v>
                </c:pt>
                <c:pt idx="114">
                  <c:v>4.4747000000000003</c:v>
                </c:pt>
                <c:pt idx="115">
                  <c:v>4.1166999999999998</c:v>
                </c:pt>
                <c:pt idx="116">
                  <c:v>4.1193999999999997</c:v>
                </c:pt>
                <c:pt idx="117">
                  <c:v>4.0235000000000003</c:v>
                </c:pt>
                <c:pt idx="118">
                  <c:v>4.3491999999999997</c:v>
                </c:pt>
                <c:pt idx="119">
                  <c:v>4.2182000000000004</c:v>
                </c:pt>
                <c:pt idx="120">
                  <c:v>4.1280000000000001</c:v>
                </c:pt>
                <c:pt idx="121">
                  <c:v>4.3765999999999998</c:v>
                </c:pt>
                <c:pt idx="122">
                  <c:v>4.4814999999999996</c:v>
                </c:pt>
                <c:pt idx="123">
                  <c:v>4.1976000000000004</c:v>
                </c:pt>
                <c:pt idx="124">
                  <c:v>3.9809999999999999</c:v>
                </c:pt>
                <c:pt idx="125">
                  <c:v>3.9129999999999998</c:v>
                </c:pt>
                <c:pt idx="126">
                  <c:v>4.2759999999999998</c:v>
                </c:pt>
                <c:pt idx="127">
                  <c:v>4.0137</c:v>
                </c:pt>
                <c:pt idx="128">
                  <c:v>4.3239999999999998</c:v>
                </c:pt>
                <c:pt idx="129">
                  <c:v>4.5506000000000002</c:v>
                </c:pt>
                <c:pt idx="130">
                  <c:v>4.484</c:v>
                </c:pt>
                <c:pt idx="131">
                  <c:v>4.3910999999999998</c:v>
                </c:pt>
                <c:pt idx="132">
                  <c:v>4.5152000000000001</c:v>
                </c:pt>
                <c:pt idx="133">
                  <c:v>4.5510000000000002</c:v>
                </c:pt>
                <c:pt idx="134">
                  <c:v>4.8472</c:v>
                </c:pt>
                <c:pt idx="135">
                  <c:v>5.0505000000000004</c:v>
                </c:pt>
                <c:pt idx="136">
                  <c:v>5.1185999999999998</c:v>
                </c:pt>
                <c:pt idx="137">
                  <c:v>5.1364000000000001</c:v>
                </c:pt>
                <c:pt idx="138">
                  <c:v>4.9794</c:v>
                </c:pt>
                <c:pt idx="139">
                  <c:v>4.7257999999999996</c:v>
                </c:pt>
                <c:pt idx="140">
                  <c:v>4.6276000000000002</c:v>
                </c:pt>
                <c:pt idx="141">
                  <c:v>4.5980999999999996</c:v>
                </c:pt>
                <c:pt idx="142">
                  <c:v>4.4581</c:v>
                </c:pt>
                <c:pt idx="143">
                  <c:v>4.7022000000000004</c:v>
                </c:pt>
                <c:pt idx="144">
                  <c:v>4.8079999999999998</c:v>
                </c:pt>
                <c:pt idx="145">
                  <c:v>4.5656999999999996</c:v>
                </c:pt>
                <c:pt idx="146">
                  <c:v>4.6443000000000003</c:v>
                </c:pt>
                <c:pt idx="147">
                  <c:v>4.6222000000000003</c:v>
                </c:pt>
                <c:pt idx="148">
                  <c:v>4.8879000000000001</c:v>
                </c:pt>
                <c:pt idx="149">
                  <c:v>5.0244</c:v>
                </c:pt>
                <c:pt idx="150">
                  <c:v>4.7388000000000003</c:v>
                </c:pt>
                <c:pt idx="151">
                  <c:v>4.5292000000000003</c:v>
                </c:pt>
                <c:pt idx="152">
                  <c:v>4.5865</c:v>
                </c:pt>
                <c:pt idx="153">
                  <c:v>4.4707999999999997</c:v>
                </c:pt>
                <c:pt idx="154">
                  <c:v>3.9379</c:v>
                </c:pt>
                <c:pt idx="155">
                  <c:v>4.0232000000000001</c:v>
                </c:pt>
                <c:pt idx="156">
                  <c:v>3.5931000000000002</c:v>
                </c:pt>
                <c:pt idx="157">
                  <c:v>3.5091999999999999</c:v>
                </c:pt>
                <c:pt idx="158">
                  <c:v>3.4096000000000002</c:v>
                </c:pt>
                <c:pt idx="159">
                  <c:v>3.7279</c:v>
                </c:pt>
                <c:pt idx="160">
                  <c:v>4.0594999999999999</c:v>
                </c:pt>
                <c:pt idx="161">
                  <c:v>3.9689999999999999</c:v>
                </c:pt>
                <c:pt idx="162">
                  <c:v>3.9462000000000002</c:v>
                </c:pt>
                <c:pt idx="163">
                  <c:v>3.8115999999999999</c:v>
                </c:pt>
                <c:pt idx="164">
                  <c:v>3.8233999999999999</c:v>
                </c:pt>
                <c:pt idx="165">
                  <c:v>3.9529999999999998</c:v>
                </c:pt>
                <c:pt idx="166">
                  <c:v>2.92</c:v>
                </c:pt>
                <c:pt idx="167">
                  <c:v>2.2122999999999999</c:v>
                </c:pt>
                <c:pt idx="168">
                  <c:v>2.8403</c:v>
                </c:pt>
                <c:pt idx="169">
                  <c:v>3.0131000000000001</c:v>
                </c:pt>
                <c:pt idx="170">
                  <c:v>2.6629</c:v>
                </c:pt>
                <c:pt idx="171">
                  <c:v>3.1187</c:v>
                </c:pt>
                <c:pt idx="172">
                  <c:v>3.4594</c:v>
                </c:pt>
                <c:pt idx="173">
                  <c:v>3.5326</c:v>
                </c:pt>
                <c:pt idx="174">
                  <c:v>3.4796</c:v>
                </c:pt>
                <c:pt idx="175">
                  <c:v>3.3975</c:v>
                </c:pt>
                <c:pt idx="176">
                  <c:v>3.3052999999999999</c:v>
                </c:pt>
                <c:pt idx="177">
                  <c:v>3.3828</c:v>
                </c:pt>
                <c:pt idx="178">
                  <c:v>3.1978</c:v>
                </c:pt>
                <c:pt idx="179">
                  <c:v>3.8368000000000002</c:v>
                </c:pt>
                <c:pt idx="180">
                  <c:v>3.5844</c:v>
                </c:pt>
                <c:pt idx="181">
                  <c:v>3.6116999999999999</c:v>
                </c:pt>
                <c:pt idx="182">
                  <c:v>3.8256999999999999</c:v>
                </c:pt>
                <c:pt idx="183">
                  <c:v>3.6532</c:v>
                </c:pt>
                <c:pt idx="184">
                  <c:v>3.2848000000000002</c:v>
                </c:pt>
                <c:pt idx="185">
                  <c:v>2.9310999999999998</c:v>
                </c:pt>
                <c:pt idx="186">
                  <c:v>2.9051999999999998</c:v>
                </c:pt>
                <c:pt idx="187">
                  <c:v>2.4683000000000002</c:v>
                </c:pt>
                <c:pt idx="188">
                  <c:v>2.5097999999999998</c:v>
                </c:pt>
                <c:pt idx="189">
                  <c:v>2.5992999999999999</c:v>
                </c:pt>
                <c:pt idx="190">
                  <c:v>2.7968000000000002</c:v>
                </c:pt>
                <c:pt idx="191">
                  <c:v>3.2934999999999999</c:v>
                </c:pt>
                <c:pt idx="192">
                  <c:v>3.3704000000000001</c:v>
                </c:pt>
                <c:pt idx="193">
                  <c:v>3.4272</c:v>
                </c:pt>
                <c:pt idx="194">
                  <c:v>3.4702999999999999</c:v>
                </c:pt>
                <c:pt idx="195">
                  <c:v>3.2863000000000002</c:v>
                </c:pt>
                <c:pt idx="196">
                  <c:v>3.0607000000000002</c:v>
                </c:pt>
                <c:pt idx="197">
                  <c:v>3.16</c:v>
                </c:pt>
                <c:pt idx="198">
                  <c:v>2.7961</c:v>
                </c:pt>
                <c:pt idx="199">
                  <c:v>2.2233999999999998</c:v>
                </c:pt>
                <c:pt idx="200">
                  <c:v>1.9154</c:v>
                </c:pt>
                <c:pt idx="201">
                  <c:v>2.1133000000000002</c:v>
                </c:pt>
                <c:pt idx="202">
                  <c:v>2.0680000000000001</c:v>
                </c:pt>
                <c:pt idx="203">
                  <c:v>1.8762000000000001</c:v>
                </c:pt>
                <c:pt idx="204">
                  <c:v>1.7970999999999999</c:v>
                </c:pt>
                <c:pt idx="205">
                  <c:v>1.9704999999999999</c:v>
                </c:pt>
                <c:pt idx="206">
                  <c:v>2.2088000000000001</c:v>
                </c:pt>
                <c:pt idx="207">
                  <c:v>1.9137</c:v>
                </c:pt>
                <c:pt idx="208">
                  <c:v>1.5578000000000001</c:v>
                </c:pt>
                <c:pt idx="209">
                  <c:v>1.6449</c:v>
                </c:pt>
                <c:pt idx="210">
                  <c:v>1.4679</c:v>
                </c:pt>
                <c:pt idx="211">
                  <c:v>1.5484</c:v>
                </c:pt>
                <c:pt idx="212">
                  <c:v>1.6335</c:v>
                </c:pt>
                <c:pt idx="213">
                  <c:v>1.6900999999999999</c:v>
                </c:pt>
                <c:pt idx="214">
                  <c:v>1.6155999999999999</c:v>
                </c:pt>
                <c:pt idx="215">
                  <c:v>1.7574000000000001</c:v>
                </c:pt>
                <c:pt idx="216">
                  <c:v>1.9849000000000001</c:v>
                </c:pt>
                <c:pt idx="217">
                  <c:v>1.8755999999999999</c:v>
                </c:pt>
                <c:pt idx="218">
                  <c:v>1.8486</c:v>
                </c:pt>
                <c:pt idx="219">
                  <c:v>1.6717</c:v>
                </c:pt>
                <c:pt idx="220">
                  <c:v>2.1282000000000001</c:v>
                </c:pt>
                <c:pt idx="221">
                  <c:v>2.4857</c:v>
                </c:pt>
                <c:pt idx="222">
                  <c:v>2.5762</c:v>
                </c:pt>
                <c:pt idx="223">
                  <c:v>2.7839</c:v>
                </c:pt>
                <c:pt idx="224">
                  <c:v>2.61</c:v>
                </c:pt>
                <c:pt idx="225">
                  <c:v>2.5541999999999998</c:v>
                </c:pt>
                <c:pt idx="226">
                  <c:v>2.7444999999999999</c:v>
                </c:pt>
                <c:pt idx="227">
                  <c:v>3.0282</c:v>
                </c:pt>
                <c:pt idx="228">
                  <c:v>2.6440000000000001</c:v>
                </c:pt>
                <c:pt idx="229">
                  <c:v>2.6476000000000002</c:v>
                </c:pt>
                <c:pt idx="230">
                  <c:v>2.718</c:v>
                </c:pt>
                <c:pt idx="231">
                  <c:v>2.6459000000000001</c:v>
                </c:pt>
                <c:pt idx="232">
                  <c:v>2.4759000000000002</c:v>
                </c:pt>
                <c:pt idx="233">
                  <c:v>2.5304000000000002</c:v>
                </c:pt>
                <c:pt idx="234">
                  <c:v>2.5577999999999999</c:v>
                </c:pt>
                <c:pt idx="235">
                  <c:v>2.3431000000000002</c:v>
                </c:pt>
                <c:pt idx="236">
                  <c:v>2.4887999999999999</c:v>
                </c:pt>
                <c:pt idx="237">
                  <c:v>2.3353000000000002</c:v>
                </c:pt>
                <c:pt idx="238">
                  <c:v>2.1640000000000001</c:v>
                </c:pt>
                <c:pt idx="239">
                  <c:v>2.1711999999999998</c:v>
                </c:pt>
                <c:pt idx="240">
                  <c:v>1.6407</c:v>
                </c:pt>
                <c:pt idx="241">
                  <c:v>1.9930000000000001</c:v>
                </c:pt>
                <c:pt idx="242">
                  <c:v>1.9231</c:v>
                </c:pt>
                <c:pt idx="243">
                  <c:v>2.0316999999999998</c:v>
                </c:pt>
                <c:pt idx="244">
                  <c:v>2.1214</c:v>
                </c:pt>
                <c:pt idx="245">
                  <c:v>2.3531</c:v>
                </c:pt>
                <c:pt idx="246">
                  <c:v>2.1800999999999999</c:v>
                </c:pt>
                <c:pt idx="247">
                  <c:v>2.2179000000000002</c:v>
                </c:pt>
                <c:pt idx="248">
                  <c:v>2.0367999999999999</c:v>
                </c:pt>
                <c:pt idx="249">
                  <c:v>2.1421000000000001</c:v>
                </c:pt>
                <c:pt idx="250">
                  <c:v>2.206</c:v>
                </c:pt>
                <c:pt idx="251">
                  <c:v>2.2694000000000001</c:v>
                </c:pt>
                <c:pt idx="252">
                  <c:v>1.9209000000000001</c:v>
                </c:pt>
                <c:pt idx="253">
                  <c:v>1.7346999999999999</c:v>
                </c:pt>
                <c:pt idx="254">
                  <c:v>1.7686999999999999</c:v>
                </c:pt>
                <c:pt idx="255">
                  <c:v>1.8332999999999999</c:v>
                </c:pt>
                <c:pt idx="256">
                  <c:v>1.8458000000000001</c:v>
                </c:pt>
                <c:pt idx="257">
                  <c:v>1.4697</c:v>
                </c:pt>
                <c:pt idx="258">
                  <c:v>1.4531000000000001</c:v>
                </c:pt>
                <c:pt idx="259">
                  <c:v>1.58</c:v>
                </c:pt>
                <c:pt idx="260">
                  <c:v>1.5944</c:v>
                </c:pt>
                <c:pt idx="261">
                  <c:v>1.8254999999999999</c:v>
                </c:pt>
                <c:pt idx="262">
                  <c:v>2.3809</c:v>
                </c:pt>
                <c:pt idx="263">
                  <c:v>2.4443000000000001</c:v>
                </c:pt>
                <c:pt idx="264">
                  <c:v>2.4531000000000001</c:v>
                </c:pt>
                <c:pt idx="265">
                  <c:v>2.3898999999999999</c:v>
                </c:pt>
                <c:pt idx="266">
                  <c:v>2.3874</c:v>
                </c:pt>
                <c:pt idx="267">
                  <c:v>2.2801999999999998</c:v>
                </c:pt>
                <c:pt idx="268">
                  <c:v>2.2027999999999999</c:v>
                </c:pt>
                <c:pt idx="269">
                  <c:v>2.3037000000000001</c:v>
                </c:pt>
                <c:pt idx="270">
                  <c:v>2.2942</c:v>
                </c:pt>
                <c:pt idx="271">
                  <c:v>2.117</c:v>
                </c:pt>
                <c:pt idx="272">
                  <c:v>2.3336000000000001</c:v>
                </c:pt>
                <c:pt idx="273">
                  <c:v>2.3793000000000002</c:v>
                </c:pt>
                <c:pt idx="274">
                  <c:v>2.4097</c:v>
                </c:pt>
                <c:pt idx="275">
                  <c:v>2.4054000000000002</c:v>
                </c:pt>
                <c:pt idx="276">
                  <c:v>2.7050000000000001</c:v>
                </c:pt>
                <c:pt idx="277">
                  <c:v>2.8605999999999998</c:v>
                </c:pt>
                <c:pt idx="278">
                  <c:v>2.7389000000000001</c:v>
                </c:pt>
                <c:pt idx="279">
                  <c:v>2.9531000000000001</c:v>
                </c:pt>
                <c:pt idx="280">
                  <c:v>2.8586</c:v>
                </c:pt>
                <c:pt idx="281">
                  <c:v>2.8601000000000001</c:v>
                </c:pt>
                <c:pt idx="282">
                  <c:v>2.9598</c:v>
                </c:pt>
                <c:pt idx="283">
                  <c:v>2.8603999999999998</c:v>
                </c:pt>
                <c:pt idx="284">
                  <c:v>3.0611999999999999</c:v>
                </c:pt>
                <c:pt idx="285">
                  <c:v>3.1435</c:v>
                </c:pt>
                <c:pt idx="286">
                  <c:v>2.9878999999999998</c:v>
                </c:pt>
                <c:pt idx="287">
                  <c:v>2.6842000000000001</c:v>
                </c:pt>
                <c:pt idx="288">
                  <c:v>2.6293000000000002</c:v>
                </c:pt>
                <c:pt idx="289">
                  <c:v>2.7149999999999999</c:v>
                </c:pt>
                <c:pt idx="290">
                  <c:v>2.4049999999999998</c:v>
                </c:pt>
                <c:pt idx="291">
                  <c:v>2.5017999999999998</c:v>
                </c:pt>
                <c:pt idx="292">
                  <c:v>2.1246</c:v>
                </c:pt>
                <c:pt idx="293">
                  <c:v>2.0051000000000001</c:v>
                </c:pt>
                <c:pt idx="294">
                  <c:v>2.0144000000000002</c:v>
                </c:pt>
                <c:pt idx="295">
                  <c:v>1.4961</c:v>
                </c:pt>
                <c:pt idx="296">
                  <c:v>1.6646000000000001</c:v>
                </c:pt>
                <c:pt idx="297">
                  <c:v>1.6910000000000001</c:v>
                </c:pt>
                <c:pt idx="298">
                  <c:v>1.7758</c:v>
                </c:pt>
                <c:pt idx="299">
                  <c:v>1.9175</c:v>
                </c:pt>
                <c:pt idx="300">
                  <c:v>1.5067999999999999</c:v>
                </c:pt>
                <c:pt idx="301">
                  <c:v>1.1486000000000001</c:v>
                </c:pt>
                <c:pt idx="302">
                  <c:v>0.66949999999999998</c:v>
                </c:pt>
                <c:pt idx="303">
                  <c:v>0.63929999999999998</c:v>
                </c:pt>
                <c:pt idx="304">
                  <c:v>0.65259999999999996</c:v>
                </c:pt>
                <c:pt idx="305">
                  <c:v>0.65610000000000002</c:v>
                </c:pt>
                <c:pt idx="306">
                  <c:v>0.5282</c:v>
                </c:pt>
                <c:pt idx="307">
                  <c:v>0.70479999999999998</c:v>
                </c:pt>
                <c:pt idx="308">
                  <c:v>0.68400000000000005</c:v>
                </c:pt>
                <c:pt idx="309">
                  <c:v>0.87370000000000003</c:v>
                </c:pt>
                <c:pt idx="310">
                  <c:v>0.83889999999999998</c:v>
                </c:pt>
                <c:pt idx="311">
                  <c:v>0.91320000000000001</c:v>
                </c:pt>
                <c:pt idx="312">
                  <c:v>1.0654999999999999</c:v>
                </c:pt>
                <c:pt idx="313">
                  <c:v>1.4049</c:v>
                </c:pt>
                <c:pt idx="314">
                  <c:v>1.7403999999999999</c:v>
                </c:pt>
                <c:pt idx="315">
                  <c:v>1.6258999999999999</c:v>
                </c:pt>
                <c:pt idx="316">
                  <c:v>1.5943000000000001</c:v>
                </c:pt>
                <c:pt idx="317">
                  <c:v>1.468</c:v>
                </c:pt>
                <c:pt idx="318">
                  <c:v>1.2222999999999999</c:v>
                </c:pt>
                <c:pt idx="319">
                  <c:v>1.3088</c:v>
                </c:pt>
                <c:pt idx="320">
                  <c:v>1.4873000000000001</c:v>
                </c:pt>
                <c:pt idx="321">
                  <c:v>1.5521</c:v>
                </c:pt>
                <c:pt idx="322">
                  <c:v>1.4442999999999999</c:v>
                </c:pt>
                <c:pt idx="323">
                  <c:v>1.5101</c:v>
                </c:pt>
                <c:pt idx="324">
                  <c:v>1.7766999999999999</c:v>
                </c:pt>
                <c:pt idx="325">
                  <c:v>1.825</c:v>
                </c:pt>
                <c:pt idx="326">
                  <c:v>2.3380000000000001</c:v>
                </c:pt>
                <c:pt idx="327">
                  <c:v>2.9336000000000002</c:v>
                </c:pt>
                <c:pt idx="328">
                  <c:v>2.8441000000000001</c:v>
                </c:pt>
                <c:pt idx="329">
                  <c:v>3.0129000000000001</c:v>
                </c:pt>
                <c:pt idx="330">
                  <c:v>2.6486999999999998</c:v>
                </c:pt>
                <c:pt idx="331">
                  <c:v>3.1926000000000001</c:v>
                </c:pt>
                <c:pt idx="332">
                  <c:v>3.8285999999999998</c:v>
                </c:pt>
                <c:pt idx="333">
                  <c:v>4.0477999999999996</c:v>
                </c:pt>
                <c:pt idx="334">
                  <c:v>3.6053999999999999</c:v>
                </c:pt>
                <c:pt idx="335">
                  <c:v>3.8748</c:v>
                </c:pt>
                <c:pt idx="336">
                  <c:v>3.5068999999999999</c:v>
                </c:pt>
                <c:pt idx="337">
                  <c:v>3.92</c:v>
                </c:pt>
                <c:pt idx="338">
                  <c:v>3.4676</c:v>
                </c:pt>
                <c:pt idx="339">
                  <c:v>3.4220000000000002</c:v>
                </c:pt>
                <c:pt idx="340">
                  <c:v>3.6425999999999998</c:v>
                </c:pt>
                <c:pt idx="341">
                  <c:v>3.8367</c:v>
                </c:pt>
                <c:pt idx="342">
                  <c:v>3.9588000000000001</c:v>
                </c:pt>
                <c:pt idx="343">
                  <c:v>4.1081000000000003</c:v>
                </c:pt>
                <c:pt idx="344">
                  <c:v>4.5711000000000004</c:v>
                </c:pt>
                <c:pt idx="345">
                  <c:v>4.9306999999999999</c:v>
                </c:pt>
                <c:pt idx="346">
                  <c:v>4.3263999999999996</c:v>
                </c:pt>
                <c:pt idx="347">
                  <c:v>3.8791000000000002</c:v>
                </c:pt>
                <c:pt idx="348">
                  <c:v>3.9123999999999999</c:v>
                </c:pt>
                <c:pt idx="349">
                  <c:v>4.2502000000000004</c:v>
                </c:pt>
                <c:pt idx="350">
                  <c:v>4.2003000000000004</c:v>
                </c:pt>
                <c:pt idx="351">
                  <c:v>4.6798000000000002</c:v>
                </c:pt>
                <c:pt idx="352">
                  <c:v>4.4984999999999999</c:v>
                </c:pt>
                <c:pt idx="353">
                  <c:v>4.3960999999999997</c:v>
                </c:pt>
                <c:pt idx="354">
                  <c:v>4.0296000000000003</c:v>
                </c:pt>
                <c:pt idx="355">
                  <c:v>3.9034</c:v>
                </c:pt>
                <c:pt idx="356">
                  <c:v>3.7808999999999999</c:v>
                </c:pt>
                <c:pt idx="357">
                  <c:v>4.2843999999999998</c:v>
                </c:pt>
                <c:pt idx="358">
                  <c:v>4.1684999999999999</c:v>
                </c:pt>
                <c:pt idx="359">
                  <c:v>4.569</c:v>
                </c:pt>
                <c:pt idx="360">
                  <c:v>4.5387000000000004</c:v>
                </c:pt>
                <c:pt idx="361">
                  <c:v>4.2081999999999997</c:v>
                </c:pt>
                <c:pt idx="362">
                  <c:v>4.2053000000000003</c:v>
                </c:pt>
                <c:pt idx="363">
                  <c:v>4.1619000000000002</c:v>
                </c:pt>
                <c:pt idx="364">
                  <c:v>4.4004000000000003</c:v>
                </c:pt>
                <c:pt idx="365">
                  <c:v>4.2279999999999998</c:v>
                </c:pt>
                <c:pt idx="366">
                  <c:v>4.3739999999999997</c:v>
                </c:pt>
                <c:pt idx="367">
                  <c:v>4.2283999999999997</c:v>
                </c:pt>
                <c:pt idx="368">
                  <c:v>4.1502999999999997</c:v>
                </c:pt>
                <c:pt idx="369">
                  <c:v>4.0774999999999997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58-4C7E-997C-EFA2A0659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3946207"/>
        <c:axId val="323948127"/>
      </c:lineChart>
      <c:lineChart>
        <c:grouping val="standard"/>
        <c:varyColors val="0"/>
        <c:ser>
          <c:idx val="5"/>
          <c:order val="5"/>
          <c:tx>
            <c:strRef>
              <c:f>CycleE!$T$1</c:f>
              <c:strCache>
                <c:ptCount val="1"/>
                <c:pt idx="0">
                  <c:v>10-30 Spr(R)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CycleE!$A$2:$A$371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CycleE!$T$2:$T$371</c:f>
              <c:numCache>
                <c:formatCode>General</c:formatCode>
                <c:ptCount val="37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3.5999999999999588E-2</c:v>
                </c:pt>
                <c:pt idx="60">
                  <c:v>-0.17400000000000038</c:v>
                </c:pt>
                <c:pt idx="61">
                  <c:v>-0.26900000000000013</c:v>
                </c:pt>
                <c:pt idx="62">
                  <c:v>-0.17599999999999927</c:v>
                </c:pt>
                <c:pt idx="63">
                  <c:v>-0.25199999999999978</c:v>
                </c:pt>
                <c:pt idx="64">
                  <c:v>-0.26400000000000023</c:v>
                </c:pt>
                <c:pt idx="65">
                  <c:v>-0.13499999999999979</c:v>
                </c:pt>
                <c:pt idx="66">
                  <c:v>-0.24899999999999967</c:v>
                </c:pt>
                <c:pt idx="67">
                  <c:v>-5.6999999999999496E-2</c:v>
                </c:pt>
                <c:pt idx="68">
                  <c:v>8.3000000000000185E-2</c:v>
                </c:pt>
                <c:pt idx="69">
                  <c:v>3.6999999999999922E-2</c:v>
                </c:pt>
                <c:pt idx="70">
                  <c:v>0.13999999999999968</c:v>
                </c:pt>
                <c:pt idx="71">
                  <c:v>0.34499999999999975</c:v>
                </c:pt>
                <c:pt idx="72">
                  <c:v>0.38700000000000045</c:v>
                </c:pt>
                <c:pt idx="73">
                  <c:v>0.41800000000000015</c:v>
                </c:pt>
                <c:pt idx="74">
                  <c:v>0.52700000000000014</c:v>
                </c:pt>
                <c:pt idx="75">
                  <c:v>0.45000000000000018</c:v>
                </c:pt>
                <c:pt idx="76">
                  <c:v>0.37199999999999989</c:v>
                </c:pt>
                <c:pt idx="77">
                  <c:v>0.34700000000000042</c:v>
                </c:pt>
                <c:pt idx="78">
                  <c:v>0.46799999999999997</c:v>
                </c:pt>
                <c:pt idx="79">
                  <c:v>0.53600000000000048</c:v>
                </c:pt>
                <c:pt idx="80">
                  <c:v>0.83300000000000018</c:v>
                </c:pt>
                <c:pt idx="81">
                  <c:v>0.64199999999999946</c:v>
                </c:pt>
                <c:pt idx="82">
                  <c:v>0.53399999999999981</c:v>
                </c:pt>
                <c:pt idx="83">
                  <c:v>0.41500000000000004</c:v>
                </c:pt>
                <c:pt idx="84">
                  <c:v>0.39799999999999969</c:v>
                </c:pt>
                <c:pt idx="85">
                  <c:v>0.54</c:v>
                </c:pt>
                <c:pt idx="86">
                  <c:v>0.39900000000000002</c:v>
                </c:pt>
                <c:pt idx="87">
                  <c:v>0.50710000000000033</c:v>
                </c:pt>
                <c:pt idx="88">
                  <c:v>0.57200000000000006</c:v>
                </c:pt>
                <c:pt idx="89">
                  <c:v>0.71110000000000007</c:v>
                </c:pt>
                <c:pt idx="90">
                  <c:v>0.84229999999999983</c:v>
                </c:pt>
                <c:pt idx="91">
                  <c:v>0.78419999999999934</c:v>
                </c:pt>
                <c:pt idx="92">
                  <c:v>1.0739999999999998</c:v>
                </c:pt>
                <c:pt idx="93">
                  <c:v>1.0933000000000002</c:v>
                </c:pt>
                <c:pt idx="94">
                  <c:v>0.83010000000000073</c:v>
                </c:pt>
                <c:pt idx="95">
                  <c:v>0.96199999999999974</c:v>
                </c:pt>
                <c:pt idx="96">
                  <c:v>0.87860000000000005</c:v>
                </c:pt>
                <c:pt idx="97">
                  <c:v>0.97949999999999982</c:v>
                </c:pt>
                <c:pt idx="98">
                  <c:v>1.0194000000000005</c:v>
                </c:pt>
                <c:pt idx="99">
                  <c:v>0.92859999999999987</c:v>
                </c:pt>
                <c:pt idx="100">
                  <c:v>1.0063</c:v>
                </c:pt>
                <c:pt idx="101">
                  <c:v>1.0433000000000003</c:v>
                </c:pt>
                <c:pt idx="102">
                  <c:v>0.95190000000000019</c:v>
                </c:pt>
                <c:pt idx="103">
                  <c:v>0.75920000000000076</c:v>
                </c:pt>
                <c:pt idx="104">
                  <c:v>0.94469999999999965</c:v>
                </c:pt>
                <c:pt idx="105">
                  <c:v>0.83870000000000022</c:v>
                </c:pt>
                <c:pt idx="106">
                  <c:v>0.7995000000000001</c:v>
                </c:pt>
                <c:pt idx="107">
                  <c:v>0.82720000000000038</c:v>
                </c:pt>
                <c:pt idx="108">
                  <c:v>0.82910000000000039</c:v>
                </c:pt>
                <c:pt idx="109">
                  <c:v>0.86629999999999985</c:v>
                </c:pt>
                <c:pt idx="110">
                  <c:v>0.9368000000000003</c:v>
                </c:pt>
                <c:pt idx="111">
                  <c:v>0.77909999999999968</c:v>
                </c:pt>
                <c:pt idx="112">
                  <c:v>0.69779999999999998</c:v>
                </c:pt>
                <c:pt idx="113">
                  <c:v>0.70700000000000074</c:v>
                </c:pt>
                <c:pt idx="114">
                  <c:v>0.72219999999999995</c:v>
                </c:pt>
                <c:pt idx="115">
                  <c:v>0.81050000000000022</c:v>
                </c:pt>
                <c:pt idx="116">
                  <c:v>0.77249999999999996</c:v>
                </c:pt>
                <c:pt idx="117">
                  <c:v>0.76539999999999964</c:v>
                </c:pt>
                <c:pt idx="118">
                  <c:v>0.65280000000000005</c:v>
                </c:pt>
                <c:pt idx="119">
                  <c:v>0.60789999999999988</c:v>
                </c:pt>
                <c:pt idx="120">
                  <c:v>0.45690000000000008</c:v>
                </c:pt>
                <c:pt idx="121">
                  <c:v>0.3429000000000002</c:v>
                </c:pt>
                <c:pt idx="122">
                  <c:v>0.27330000000000076</c:v>
                </c:pt>
                <c:pt idx="123">
                  <c:v>0.31569999999999965</c:v>
                </c:pt>
                <c:pt idx="124">
                  <c:v>0.33950000000000014</c:v>
                </c:pt>
                <c:pt idx="125">
                  <c:v>0.27809999999999979</c:v>
                </c:pt>
                <c:pt idx="126">
                  <c:v>0.19460000000000033</c:v>
                </c:pt>
                <c:pt idx="127">
                  <c:v>0.24000000000000021</c:v>
                </c:pt>
                <c:pt idx="128">
                  <c:v>0.2427999999999999</c:v>
                </c:pt>
                <c:pt idx="129">
                  <c:v>0.20310000000000006</c:v>
                </c:pt>
                <c:pt idx="130">
                  <c:v>0.20870000000000033</c:v>
                </c:pt>
                <c:pt idx="131">
                  <c:v>0.14369999999999994</c:v>
                </c:pt>
                <c:pt idx="132">
                  <c:v>0.16159999999999997</c:v>
                </c:pt>
                <c:pt idx="133">
                  <c:v>-4.3499999999999872E-2</c:v>
                </c:pt>
                <c:pt idx="134">
                  <c:v>4.2600000000000193E-2</c:v>
                </c:pt>
                <c:pt idx="135">
                  <c:v>0.11099999999999977</c:v>
                </c:pt>
                <c:pt idx="136">
                  <c:v>0.10909999999999975</c:v>
                </c:pt>
                <c:pt idx="137">
                  <c:v>4.9500000000000099E-2</c:v>
                </c:pt>
                <c:pt idx="138">
                  <c:v>8.5499999999999687E-2</c:v>
                </c:pt>
                <c:pt idx="139">
                  <c:v>0.15100000000000069</c:v>
                </c:pt>
                <c:pt idx="140">
                  <c:v>0.13429999999999964</c:v>
                </c:pt>
                <c:pt idx="141">
                  <c:v>0.11720000000000041</c:v>
                </c:pt>
                <c:pt idx="142">
                  <c:v>0.10379999999999967</c:v>
                </c:pt>
                <c:pt idx="143">
                  <c:v>0.10729999999999951</c:v>
                </c:pt>
                <c:pt idx="144">
                  <c:v>9.8900000000000432E-2</c:v>
                </c:pt>
                <c:pt idx="145">
                  <c:v>0.11490000000000045</c:v>
                </c:pt>
                <c:pt idx="146">
                  <c:v>0.19890000000000008</c:v>
                </c:pt>
                <c:pt idx="147">
                  <c:v>0.19090000000000007</c:v>
                </c:pt>
                <c:pt idx="148">
                  <c:v>0.12190000000000012</c:v>
                </c:pt>
                <c:pt idx="149">
                  <c:v>9.9499999999999922E-2</c:v>
                </c:pt>
                <c:pt idx="150">
                  <c:v>0.16310000000000002</c:v>
                </c:pt>
                <c:pt idx="151">
                  <c:v>0.29319999999999968</c:v>
                </c:pt>
                <c:pt idx="152">
                  <c:v>0.24950000000000028</c:v>
                </c:pt>
                <c:pt idx="153">
                  <c:v>0.27490000000000059</c:v>
                </c:pt>
                <c:pt idx="154">
                  <c:v>0.4410999999999996</c:v>
                </c:pt>
                <c:pt idx="155">
                  <c:v>0.42900000000000027</c:v>
                </c:pt>
                <c:pt idx="156">
                  <c:v>0.7293999999999996</c:v>
                </c:pt>
                <c:pt idx="157">
                  <c:v>0.89310000000000045</c:v>
                </c:pt>
                <c:pt idx="158">
                  <c:v>0.88209999999999944</c:v>
                </c:pt>
                <c:pt idx="159">
                  <c:v>0.73930000000000007</c:v>
                </c:pt>
                <c:pt idx="160">
                  <c:v>0.65519999999999978</c:v>
                </c:pt>
                <c:pt idx="161">
                  <c:v>0.55490000000000039</c:v>
                </c:pt>
                <c:pt idx="162">
                  <c:v>0.62650000000000006</c:v>
                </c:pt>
                <c:pt idx="163">
                  <c:v>0.61109999999999998</c:v>
                </c:pt>
                <c:pt idx="164">
                  <c:v>0.48760000000000003</c:v>
                </c:pt>
                <c:pt idx="165">
                  <c:v>0.41339999999999977</c:v>
                </c:pt>
                <c:pt idx="166">
                  <c:v>0.51690000000000014</c:v>
                </c:pt>
                <c:pt idx="167">
                  <c:v>0.46350000000000025</c:v>
                </c:pt>
                <c:pt idx="168">
                  <c:v>0.76270000000000016</c:v>
                </c:pt>
                <c:pt idx="169">
                  <c:v>0.69519999999999982</c:v>
                </c:pt>
                <c:pt idx="170">
                  <c:v>0.871</c:v>
                </c:pt>
                <c:pt idx="171">
                  <c:v>0.91369999999999996</c:v>
                </c:pt>
                <c:pt idx="172">
                  <c:v>0.87670000000000003</c:v>
                </c:pt>
                <c:pt idx="173">
                  <c:v>0.79679999999999973</c:v>
                </c:pt>
                <c:pt idx="174">
                  <c:v>0.81870000000000021</c:v>
                </c:pt>
                <c:pt idx="175">
                  <c:v>0.78070000000000039</c:v>
                </c:pt>
                <c:pt idx="176">
                  <c:v>0.74479999999999968</c:v>
                </c:pt>
                <c:pt idx="177">
                  <c:v>0.8424999999999998</c:v>
                </c:pt>
                <c:pt idx="178">
                  <c:v>0.99390000000000001</c:v>
                </c:pt>
                <c:pt idx="179">
                  <c:v>0.80429999999999957</c:v>
                </c:pt>
                <c:pt idx="180">
                  <c:v>0.90400000000000036</c:v>
                </c:pt>
                <c:pt idx="181">
                  <c:v>0.94490000000000052</c:v>
                </c:pt>
                <c:pt idx="182">
                  <c:v>0.88720000000000043</c:v>
                </c:pt>
                <c:pt idx="183">
                  <c:v>0.86399999999999988</c:v>
                </c:pt>
                <c:pt idx="184">
                  <c:v>0.91949999999999976</c:v>
                </c:pt>
                <c:pt idx="185">
                  <c:v>0.95740000000000025</c:v>
                </c:pt>
                <c:pt idx="186">
                  <c:v>1.0829000000000004</c:v>
                </c:pt>
                <c:pt idx="187">
                  <c:v>1.0471999999999997</c:v>
                </c:pt>
                <c:pt idx="188">
                  <c:v>1.1751</c:v>
                </c:pt>
                <c:pt idx="189">
                  <c:v>1.3835000000000002</c:v>
                </c:pt>
                <c:pt idx="190">
                  <c:v>1.3136000000000001</c:v>
                </c:pt>
                <c:pt idx="191">
                  <c:v>1.0406000000000004</c:v>
                </c:pt>
                <c:pt idx="192">
                  <c:v>1.2007000000000003</c:v>
                </c:pt>
                <c:pt idx="193">
                  <c:v>1.0735000000000001</c:v>
                </c:pt>
                <c:pt idx="194">
                  <c:v>1.0373000000000001</c:v>
                </c:pt>
                <c:pt idx="195">
                  <c:v>1.1104999999999996</c:v>
                </c:pt>
                <c:pt idx="196">
                  <c:v>1.1634999999999995</c:v>
                </c:pt>
                <c:pt idx="197">
                  <c:v>1.2110000000000003</c:v>
                </c:pt>
                <c:pt idx="198">
                  <c:v>1.3223000000000003</c:v>
                </c:pt>
                <c:pt idx="199">
                  <c:v>1.3774000000000002</c:v>
                </c:pt>
                <c:pt idx="200">
                  <c:v>0.99800000000000022</c:v>
                </c:pt>
                <c:pt idx="201">
                  <c:v>1.0173999999999999</c:v>
                </c:pt>
                <c:pt idx="202">
                  <c:v>0.98740000000000006</c:v>
                </c:pt>
                <c:pt idx="203">
                  <c:v>1.0178999999999998</c:v>
                </c:pt>
                <c:pt idx="204">
                  <c:v>1.1404000000000001</c:v>
                </c:pt>
                <c:pt idx="205">
                  <c:v>1.1143000000000001</c:v>
                </c:pt>
                <c:pt idx="206">
                  <c:v>1.1269999999999998</c:v>
                </c:pt>
                <c:pt idx="207">
                  <c:v>1.1974</c:v>
                </c:pt>
                <c:pt idx="208">
                  <c:v>1.0843</c:v>
                </c:pt>
                <c:pt idx="209">
                  <c:v>1.1083999999999998</c:v>
                </c:pt>
                <c:pt idx="210">
                  <c:v>1.0788</c:v>
                </c:pt>
                <c:pt idx="211">
                  <c:v>1.1238999999999999</c:v>
                </c:pt>
                <c:pt idx="212">
                  <c:v>1.1895</c:v>
                </c:pt>
                <c:pt idx="213">
                  <c:v>1.1677999999999999</c:v>
                </c:pt>
                <c:pt idx="214">
                  <c:v>1.1933</c:v>
                </c:pt>
                <c:pt idx="215">
                  <c:v>1.1924999999999999</c:v>
                </c:pt>
                <c:pt idx="216">
                  <c:v>1.1869999999999998</c:v>
                </c:pt>
                <c:pt idx="217">
                  <c:v>1.21</c:v>
                </c:pt>
                <c:pt idx="218">
                  <c:v>1.2537</c:v>
                </c:pt>
                <c:pt idx="219">
                  <c:v>1.2044999999999999</c:v>
                </c:pt>
                <c:pt idx="220">
                  <c:v>1.1509</c:v>
                </c:pt>
                <c:pt idx="221">
                  <c:v>1.0137</c:v>
                </c:pt>
                <c:pt idx="222">
                  <c:v>1.0590999999999999</c:v>
                </c:pt>
                <c:pt idx="223">
                  <c:v>0.91559999999999997</c:v>
                </c:pt>
                <c:pt idx="224">
                  <c:v>1.0747</c:v>
                </c:pt>
                <c:pt idx="225">
                  <c:v>1.0844</c:v>
                </c:pt>
                <c:pt idx="226">
                  <c:v>1.0661</c:v>
                </c:pt>
                <c:pt idx="227">
                  <c:v>0.9397000000000002</c:v>
                </c:pt>
                <c:pt idx="228">
                  <c:v>0.9544999999999999</c:v>
                </c:pt>
                <c:pt idx="229">
                  <c:v>0.93459999999999965</c:v>
                </c:pt>
                <c:pt idx="230">
                  <c:v>0.84030000000000005</c:v>
                </c:pt>
                <c:pt idx="231">
                  <c:v>0.81339999999999968</c:v>
                </c:pt>
                <c:pt idx="232">
                  <c:v>0.85179999999999989</c:v>
                </c:pt>
                <c:pt idx="233">
                  <c:v>0.8294999999999999</c:v>
                </c:pt>
                <c:pt idx="234">
                  <c:v>0.75890000000000013</c:v>
                </c:pt>
                <c:pt idx="235">
                  <c:v>0.73609999999999998</c:v>
                </c:pt>
                <c:pt idx="236">
                  <c:v>0.70789999999999997</c:v>
                </c:pt>
                <c:pt idx="237">
                  <c:v>0.73089999999999966</c:v>
                </c:pt>
                <c:pt idx="238">
                  <c:v>0.72479999999999967</c:v>
                </c:pt>
                <c:pt idx="239">
                  <c:v>0.5806</c:v>
                </c:pt>
                <c:pt idx="240">
                  <c:v>0.58149999999999991</c:v>
                </c:pt>
                <c:pt idx="241">
                  <c:v>0.59729999999999994</c:v>
                </c:pt>
                <c:pt idx="242">
                  <c:v>0.61279999999999979</c:v>
                </c:pt>
                <c:pt idx="243">
                  <c:v>0.70870000000000033</c:v>
                </c:pt>
                <c:pt idx="244">
                  <c:v>0.76040000000000019</c:v>
                </c:pt>
                <c:pt idx="245">
                  <c:v>0.77050000000000018</c:v>
                </c:pt>
                <c:pt idx="246">
                  <c:v>0.72599999999999998</c:v>
                </c:pt>
                <c:pt idx="247">
                  <c:v>0.74399999999999977</c:v>
                </c:pt>
                <c:pt idx="248">
                  <c:v>0.81700000000000017</c:v>
                </c:pt>
                <c:pt idx="249">
                  <c:v>0.78010000000000002</c:v>
                </c:pt>
                <c:pt idx="250">
                  <c:v>0.7663000000000002</c:v>
                </c:pt>
                <c:pt idx="251">
                  <c:v>0.74639999999999995</c:v>
                </c:pt>
                <c:pt idx="252">
                  <c:v>0.82289999999999974</c:v>
                </c:pt>
                <c:pt idx="253">
                  <c:v>0.88090000000000024</c:v>
                </c:pt>
                <c:pt idx="254">
                  <c:v>0.84319999999999995</c:v>
                </c:pt>
                <c:pt idx="255">
                  <c:v>0.84480000000000022</c:v>
                </c:pt>
                <c:pt idx="256">
                  <c:v>0.80209999999999981</c:v>
                </c:pt>
                <c:pt idx="257">
                  <c:v>0.81499999999999995</c:v>
                </c:pt>
                <c:pt idx="258">
                  <c:v>0.72960000000000003</c:v>
                </c:pt>
                <c:pt idx="259">
                  <c:v>0.65200000000000014</c:v>
                </c:pt>
                <c:pt idx="260">
                  <c:v>0.72099999999999986</c:v>
                </c:pt>
                <c:pt idx="261">
                  <c:v>0.75430000000000019</c:v>
                </c:pt>
                <c:pt idx="262">
                  <c:v>0.65280000000000005</c:v>
                </c:pt>
                <c:pt idx="263">
                  <c:v>0.62080000000000002</c:v>
                </c:pt>
                <c:pt idx="264">
                  <c:v>0.60809999999999986</c:v>
                </c:pt>
                <c:pt idx="265">
                  <c:v>0.60530000000000017</c:v>
                </c:pt>
                <c:pt idx="266">
                  <c:v>0.6221000000000001</c:v>
                </c:pt>
                <c:pt idx="267">
                  <c:v>0.67060000000000031</c:v>
                </c:pt>
                <c:pt idx="268">
                  <c:v>0.66060000000000008</c:v>
                </c:pt>
                <c:pt idx="269">
                  <c:v>0.53109999999999991</c:v>
                </c:pt>
                <c:pt idx="270">
                  <c:v>0.60570000000000013</c:v>
                </c:pt>
                <c:pt idx="271">
                  <c:v>0.60919999999999996</c:v>
                </c:pt>
                <c:pt idx="272">
                  <c:v>0.52649999999999997</c:v>
                </c:pt>
                <c:pt idx="273">
                  <c:v>0.50009999999999977</c:v>
                </c:pt>
                <c:pt idx="274">
                  <c:v>0.41720000000000024</c:v>
                </c:pt>
                <c:pt idx="275">
                  <c:v>0.3344999999999998</c:v>
                </c:pt>
                <c:pt idx="276">
                  <c:v>0.2298</c:v>
                </c:pt>
                <c:pt idx="277">
                  <c:v>0.26360000000000028</c:v>
                </c:pt>
                <c:pt idx="278">
                  <c:v>0.2347999999999999</c:v>
                </c:pt>
                <c:pt idx="279">
                  <c:v>0.17059999999999986</c:v>
                </c:pt>
                <c:pt idx="280">
                  <c:v>0.16670000000000007</c:v>
                </c:pt>
                <c:pt idx="281">
                  <c:v>0.12889999999999979</c:v>
                </c:pt>
                <c:pt idx="282">
                  <c:v>0.12239999999999984</c:v>
                </c:pt>
                <c:pt idx="283">
                  <c:v>0.15870000000000006</c:v>
                </c:pt>
                <c:pt idx="284">
                  <c:v>0.14450000000000029</c:v>
                </c:pt>
                <c:pt idx="285">
                  <c:v>0.24739999999999984</c:v>
                </c:pt>
                <c:pt idx="286">
                  <c:v>0.30210000000000026</c:v>
                </c:pt>
                <c:pt idx="287">
                  <c:v>0.33029999999999982</c:v>
                </c:pt>
                <c:pt idx="288">
                  <c:v>0.36629999999999985</c:v>
                </c:pt>
                <c:pt idx="289">
                  <c:v>0.36520000000000019</c:v>
                </c:pt>
                <c:pt idx="290">
                  <c:v>0.4093</c:v>
                </c:pt>
                <c:pt idx="291">
                  <c:v>0.42700000000000005</c:v>
                </c:pt>
                <c:pt idx="292">
                  <c:v>0.44389999999999974</c:v>
                </c:pt>
                <c:pt idx="293">
                  <c:v>0.52400000000000002</c:v>
                </c:pt>
                <c:pt idx="294">
                  <c:v>0.51049999999999995</c:v>
                </c:pt>
                <c:pt idx="295">
                  <c:v>0.46649999999999991</c:v>
                </c:pt>
                <c:pt idx="296">
                  <c:v>0.44589999999999996</c:v>
                </c:pt>
                <c:pt idx="297">
                  <c:v>0.48809999999999998</c:v>
                </c:pt>
                <c:pt idx="298">
                  <c:v>0.42959999999999998</c:v>
                </c:pt>
                <c:pt idx="299">
                  <c:v>0.47210000000000019</c:v>
                </c:pt>
                <c:pt idx="300">
                  <c:v>0.49280000000000013</c:v>
                </c:pt>
                <c:pt idx="301">
                  <c:v>0.52659999999999996</c:v>
                </c:pt>
                <c:pt idx="302">
                  <c:v>0.65189999999999992</c:v>
                </c:pt>
                <c:pt idx="303">
                  <c:v>0.64549999999999996</c:v>
                </c:pt>
                <c:pt idx="304">
                  <c:v>0.75380000000000014</c:v>
                </c:pt>
                <c:pt idx="305">
                  <c:v>0.75460000000000005</c:v>
                </c:pt>
                <c:pt idx="306">
                  <c:v>0.66429999999999989</c:v>
                </c:pt>
                <c:pt idx="307">
                  <c:v>0.76989999999999992</c:v>
                </c:pt>
                <c:pt idx="308">
                  <c:v>0.7712</c:v>
                </c:pt>
                <c:pt idx="309">
                  <c:v>0.78609999999999991</c:v>
                </c:pt>
                <c:pt idx="310">
                  <c:v>0.72839999999999994</c:v>
                </c:pt>
                <c:pt idx="311">
                  <c:v>0.73170000000000002</c:v>
                </c:pt>
                <c:pt idx="312">
                  <c:v>0.76360000000000006</c:v>
                </c:pt>
                <c:pt idx="313">
                  <c:v>0.74639999999999995</c:v>
                </c:pt>
                <c:pt idx="314">
                  <c:v>0.67020000000000013</c:v>
                </c:pt>
                <c:pt idx="315">
                  <c:v>0.67080000000000006</c:v>
                </c:pt>
                <c:pt idx="316">
                  <c:v>0.68809999999999993</c:v>
                </c:pt>
                <c:pt idx="317">
                  <c:v>0.61770000000000014</c:v>
                </c:pt>
                <c:pt idx="318">
                  <c:v>0.66990000000000016</c:v>
                </c:pt>
                <c:pt idx="319">
                  <c:v>0.62359999999999993</c:v>
                </c:pt>
                <c:pt idx="320">
                  <c:v>0.5576000000000001</c:v>
                </c:pt>
                <c:pt idx="321">
                  <c:v>0.38070000000000004</c:v>
                </c:pt>
                <c:pt idx="322">
                  <c:v>0.3468</c:v>
                </c:pt>
                <c:pt idx="323">
                  <c:v>0.3931</c:v>
                </c:pt>
                <c:pt idx="324">
                  <c:v>0.33079999999999998</c:v>
                </c:pt>
                <c:pt idx="325">
                  <c:v>0.33609999999999984</c:v>
                </c:pt>
                <c:pt idx="326">
                  <c:v>0.10959999999999992</c:v>
                </c:pt>
                <c:pt idx="327">
                  <c:v>6.3599999999999657E-2</c:v>
                </c:pt>
                <c:pt idx="328">
                  <c:v>0.20100000000000007</c:v>
                </c:pt>
                <c:pt idx="329">
                  <c:v>0.16979999999999995</c:v>
                </c:pt>
                <c:pt idx="330">
                  <c:v>0.36100000000000021</c:v>
                </c:pt>
                <c:pt idx="331">
                  <c:v>0.10000000000000009</c:v>
                </c:pt>
                <c:pt idx="332">
                  <c:v>-5.2699999999999747E-2</c:v>
                </c:pt>
                <c:pt idx="333">
                  <c:v>0.11610000000000031</c:v>
                </c:pt>
                <c:pt idx="334">
                  <c:v>0.13050000000000006</c:v>
                </c:pt>
                <c:pt idx="335">
                  <c:v>8.8200000000000056E-2</c:v>
                </c:pt>
                <c:pt idx="336">
                  <c:v>0.12530000000000019</c:v>
                </c:pt>
                <c:pt idx="337">
                  <c:v>-3.8999999999997925E-3</c:v>
                </c:pt>
                <c:pt idx="338">
                  <c:v>0.18230000000000013</c:v>
                </c:pt>
                <c:pt idx="339">
                  <c:v>0.25129999999999963</c:v>
                </c:pt>
                <c:pt idx="340">
                  <c:v>0.21850000000000014</c:v>
                </c:pt>
                <c:pt idx="341">
                  <c:v>2.3800000000000043E-2</c:v>
                </c:pt>
                <c:pt idx="342">
                  <c:v>5.0799999999999734E-2</c:v>
                </c:pt>
                <c:pt idx="343">
                  <c:v>0.1025999999999998</c:v>
                </c:pt>
                <c:pt idx="344">
                  <c:v>0.12809999999999988</c:v>
                </c:pt>
                <c:pt idx="345">
                  <c:v>0.16239999999999988</c:v>
                </c:pt>
                <c:pt idx="346">
                  <c:v>0.16680000000000028</c:v>
                </c:pt>
                <c:pt idx="347">
                  <c:v>0.14909999999999979</c:v>
                </c:pt>
                <c:pt idx="348">
                  <c:v>0.25360000000000049</c:v>
                </c:pt>
                <c:pt idx="349">
                  <c:v>0.12869999999999937</c:v>
                </c:pt>
                <c:pt idx="350">
                  <c:v>0.14239999999999942</c:v>
                </c:pt>
                <c:pt idx="351">
                  <c:v>0.10409999999999986</c:v>
                </c:pt>
                <c:pt idx="352">
                  <c:v>0.14869999999999983</c:v>
                </c:pt>
                <c:pt idx="353">
                  <c:v>0.16220000000000034</c:v>
                </c:pt>
                <c:pt idx="354">
                  <c:v>0.27320000000000011</c:v>
                </c:pt>
                <c:pt idx="355">
                  <c:v>0.29210000000000003</c:v>
                </c:pt>
                <c:pt idx="356">
                  <c:v>0.3382000000000005</c:v>
                </c:pt>
                <c:pt idx="357">
                  <c:v>0.19059999999999988</c:v>
                </c:pt>
                <c:pt idx="358">
                  <c:v>0.19139999999999979</c:v>
                </c:pt>
                <c:pt idx="359">
                  <c:v>0.21220000000000017</c:v>
                </c:pt>
                <c:pt idx="360">
                  <c:v>0.24799999999999933</c:v>
                </c:pt>
                <c:pt idx="361">
                  <c:v>0.28120000000000012</c:v>
                </c:pt>
                <c:pt idx="362">
                  <c:v>0.36540000000000017</c:v>
                </c:pt>
                <c:pt idx="363">
                  <c:v>0.5154999999999994</c:v>
                </c:pt>
                <c:pt idx="364">
                  <c:v>0.53010000000000002</c:v>
                </c:pt>
                <c:pt idx="365">
                  <c:v>0.54630000000000045</c:v>
                </c:pt>
                <c:pt idx="366">
                  <c:v>0.52600000000000069</c:v>
                </c:pt>
                <c:pt idx="367">
                  <c:v>0.69899999999999984</c:v>
                </c:pt>
                <c:pt idx="368">
                  <c:v>0.58070000000000022</c:v>
                </c:pt>
                <c:pt idx="369">
                  <c:v>0.57370000000000054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00-452C-A20C-8196F5B88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988271"/>
        <c:axId val="2092970511"/>
      </c:lineChart>
      <c:dateAx>
        <c:axId val="323946207"/>
        <c:scaling>
          <c:orientation val="minMax"/>
          <c:min val="43831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3948127"/>
        <c:crosses val="autoZero"/>
        <c:auto val="1"/>
        <c:lblOffset val="100"/>
        <c:baseTimeUnit val="months"/>
        <c:majorUnit val="1"/>
        <c:majorTimeUnit val="years"/>
      </c:dateAx>
      <c:valAx>
        <c:axId val="32394812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3946207"/>
        <c:crosses val="autoZero"/>
        <c:crossBetween val="between"/>
      </c:valAx>
      <c:valAx>
        <c:axId val="2092970511"/>
        <c:scaling>
          <c:orientation val="minMax"/>
          <c:max val="1"/>
          <c:min val="-0.2"/>
        </c:scaling>
        <c:delete val="0"/>
        <c:axPos val="r"/>
        <c:numFmt formatCode="#,##0.0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92988271"/>
        <c:crosses val="max"/>
        <c:crossBetween val="between"/>
      </c:valAx>
      <c:dateAx>
        <c:axId val="209298827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092970511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026391862307533"/>
          <c:y val="0.8656592781393655"/>
          <c:w val="0.72553469816272953"/>
          <c:h val="0.12308371609798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CycleC!$K$1</c:f>
              <c:strCache>
                <c:ptCount val="1"/>
                <c:pt idx="0">
                  <c:v>Expansion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CycleC!$A$2:$A$371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CycleC!$K$2:$K$371</c:f>
              <c:numCache>
                <c:formatCode>General</c:formatCode>
                <c:ptCount val="370"/>
                <c:pt idx="0">
                  <c:v>700</c:v>
                </c:pt>
                <c:pt idx="1">
                  <c:v>700</c:v>
                </c:pt>
                <c:pt idx="2">
                  <c:v>700</c:v>
                </c:pt>
                <c:pt idx="3">
                  <c:v>700</c:v>
                </c:pt>
                <c:pt idx="4">
                  <c:v>700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700</c:v>
                </c:pt>
                <c:pt idx="20">
                  <c:v>700</c:v>
                </c:pt>
                <c:pt idx="21">
                  <c:v>700</c:v>
                </c:pt>
                <c:pt idx="22">
                  <c:v>700</c:v>
                </c:pt>
                <c:pt idx="23">
                  <c:v>700</c:v>
                </c:pt>
                <c:pt idx="24">
                  <c:v>700</c:v>
                </c:pt>
                <c:pt idx="25">
                  <c:v>700</c:v>
                </c:pt>
                <c:pt idx="26">
                  <c:v>700</c:v>
                </c:pt>
                <c:pt idx="27">
                  <c:v>700</c:v>
                </c:pt>
                <c:pt idx="28">
                  <c:v>700</c:v>
                </c:pt>
                <c:pt idx="29">
                  <c:v>700</c:v>
                </c:pt>
                <c:pt idx="30">
                  <c:v>700</c:v>
                </c:pt>
                <c:pt idx="31">
                  <c:v>700</c:v>
                </c:pt>
                <c:pt idx="32">
                  <c:v>700</c:v>
                </c:pt>
                <c:pt idx="33">
                  <c:v>700</c:v>
                </c:pt>
                <c:pt idx="34">
                  <c:v>700</c:v>
                </c:pt>
                <c:pt idx="35">
                  <c:v>700</c:v>
                </c:pt>
                <c:pt idx="36">
                  <c:v>700</c:v>
                </c:pt>
                <c:pt idx="37">
                  <c:v>700</c:v>
                </c:pt>
                <c:pt idx="38">
                  <c:v>700</c:v>
                </c:pt>
                <c:pt idx="39">
                  <c:v>700</c:v>
                </c:pt>
                <c:pt idx="40">
                  <c:v>700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700</c:v>
                </c:pt>
                <c:pt idx="58">
                  <c:v>700</c:v>
                </c:pt>
                <c:pt idx="59">
                  <c:v>700</c:v>
                </c:pt>
                <c:pt idx="60">
                  <c:v>700</c:v>
                </c:pt>
                <c:pt idx="61">
                  <c:v>700</c:v>
                </c:pt>
                <c:pt idx="62">
                  <c:v>700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700</c:v>
                </c:pt>
                <c:pt idx="69">
                  <c:v>700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700</c:v>
                </c:pt>
                <c:pt idx="107">
                  <c:v>700</c:v>
                </c:pt>
                <c:pt idx="108">
                  <c:v>700</c:v>
                </c:pt>
                <c:pt idx="109">
                  <c:v>700</c:v>
                </c:pt>
                <c:pt idx="110">
                  <c:v>700</c:v>
                </c:pt>
                <c:pt idx="111">
                  <c:v>700</c:v>
                </c:pt>
                <c:pt idx="112">
                  <c:v>700</c:v>
                </c:pt>
                <c:pt idx="113">
                  <c:v>700</c:v>
                </c:pt>
                <c:pt idx="114">
                  <c:v>700</c:v>
                </c:pt>
                <c:pt idx="115">
                  <c:v>700</c:v>
                </c:pt>
                <c:pt idx="116">
                  <c:v>700</c:v>
                </c:pt>
                <c:pt idx="117">
                  <c:v>700</c:v>
                </c:pt>
                <c:pt idx="118">
                  <c:v>0</c:v>
                </c:pt>
                <c:pt idx="119">
                  <c:v>700</c:v>
                </c:pt>
                <c:pt idx="120">
                  <c:v>700</c:v>
                </c:pt>
                <c:pt idx="121">
                  <c:v>700</c:v>
                </c:pt>
                <c:pt idx="122">
                  <c:v>0</c:v>
                </c:pt>
                <c:pt idx="123">
                  <c:v>0</c:v>
                </c:pt>
                <c:pt idx="124">
                  <c:v>700</c:v>
                </c:pt>
                <c:pt idx="125">
                  <c:v>700</c:v>
                </c:pt>
                <c:pt idx="126">
                  <c:v>700</c:v>
                </c:pt>
                <c:pt idx="127">
                  <c:v>700</c:v>
                </c:pt>
                <c:pt idx="128">
                  <c:v>700</c:v>
                </c:pt>
                <c:pt idx="129">
                  <c:v>700</c:v>
                </c:pt>
                <c:pt idx="130">
                  <c:v>700</c:v>
                </c:pt>
                <c:pt idx="131">
                  <c:v>700</c:v>
                </c:pt>
                <c:pt idx="132">
                  <c:v>700</c:v>
                </c:pt>
                <c:pt idx="133">
                  <c:v>700</c:v>
                </c:pt>
                <c:pt idx="134">
                  <c:v>700</c:v>
                </c:pt>
                <c:pt idx="135">
                  <c:v>700</c:v>
                </c:pt>
                <c:pt idx="136">
                  <c:v>700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700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700</c:v>
                </c:pt>
                <c:pt idx="235">
                  <c:v>700</c:v>
                </c:pt>
                <c:pt idx="236">
                  <c:v>700</c:v>
                </c:pt>
                <c:pt idx="237">
                  <c:v>700</c:v>
                </c:pt>
                <c:pt idx="238">
                  <c:v>700</c:v>
                </c:pt>
                <c:pt idx="239">
                  <c:v>700</c:v>
                </c:pt>
                <c:pt idx="240">
                  <c:v>700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700</c:v>
                </c:pt>
                <c:pt idx="258">
                  <c:v>700</c:v>
                </c:pt>
                <c:pt idx="259">
                  <c:v>700</c:v>
                </c:pt>
                <c:pt idx="260">
                  <c:v>700</c:v>
                </c:pt>
                <c:pt idx="261">
                  <c:v>700</c:v>
                </c:pt>
                <c:pt idx="262">
                  <c:v>700</c:v>
                </c:pt>
                <c:pt idx="263">
                  <c:v>700</c:v>
                </c:pt>
                <c:pt idx="264">
                  <c:v>700</c:v>
                </c:pt>
                <c:pt idx="265">
                  <c:v>700</c:v>
                </c:pt>
                <c:pt idx="266">
                  <c:v>700</c:v>
                </c:pt>
                <c:pt idx="267">
                  <c:v>700</c:v>
                </c:pt>
                <c:pt idx="268">
                  <c:v>700</c:v>
                </c:pt>
                <c:pt idx="269">
                  <c:v>700</c:v>
                </c:pt>
                <c:pt idx="270">
                  <c:v>700</c:v>
                </c:pt>
                <c:pt idx="271">
                  <c:v>700</c:v>
                </c:pt>
                <c:pt idx="272">
                  <c:v>700</c:v>
                </c:pt>
                <c:pt idx="273">
                  <c:v>700</c:v>
                </c:pt>
                <c:pt idx="274">
                  <c:v>700</c:v>
                </c:pt>
                <c:pt idx="275">
                  <c:v>700</c:v>
                </c:pt>
                <c:pt idx="276">
                  <c:v>700</c:v>
                </c:pt>
                <c:pt idx="277">
                  <c:v>700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700</c:v>
                </c:pt>
                <c:pt idx="294">
                  <c:v>700</c:v>
                </c:pt>
                <c:pt idx="295">
                  <c:v>700</c:v>
                </c:pt>
                <c:pt idx="296">
                  <c:v>700</c:v>
                </c:pt>
                <c:pt idx="297">
                  <c:v>700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700</c:v>
                </c:pt>
                <c:pt idx="318">
                  <c:v>700</c:v>
                </c:pt>
                <c:pt idx="319">
                  <c:v>700</c:v>
                </c:pt>
                <c:pt idx="320">
                  <c:v>700</c:v>
                </c:pt>
                <c:pt idx="321">
                  <c:v>700</c:v>
                </c:pt>
                <c:pt idx="322">
                  <c:v>700</c:v>
                </c:pt>
                <c:pt idx="323">
                  <c:v>700</c:v>
                </c:pt>
                <c:pt idx="324">
                  <c:v>700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FA-4B63-8A61-9332F4F82797}"/>
            </c:ext>
          </c:extLst>
        </c:ser>
        <c:ser>
          <c:idx val="1"/>
          <c:order val="1"/>
          <c:tx>
            <c:strRef>
              <c:f>CycleC!$L$1</c:f>
              <c:strCache>
                <c:ptCount val="1"/>
                <c:pt idx="0">
                  <c:v>Downturn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CycleC!$A$2:$A$371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CycleC!$L$2:$L$371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700</c:v>
                </c:pt>
                <c:pt idx="16">
                  <c:v>700</c:v>
                </c:pt>
                <c:pt idx="17">
                  <c:v>700</c:v>
                </c:pt>
                <c:pt idx="18">
                  <c:v>700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700</c:v>
                </c:pt>
                <c:pt idx="42">
                  <c:v>700</c:v>
                </c:pt>
                <c:pt idx="43">
                  <c:v>700</c:v>
                </c:pt>
                <c:pt idx="44">
                  <c:v>700</c:v>
                </c:pt>
                <c:pt idx="45">
                  <c:v>700</c:v>
                </c:pt>
                <c:pt idx="46">
                  <c:v>700</c:v>
                </c:pt>
                <c:pt idx="47">
                  <c:v>700</c:v>
                </c:pt>
                <c:pt idx="48">
                  <c:v>700</c:v>
                </c:pt>
                <c:pt idx="49">
                  <c:v>700</c:v>
                </c:pt>
                <c:pt idx="50">
                  <c:v>700</c:v>
                </c:pt>
                <c:pt idx="51">
                  <c:v>700</c:v>
                </c:pt>
                <c:pt idx="52">
                  <c:v>700</c:v>
                </c:pt>
                <c:pt idx="53">
                  <c:v>700</c:v>
                </c:pt>
                <c:pt idx="54">
                  <c:v>700</c:v>
                </c:pt>
                <c:pt idx="55">
                  <c:v>700</c:v>
                </c:pt>
                <c:pt idx="56">
                  <c:v>700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700</c:v>
                </c:pt>
                <c:pt idx="64">
                  <c:v>700</c:v>
                </c:pt>
                <c:pt idx="65">
                  <c:v>700</c:v>
                </c:pt>
                <c:pt idx="66">
                  <c:v>700</c:v>
                </c:pt>
                <c:pt idx="67">
                  <c:v>700</c:v>
                </c:pt>
                <c:pt idx="68">
                  <c:v>0</c:v>
                </c:pt>
                <c:pt idx="69">
                  <c:v>0</c:v>
                </c:pt>
                <c:pt idx="70">
                  <c:v>700</c:v>
                </c:pt>
                <c:pt idx="71">
                  <c:v>700</c:v>
                </c:pt>
                <c:pt idx="72">
                  <c:v>700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700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700</c:v>
                </c:pt>
                <c:pt idx="123">
                  <c:v>700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700</c:v>
                </c:pt>
                <c:pt idx="138">
                  <c:v>700</c:v>
                </c:pt>
                <c:pt idx="139">
                  <c:v>700</c:v>
                </c:pt>
                <c:pt idx="140">
                  <c:v>700</c:v>
                </c:pt>
                <c:pt idx="141">
                  <c:v>700</c:v>
                </c:pt>
                <c:pt idx="142">
                  <c:v>700</c:v>
                </c:pt>
                <c:pt idx="143">
                  <c:v>700</c:v>
                </c:pt>
                <c:pt idx="144">
                  <c:v>700</c:v>
                </c:pt>
                <c:pt idx="145">
                  <c:v>700</c:v>
                </c:pt>
                <c:pt idx="146">
                  <c:v>700</c:v>
                </c:pt>
                <c:pt idx="147">
                  <c:v>700</c:v>
                </c:pt>
                <c:pt idx="148">
                  <c:v>700</c:v>
                </c:pt>
                <c:pt idx="149">
                  <c:v>700</c:v>
                </c:pt>
                <c:pt idx="150">
                  <c:v>700</c:v>
                </c:pt>
                <c:pt idx="151">
                  <c:v>700</c:v>
                </c:pt>
                <c:pt idx="152">
                  <c:v>700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700</c:v>
                </c:pt>
                <c:pt idx="243">
                  <c:v>0</c:v>
                </c:pt>
                <c:pt idx="244">
                  <c:v>700</c:v>
                </c:pt>
                <c:pt idx="245">
                  <c:v>0</c:v>
                </c:pt>
                <c:pt idx="246">
                  <c:v>700</c:v>
                </c:pt>
                <c:pt idx="247">
                  <c:v>700</c:v>
                </c:pt>
                <c:pt idx="248">
                  <c:v>700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700</c:v>
                </c:pt>
                <c:pt idx="279">
                  <c:v>700</c:v>
                </c:pt>
                <c:pt idx="280">
                  <c:v>700</c:v>
                </c:pt>
                <c:pt idx="281">
                  <c:v>700</c:v>
                </c:pt>
                <c:pt idx="282">
                  <c:v>700</c:v>
                </c:pt>
                <c:pt idx="283">
                  <c:v>700</c:v>
                </c:pt>
                <c:pt idx="284">
                  <c:v>700</c:v>
                </c:pt>
                <c:pt idx="285">
                  <c:v>700</c:v>
                </c:pt>
                <c:pt idx="286">
                  <c:v>700</c:v>
                </c:pt>
                <c:pt idx="287">
                  <c:v>700</c:v>
                </c:pt>
                <c:pt idx="288">
                  <c:v>700</c:v>
                </c:pt>
                <c:pt idx="289">
                  <c:v>700</c:v>
                </c:pt>
                <c:pt idx="290">
                  <c:v>700</c:v>
                </c:pt>
                <c:pt idx="291">
                  <c:v>700</c:v>
                </c:pt>
                <c:pt idx="292">
                  <c:v>700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700</c:v>
                </c:pt>
                <c:pt idx="299">
                  <c:v>700</c:v>
                </c:pt>
                <c:pt idx="300">
                  <c:v>700</c:v>
                </c:pt>
                <c:pt idx="301">
                  <c:v>700</c:v>
                </c:pt>
                <c:pt idx="302">
                  <c:v>700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700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FA-4B63-8A61-9332F4F82797}"/>
            </c:ext>
          </c:extLst>
        </c:ser>
        <c:ser>
          <c:idx val="2"/>
          <c:order val="2"/>
          <c:tx>
            <c:strRef>
              <c:f>CycleC!$M$1</c:f>
              <c:strCache>
                <c:ptCount val="1"/>
                <c:pt idx="0">
                  <c:v>Repair</c:v>
                </c:pt>
              </c:strCache>
            </c:strRef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CycleC!$A$2:$A$371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CycleC!$M$2:$M$371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700</c:v>
                </c:pt>
                <c:pt idx="74">
                  <c:v>700</c:v>
                </c:pt>
                <c:pt idx="75">
                  <c:v>700</c:v>
                </c:pt>
                <c:pt idx="76">
                  <c:v>700</c:v>
                </c:pt>
                <c:pt idx="77">
                  <c:v>700</c:v>
                </c:pt>
                <c:pt idx="78">
                  <c:v>700</c:v>
                </c:pt>
                <c:pt idx="79">
                  <c:v>700</c:v>
                </c:pt>
                <c:pt idx="80">
                  <c:v>700</c:v>
                </c:pt>
                <c:pt idx="81">
                  <c:v>700</c:v>
                </c:pt>
                <c:pt idx="82">
                  <c:v>700</c:v>
                </c:pt>
                <c:pt idx="83">
                  <c:v>700</c:v>
                </c:pt>
                <c:pt idx="84">
                  <c:v>700</c:v>
                </c:pt>
                <c:pt idx="85">
                  <c:v>700</c:v>
                </c:pt>
                <c:pt idx="86">
                  <c:v>700</c:v>
                </c:pt>
                <c:pt idx="87">
                  <c:v>700</c:v>
                </c:pt>
                <c:pt idx="88">
                  <c:v>700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700</c:v>
                </c:pt>
                <c:pt idx="99">
                  <c:v>700</c:v>
                </c:pt>
                <c:pt idx="100">
                  <c:v>700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700</c:v>
                </c:pt>
                <c:pt idx="154">
                  <c:v>700</c:v>
                </c:pt>
                <c:pt idx="155">
                  <c:v>700</c:v>
                </c:pt>
                <c:pt idx="156">
                  <c:v>700</c:v>
                </c:pt>
                <c:pt idx="157">
                  <c:v>700</c:v>
                </c:pt>
                <c:pt idx="158">
                  <c:v>700</c:v>
                </c:pt>
                <c:pt idx="159">
                  <c:v>700</c:v>
                </c:pt>
                <c:pt idx="160">
                  <c:v>700</c:v>
                </c:pt>
                <c:pt idx="161">
                  <c:v>700</c:v>
                </c:pt>
                <c:pt idx="162">
                  <c:v>700</c:v>
                </c:pt>
                <c:pt idx="163">
                  <c:v>700</c:v>
                </c:pt>
                <c:pt idx="164">
                  <c:v>700</c:v>
                </c:pt>
                <c:pt idx="165">
                  <c:v>700</c:v>
                </c:pt>
                <c:pt idx="166">
                  <c:v>700</c:v>
                </c:pt>
                <c:pt idx="167">
                  <c:v>700</c:v>
                </c:pt>
                <c:pt idx="168">
                  <c:v>700</c:v>
                </c:pt>
                <c:pt idx="169">
                  <c:v>700</c:v>
                </c:pt>
                <c:pt idx="170">
                  <c:v>700</c:v>
                </c:pt>
                <c:pt idx="171">
                  <c:v>700</c:v>
                </c:pt>
                <c:pt idx="172">
                  <c:v>700</c:v>
                </c:pt>
                <c:pt idx="173">
                  <c:v>700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700</c:v>
                </c:pt>
                <c:pt idx="195">
                  <c:v>700</c:v>
                </c:pt>
                <c:pt idx="196">
                  <c:v>700</c:v>
                </c:pt>
                <c:pt idx="197">
                  <c:v>700</c:v>
                </c:pt>
                <c:pt idx="198">
                  <c:v>700</c:v>
                </c:pt>
                <c:pt idx="199">
                  <c:v>700</c:v>
                </c:pt>
                <c:pt idx="200">
                  <c:v>700</c:v>
                </c:pt>
                <c:pt idx="201">
                  <c:v>700</c:v>
                </c:pt>
                <c:pt idx="202">
                  <c:v>700</c:v>
                </c:pt>
                <c:pt idx="203">
                  <c:v>700</c:v>
                </c:pt>
                <c:pt idx="204">
                  <c:v>700</c:v>
                </c:pt>
                <c:pt idx="205">
                  <c:v>700</c:v>
                </c:pt>
                <c:pt idx="206">
                  <c:v>700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700</c:v>
                </c:pt>
                <c:pt idx="215">
                  <c:v>0</c:v>
                </c:pt>
                <c:pt idx="216">
                  <c:v>700</c:v>
                </c:pt>
                <c:pt idx="217">
                  <c:v>700</c:v>
                </c:pt>
                <c:pt idx="218">
                  <c:v>700</c:v>
                </c:pt>
                <c:pt idx="219">
                  <c:v>700</c:v>
                </c:pt>
                <c:pt idx="220">
                  <c:v>700</c:v>
                </c:pt>
                <c:pt idx="221">
                  <c:v>700</c:v>
                </c:pt>
                <c:pt idx="222">
                  <c:v>700</c:v>
                </c:pt>
                <c:pt idx="223">
                  <c:v>700</c:v>
                </c:pt>
                <c:pt idx="224">
                  <c:v>700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700</c:v>
                </c:pt>
                <c:pt idx="242">
                  <c:v>0</c:v>
                </c:pt>
                <c:pt idx="243">
                  <c:v>700</c:v>
                </c:pt>
                <c:pt idx="244">
                  <c:v>0</c:v>
                </c:pt>
                <c:pt idx="245">
                  <c:v>700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700</c:v>
                </c:pt>
                <c:pt idx="250">
                  <c:v>700</c:v>
                </c:pt>
                <c:pt idx="251">
                  <c:v>700</c:v>
                </c:pt>
                <c:pt idx="252">
                  <c:v>700</c:v>
                </c:pt>
                <c:pt idx="253">
                  <c:v>700</c:v>
                </c:pt>
                <c:pt idx="254">
                  <c:v>700</c:v>
                </c:pt>
                <c:pt idx="255">
                  <c:v>700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700</c:v>
                </c:pt>
                <c:pt idx="304">
                  <c:v>700</c:v>
                </c:pt>
                <c:pt idx="305">
                  <c:v>700</c:v>
                </c:pt>
                <c:pt idx="306">
                  <c:v>700</c:v>
                </c:pt>
                <c:pt idx="307">
                  <c:v>700</c:v>
                </c:pt>
                <c:pt idx="308">
                  <c:v>700</c:v>
                </c:pt>
                <c:pt idx="309">
                  <c:v>700</c:v>
                </c:pt>
                <c:pt idx="310">
                  <c:v>700</c:v>
                </c:pt>
                <c:pt idx="311">
                  <c:v>0</c:v>
                </c:pt>
                <c:pt idx="312">
                  <c:v>700</c:v>
                </c:pt>
                <c:pt idx="313">
                  <c:v>700</c:v>
                </c:pt>
                <c:pt idx="314">
                  <c:v>700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700</c:v>
                </c:pt>
                <c:pt idx="327">
                  <c:v>700</c:v>
                </c:pt>
                <c:pt idx="328">
                  <c:v>700</c:v>
                </c:pt>
                <c:pt idx="329">
                  <c:v>700</c:v>
                </c:pt>
                <c:pt idx="330">
                  <c:v>700</c:v>
                </c:pt>
                <c:pt idx="331">
                  <c:v>700</c:v>
                </c:pt>
                <c:pt idx="332">
                  <c:v>700</c:v>
                </c:pt>
                <c:pt idx="333">
                  <c:v>700</c:v>
                </c:pt>
                <c:pt idx="334">
                  <c:v>700</c:v>
                </c:pt>
                <c:pt idx="335">
                  <c:v>700</c:v>
                </c:pt>
                <c:pt idx="336">
                  <c:v>700</c:v>
                </c:pt>
                <c:pt idx="337">
                  <c:v>700</c:v>
                </c:pt>
                <c:pt idx="338">
                  <c:v>700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700</c:v>
                </c:pt>
                <c:pt idx="360">
                  <c:v>0</c:v>
                </c:pt>
                <c:pt idx="361">
                  <c:v>700</c:v>
                </c:pt>
                <c:pt idx="362">
                  <c:v>700</c:v>
                </c:pt>
                <c:pt idx="363">
                  <c:v>700</c:v>
                </c:pt>
                <c:pt idx="364">
                  <c:v>700</c:v>
                </c:pt>
                <c:pt idx="365">
                  <c:v>700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FA-4B63-8A61-9332F4F82797}"/>
            </c:ext>
          </c:extLst>
        </c:ser>
        <c:ser>
          <c:idx val="3"/>
          <c:order val="3"/>
          <c:tx>
            <c:strRef>
              <c:f>CycleC!$N$1</c:f>
              <c:strCache>
                <c:ptCount val="1"/>
                <c:pt idx="0">
                  <c:v>Recovery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CycleC!$A$2:$A$371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CycleC!$N$2:$N$371</c:f>
              <c:numCache>
                <c:formatCode>General</c:formatCode>
                <c:ptCount val="3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700</c:v>
                </c:pt>
                <c:pt idx="90">
                  <c:v>700</c:v>
                </c:pt>
                <c:pt idx="91">
                  <c:v>700</c:v>
                </c:pt>
                <c:pt idx="92">
                  <c:v>700</c:v>
                </c:pt>
                <c:pt idx="93">
                  <c:v>700</c:v>
                </c:pt>
                <c:pt idx="94">
                  <c:v>700</c:v>
                </c:pt>
                <c:pt idx="95">
                  <c:v>700</c:v>
                </c:pt>
                <c:pt idx="96">
                  <c:v>700</c:v>
                </c:pt>
                <c:pt idx="97">
                  <c:v>700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700</c:v>
                </c:pt>
                <c:pt idx="102">
                  <c:v>700</c:v>
                </c:pt>
                <c:pt idx="103">
                  <c:v>700</c:v>
                </c:pt>
                <c:pt idx="104">
                  <c:v>700</c:v>
                </c:pt>
                <c:pt idx="105">
                  <c:v>700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700</c:v>
                </c:pt>
                <c:pt idx="175">
                  <c:v>700</c:v>
                </c:pt>
                <c:pt idx="176">
                  <c:v>700</c:v>
                </c:pt>
                <c:pt idx="177">
                  <c:v>700</c:v>
                </c:pt>
                <c:pt idx="178">
                  <c:v>700</c:v>
                </c:pt>
                <c:pt idx="179">
                  <c:v>700</c:v>
                </c:pt>
                <c:pt idx="180">
                  <c:v>700</c:v>
                </c:pt>
                <c:pt idx="181">
                  <c:v>700</c:v>
                </c:pt>
                <c:pt idx="182">
                  <c:v>700</c:v>
                </c:pt>
                <c:pt idx="183">
                  <c:v>700</c:v>
                </c:pt>
                <c:pt idx="184">
                  <c:v>700</c:v>
                </c:pt>
                <c:pt idx="185">
                  <c:v>700</c:v>
                </c:pt>
                <c:pt idx="186">
                  <c:v>700</c:v>
                </c:pt>
                <c:pt idx="187">
                  <c:v>700</c:v>
                </c:pt>
                <c:pt idx="188">
                  <c:v>700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700</c:v>
                </c:pt>
                <c:pt idx="208">
                  <c:v>700</c:v>
                </c:pt>
                <c:pt idx="209">
                  <c:v>700</c:v>
                </c:pt>
                <c:pt idx="210">
                  <c:v>700</c:v>
                </c:pt>
                <c:pt idx="211">
                  <c:v>700</c:v>
                </c:pt>
                <c:pt idx="212">
                  <c:v>700</c:v>
                </c:pt>
                <c:pt idx="213">
                  <c:v>700</c:v>
                </c:pt>
                <c:pt idx="214">
                  <c:v>0</c:v>
                </c:pt>
                <c:pt idx="215">
                  <c:v>700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700</c:v>
                </c:pt>
                <c:pt idx="226">
                  <c:v>700</c:v>
                </c:pt>
                <c:pt idx="227">
                  <c:v>700</c:v>
                </c:pt>
                <c:pt idx="228">
                  <c:v>700</c:v>
                </c:pt>
                <c:pt idx="229">
                  <c:v>700</c:v>
                </c:pt>
                <c:pt idx="230">
                  <c:v>700</c:v>
                </c:pt>
                <c:pt idx="231">
                  <c:v>700</c:v>
                </c:pt>
                <c:pt idx="232">
                  <c:v>700</c:v>
                </c:pt>
                <c:pt idx="233">
                  <c:v>700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700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700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700</c:v>
                </c:pt>
                <c:pt idx="316">
                  <c:v>700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700</c:v>
                </c:pt>
                <c:pt idx="340">
                  <c:v>700</c:v>
                </c:pt>
                <c:pt idx="341">
                  <c:v>700</c:v>
                </c:pt>
                <c:pt idx="342">
                  <c:v>700</c:v>
                </c:pt>
                <c:pt idx="343">
                  <c:v>700</c:v>
                </c:pt>
                <c:pt idx="344">
                  <c:v>700</c:v>
                </c:pt>
                <c:pt idx="345">
                  <c:v>700</c:v>
                </c:pt>
                <c:pt idx="346">
                  <c:v>700</c:v>
                </c:pt>
                <c:pt idx="347">
                  <c:v>700</c:v>
                </c:pt>
                <c:pt idx="348">
                  <c:v>700</c:v>
                </c:pt>
                <c:pt idx="349">
                  <c:v>700</c:v>
                </c:pt>
                <c:pt idx="350">
                  <c:v>700</c:v>
                </c:pt>
                <c:pt idx="351">
                  <c:v>700</c:v>
                </c:pt>
                <c:pt idx="352">
                  <c:v>700</c:v>
                </c:pt>
                <c:pt idx="353">
                  <c:v>700</c:v>
                </c:pt>
                <c:pt idx="354">
                  <c:v>700</c:v>
                </c:pt>
                <c:pt idx="355">
                  <c:v>700</c:v>
                </c:pt>
                <c:pt idx="356">
                  <c:v>700</c:v>
                </c:pt>
                <c:pt idx="357">
                  <c:v>700</c:v>
                </c:pt>
                <c:pt idx="358">
                  <c:v>700</c:v>
                </c:pt>
                <c:pt idx="359">
                  <c:v>0</c:v>
                </c:pt>
                <c:pt idx="360">
                  <c:v>700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700</c:v>
                </c:pt>
                <c:pt idx="367">
                  <c:v>700</c:v>
                </c:pt>
                <c:pt idx="368">
                  <c:v>700</c:v>
                </c:pt>
                <c:pt idx="369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FA-4B63-8A61-9332F4F82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323946207"/>
        <c:axId val="323948127"/>
      </c:barChart>
      <c:lineChart>
        <c:grouping val="standard"/>
        <c:varyColors val="0"/>
        <c:ser>
          <c:idx val="4"/>
          <c:order val="4"/>
          <c:tx>
            <c:strRef>
              <c:f>CycleC!$Q$1</c:f>
              <c:strCache>
                <c:ptCount val="1"/>
                <c:pt idx="0">
                  <c:v>USIG Spr(L)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CycleC!$A$2:$A$371</c:f>
              <c:numCache>
                <c:formatCode>m/d/yyyy</c:formatCode>
                <c:ptCount val="370"/>
                <c:pt idx="0">
                  <c:v>34700</c:v>
                </c:pt>
                <c:pt idx="1">
                  <c:v>34731</c:v>
                </c:pt>
                <c:pt idx="2">
                  <c:v>34759</c:v>
                </c:pt>
                <c:pt idx="3">
                  <c:v>34790</c:v>
                </c:pt>
                <c:pt idx="4">
                  <c:v>34820</c:v>
                </c:pt>
                <c:pt idx="5">
                  <c:v>34851</c:v>
                </c:pt>
                <c:pt idx="6">
                  <c:v>34881</c:v>
                </c:pt>
                <c:pt idx="7">
                  <c:v>34912</c:v>
                </c:pt>
                <c:pt idx="8">
                  <c:v>34943</c:v>
                </c:pt>
                <c:pt idx="9">
                  <c:v>34973</c:v>
                </c:pt>
                <c:pt idx="10">
                  <c:v>35004</c:v>
                </c:pt>
                <c:pt idx="11">
                  <c:v>35034</c:v>
                </c:pt>
                <c:pt idx="12">
                  <c:v>35065</c:v>
                </c:pt>
                <c:pt idx="13">
                  <c:v>35096</c:v>
                </c:pt>
                <c:pt idx="14">
                  <c:v>35125</c:v>
                </c:pt>
                <c:pt idx="15">
                  <c:v>35156</c:v>
                </c:pt>
                <c:pt idx="16">
                  <c:v>35186</c:v>
                </c:pt>
                <c:pt idx="17">
                  <c:v>35217</c:v>
                </c:pt>
                <c:pt idx="18">
                  <c:v>35247</c:v>
                </c:pt>
                <c:pt idx="19">
                  <c:v>35278</c:v>
                </c:pt>
                <c:pt idx="20">
                  <c:v>35309</c:v>
                </c:pt>
                <c:pt idx="21">
                  <c:v>35339</c:v>
                </c:pt>
                <c:pt idx="22">
                  <c:v>35370</c:v>
                </c:pt>
                <c:pt idx="23">
                  <c:v>35400</c:v>
                </c:pt>
                <c:pt idx="24">
                  <c:v>35431</c:v>
                </c:pt>
                <c:pt idx="25">
                  <c:v>35462</c:v>
                </c:pt>
                <c:pt idx="26">
                  <c:v>35490</c:v>
                </c:pt>
                <c:pt idx="27">
                  <c:v>35521</c:v>
                </c:pt>
                <c:pt idx="28">
                  <c:v>35551</c:v>
                </c:pt>
                <c:pt idx="29">
                  <c:v>35582</c:v>
                </c:pt>
                <c:pt idx="30">
                  <c:v>35612</c:v>
                </c:pt>
                <c:pt idx="31">
                  <c:v>35643</c:v>
                </c:pt>
                <c:pt idx="32">
                  <c:v>35674</c:v>
                </c:pt>
                <c:pt idx="33">
                  <c:v>35704</c:v>
                </c:pt>
                <c:pt idx="34">
                  <c:v>35735</c:v>
                </c:pt>
                <c:pt idx="35">
                  <c:v>35765</c:v>
                </c:pt>
                <c:pt idx="36">
                  <c:v>35796</c:v>
                </c:pt>
                <c:pt idx="37">
                  <c:v>35827</c:v>
                </c:pt>
                <c:pt idx="38">
                  <c:v>35855</c:v>
                </c:pt>
                <c:pt idx="39">
                  <c:v>35886</c:v>
                </c:pt>
                <c:pt idx="40">
                  <c:v>35916</c:v>
                </c:pt>
                <c:pt idx="41">
                  <c:v>35947</c:v>
                </c:pt>
                <c:pt idx="42">
                  <c:v>35977</c:v>
                </c:pt>
                <c:pt idx="43">
                  <c:v>36008</c:v>
                </c:pt>
                <c:pt idx="44">
                  <c:v>36039</c:v>
                </c:pt>
                <c:pt idx="45">
                  <c:v>36069</c:v>
                </c:pt>
                <c:pt idx="46">
                  <c:v>36100</c:v>
                </c:pt>
                <c:pt idx="47">
                  <c:v>36130</c:v>
                </c:pt>
                <c:pt idx="48">
                  <c:v>36161</c:v>
                </c:pt>
                <c:pt idx="49">
                  <c:v>36192</c:v>
                </c:pt>
                <c:pt idx="50">
                  <c:v>36220</c:v>
                </c:pt>
                <c:pt idx="51">
                  <c:v>36251</c:v>
                </c:pt>
                <c:pt idx="52">
                  <c:v>36281</c:v>
                </c:pt>
                <c:pt idx="53">
                  <c:v>36312</c:v>
                </c:pt>
                <c:pt idx="54">
                  <c:v>36342</c:v>
                </c:pt>
                <c:pt idx="55">
                  <c:v>36373</c:v>
                </c:pt>
                <c:pt idx="56">
                  <c:v>36404</c:v>
                </c:pt>
                <c:pt idx="57">
                  <c:v>36434</c:v>
                </c:pt>
                <c:pt idx="58">
                  <c:v>36465</c:v>
                </c:pt>
                <c:pt idx="59">
                  <c:v>36495</c:v>
                </c:pt>
                <c:pt idx="60">
                  <c:v>36526</c:v>
                </c:pt>
                <c:pt idx="61">
                  <c:v>36557</c:v>
                </c:pt>
                <c:pt idx="62">
                  <c:v>36586</c:v>
                </c:pt>
                <c:pt idx="63">
                  <c:v>36617</c:v>
                </c:pt>
                <c:pt idx="64">
                  <c:v>36647</c:v>
                </c:pt>
                <c:pt idx="65">
                  <c:v>36678</c:v>
                </c:pt>
                <c:pt idx="66">
                  <c:v>36708</c:v>
                </c:pt>
                <c:pt idx="67">
                  <c:v>36739</c:v>
                </c:pt>
                <c:pt idx="68">
                  <c:v>36770</c:v>
                </c:pt>
                <c:pt idx="69">
                  <c:v>36800</c:v>
                </c:pt>
                <c:pt idx="70">
                  <c:v>36831</c:v>
                </c:pt>
                <c:pt idx="71">
                  <c:v>36861</c:v>
                </c:pt>
                <c:pt idx="72">
                  <c:v>36892</c:v>
                </c:pt>
                <c:pt idx="73">
                  <c:v>36923</c:v>
                </c:pt>
                <c:pt idx="74">
                  <c:v>36951</c:v>
                </c:pt>
                <c:pt idx="75">
                  <c:v>36982</c:v>
                </c:pt>
                <c:pt idx="76">
                  <c:v>37012</c:v>
                </c:pt>
                <c:pt idx="77">
                  <c:v>37043</c:v>
                </c:pt>
                <c:pt idx="78">
                  <c:v>37073</c:v>
                </c:pt>
                <c:pt idx="79">
                  <c:v>37104</c:v>
                </c:pt>
                <c:pt idx="80">
                  <c:v>37135</c:v>
                </c:pt>
                <c:pt idx="81">
                  <c:v>37165</c:v>
                </c:pt>
                <c:pt idx="82">
                  <c:v>37196</c:v>
                </c:pt>
                <c:pt idx="83">
                  <c:v>37226</c:v>
                </c:pt>
                <c:pt idx="84">
                  <c:v>37257</c:v>
                </c:pt>
                <c:pt idx="85">
                  <c:v>37288</c:v>
                </c:pt>
                <c:pt idx="86">
                  <c:v>37316</c:v>
                </c:pt>
                <c:pt idx="87">
                  <c:v>37347</c:v>
                </c:pt>
                <c:pt idx="88">
                  <c:v>37377</c:v>
                </c:pt>
                <c:pt idx="89">
                  <c:v>37408</c:v>
                </c:pt>
                <c:pt idx="90">
                  <c:v>37438</c:v>
                </c:pt>
                <c:pt idx="91">
                  <c:v>37469</c:v>
                </c:pt>
                <c:pt idx="92">
                  <c:v>37500</c:v>
                </c:pt>
                <c:pt idx="93">
                  <c:v>37530</c:v>
                </c:pt>
                <c:pt idx="94">
                  <c:v>37561</c:v>
                </c:pt>
                <c:pt idx="95">
                  <c:v>37591</c:v>
                </c:pt>
                <c:pt idx="96">
                  <c:v>37622</c:v>
                </c:pt>
                <c:pt idx="97">
                  <c:v>37653</c:v>
                </c:pt>
                <c:pt idx="98">
                  <c:v>37681</c:v>
                </c:pt>
                <c:pt idx="99">
                  <c:v>37712</c:v>
                </c:pt>
                <c:pt idx="100">
                  <c:v>37742</c:v>
                </c:pt>
                <c:pt idx="101">
                  <c:v>37773</c:v>
                </c:pt>
                <c:pt idx="102">
                  <c:v>37803</c:v>
                </c:pt>
                <c:pt idx="103">
                  <c:v>37834</c:v>
                </c:pt>
                <c:pt idx="104">
                  <c:v>37865</c:v>
                </c:pt>
                <c:pt idx="105">
                  <c:v>37895</c:v>
                </c:pt>
                <c:pt idx="106">
                  <c:v>37926</c:v>
                </c:pt>
                <c:pt idx="107">
                  <c:v>37956</c:v>
                </c:pt>
                <c:pt idx="108">
                  <c:v>37987</c:v>
                </c:pt>
                <c:pt idx="109">
                  <c:v>38018</c:v>
                </c:pt>
                <c:pt idx="110">
                  <c:v>38047</c:v>
                </c:pt>
                <c:pt idx="111">
                  <c:v>38078</c:v>
                </c:pt>
                <c:pt idx="112">
                  <c:v>38108</c:v>
                </c:pt>
                <c:pt idx="113">
                  <c:v>38139</c:v>
                </c:pt>
                <c:pt idx="114">
                  <c:v>38169</c:v>
                </c:pt>
                <c:pt idx="115">
                  <c:v>38200</c:v>
                </c:pt>
                <c:pt idx="116">
                  <c:v>38231</c:v>
                </c:pt>
                <c:pt idx="117">
                  <c:v>38261</c:v>
                </c:pt>
                <c:pt idx="118">
                  <c:v>38292</c:v>
                </c:pt>
                <c:pt idx="119">
                  <c:v>38322</c:v>
                </c:pt>
                <c:pt idx="120">
                  <c:v>38353</c:v>
                </c:pt>
                <c:pt idx="121">
                  <c:v>38384</c:v>
                </c:pt>
                <c:pt idx="122">
                  <c:v>38412</c:v>
                </c:pt>
                <c:pt idx="123">
                  <c:v>38443</c:v>
                </c:pt>
                <c:pt idx="124">
                  <c:v>38473</c:v>
                </c:pt>
                <c:pt idx="125">
                  <c:v>38504</c:v>
                </c:pt>
                <c:pt idx="126">
                  <c:v>38534</c:v>
                </c:pt>
                <c:pt idx="127">
                  <c:v>38565</c:v>
                </c:pt>
                <c:pt idx="128">
                  <c:v>38596</c:v>
                </c:pt>
                <c:pt idx="129">
                  <c:v>38626</c:v>
                </c:pt>
                <c:pt idx="130">
                  <c:v>38657</c:v>
                </c:pt>
                <c:pt idx="131">
                  <c:v>38687</c:v>
                </c:pt>
                <c:pt idx="132">
                  <c:v>38718</c:v>
                </c:pt>
                <c:pt idx="133">
                  <c:v>38749</c:v>
                </c:pt>
                <c:pt idx="134">
                  <c:v>38777</c:v>
                </c:pt>
                <c:pt idx="135">
                  <c:v>38808</c:v>
                </c:pt>
                <c:pt idx="136">
                  <c:v>38838</c:v>
                </c:pt>
                <c:pt idx="137">
                  <c:v>38869</c:v>
                </c:pt>
                <c:pt idx="138">
                  <c:v>38899</c:v>
                </c:pt>
                <c:pt idx="139">
                  <c:v>38930</c:v>
                </c:pt>
                <c:pt idx="140">
                  <c:v>38961</c:v>
                </c:pt>
                <c:pt idx="141">
                  <c:v>38991</c:v>
                </c:pt>
                <c:pt idx="142">
                  <c:v>39022</c:v>
                </c:pt>
                <c:pt idx="143">
                  <c:v>39052</c:v>
                </c:pt>
                <c:pt idx="144">
                  <c:v>39083</c:v>
                </c:pt>
                <c:pt idx="145">
                  <c:v>39114</c:v>
                </c:pt>
                <c:pt idx="146">
                  <c:v>39142</c:v>
                </c:pt>
                <c:pt idx="147">
                  <c:v>39173</c:v>
                </c:pt>
                <c:pt idx="148">
                  <c:v>39203</c:v>
                </c:pt>
                <c:pt idx="149">
                  <c:v>39234</c:v>
                </c:pt>
                <c:pt idx="150">
                  <c:v>39264</c:v>
                </c:pt>
                <c:pt idx="151">
                  <c:v>39295</c:v>
                </c:pt>
                <c:pt idx="152">
                  <c:v>39326</c:v>
                </c:pt>
                <c:pt idx="153">
                  <c:v>39356</c:v>
                </c:pt>
                <c:pt idx="154">
                  <c:v>39387</c:v>
                </c:pt>
                <c:pt idx="155">
                  <c:v>39417</c:v>
                </c:pt>
                <c:pt idx="156">
                  <c:v>39448</c:v>
                </c:pt>
                <c:pt idx="157">
                  <c:v>39479</c:v>
                </c:pt>
                <c:pt idx="158">
                  <c:v>39508</c:v>
                </c:pt>
                <c:pt idx="159">
                  <c:v>39539</c:v>
                </c:pt>
                <c:pt idx="160">
                  <c:v>39569</c:v>
                </c:pt>
                <c:pt idx="161">
                  <c:v>39600</c:v>
                </c:pt>
                <c:pt idx="162">
                  <c:v>39630</c:v>
                </c:pt>
                <c:pt idx="163">
                  <c:v>39661</c:v>
                </c:pt>
                <c:pt idx="164">
                  <c:v>39692</c:v>
                </c:pt>
                <c:pt idx="165">
                  <c:v>39722</c:v>
                </c:pt>
                <c:pt idx="166">
                  <c:v>39753</c:v>
                </c:pt>
                <c:pt idx="167">
                  <c:v>39783</c:v>
                </c:pt>
                <c:pt idx="168">
                  <c:v>39814</c:v>
                </c:pt>
                <c:pt idx="169">
                  <c:v>39845</c:v>
                </c:pt>
                <c:pt idx="170">
                  <c:v>39873</c:v>
                </c:pt>
                <c:pt idx="171">
                  <c:v>39904</c:v>
                </c:pt>
                <c:pt idx="172">
                  <c:v>39934</c:v>
                </c:pt>
                <c:pt idx="173">
                  <c:v>39965</c:v>
                </c:pt>
                <c:pt idx="174">
                  <c:v>39995</c:v>
                </c:pt>
                <c:pt idx="175">
                  <c:v>40026</c:v>
                </c:pt>
                <c:pt idx="176">
                  <c:v>40057</c:v>
                </c:pt>
                <c:pt idx="177">
                  <c:v>40087</c:v>
                </c:pt>
                <c:pt idx="178">
                  <c:v>40118</c:v>
                </c:pt>
                <c:pt idx="179">
                  <c:v>40148</c:v>
                </c:pt>
                <c:pt idx="180">
                  <c:v>40179</c:v>
                </c:pt>
                <c:pt idx="181">
                  <c:v>40210</c:v>
                </c:pt>
                <c:pt idx="182">
                  <c:v>40238</c:v>
                </c:pt>
                <c:pt idx="183">
                  <c:v>40269</c:v>
                </c:pt>
                <c:pt idx="184">
                  <c:v>40299</c:v>
                </c:pt>
                <c:pt idx="185">
                  <c:v>40330</c:v>
                </c:pt>
                <c:pt idx="186">
                  <c:v>40360</c:v>
                </c:pt>
                <c:pt idx="187">
                  <c:v>40391</c:v>
                </c:pt>
                <c:pt idx="188">
                  <c:v>40422</c:v>
                </c:pt>
                <c:pt idx="189">
                  <c:v>40452</c:v>
                </c:pt>
                <c:pt idx="190">
                  <c:v>40483</c:v>
                </c:pt>
                <c:pt idx="191">
                  <c:v>40513</c:v>
                </c:pt>
                <c:pt idx="192">
                  <c:v>40544</c:v>
                </c:pt>
                <c:pt idx="193">
                  <c:v>40575</c:v>
                </c:pt>
                <c:pt idx="194">
                  <c:v>40603</c:v>
                </c:pt>
                <c:pt idx="195">
                  <c:v>40634</c:v>
                </c:pt>
                <c:pt idx="196">
                  <c:v>40664</c:v>
                </c:pt>
                <c:pt idx="197">
                  <c:v>40695</c:v>
                </c:pt>
                <c:pt idx="198">
                  <c:v>40725</c:v>
                </c:pt>
                <c:pt idx="199">
                  <c:v>40756</c:v>
                </c:pt>
                <c:pt idx="200">
                  <c:v>40787</c:v>
                </c:pt>
                <c:pt idx="201">
                  <c:v>40817</c:v>
                </c:pt>
                <c:pt idx="202">
                  <c:v>40848</c:v>
                </c:pt>
                <c:pt idx="203">
                  <c:v>40878</c:v>
                </c:pt>
                <c:pt idx="204">
                  <c:v>40909</c:v>
                </c:pt>
                <c:pt idx="205">
                  <c:v>40940</c:v>
                </c:pt>
                <c:pt idx="206">
                  <c:v>40969</c:v>
                </c:pt>
                <c:pt idx="207">
                  <c:v>41000</c:v>
                </c:pt>
                <c:pt idx="208">
                  <c:v>41030</c:v>
                </c:pt>
                <c:pt idx="209">
                  <c:v>41061</c:v>
                </c:pt>
                <c:pt idx="210">
                  <c:v>41091</c:v>
                </c:pt>
                <c:pt idx="211">
                  <c:v>41122</c:v>
                </c:pt>
                <c:pt idx="212">
                  <c:v>41153</c:v>
                </c:pt>
                <c:pt idx="213">
                  <c:v>41183</c:v>
                </c:pt>
                <c:pt idx="214">
                  <c:v>41214</c:v>
                </c:pt>
                <c:pt idx="215">
                  <c:v>41244</c:v>
                </c:pt>
                <c:pt idx="216">
                  <c:v>41275</c:v>
                </c:pt>
                <c:pt idx="217">
                  <c:v>41306</c:v>
                </c:pt>
                <c:pt idx="218">
                  <c:v>41334</c:v>
                </c:pt>
                <c:pt idx="219">
                  <c:v>41365</c:v>
                </c:pt>
                <c:pt idx="220">
                  <c:v>41395</c:v>
                </c:pt>
                <c:pt idx="221">
                  <c:v>41426</c:v>
                </c:pt>
                <c:pt idx="222">
                  <c:v>41456</c:v>
                </c:pt>
                <c:pt idx="223">
                  <c:v>41487</c:v>
                </c:pt>
                <c:pt idx="224">
                  <c:v>41518</c:v>
                </c:pt>
                <c:pt idx="225">
                  <c:v>41548</c:v>
                </c:pt>
                <c:pt idx="226">
                  <c:v>41579</c:v>
                </c:pt>
                <c:pt idx="227">
                  <c:v>41609</c:v>
                </c:pt>
                <c:pt idx="228">
                  <c:v>41640</c:v>
                </c:pt>
                <c:pt idx="229">
                  <c:v>41671</c:v>
                </c:pt>
                <c:pt idx="230">
                  <c:v>41699</c:v>
                </c:pt>
                <c:pt idx="231">
                  <c:v>41730</c:v>
                </c:pt>
                <c:pt idx="232">
                  <c:v>41760</c:v>
                </c:pt>
                <c:pt idx="233">
                  <c:v>41791</c:v>
                </c:pt>
                <c:pt idx="234">
                  <c:v>41821</c:v>
                </c:pt>
                <c:pt idx="235">
                  <c:v>41852</c:v>
                </c:pt>
                <c:pt idx="236">
                  <c:v>41883</c:v>
                </c:pt>
                <c:pt idx="237">
                  <c:v>41913</c:v>
                </c:pt>
                <c:pt idx="238">
                  <c:v>41944</c:v>
                </c:pt>
                <c:pt idx="239">
                  <c:v>41974</c:v>
                </c:pt>
                <c:pt idx="240">
                  <c:v>42005</c:v>
                </c:pt>
                <c:pt idx="241">
                  <c:v>42036</c:v>
                </c:pt>
                <c:pt idx="242">
                  <c:v>42064</c:v>
                </c:pt>
                <c:pt idx="243">
                  <c:v>42095</c:v>
                </c:pt>
                <c:pt idx="244">
                  <c:v>42125</c:v>
                </c:pt>
                <c:pt idx="245">
                  <c:v>42156</c:v>
                </c:pt>
                <c:pt idx="246">
                  <c:v>42186</c:v>
                </c:pt>
                <c:pt idx="247">
                  <c:v>42217</c:v>
                </c:pt>
                <c:pt idx="248">
                  <c:v>42248</c:v>
                </c:pt>
                <c:pt idx="249">
                  <c:v>42278</c:v>
                </c:pt>
                <c:pt idx="250">
                  <c:v>42309</c:v>
                </c:pt>
                <c:pt idx="251">
                  <c:v>42339</c:v>
                </c:pt>
                <c:pt idx="252">
                  <c:v>42370</c:v>
                </c:pt>
                <c:pt idx="253">
                  <c:v>42401</c:v>
                </c:pt>
                <c:pt idx="254">
                  <c:v>42430</c:v>
                </c:pt>
                <c:pt idx="255">
                  <c:v>42461</c:v>
                </c:pt>
                <c:pt idx="256">
                  <c:v>42491</c:v>
                </c:pt>
                <c:pt idx="257">
                  <c:v>42522</c:v>
                </c:pt>
                <c:pt idx="258">
                  <c:v>42552</c:v>
                </c:pt>
                <c:pt idx="259">
                  <c:v>42583</c:v>
                </c:pt>
                <c:pt idx="260">
                  <c:v>42614</c:v>
                </c:pt>
                <c:pt idx="261">
                  <c:v>42644</c:v>
                </c:pt>
                <c:pt idx="262">
                  <c:v>42675</c:v>
                </c:pt>
                <c:pt idx="263">
                  <c:v>42705</c:v>
                </c:pt>
                <c:pt idx="264">
                  <c:v>42736</c:v>
                </c:pt>
                <c:pt idx="265">
                  <c:v>42767</c:v>
                </c:pt>
                <c:pt idx="266">
                  <c:v>42795</c:v>
                </c:pt>
                <c:pt idx="267">
                  <c:v>42826</c:v>
                </c:pt>
                <c:pt idx="268">
                  <c:v>42856</c:v>
                </c:pt>
                <c:pt idx="269">
                  <c:v>42887</c:v>
                </c:pt>
                <c:pt idx="270">
                  <c:v>42917</c:v>
                </c:pt>
                <c:pt idx="271">
                  <c:v>42948</c:v>
                </c:pt>
                <c:pt idx="272">
                  <c:v>42979</c:v>
                </c:pt>
                <c:pt idx="273">
                  <c:v>43009</c:v>
                </c:pt>
                <c:pt idx="274">
                  <c:v>43040</c:v>
                </c:pt>
                <c:pt idx="275">
                  <c:v>43070</c:v>
                </c:pt>
                <c:pt idx="276">
                  <c:v>43101</c:v>
                </c:pt>
                <c:pt idx="277">
                  <c:v>43132</c:v>
                </c:pt>
                <c:pt idx="278">
                  <c:v>43160</c:v>
                </c:pt>
                <c:pt idx="279">
                  <c:v>43191</c:v>
                </c:pt>
                <c:pt idx="280">
                  <c:v>43221</c:v>
                </c:pt>
                <c:pt idx="281">
                  <c:v>43252</c:v>
                </c:pt>
                <c:pt idx="282">
                  <c:v>43282</c:v>
                </c:pt>
                <c:pt idx="283">
                  <c:v>43313</c:v>
                </c:pt>
                <c:pt idx="284">
                  <c:v>43344</c:v>
                </c:pt>
                <c:pt idx="285">
                  <c:v>43374</c:v>
                </c:pt>
                <c:pt idx="286">
                  <c:v>43405</c:v>
                </c:pt>
                <c:pt idx="287">
                  <c:v>43435</c:v>
                </c:pt>
                <c:pt idx="288">
                  <c:v>43466</c:v>
                </c:pt>
                <c:pt idx="289">
                  <c:v>43497</c:v>
                </c:pt>
                <c:pt idx="290">
                  <c:v>43525</c:v>
                </c:pt>
                <c:pt idx="291">
                  <c:v>43556</c:v>
                </c:pt>
                <c:pt idx="292">
                  <c:v>43586</c:v>
                </c:pt>
                <c:pt idx="293">
                  <c:v>43617</c:v>
                </c:pt>
                <c:pt idx="294">
                  <c:v>43647</c:v>
                </c:pt>
                <c:pt idx="295">
                  <c:v>43678</c:v>
                </c:pt>
                <c:pt idx="296">
                  <c:v>43709</c:v>
                </c:pt>
                <c:pt idx="297">
                  <c:v>43739</c:v>
                </c:pt>
                <c:pt idx="298">
                  <c:v>43770</c:v>
                </c:pt>
                <c:pt idx="299">
                  <c:v>43800</c:v>
                </c:pt>
                <c:pt idx="300">
                  <c:v>43831</c:v>
                </c:pt>
                <c:pt idx="301">
                  <c:v>43862</c:v>
                </c:pt>
                <c:pt idx="302">
                  <c:v>43891</c:v>
                </c:pt>
                <c:pt idx="303">
                  <c:v>43922</c:v>
                </c:pt>
                <c:pt idx="304">
                  <c:v>43952</c:v>
                </c:pt>
                <c:pt idx="305">
                  <c:v>43983</c:v>
                </c:pt>
                <c:pt idx="306">
                  <c:v>44013</c:v>
                </c:pt>
                <c:pt idx="307">
                  <c:v>44044</c:v>
                </c:pt>
                <c:pt idx="308">
                  <c:v>44075</c:v>
                </c:pt>
                <c:pt idx="309">
                  <c:v>44105</c:v>
                </c:pt>
                <c:pt idx="310">
                  <c:v>44136</c:v>
                </c:pt>
                <c:pt idx="311">
                  <c:v>44166</c:v>
                </c:pt>
                <c:pt idx="312">
                  <c:v>44197</c:v>
                </c:pt>
                <c:pt idx="313">
                  <c:v>44228</c:v>
                </c:pt>
                <c:pt idx="314">
                  <c:v>44256</c:v>
                </c:pt>
                <c:pt idx="315">
                  <c:v>44287</c:v>
                </c:pt>
                <c:pt idx="316">
                  <c:v>44317</c:v>
                </c:pt>
                <c:pt idx="317">
                  <c:v>44348</c:v>
                </c:pt>
                <c:pt idx="318">
                  <c:v>44378</c:v>
                </c:pt>
                <c:pt idx="319">
                  <c:v>44409</c:v>
                </c:pt>
                <c:pt idx="320">
                  <c:v>44440</c:v>
                </c:pt>
                <c:pt idx="321">
                  <c:v>44470</c:v>
                </c:pt>
                <c:pt idx="322">
                  <c:v>44501</c:v>
                </c:pt>
                <c:pt idx="323">
                  <c:v>44531</c:v>
                </c:pt>
                <c:pt idx="324">
                  <c:v>44562</c:v>
                </c:pt>
                <c:pt idx="325">
                  <c:v>44593</c:v>
                </c:pt>
                <c:pt idx="326">
                  <c:v>44621</c:v>
                </c:pt>
                <c:pt idx="327">
                  <c:v>44652</c:v>
                </c:pt>
                <c:pt idx="328">
                  <c:v>44682</c:v>
                </c:pt>
                <c:pt idx="329">
                  <c:v>44713</c:v>
                </c:pt>
                <c:pt idx="330">
                  <c:v>44743</c:v>
                </c:pt>
                <c:pt idx="331">
                  <c:v>44774</c:v>
                </c:pt>
                <c:pt idx="332">
                  <c:v>44805</c:v>
                </c:pt>
                <c:pt idx="333">
                  <c:v>44835</c:v>
                </c:pt>
                <c:pt idx="334">
                  <c:v>44866</c:v>
                </c:pt>
                <c:pt idx="335">
                  <c:v>44896</c:v>
                </c:pt>
                <c:pt idx="336">
                  <c:v>44927</c:v>
                </c:pt>
                <c:pt idx="337">
                  <c:v>44958</c:v>
                </c:pt>
                <c:pt idx="338">
                  <c:v>44986</c:v>
                </c:pt>
                <c:pt idx="339">
                  <c:v>45017</c:v>
                </c:pt>
                <c:pt idx="340">
                  <c:v>45047</c:v>
                </c:pt>
                <c:pt idx="341">
                  <c:v>45078</c:v>
                </c:pt>
                <c:pt idx="342">
                  <c:v>45108</c:v>
                </c:pt>
                <c:pt idx="343">
                  <c:v>45139</c:v>
                </c:pt>
                <c:pt idx="344">
                  <c:v>45170</c:v>
                </c:pt>
                <c:pt idx="345">
                  <c:v>45200</c:v>
                </c:pt>
                <c:pt idx="346">
                  <c:v>45231</c:v>
                </c:pt>
                <c:pt idx="347">
                  <c:v>45261</c:v>
                </c:pt>
                <c:pt idx="348">
                  <c:v>45292</c:v>
                </c:pt>
                <c:pt idx="349">
                  <c:v>45323</c:v>
                </c:pt>
                <c:pt idx="350">
                  <c:v>45352</c:v>
                </c:pt>
                <c:pt idx="351">
                  <c:v>45383</c:v>
                </c:pt>
                <c:pt idx="352">
                  <c:v>45413</c:v>
                </c:pt>
                <c:pt idx="353">
                  <c:v>45444</c:v>
                </c:pt>
                <c:pt idx="354">
                  <c:v>45474</c:v>
                </c:pt>
                <c:pt idx="355">
                  <c:v>45505</c:v>
                </c:pt>
                <c:pt idx="356">
                  <c:v>45536</c:v>
                </c:pt>
                <c:pt idx="357">
                  <c:v>45566</c:v>
                </c:pt>
                <c:pt idx="358">
                  <c:v>45597</c:v>
                </c:pt>
                <c:pt idx="359">
                  <c:v>45627</c:v>
                </c:pt>
                <c:pt idx="360">
                  <c:v>45658</c:v>
                </c:pt>
                <c:pt idx="361">
                  <c:v>45689</c:v>
                </c:pt>
                <c:pt idx="362">
                  <c:v>45717</c:v>
                </c:pt>
                <c:pt idx="363">
                  <c:v>45748</c:v>
                </c:pt>
                <c:pt idx="364">
                  <c:v>45778</c:v>
                </c:pt>
                <c:pt idx="365">
                  <c:v>45809</c:v>
                </c:pt>
                <c:pt idx="366">
                  <c:v>45839</c:v>
                </c:pt>
                <c:pt idx="367">
                  <c:v>45870</c:v>
                </c:pt>
                <c:pt idx="368">
                  <c:v>45901</c:v>
                </c:pt>
                <c:pt idx="369">
                  <c:v>45931</c:v>
                </c:pt>
              </c:numCache>
            </c:numRef>
          </c:cat>
          <c:val>
            <c:numRef>
              <c:f>CycleC!$Q$2:$Q$371</c:f>
              <c:numCache>
                <c:formatCode>0_ </c:formatCode>
                <c:ptCount val="37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111.00000000000001</c:v>
                </c:pt>
                <c:pt idx="60">
                  <c:v>114.99999999999999</c:v>
                </c:pt>
                <c:pt idx="61">
                  <c:v>122</c:v>
                </c:pt>
                <c:pt idx="62">
                  <c:v>146</c:v>
                </c:pt>
                <c:pt idx="63">
                  <c:v>156</c:v>
                </c:pt>
                <c:pt idx="64">
                  <c:v>165</c:v>
                </c:pt>
                <c:pt idx="65">
                  <c:v>163</c:v>
                </c:pt>
                <c:pt idx="66">
                  <c:v>162</c:v>
                </c:pt>
                <c:pt idx="67">
                  <c:v>164</c:v>
                </c:pt>
                <c:pt idx="68">
                  <c:v>161</c:v>
                </c:pt>
                <c:pt idx="69">
                  <c:v>182</c:v>
                </c:pt>
                <c:pt idx="70">
                  <c:v>198</c:v>
                </c:pt>
                <c:pt idx="71">
                  <c:v>199</c:v>
                </c:pt>
                <c:pt idx="72">
                  <c:v>171</c:v>
                </c:pt>
                <c:pt idx="73">
                  <c:v>177</c:v>
                </c:pt>
                <c:pt idx="74">
                  <c:v>178</c:v>
                </c:pt>
                <c:pt idx="75">
                  <c:v>164</c:v>
                </c:pt>
                <c:pt idx="76">
                  <c:v>156</c:v>
                </c:pt>
                <c:pt idx="77">
                  <c:v>156</c:v>
                </c:pt>
                <c:pt idx="78">
                  <c:v>154</c:v>
                </c:pt>
                <c:pt idx="79">
                  <c:v>156</c:v>
                </c:pt>
                <c:pt idx="80">
                  <c:v>195</c:v>
                </c:pt>
                <c:pt idx="81">
                  <c:v>200.99999999999997</c:v>
                </c:pt>
                <c:pt idx="82">
                  <c:v>178</c:v>
                </c:pt>
                <c:pt idx="83">
                  <c:v>174</c:v>
                </c:pt>
                <c:pt idx="84">
                  <c:v>172</c:v>
                </c:pt>
                <c:pt idx="85">
                  <c:v>179</c:v>
                </c:pt>
                <c:pt idx="86">
                  <c:v>169</c:v>
                </c:pt>
                <c:pt idx="87">
                  <c:v>187</c:v>
                </c:pt>
                <c:pt idx="88">
                  <c:v>161</c:v>
                </c:pt>
                <c:pt idx="89">
                  <c:v>184</c:v>
                </c:pt>
                <c:pt idx="90">
                  <c:v>229</c:v>
                </c:pt>
                <c:pt idx="91">
                  <c:v>224.00000000000003</c:v>
                </c:pt>
                <c:pt idx="92">
                  <c:v>238</c:v>
                </c:pt>
                <c:pt idx="93">
                  <c:v>247.00000000000003</c:v>
                </c:pt>
                <c:pt idx="94">
                  <c:v>192</c:v>
                </c:pt>
                <c:pt idx="95">
                  <c:v>184</c:v>
                </c:pt>
                <c:pt idx="96">
                  <c:v>168</c:v>
                </c:pt>
                <c:pt idx="97">
                  <c:v>164</c:v>
                </c:pt>
                <c:pt idx="98">
                  <c:v>159</c:v>
                </c:pt>
                <c:pt idx="99">
                  <c:v>133</c:v>
                </c:pt>
                <c:pt idx="100">
                  <c:v>130</c:v>
                </c:pt>
                <c:pt idx="101">
                  <c:v>123</c:v>
                </c:pt>
                <c:pt idx="102">
                  <c:v>119</c:v>
                </c:pt>
                <c:pt idx="103">
                  <c:v>117</c:v>
                </c:pt>
                <c:pt idx="104">
                  <c:v>111.00000000000001</c:v>
                </c:pt>
                <c:pt idx="105">
                  <c:v>103</c:v>
                </c:pt>
                <c:pt idx="106">
                  <c:v>98</c:v>
                </c:pt>
                <c:pt idx="107">
                  <c:v>95</c:v>
                </c:pt>
                <c:pt idx="108">
                  <c:v>93</c:v>
                </c:pt>
                <c:pt idx="109">
                  <c:v>95</c:v>
                </c:pt>
                <c:pt idx="110">
                  <c:v>97</c:v>
                </c:pt>
                <c:pt idx="111">
                  <c:v>92</c:v>
                </c:pt>
                <c:pt idx="112">
                  <c:v>99</c:v>
                </c:pt>
                <c:pt idx="113">
                  <c:v>99</c:v>
                </c:pt>
                <c:pt idx="114">
                  <c:v>95</c:v>
                </c:pt>
                <c:pt idx="115">
                  <c:v>95</c:v>
                </c:pt>
                <c:pt idx="116">
                  <c:v>90</c:v>
                </c:pt>
                <c:pt idx="117">
                  <c:v>90</c:v>
                </c:pt>
                <c:pt idx="118">
                  <c:v>84</c:v>
                </c:pt>
                <c:pt idx="119">
                  <c:v>81</c:v>
                </c:pt>
                <c:pt idx="120">
                  <c:v>82</c:v>
                </c:pt>
                <c:pt idx="121">
                  <c:v>77</c:v>
                </c:pt>
                <c:pt idx="122">
                  <c:v>93</c:v>
                </c:pt>
                <c:pt idx="123">
                  <c:v>104</c:v>
                </c:pt>
                <c:pt idx="124">
                  <c:v>87</c:v>
                </c:pt>
                <c:pt idx="125">
                  <c:v>93</c:v>
                </c:pt>
                <c:pt idx="126">
                  <c:v>85</c:v>
                </c:pt>
                <c:pt idx="127">
                  <c:v>87</c:v>
                </c:pt>
                <c:pt idx="128">
                  <c:v>88</c:v>
                </c:pt>
                <c:pt idx="129">
                  <c:v>93</c:v>
                </c:pt>
                <c:pt idx="130">
                  <c:v>95</c:v>
                </c:pt>
                <c:pt idx="131">
                  <c:v>90</c:v>
                </c:pt>
                <c:pt idx="132">
                  <c:v>88</c:v>
                </c:pt>
                <c:pt idx="133">
                  <c:v>85</c:v>
                </c:pt>
                <c:pt idx="134">
                  <c:v>88</c:v>
                </c:pt>
                <c:pt idx="135">
                  <c:v>85</c:v>
                </c:pt>
                <c:pt idx="136">
                  <c:v>90</c:v>
                </c:pt>
                <c:pt idx="137">
                  <c:v>94</c:v>
                </c:pt>
                <c:pt idx="138">
                  <c:v>95</c:v>
                </c:pt>
                <c:pt idx="139">
                  <c:v>94</c:v>
                </c:pt>
                <c:pt idx="140">
                  <c:v>94</c:v>
                </c:pt>
                <c:pt idx="141">
                  <c:v>92</c:v>
                </c:pt>
                <c:pt idx="142">
                  <c:v>89</c:v>
                </c:pt>
                <c:pt idx="143">
                  <c:v>88</c:v>
                </c:pt>
                <c:pt idx="144">
                  <c:v>86</c:v>
                </c:pt>
                <c:pt idx="145">
                  <c:v>85</c:v>
                </c:pt>
                <c:pt idx="146">
                  <c:v>92</c:v>
                </c:pt>
                <c:pt idx="147">
                  <c:v>92</c:v>
                </c:pt>
                <c:pt idx="148">
                  <c:v>90</c:v>
                </c:pt>
                <c:pt idx="149">
                  <c:v>97</c:v>
                </c:pt>
                <c:pt idx="150">
                  <c:v>126</c:v>
                </c:pt>
                <c:pt idx="151">
                  <c:v>145</c:v>
                </c:pt>
                <c:pt idx="152">
                  <c:v>145</c:v>
                </c:pt>
                <c:pt idx="153">
                  <c:v>143</c:v>
                </c:pt>
                <c:pt idx="154">
                  <c:v>193</c:v>
                </c:pt>
                <c:pt idx="155">
                  <c:v>198</c:v>
                </c:pt>
                <c:pt idx="156">
                  <c:v>225.99999999999997</c:v>
                </c:pt>
                <c:pt idx="157">
                  <c:v>247.00000000000003</c:v>
                </c:pt>
                <c:pt idx="158">
                  <c:v>289</c:v>
                </c:pt>
                <c:pt idx="159">
                  <c:v>244</c:v>
                </c:pt>
                <c:pt idx="160">
                  <c:v>235</c:v>
                </c:pt>
                <c:pt idx="161">
                  <c:v>265</c:v>
                </c:pt>
                <c:pt idx="162">
                  <c:v>288</c:v>
                </c:pt>
                <c:pt idx="163">
                  <c:v>304</c:v>
                </c:pt>
                <c:pt idx="164">
                  <c:v>441</c:v>
                </c:pt>
                <c:pt idx="165">
                  <c:v>575</c:v>
                </c:pt>
                <c:pt idx="166">
                  <c:v>607</c:v>
                </c:pt>
                <c:pt idx="167">
                  <c:v>555</c:v>
                </c:pt>
                <c:pt idx="168">
                  <c:v>480.99999999999994</c:v>
                </c:pt>
                <c:pt idx="169">
                  <c:v>505</c:v>
                </c:pt>
                <c:pt idx="170">
                  <c:v>543</c:v>
                </c:pt>
                <c:pt idx="171">
                  <c:v>438.99999999999994</c:v>
                </c:pt>
                <c:pt idx="172">
                  <c:v>352</c:v>
                </c:pt>
                <c:pt idx="173">
                  <c:v>306</c:v>
                </c:pt>
                <c:pt idx="174">
                  <c:v>247.00000000000003</c:v>
                </c:pt>
                <c:pt idx="175">
                  <c:v>231</c:v>
                </c:pt>
                <c:pt idx="176">
                  <c:v>218.00000000000003</c:v>
                </c:pt>
                <c:pt idx="177">
                  <c:v>206</c:v>
                </c:pt>
                <c:pt idx="178">
                  <c:v>206</c:v>
                </c:pt>
                <c:pt idx="179">
                  <c:v>172</c:v>
                </c:pt>
                <c:pt idx="180">
                  <c:v>169</c:v>
                </c:pt>
                <c:pt idx="181">
                  <c:v>173</c:v>
                </c:pt>
                <c:pt idx="182">
                  <c:v>150</c:v>
                </c:pt>
                <c:pt idx="183">
                  <c:v>143</c:v>
                </c:pt>
                <c:pt idx="184">
                  <c:v>187</c:v>
                </c:pt>
                <c:pt idx="185">
                  <c:v>193</c:v>
                </c:pt>
                <c:pt idx="186">
                  <c:v>175</c:v>
                </c:pt>
                <c:pt idx="187">
                  <c:v>186</c:v>
                </c:pt>
                <c:pt idx="188">
                  <c:v>175</c:v>
                </c:pt>
                <c:pt idx="189">
                  <c:v>168</c:v>
                </c:pt>
                <c:pt idx="190">
                  <c:v>171</c:v>
                </c:pt>
                <c:pt idx="191">
                  <c:v>156</c:v>
                </c:pt>
                <c:pt idx="192">
                  <c:v>150</c:v>
                </c:pt>
                <c:pt idx="193">
                  <c:v>139</c:v>
                </c:pt>
                <c:pt idx="194">
                  <c:v>142</c:v>
                </c:pt>
                <c:pt idx="195">
                  <c:v>138</c:v>
                </c:pt>
                <c:pt idx="196">
                  <c:v>146</c:v>
                </c:pt>
                <c:pt idx="197">
                  <c:v>153</c:v>
                </c:pt>
                <c:pt idx="198">
                  <c:v>153</c:v>
                </c:pt>
                <c:pt idx="199">
                  <c:v>208</c:v>
                </c:pt>
                <c:pt idx="200">
                  <c:v>238</c:v>
                </c:pt>
                <c:pt idx="201">
                  <c:v>202</c:v>
                </c:pt>
                <c:pt idx="202">
                  <c:v>243.00000000000003</c:v>
                </c:pt>
                <c:pt idx="203">
                  <c:v>234</c:v>
                </c:pt>
                <c:pt idx="204">
                  <c:v>206</c:v>
                </c:pt>
                <c:pt idx="205">
                  <c:v>181</c:v>
                </c:pt>
                <c:pt idx="206">
                  <c:v>176</c:v>
                </c:pt>
                <c:pt idx="207">
                  <c:v>185</c:v>
                </c:pt>
                <c:pt idx="208">
                  <c:v>209</c:v>
                </c:pt>
                <c:pt idx="209">
                  <c:v>199</c:v>
                </c:pt>
                <c:pt idx="210">
                  <c:v>178</c:v>
                </c:pt>
                <c:pt idx="211">
                  <c:v>172</c:v>
                </c:pt>
                <c:pt idx="212">
                  <c:v>156</c:v>
                </c:pt>
                <c:pt idx="213">
                  <c:v>137</c:v>
                </c:pt>
                <c:pt idx="214">
                  <c:v>147</c:v>
                </c:pt>
                <c:pt idx="215">
                  <c:v>141</c:v>
                </c:pt>
                <c:pt idx="216">
                  <c:v>138</c:v>
                </c:pt>
                <c:pt idx="217">
                  <c:v>137</c:v>
                </c:pt>
                <c:pt idx="218">
                  <c:v>139</c:v>
                </c:pt>
                <c:pt idx="219">
                  <c:v>135</c:v>
                </c:pt>
                <c:pt idx="220">
                  <c:v>132</c:v>
                </c:pt>
                <c:pt idx="221">
                  <c:v>152</c:v>
                </c:pt>
                <c:pt idx="222">
                  <c:v>138</c:v>
                </c:pt>
                <c:pt idx="223">
                  <c:v>140</c:v>
                </c:pt>
                <c:pt idx="224">
                  <c:v>141</c:v>
                </c:pt>
                <c:pt idx="225">
                  <c:v>131</c:v>
                </c:pt>
                <c:pt idx="226">
                  <c:v>125</c:v>
                </c:pt>
                <c:pt idx="227">
                  <c:v>113.99999999999999</c:v>
                </c:pt>
                <c:pt idx="228">
                  <c:v>115.99999999999999</c:v>
                </c:pt>
                <c:pt idx="229">
                  <c:v>109.00000000000001</c:v>
                </c:pt>
                <c:pt idx="230">
                  <c:v>106</c:v>
                </c:pt>
                <c:pt idx="231">
                  <c:v>101</c:v>
                </c:pt>
                <c:pt idx="232">
                  <c:v>101</c:v>
                </c:pt>
                <c:pt idx="233">
                  <c:v>99</c:v>
                </c:pt>
                <c:pt idx="234">
                  <c:v>99</c:v>
                </c:pt>
                <c:pt idx="235">
                  <c:v>102</c:v>
                </c:pt>
                <c:pt idx="236">
                  <c:v>112.00000000000001</c:v>
                </c:pt>
                <c:pt idx="237">
                  <c:v>118</c:v>
                </c:pt>
                <c:pt idx="238">
                  <c:v>124</c:v>
                </c:pt>
                <c:pt idx="239">
                  <c:v>131</c:v>
                </c:pt>
                <c:pt idx="240">
                  <c:v>136</c:v>
                </c:pt>
                <c:pt idx="241">
                  <c:v>123</c:v>
                </c:pt>
                <c:pt idx="242">
                  <c:v>129</c:v>
                </c:pt>
                <c:pt idx="243">
                  <c:v>128</c:v>
                </c:pt>
                <c:pt idx="244">
                  <c:v>133</c:v>
                </c:pt>
                <c:pt idx="245">
                  <c:v>145</c:v>
                </c:pt>
                <c:pt idx="246">
                  <c:v>154</c:v>
                </c:pt>
                <c:pt idx="247">
                  <c:v>163</c:v>
                </c:pt>
                <c:pt idx="248">
                  <c:v>169</c:v>
                </c:pt>
                <c:pt idx="249">
                  <c:v>159</c:v>
                </c:pt>
                <c:pt idx="250">
                  <c:v>155</c:v>
                </c:pt>
                <c:pt idx="251">
                  <c:v>165</c:v>
                </c:pt>
                <c:pt idx="252">
                  <c:v>193</c:v>
                </c:pt>
                <c:pt idx="253">
                  <c:v>197</c:v>
                </c:pt>
                <c:pt idx="254">
                  <c:v>163</c:v>
                </c:pt>
                <c:pt idx="255">
                  <c:v>146</c:v>
                </c:pt>
                <c:pt idx="256">
                  <c:v>149</c:v>
                </c:pt>
                <c:pt idx="257">
                  <c:v>156</c:v>
                </c:pt>
                <c:pt idx="258">
                  <c:v>145</c:v>
                </c:pt>
                <c:pt idx="259">
                  <c:v>135</c:v>
                </c:pt>
                <c:pt idx="260">
                  <c:v>138</c:v>
                </c:pt>
                <c:pt idx="261">
                  <c:v>132</c:v>
                </c:pt>
                <c:pt idx="262">
                  <c:v>129</c:v>
                </c:pt>
                <c:pt idx="263">
                  <c:v>123</c:v>
                </c:pt>
                <c:pt idx="264">
                  <c:v>121</c:v>
                </c:pt>
                <c:pt idx="265">
                  <c:v>114.99999999999999</c:v>
                </c:pt>
                <c:pt idx="266">
                  <c:v>118</c:v>
                </c:pt>
                <c:pt idx="267">
                  <c:v>115.99999999999999</c:v>
                </c:pt>
                <c:pt idx="268">
                  <c:v>112.99999999999999</c:v>
                </c:pt>
                <c:pt idx="269">
                  <c:v>109.00000000000001</c:v>
                </c:pt>
                <c:pt idx="270">
                  <c:v>102</c:v>
                </c:pt>
                <c:pt idx="271">
                  <c:v>110.00000000000001</c:v>
                </c:pt>
                <c:pt idx="272">
                  <c:v>101</c:v>
                </c:pt>
                <c:pt idx="273">
                  <c:v>95</c:v>
                </c:pt>
                <c:pt idx="274">
                  <c:v>97</c:v>
                </c:pt>
                <c:pt idx="275">
                  <c:v>93</c:v>
                </c:pt>
                <c:pt idx="276">
                  <c:v>86</c:v>
                </c:pt>
                <c:pt idx="277">
                  <c:v>96</c:v>
                </c:pt>
                <c:pt idx="278">
                  <c:v>109.00000000000001</c:v>
                </c:pt>
                <c:pt idx="279">
                  <c:v>108</c:v>
                </c:pt>
                <c:pt idx="280">
                  <c:v>114.99999999999999</c:v>
                </c:pt>
                <c:pt idx="281">
                  <c:v>123</c:v>
                </c:pt>
                <c:pt idx="282">
                  <c:v>109.00000000000001</c:v>
                </c:pt>
                <c:pt idx="283">
                  <c:v>113.99999999999999</c:v>
                </c:pt>
                <c:pt idx="284">
                  <c:v>106</c:v>
                </c:pt>
                <c:pt idx="285">
                  <c:v>118</c:v>
                </c:pt>
                <c:pt idx="286">
                  <c:v>137</c:v>
                </c:pt>
                <c:pt idx="287">
                  <c:v>153</c:v>
                </c:pt>
                <c:pt idx="288">
                  <c:v>128</c:v>
                </c:pt>
                <c:pt idx="289">
                  <c:v>121</c:v>
                </c:pt>
                <c:pt idx="290">
                  <c:v>119</c:v>
                </c:pt>
                <c:pt idx="291">
                  <c:v>111.00000000000001</c:v>
                </c:pt>
                <c:pt idx="292">
                  <c:v>128</c:v>
                </c:pt>
                <c:pt idx="293">
                  <c:v>114.99999999999999</c:v>
                </c:pt>
                <c:pt idx="294">
                  <c:v>108</c:v>
                </c:pt>
                <c:pt idx="295">
                  <c:v>120</c:v>
                </c:pt>
                <c:pt idx="296">
                  <c:v>114.99999999999999</c:v>
                </c:pt>
                <c:pt idx="297">
                  <c:v>110.00000000000001</c:v>
                </c:pt>
                <c:pt idx="298">
                  <c:v>105</c:v>
                </c:pt>
                <c:pt idx="299">
                  <c:v>93</c:v>
                </c:pt>
                <c:pt idx="300">
                  <c:v>102</c:v>
                </c:pt>
                <c:pt idx="301">
                  <c:v>122</c:v>
                </c:pt>
                <c:pt idx="302">
                  <c:v>272</c:v>
                </c:pt>
                <c:pt idx="303">
                  <c:v>202</c:v>
                </c:pt>
                <c:pt idx="304">
                  <c:v>174</c:v>
                </c:pt>
                <c:pt idx="305">
                  <c:v>150</c:v>
                </c:pt>
                <c:pt idx="306">
                  <c:v>133</c:v>
                </c:pt>
                <c:pt idx="307">
                  <c:v>129</c:v>
                </c:pt>
                <c:pt idx="308">
                  <c:v>136</c:v>
                </c:pt>
                <c:pt idx="309">
                  <c:v>125</c:v>
                </c:pt>
                <c:pt idx="310">
                  <c:v>104</c:v>
                </c:pt>
                <c:pt idx="311">
                  <c:v>96</c:v>
                </c:pt>
                <c:pt idx="312">
                  <c:v>97</c:v>
                </c:pt>
                <c:pt idx="313">
                  <c:v>90</c:v>
                </c:pt>
                <c:pt idx="314">
                  <c:v>91</c:v>
                </c:pt>
                <c:pt idx="315">
                  <c:v>88</c:v>
                </c:pt>
                <c:pt idx="316">
                  <c:v>84</c:v>
                </c:pt>
                <c:pt idx="317">
                  <c:v>80</c:v>
                </c:pt>
                <c:pt idx="318">
                  <c:v>86</c:v>
                </c:pt>
                <c:pt idx="319">
                  <c:v>87</c:v>
                </c:pt>
                <c:pt idx="320">
                  <c:v>84</c:v>
                </c:pt>
                <c:pt idx="321">
                  <c:v>87</c:v>
                </c:pt>
                <c:pt idx="322">
                  <c:v>99</c:v>
                </c:pt>
                <c:pt idx="323">
                  <c:v>92</c:v>
                </c:pt>
                <c:pt idx="324">
                  <c:v>106</c:v>
                </c:pt>
                <c:pt idx="325">
                  <c:v>122</c:v>
                </c:pt>
                <c:pt idx="326">
                  <c:v>115.99999999999999</c:v>
                </c:pt>
                <c:pt idx="327">
                  <c:v>135</c:v>
                </c:pt>
                <c:pt idx="328">
                  <c:v>130</c:v>
                </c:pt>
                <c:pt idx="329">
                  <c:v>155</c:v>
                </c:pt>
                <c:pt idx="330">
                  <c:v>144</c:v>
                </c:pt>
                <c:pt idx="331">
                  <c:v>140</c:v>
                </c:pt>
                <c:pt idx="332">
                  <c:v>159</c:v>
                </c:pt>
                <c:pt idx="333">
                  <c:v>158</c:v>
                </c:pt>
                <c:pt idx="334">
                  <c:v>133</c:v>
                </c:pt>
                <c:pt idx="335">
                  <c:v>130</c:v>
                </c:pt>
                <c:pt idx="336">
                  <c:v>117</c:v>
                </c:pt>
                <c:pt idx="337">
                  <c:v>124</c:v>
                </c:pt>
                <c:pt idx="338">
                  <c:v>138</c:v>
                </c:pt>
                <c:pt idx="339">
                  <c:v>136</c:v>
                </c:pt>
                <c:pt idx="340">
                  <c:v>138</c:v>
                </c:pt>
                <c:pt idx="341">
                  <c:v>123</c:v>
                </c:pt>
                <c:pt idx="342">
                  <c:v>112.00000000000001</c:v>
                </c:pt>
                <c:pt idx="343">
                  <c:v>118</c:v>
                </c:pt>
                <c:pt idx="344">
                  <c:v>121</c:v>
                </c:pt>
                <c:pt idx="345">
                  <c:v>129</c:v>
                </c:pt>
                <c:pt idx="346">
                  <c:v>104</c:v>
                </c:pt>
                <c:pt idx="347">
                  <c:v>99</c:v>
                </c:pt>
                <c:pt idx="348">
                  <c:v>96</c:v>
                </c:pt>
                <c:pt idx="349">
                  <c:v>96</c:v>
                </c:pt>
                <c:pt idx="350">
                  <c:v>90</c:v>
                </c:pt>
                <c:pt idx="351">
                  <c:v>87</c:v>
                </c:pt>
                <c:pt idx="352">
                  <c:v>85</c:v>
                </c:pt>
                <c:pt idx="353">
                  <c:v>94</c:v>
                </c:pt>
                <c:pt idx="354">
                  <c:v>93</c:v>
                </c:pt>
                <c:pt idx="355">
                  <c:v>93</c:v>
                </c:pt>
                <c:pt idx="356">
                  <c:v>89</c:v>
                </c:pt>
                <c:pt idx="357">
                  <c:v>84</c:v>
                </c:pt>
                <c:pt idx="358">
                  <c:v>78</c:v>
                </c:pt>
                <c:pt idx="359">
                  <c:v>80</c:v>
                </c:pt>
                <c:pt idx="360">
                  <c:v>79</c:v>
                </c:pt>
                <c:pt idx="361">
                  <c:v>87</c:v>
                </c:pt>
                <c:pt idx="362">
                  <c:v>94</c:v>
                </c:pt>
                <c:pt idx="363">
                  <c:v>106</c:v>
                </c:pt>
                <c:pt idx="364">
                  <c:v>88</c:v>
                </c:pt>
                <c:pt idx="365">
                  <c:v>83</c:v>
                </c:pt>
                <c:pt idx="366">
                  <c:v>76</c:v>
                </c:pt>
                <c:pt idx="367">
                  <c:v>79</c:v>
                </c:pt>
                <c:pt idx="368">
                  <c:v>74</c:v>
                </c:pt>
                <c:pt idx="369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BFA-4B63-8A61-9332F4F82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3946207"/>
        <c:axId val="323948127"/>
      </c:lineChart>
      <c:dateAx>
        <c:axId val="323946207"/>
        <c:scaling>
          <c:orientation val="minMax"/>
          <c:min val="43831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3948127"/>
        <c:crosses val="autoZero"/>
        <c:auto val="1"/>
        <c:lblOffset val="100"/>
        <c:baseTimeUnit val="months"/>
        <c:majorUnit val="1"/>
        <c:majorTimeUnit val="years"/>
      </c:dateAx>
      <c:valAx>
        <c:axId val="323948127"/>
        <c:scaling>
          <c:orientation val="minMax"/>
          <c:max val="3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394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026391862307533"/>
          <c:y val="0.8656592781393655"/>
          <c:w val="0.72553469816272953"/>
          <c:h val="0.12308371609798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Strategy!$Z$1</c:f>
              <c:strCache>
                <c:ptCount val="1"/>
                <c:pt idx="0">
                  <c:v>국채 선호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Strategy!$Z$75:$Z$132</c:f>
              <c:numCache>
                <c:formatCode>General</c:formatCode>
                <c:ptCount val="58"/>
                <c:pt idx="0">
                  <c:v>0</c:v>
                </c:pt>
                <c:pt idx="1">
                  <c:v>30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30</c:v>
                </c:pt>
                <c:pt idx="15">
                  <c:v>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30</c:v>
                </c:pt>
                <c:pt idx="46">
                  <c:v>30</c:v>
                </c:pt>
                <c:pt idx="47">
                  <c:v>0</c:v>
                </c:pt>
                <c:pt idx="48">
                  <c:v>30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30</c:v>
                </c:pt>
                <c:pt idx="5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44-43A3-B1BA-25C750EAEFD6}"/>
            </c:ext>
          </c:extLst>
        </c:ser>
        <c:ser>
          <c:idx val="1"/>
          <c:order val="1"/>
          <c:tx>
            <c:strRef>
              <c:f>Strategy!$AA$1</c:f>
              <c:strCache>
                <c:ptCount val="1"/>
                <c:pt idx="0">
                  <c:v>중립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Strategy!$AA$75:$AA$132</c:f>
              <c:numCache>
                <c:formatCode>General</c:formatCode>
                <c:ptCount val="58"/>
                <c:pt idx="0">
                  <c:v>30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44-43A3-B1BA-25C750EAEFD6}"/>
            </c:ext>
          </c:extLst>
        </c:ser>
        <c:ser>
          <c:idx val="2"/>
          <c:order val="2"/>
          <c:tx>
            <c:strRef>
              <c:f>Strategy!$AB$1</c:f>
              <c:strCache>
                <c:ptCount val="1"/>
                <c:pt idx="0">
                  <c:v>회사채 선호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Strategy!$AB$75:$AB$132</c:f>
              <c:numCache>
                <c:formatCode>General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0</c:v>
                </c:pt>
                <c:pt idx="54">
                  <c:v>30</c:v>
                </c:pt>
                <c:pt idx="55">
                  <c:v>30</c:v>
                </c:pt>
                <c:pt idx="56">
                  <c:v>0</c:v>
                </c:pt>
                <c:pt idx="57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44-43A3-B1BA-25C750EAE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83267007"/>
        <c:axId val="1683267487"/>
      </c:barChart>
      <c:lineChart>
        <c:grouping val="standard"/>
        <c:varyColors val="0"/>
        <c:ser>
          <c:idx val="3"/>
          <c:order val="7"/>
          <c:tx>
            <c:strRef>
              <c:f>Strategy!$X$1</c:f>
              <c:strCache>
                <c:ptCount val="1"/>
                <c:pt idx="0">
                  <c:v>Excess(L)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Strategy!$X$75:$X$132</c:f>
              <c:numCache>
                <c:formatCode>0.00_ </c:formatCode>
                <c:ptCount val="58"/>
                <c:pt idx="0">
                  <c:v>0.1405635050581111</c:v>
                </c:pt>
                <c:pt idx="1">
                  <c:v>0.13734603123681666</c:v>
                </c:pt>
                <c:pt idx="2">
                  <c:v>0.16929317757140439</c:v>
                </c:pt>
                <c:pt idx="3">
                  <c:v>0.2554343783541384</c:v>
                </c:pt>
                <c:pt idx="4">
                  <c:v>0.25599415157644501</c:v>
                </c:pt>
                <c:pt idx="5">
                  <c:v>0.25972078487426131</c:v>
                </c:pt>
                <c:pt idx="6">
                  <c:v>0.26427599345915098</c:v>
                </c:pt>
                <c:pt idx="7">
                  <c:v>0.26298621946361322</c:v>
                </c:pt>
                <c:pt idx="8">
                  <c:v>0.26072668745923977</c:v>
                </c:pt>
                <c:pt idx="9">
                  <c:v>0.2595597241596721</c:v>
                </c:pt>
                <c:pt idx="10">
                  <c:v>0.26101666017446234</c:v>
                </c:pt>
                <c:pt idx="11">
                  <c:v>0.25747805198346896</c:v>
                </c:pt>
                <c:pt idx="12">
                  <c:v>0.25299018305597087</c:v>
                </c:pt>
                <c:pt idx="13">
                  <c:v>0.25071630068464401</c:v>
                </c:pt>
                <c:pt idx="14">
                  <c:v>0.24184021946767587</c:v>
                </c:pt>
                <c:pt idx="15">
                  <c:v>2.1690645522872671</c:v>
                </c:pt>
                <c:pt idx="16">
                  <c:v>2.8441019945331334</c:v>
                </c:pt>
                <c:pt idx="17">
                  <c:v>3.762684113419823</c:v>
                </c:pt>
                <c:pt idx="18">
                  <c:v>2.9549042515804445</c:v>
                </c:pt>
                <c:pt idx="19">
                  <c:v>3.5386826183942048</c:v>
                </c:pt>
                <c:pt idx="20">
                  <c:v>4.0904315399768763</c:v>
                </c:pt>
                <c:pt idx="21">
                  <c:v>3.9422810542419597</c:v>
                </c:pt>
                <c:pt idx="22">
                  <c:v>2.6318069676242004</c:v>
                </c:pt>
                <c:pt idx="23">
                  <c:v>3.0605114895710415</c:v>
                </c:pt>
                <c:pt idx="24">
                  <c:v>4.4771094854211668</c:v>
                </c:pt>
                <c:pt idx="25">
                  <c:v>5.3597395835575696</c:v>
                </c:pt>
                <c:pt idx="26">
                  <c:v>5.0001315034115237</c:v>
                </c:pt>
                <c:pt idx="27">
                  <c:v>5.3446810598656214</c:v>
                </c:pt>
                <c:pt idx="28">
                  <c:v>5.4058723373721307</c:v>
                </c:pt>
                <c:pt idx="29">
                  <c:v>6.0315024842727354</c:v>
                </c:pt>
                <c:pt idx="30">
                  <c:v>5.9811075908819049</c:v>
                </c:pt>
                <c:pt idx="31">
                  <c:v>5.7164766058743055</c:v>
                </c:pt>
                <c:pt idx="32">
                  <c:v>4.9085890284985538</c:v>
                </c:pt>
                <c:pt idx="33">
                  <c:v>4.8015049050157188</c:v>
                </c:pt>
                <c:pt idx="34">
                  <c:v>6.7371655925549447</c:v>
                </c:pt>
                <c:pt idx="35">
                  <c:v>7.2740339061955126</c:v>
                </c:pt>
                <c:pt idx="36">
                  <c:v>7.4792302343688135</c:v>
                </c:pt>
                <c:pt idx="37">
                  <c:v>7.0585146609190161</c:v>
                </c:pt>
                <c:pt idx="38">
                  <c:v>7.2555573218813976</c:v>
                </c:pt>
                <c:pt idx="39">
                  <c:v>6.8597991923540604</c:v>
                </c:pt>
                <c:pt idx="40">
                  <c:v>7.3836285006833435</c:v>
                </c:pt>
                <c:pt idx="41">
                  <c:v>7.0804954708392387</c:v>
                </c:pt>
                <c:pt idx="42">
                  <c:v>7.4943643443268542</c:v>
                </c:pt>
                <c:pt idx="43">
                  <c:v>7.9098457000678479</c:v>
                </c:pt>
                <c:pt idx="44">
                  <c:v>8.5732579638103914</c:v>
                </c:pt>
                <c:pt idx="45">
                  <c:v>7.6990681832886452</c:v>
                </c:pt>
                <c:pt idx="46">
                  <c:v>7.2624033787581226</c:v>
                </c:pt>
                <c:pt idx="47">
                  <c:v>7.6927136118109587</c:v>
                </c:pt>
                <c:pt idx="48">
                  <c:v>7.7434262728364018</c:v>
                </c:pt>
                <c:pt idx="49">
                  <c:v>7.8129603379315142</c:v>
                </c:pt>
                <c:pt idx="50">
                  <c:v>7.4715619791758741</c:v>
                </c:pt>
                <c:pt idx="51">
                  <c:v>6.9420429282530733</c:v>
                </c:pt>
                <c:pt idx="52">
                  <c:v>7.5322605276051036</c:v>
                </c:pt>
                <c:pt idx="53">
                  <c:v>8.1917171977983685</c:v>
                </c:pt>
                <c:pt idx="54">
                  <c:v>8.2421341813481916</c:v>
                </c:pt>
                <c:pt idx="55">
                  <c:v>8.2459641388539069</c:v>
                </c:pt>
                <c:pt idx="56">
                  <c:v>8.9987371300616843</c:v>
                </c:pt>
                <c:pt idx="57">
                  <c:v>9.4412520975477463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44-43A3-B1BA-25C750EAE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267007"/>
        <c:axId val="1683267487"/>
      </c:lineChart>
      <c:lineChart>
        <c:grouping val="standard"/>
        <c:varyColors val="0"/>
        <c:ser>
          <c:idx val="5"/>
          <c:order val="3"/>
          <c:tx>
            <c:strRef>
              <c:f>Strategy!$W$1</c:f>
              <c:strCache>
                <c:ptCount val="1"/>
                <c:pt idx="0">
                  <c:v>Strategy(R)</c:v>
                </c:pt>
              </c:strCache>
            </c:strRef>
          </c:tx>
          <c:spPr>
            <a:ln w="28575" cap="rnd">
              <a:solidFill>
                <a:srgbClr val="F58220"/>
              </a:solidFill>
              <a:round/>
            </a:ln>
            <a:effectLst/>
          </c:spPr>
          <c:marker>
            <c:symbol val="none"/>
          </c:marker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Strategy!$W$75:$W$132</c:f>
              <c:numCache>
                <c:formatCode>0.00_ </c:formatCode>
                <c:ptCount val="58"/>
                <c:pt idx="0">
                  <c:v>99.144038068809166</c:v>
                </c:pt>
                <c:pt idx="1">
                  <c:v>96.874648536355309</c:v>
                </c:pt>
                <c:pt idx="2">
                  <c:v>96.012802816372542</c:v>
                </c:pt>
                <c:pt idx="3">
                  <c:v>96.641431150494753</c:v>
                </c:pt>
                <c:pt idx="4">
                  <c:v>96.853216602680149</c:v>
                </c:pt>
                <c:pt idx="5">
                  <c:v>98.263156711740635</c:v>
                </c:pt>
                <c:pt idx="6">
                  <c:v>99.986581254937676</c:v>
                </c:pt>
                <c:pt idx="7">
                  <c:v>99.498606200079976</c:v>
                </c:pt>
                <c:pt idx="8">
                  <c:v>98.643731425431383</c:v>
                </c:pt>
                <c:pt idx="9">
                  <c:v>98.202220756047979</c:v>
                </c:pt>
                <c:pt idx="10">
                  <c:v>98.753440143476638</c:v>
                </c:pt>
                <c:pt idx="11">
                  <c:v>97.414637739268571</c:v>
                </c:pt>
                <c:pt idx="12">
                  <c:v>95.716690584451726</c:v>
                </c:pt>
                <c:pt idx="13">
                  <c:v>94.856386470142255</c:v>
                </c:pt>
                <c:pt idx="14">
                  <c:v>91.498196404485654</c:v>
                </c:pt>
                <c:pt idx="15">
                  <c:v>88.460170986064711</c:v>
                </c:pt>
                <c:pt idx="16">
                  <c:v>90.11856775770535</c:v>
                </c:pt>
                <c:pt idx="17">
                  <c:v>90.346841118657494</c:v>
                </c:pt>
                <c:pt idx="18">
                  <c:v>91.575498602570136</c:v>
                </c:pt>
                <c:pt idx="19">
                  <c:v>88.250876622642437</c:v>
                </c:pt>
                <c:pt idx="20">
                  <c:v>86.325870098249553</c:v>
                </c:pt>
                <c:pt idx="21">
                  <c:v>84.591256074044722</c:v>
                </c:pt>
                <c:pt idx="22">
                  <c:v>87.640171267367919</c:v>
                </c:pt>
                <c:pt idx="23">
                  <c:v>86.187852005552671</c:v>
                </c:pt>
                <c:pt idx="24">
                  <c:v>91.552309574748918</c:v>
                </c:pt>
                <c:pt idx="25">
                  <c:v>88.485421212825358</c:v>
                </c:pt>
                <c:pt idx="26">
                  <c:v>91.827760330189051</c:v>
                </c:pt>
                <c:pt idx="27">
                  <c:v>91.156582044178151</c:v>
                </c:pt>
                <c:pt idx="28">
                  <c:v>91.290865752575627</c:v>
                </c:pt>
                <c:pt idx="29">
                  <c:v>91.492951108778882</c:v>
                </c:pt>
                <c:pt idx="30">
                  <c:v>90.888140302355922</c:v>
                </c:pt>
                <c:pt idx="31">
                  <c:v>90.031791037947386</c:v>
                </c:pt>
                <c:pt idx="32">
                  <c:v>86.653584932585844</c:v>
                </c:pt>
                <c:pt idx="33">
                  <c:v>86.562659089791666</c:v>
                </c:pt>
                <c:pt idx="34">
                  <c:v>92.906417527446763</c:v>
                </c:pt>
                <c:pt idx="35">
                  <c:v>95.620305726781979</c:v>
                </c:pt>
                <c:pt idx="36">
                  <c:v>96.584798305253244</c:v>
                </c:pt>
                <c:pt idx="37">
                  <c:v>94.562122456115702</c:v>
                </c:pt>
                <c:pt idx="38">
                  <c:v>94.527687513578584</c:v>
                </c:pt>
                <c:pt idx="39">
                  <c:v>92.728964465905108</c:v>
                </c:pt>
                <c:pt idx="40">
                  <c:v>95.03767655305171</c:v>
                </c:pt>
                <c:pt idx="41">
                  <c:v>94.386868706597411</c:v>
                </c:pt>
                <c:pt idx="42">
                  <c:v>97.778145009126348</c:v>
                </c:pt>
                <c:pt idx="43">
                  <c:v>99.277887296596163</c:v>
                </c:pt>
                <c:pt idx="44">
                  <c:v>101.71064058186006</c:v>
                </c:pt>
                <c:pt idx="45">
                  <c:v>97.471058213179433</c:v>
                </c:pt>
                <c:pt idx="46">
                  <c:v>98.751694166725017</c:v>
                </c:pt>
                <c:pt idx="47">
                  <c:v>97.154794964695995</c:v>
                </c:pt>
                <c:pt idx="48">
                  <c:v>97.795268331139326</c:v>
                </c:pt>
                <c:pt idx="49">
                  <c:v>100.03651843324782</c:v>
                </c:pt>
                <c:pt idx="50">
                  <c:v>99.6135062607176</c:v>
                </c:pt>
                <c:pt idx="51">
                  <c:v>98.643505315084539</c:v>
                </c:pt>
                <c:pt idx="52">
                  <c:v>98.916278907446596</c:v>
                </c:pt>
                <c:pt idx="53">
                  <c:v>101.38471695615863</c:v>
                </c:pt>
                <c:pt idx="54">
                  <c:v>102.0087023164389</c:v>
                </c:pt>
                <c:pt idx="55">
                  <c:v>102.16687564152845</c:v>
                </c:pt>
                <c:pt idx="56">
                  <c:v>104.50289206367263</c:v>
                </c:pt>
                <c:pt idx="57">
                  <c:v>104.86234089950884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44-43A3-B1BA-25C750EAEFD6}"/>
            </c:ext>
          </c:extLst>
        </c:ser>
        <c:ser>
          <c:idx val="4"/>
          <c:order val="4"/>
          <c:tx>
            <c:strRef>
              <c:f>Strategy!$V$1</c:f>
              <c:strCache>
                <c:ptCount val="1"/>
                <c:pt idx="0">
                  <c:v>BASE(R)</c:v>
                </c:pt>
              </c:strCache>
            </c:strRef>
          </c:tx>
          <c:spPr>
            <a:ln w="28575" cap="rnd">
              <a:solidFill>
                <a:srgbClr val="0D2D4F"/>
              </a:solidFill>
              <a:round/>
            </a:ln>
            <a:effectLst/>
          </c:spPr>
          <c:marker>
            <c:symbol val="none"/>
          </c:marker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Strategy!$V$75:$V$132</c:f>
              <c:numCache>
                <c:formatCode>0.00_ </c:formatCode>
                <c:ptCount val="58"/>
                <c:pt idx="0">
                  <c:v>99.003474563751055</c:v>
                </c:pt>
                <c:pt idx="1">
                  <c:v>96.737302505118492</c:v>
                </c:pt>
                <c:pt idx="2">
                  <c:v>95.843509638801137</c:v>
                </c:pt>
                <c:pt idx="3">
                  <c:v>96.385996772140615</c:v>
                </c:pt>
                <c:pt idx="4">
                  <c:v>96.597222451103704</c:v>
                </c:pt>
                <c:pt idx="5">
                  <c:v>98.003435926866374</c:v>
                </c:pt>
                <c:pt idx="6">
                  <c:v>99.722305261478525</c:v>
                </c:pt>
                <c:pt idx="7">
                  <c:v>99.235619980616363</c:v>
                </c:pt>
                <c:pt idx="8">
                  <c:v>98.383004737972144</c:v>
                </c:pt>
                <c:pt idx="9">
                  <c:v>97.942661031888306</c:v>
                </c:pt>
                <c:pt idx="10">
                  <c:v>98.492423483302176</c:v>
                </c:pt>
                <c:pt idx="11">
                  <c:v>97.157159687285102</c:v>
                </c:pt>
                <c:pt idx="12">
                  <c:v>95.463700401395755</c:v>
                </c:pt>
                <c:pt idx="13">
                  <c:v>94.605670169457611</c:v>
                </c:pt>
                <c:pt idx="14">
                  <c:v>91.256356185017978</c:v>
                </c:pt>
                <c:pt idx="15">
                  <c:v>86.291106433777443</c:v>
                </c:pt>
                <c:pt idx="16">
                  <c:v>87.274465763172216</c:v>
                </c:pt>
                <c:pt idx="17">
                  <c:v>86.584157005237671</c:v>
                </c:pt>
                <c:pt idx="18">
                  <c:v>88.620594350989691</c:v>
                </c:pt>
                <c:pt idx="19">
                  <c:v>84.712194004248232</c:v>
                </c:pt>
                <c:pt idx="20">
                  <c:v>82.235438558272676</c:v>
                </c:pt>
                <c:pt idx="21">
                  <c:v>80.648975019802762</c:v>
                </c:pt>
                <c:pt idx="22">
                  <c:v>85.008364299743718</c:v>
                </c:pt>
                <c:pt idx="23">
                  <c:v>83.127340515981629</c:v>
                </c:pt>
                <c:pt idx="24">
                  <c:v>87.075200089327751</c:v>
                </c:pt>
                <c:pt idx="25">
                  <c:v>83.125681629267788</c:v>
                </c:pt>
                <c:pt idx="26">
                  <c:v>86.827628826777527</c:v>
                </c:pt>
                <c:pt idx="27">
                  <c:v>85.81190098431253</c:v>
                </c:pt>
                <c:pt idx="28">
                  <c:v>85.884993415203496</c:v>
                </c:pt>
                <c:pt idx="29">
                  <c:v>85.461448624506147</c:v>
                </c:pt>
                <c:pt idx="30">
                  <c:v>84.907032711474017</c:v>
                </c:pt>
                <c:pt idx="31">
                  <c:v>84.31531443207308</c:v>
                </c:pt>
                <c:pt idx="32">
                  <c:v>81.74499590408729</c:v>
                </c:pt>
                <c:pt idx="33">
                  <c:v>81.761154184775947</c:v>
                </c:pt>
                <c:pt idx="34">
                  <c:v>86.169251934891818</c:v>
                </c:pt>
                <c:pt idx="35">
                  <c:v>88.346271820586466</c:v>
                </c:pt>
                <c:pt idx="36">
                  <c:v>89.105568070884431</c:v>
                </c:pt>
                <c:pt idx="37">
                  <c:v>87.503607795196686</c:v>
                </c:pt>
                <c:pt idx="38">
                  <c:v>87.272130191697187</c:v>
                </c:pt>
                <c:pt idx="39">
                  <c:v>85.869165273551047</c:v>
                </c:pt>
                <c:pt idx="40">
                  <c:v>87.654048052368367</c:v>
                </c:pt>
                <c:pt idx="41">
                  <c:v>87.306373235758173</c:v>
                </c:pt>
                <c:pt idx="42">
                  <c:v>90.283780664799494</c:v>
                </c:pt>
                <c:pt idx="43">
                  <c:v>91.368041596528315</c:v>
                </c:pt>
                <c:pt idx="44">
                  <c:v>93.137382618049671</c:v>
                </c:pt>
                <c:pt idx="45">
                  <c:v>89.771990029890787</c:v>
                </c:pt>
                <c:pt idx="46">
                  <c:v>91.489290787966894</c:v>
                </c:pt>
                <c:pt idx="47">
                  <c:v>89.462081352885036</c:v>
                </c:pt>
                <c:pt idx="48">
                  <c:v>90.051842058302924</c:v>
                </c:pt>
                <c:pt idx="49">
                  <c:v>92.223558095316307</c:v>
                </c:pt>
                <c:pt idx="50">
                  <c:v>92.141944281541726</c:v>
                </c:pt>
                <c:pt idx="51">
                  <c:v>91.701462386831466</c:v>
                </c:pt>
                <c:pt idx="52">
                  <c:v>91.384018379841493</c:v>
                </c:pt>
                <c:pt idx="53">
                  <c:v>93.192999758360259</c:v>
                </c:pt>
                <c:pt idx="54">
                  <c:v>93.766568135090708</c:v>
                </c:pt>
                <c:pt idx="55">
                  <c:v>93.920911502674542</c:v>
                </c:pt>
                <c:pt idx="56">
                  <c:v>95.504154933610948</c:v>
                </c:pt>
                <c:pt idx="57">
                  <c:v>95.421088801961091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44-43A3-B1BA-25C750EAEFD6}"/>
            </c:ext>
          </c:extLst>
        </c:ser>
        <c:ser>
          <c:idx val="6"/>
          <c:order val="5"/>
          <c:tx>
            <c:strRef>
              <c:f>Strategy!$T$1</c:f>
              <c:strCache>
                <c:ptCount val="1"/>
                <c:pt idx="0">
                  <c:v>국채(R)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Strategy!$T$75:$T$132</c:f>
              <c:numCache>
                <c:formatCode>0.00_ </c:formatCode>
                <c:ptCount val="58"/>
                <c:pt idx="0">
                  <c:v>99.144038068809166</c:v>
                </c:pt>
                <c:pt idx="1">
                  <c:v>96.945505711298495</c:v>
                </c:pt>
                <c:pt idx="2">
                  <c:v>96.083029610159485</c:v>
                </c:pt>
                <c:pt idx="3">
                  <c:v>96.541627174511348</c:v>
                </c:pt>
                <c:pt idx="4">
                  <c:v>96.584620696169338</c:v>
                </c:pt>
                <c:pt idx="5">
                  <c:v>97.359481211505326</c:v>
                </c:pt>
                <c:pt idx="6">
                  <c:v>99.021245965285985</c:v>
                </c:pt>
                <c:pt idx="7">
                  <c:v>98.553528563006665</c:v>
                </c:pt>
                <c:pt idx="8">
                  <c:v>97.766942541763967</c:v>
                </c:pt>
                <c:pt idx="9">
                  <c:v>97.255580200831858</c:v>
                </c:pt>
                <c:pt idx="10">
                  <c:v>98.275047797721996</c:v>
                </c:pt>
                <c:pt idx="11">
                  <c:v>96.702852880728813</c:v>
                </c:pt>
                <c:pt idx="12">
                  <c:v>95.646254515134061</c:v>
                </c:pt>
                <c:pt idx="13">
                  <c:v>95.802268885392948</c:v>
                </c:pt>
                <c:pt idx="14">
                  <c:v>91.79800861824684</c:v>
                </c:pt>
                <c:pt idx="15">
                  <c:v>88.750028499493524</c:v>
                </c:pt>
                <c:pt idx="16">
                  <c:v>89.108959263638212</c:v>
                </c:pt>
                <c:pt idx="17">
                  <c:v>89.334675252342649</c:v>
                </c:pt>
                <c:pt idx="18">
                  <c:v>90.54956794767817</c:v>
                </c:pt>
                <c:pt idx="19">
                  <c:v>87.262192083329253</c:v>
                </c:pt>
                <c:pt idx="20">
                  <c:v>85.358751624471125</c:v>
                </c:pt>
                <c:pt idx="21">
                  <c:v>83.643570677115378</c:v>
                </c:pt>
                <c:pt idx="22">
                  <c:v>86.658328529133001</c:v>
                </c:pt>
                <c:pt idx="23">
                  <c:v>85.222279764056765</c:v>
                </c:pt>
                <c:pt idx="24">
                  <c:v>88.012624461359579</c:v>
                </c:pt>
                <c:pt idx="25">
                  <c:v>85.064311142813423</c:v>
                </c:pt>
                <c:pt idx="26">
                  <c:v>88.277425469753098</c:v>
                </c:pt>
                <c:pt idx="27">
                  <c:v>87.632196936385881</c:v>
                </c:pt>
                <c:pt idx="28">
                  <c:v>87.652390863225236</c:v>
                </c:pt>
                <c:pt idx="29">
                  <c:v>86.59383824664603</c:v>
                </c:pt>
                <c:pt idx="30">
                  <c:v>86.042739469030025</c:v>
                </c:pt>
                <c:pt idx="31">
                  <c:v>85.654169231621097</c:v>
                </c:pt>
                <c:pt idx="32">
                  <c:v>83.645850636597274</c:v>
                </c:pt>
                <c:pt idx="33">
                  <c:v>83.766688489136016</c:v>
                </c:pt>
                <c:pt idx="34">
                  <c:v>86.66028278011747</c:v>
                </c:pt>
                <c:pt idx="35">
                  <c:v>88.507701377421256</c:v>
                </c:pt>
                <c:pt idx="36">
                  <c:v>89.136318777420598</c:v>
                </c:pt>
                <c:pt idx="37">
                  <c:v>87.797982561567053</c:v>
                </c:pt>
                <c:pt idx="38">
                  <c:v>87.365441677007908</c:v>
                </c:pt>
                <c:pt idx="39">
                  <c:v>86.218947766128267</c:v>
                </c:pt>
                <c:pt idx="40">
                  <c:v>87.656625073691544</c:v>
                </c:pt>
                <c:pt idx="41">
                  <c:v>87.561518192448119</c:v>
                </c:pt>
                <c:pt idx="42">
                  <c:v>90.387690824465906</c:v>
                </c:pt>
                <c:pt idx="43">
                  <c:v>91.172322594724164</c:v>
                </c:pt>
                <c:pt idx="44">
                  <c:v>92.469293831406759</c:v>
                </c:pt>
                <c:pt idx="45">
                  <c:v>89.641166948404504</c:v>
                </c:pt>
                <c:pt idx="46">
                  <c:v>90.818928875035425</c:v>
                </c:pt>
                <c:pt idx="47">
                  <c:v>89.350309260218296</c:v>
                </c:pt>
                <c:pt idx="48">
                  <c:v>89.876979900528639</c:v>
                </c:pt>
                <c:pt idx="49">
                  <c:v>91.936760438143082</c:v>
                </c:pt>
                <c:pt idx="50">
                  <c:v>92.162802135344904</c:v>
                </c:pt>
                <c:pt idx="51">
                  <c:v>92.179087560215365</c:v>
                </c:pt>
                <c:pt idx="52">
                  <c:v>91.285994860319917</c:v>
                </c:pt>
                <c:pt idx="53">
                  <c:v>92.622051116691594</c:v>
                </c:pt>
                <c:pt idx="54">
                  <c:v>93.140253336069307</c:v>
                </c:pt>
                <c:pt idx="55">
                  <c:v>93.302456167778985</c:v>
                </c:pt>
                <c:pt idx="56">
                  <c:v>94.314758177726134</c:v>
                </c:pt>
                <c:pt idx="57">
                  <c:v>94.639163841145489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F44-43A3-B1BA-25C750EAEFD6}"/>
            </c:ext>
          </c:extLst>
        </c:ser>
        <c:ser>
          <c:idx val="7"/>
          <c:order val="6"/>
          <c:tx>
            <c:strRef>
              <c:f>Strategy!$U$1</c:f>
              <c:strCache>
                <c:ptCount val="1"/>
                <c:pt idx="0">
                  <c:v>회사채(R)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Strategy!$S$75:$S$132</c:f>
              <c:numCache>
                <c:formatCode>m/d/yyyy</c:formatCode>
                <c:ptCount val="5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</c:numCache>
            </c:numRef>
          </c:cat>
          <c:val>
            <c:numRef>
              <c:f>Strategy!$U$75:$U$132</c:f>
              <c:numCache>
                <c:formatCode>0.00_ </c:formatCode>
                <c:ptCount val="58"/>
                <c:pt idx="0">
                  <c:v>98.862911058692944</c:v>
                </c:pt>
                <c:pt idx="1">
                  <c:v>96.529300217381248</c:v>
                </c:pt>
                <c:pt idx="2">
                  <c:v>95.604331437028819</c:v>
                </c:pt>
                <c:pt idx="3">
                  <c:v>96.230285370704422</c:v>
                </c:pt>
                <c:pt idx="4">
                  <c:v>96.60919938948247</c:v>
                </c:pt>
                <c:pt idx="5">
                  <c:v>98.646917348873814</c:v>
                </c:pt>
                <c:pt idx="6">
                  <c:v>100.42348873780126</c:v>
                </c:pt>
                <c:pt idx="7">
                  <c:v>99.917614818926097</c:v>
                </c:pt>
                <c:pt idx="8">
                  <c:v>98.998138383978585</c:v>
                </c:pt>
                <c:pt idx="9">
                  <c:v>98.629746542713164</c:v>
                </c:pt>
                <c:pt idx="10">
                  <c:v>98.703112714490601</c:v>
                </c:pt>
                <c:pt idx="11">
                  <c:v>97.60591554507198</c:v>
                </c:pt>
                <c:pt idx="12">
                  <c:v>95.269818694787531</c:v>
                </c:pt>
                <c:pt idx="13">
                  <c:v>93.401843115489612</c:v>
                </c:pt>
                <c:pt idx="14">
                  <c:v>90.692382405994209</c:v>
                </c:pt>
                <c:pt idx="15">
                  <c:v>83.834524305073813</c:v>
                </c:pt>
                <c:pt idx="16">
                  <c:v>85.406202303316263</c:v>
                </c:pt>
                <c:pt idx="17">
                  <c:v>83.838802553073435</c:v>
                </c:pt>
                <c:pt idx="18">
                  <c:v>86.642384718560692</c:v>
                </c:pt>
                <c:pt idx="19">
                  <c:v>82.145599185976636</c:v>
                </c:pt>
                <c:pt idx="20">
                  <c:v>79.134001665047904</c:v>
                </c:pt>
                <c:pt idx="21">
                  <c:v>77.670840849174454</c:v>
                </c:pt>
                <c:pt idx="22">
                  <c:v>83.268176772582265</c:v>
                </c:pt>
                <c:pt idx="23">
                  <c:v>80.963010499051904</c:v>
                </c:pt>
                <c:pt idx="24">
                  <c:v>86.002266315156618</c:v>
                </c:pt>
                <c:pt idx="25">
                  <c:v>81.081529531474075</c:v>
                </c:pt>
                <c:pt idx="26">
                  <c:v>85.240680357060313</c:v>
                </c:pt>
                <c:pt idx="27">
                  <c:v>83.869386244854596</c:v>
                </c:pt>
                <c:pt idx="28">
                  <c:v>83.992935109384447</c:v>
                </c:pt>
                <c:pt idx="29">
                  <c:v>84.178865454881887</c:v>
                </c:pt>
                <c:pt idx="30">
                  <c:v>83.622404144119201</c:v>
                </c:pt>
                <c:pt idx="31">
                  <c:v>82.834512742241401</c:v>
                </c:pt>
                <c:pt idx="32">
                  <c:v>79.726365570510225</c:v>
                </c:pt>
                <c:pt idx="33">
                  <c:v>79.642708477868808</c:v>
                </c:pt>
                <c:pt idx="34">
                  <c:v>85.47933721844511</c:v>
                </c:pt>
                <c:pt idx="35">
                  <c:v>87.976273067850798</c:v>
                </c:pt>
                <c:pt idx="36">
                  <c:v>88.863662642801074</c:v>
                </c:pt>
                <c:pt idx="37">
                  <c:v>87.002682577124176</c:v>
                </c:pt>
                <c:pt idx="38">
                  <c:v>86.971000416262058</c:v>
                </c:pt>
                <c:pt idx="39">
                  <c:v>85.316070024513309</c:v>
                </c:pt>
                <c:pt idx="40">
                  <c:v>87.440220156329588</c:v>
                </c:pt>
                <c:pt idx="41">
                  <c:v>86.841438878867862</c:v>
                </c:pt>
                <c:pt idx="42">
                  <c:v>89.96161139632774</c:v>
                </c:pt>
                <c:pt idx="43">
                  <c:v>91.34146200453273</c:v>
                </c:pt>
                <c:pt idx="44">
                  <c:v>93.579737292447248</c:v>
                </c:pt>
                <c:pt idx="45">
                  <c:v>89.679073585865666</c:v>
                </c:pt>
                <c:pt idx="46">
                  <c:v>91.931860228481654</c:v>
                </c:pt>
                <c:pt idx="47">
                  <c:v>89.344445215300013</c:v>
                </c:pt>
                <c:pt idx="48">
                  <c:v>89.995779566162625</c:v>
                </c:pt>
                <c:pt idx="49">
                  <c:v>92.274004440127754</c:v>
                </c:pt>
                <c:pt idx="50">
                  <c:v>91.883816659729064</c:v>
                </c:pt>
                <c:pt idx="51">
                  <c:v>90.989084686184839</c:v>
                </c:pt>
                <c:pt idx="52">
                  <c:v>91.240691919892811</c:v>
                </c:pt>
                <c:pt idx="53">
                  <c:v>93.517587068128321</c:v>
                </c:pt>
                <c:pt idx="54">
                  <c:v>94.145506683317251</c:v>
                </c:pt>
                <c:pt idx="55">
                  <c:v>94.291487442764094</c:v>
                </c:pt>
                <c:pt idx="56">
                  <c:v>96.447435363766843</c:v>
                </c:pt>
                <c:pt idx="57">
                  <c:v>95.947921002728961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44-43A3-B1BA-25C750EAE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2985071"/>
        <c:axId val="1642979791"/>
      </c:lineChart>
      <c:dateAx>
        <c:axId val="1683267007"/>
        <c:scaling>
          <c:orientation val="minMax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3267487"/>
        <c:crosses val="autoZero"/>
        <c:auto val="1"/>
        <c:lblOffset val="100"/>
        <c:baseTimeUnit val="months"/>
        <c:majorUnit val="1"/>
        <c:majorTimeUnit val="years"/>
      </c:dateAx>
      <c:valAx>
        <c:axId val="168326748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3267007"/>
        <c:crosses val="autoZero"/>
        <c:crossBetween val="between"/>
        <c:majorUnit val="5"/>
      </c:valAx>
      <c:valAx>
        <c:axId val="1642979791"/>
        <c:scaling>
          <c:orientation val="minMax"/>
          <c:min val="6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2985071"/>
        <c:crosses val="max"/>
        <c:crossBetween val="between"/>
      </c:valAx>
      <c:dateAx>
        <c:axId val="164298507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642979791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52094703583532"/>
          <c:y val="0.88837195350581177"/>
          <c:w val="0.66147788839647759"/>
          <c:h val="0.110604574428196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104775</xdr:colOff>
      <xdr:row>0</xdr:row>
      <xdr:rowOff>124044</xdr:rowOff>
    </xdr:from>
    <xdr:to>
      <xdr:col>42</xdr:col>
      <xdr:colOff>392045</xdr:colOff>
      <xdr:row>31</xdr:row>
      <xdr:rowOff>28575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AB6FC9F-8C33-7399-EE3B-9D2FFC4BC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31025" y="124044"/>
          <a:ext cx="8212070" cy="4628931"/>
        </a:xfrm>
        <a:prstGeom prst="rect">
          <a:avLst/>
        </a:prstGeom>
      </xdr:spPr>
    </xdr:pic>
    <xdr:clientData/>
  </xdr:twoCellAnchor>
  <xdr:twoCellAnchor>
    <xdr:from>
      <xdr:col>27</xdr:col>
      <xdr:colOff>409576</xdr:colOff>
      <xdr:row>32</xdr:row>
      <xdr:rowOff>123826</xdr:rowOff>
    </xdr:from>
    <xdr:to>
      <xdr:col>34</xdr:col>
      <xdr:colOff>276226</xdr:colOff>
      <xdr:row>54</xdr:row>
      <xdr:rowOff>66676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62B2651A-5637-48E1-92AE-468316499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390525</xdr:colOff>
      <xdr:row>1</xdr:row>
      <xdr:rowOff>65711</xdr:rowOff>
    </xdr:from>
    <xdr:to>
      <xdr:col>32</xdr:col>
      <xdr:colOff>248913</xdr:colOff>
      <xdr:row>23</xdr:row>
      <xdr:rowOff>718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4238F84-996E-8316-2612-08825B975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06625" y="218111"/>
          <a:ext cx="5773413" cy="3287807"/>
        </a:xfrm>
        <a:prstGeom prst="rect">
          <a:avLst/>
        </a:prstGeom>
      </xdr:spPr>
    </xdr:pic>
    <xdr:clientData/>
  </xdr:twoCellAnchor>
  <xdr:twoCellAnchor>
    <xdr:from>
      <xdr:col>17</xdr:col>
      <xdr:colOff>504825</xdr:colOff>
      <xdr:row>21</xdr:row>
      <xdr:rowOff>9525</xdr:rowOff>
    </xdr:from>
    <xdr:to>
      <xdr:col>24</xdr:col>
      <xdr:colOff>219075</xdr:colOff>
      <xdr:row>42</xdr:row>
      <xdr:rowOff>104775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2DD58AC-9696-4EB2-8918-9B7811C14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238125</xdr:colOff>
      <xdr:row>4</xdr:row>
      <xdr:rowOff>133350</xdr:rowOff>
    </xdr:from>
    <xdr:to>
      <xdr:col>35</xdr:col>
      <xdr:colOff>504824</xdr:colOff>
      <xdr:row>26</xdr:row>
      <xdr:rowOff>114300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8EADFF8B-5DC3-4DED-9DDB-B964270CC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USIGAIQ\USIG%20Models\0.Situation\situation_indicators.xlsx" TargetMode="External"/><Relationship Id="rId1" Type="http://schemas.openxmlformats.org/officeDocument/2006/relationships/externalLinkPath" Target="/USIGAIQ/USIG%20Models/0.Situation/situation_indica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redit_tree_V2"/>
      <sheetName val="MS_V2-6"/>
      <sheetName val="BNPP_V2"/>
      <sheetName val="M&amp;Apivot"/>
    </sheetNames>
    <sheetDataSet>
      <sheetData sheetId="0"/>
      <sheetData sheetId="1">
        <row r="480">
          <cell r="BJ480">
            <v>0.31743986001963809</v>
          </cell>
          <cell r="BK480">
            <v>-0.67116582755681753</v>
          </cell>
          <cell r="BL480">
            <v>-1.089245173487088</v>
          </cell>
          <cell r="BM480">
            <v>0.27066569800195489</v>
          </cell>
          <cell r="BN480">
            <v>-0.13029587621106029</v>
          </cell>
          <cell r="BO480">
            <v>-1.4163533854939379</v>
          </cell>
          <cell r="BP480">
            <v>-1.3779278775976926</v>
          </cell>
          <cell r="BQ480">
            <v>-1.075623185241898</v>
          </cell>
          <cell r="BR480">
            <v>0.20588959703221998</v>
          </cell>
          <cell r="BS480">
            <v>-1.2568337398164859</v>
          </cell>
          <cell r="BU480">
            <v>-0.62234499103511676</v>
          </cell>
        </row>
        <row r="481">
          <cell r="BJ481">
            <v>0.30881093266945103</v>
          </cell>
          <cell r="BK481">
            <v>-0.46922881307476588</v>
          </cell>
          <cell r="BL481">
            <v>-0.77335020636436791</v>
          </cell>
          <cell r="BM481">
            <v>0.31951518796624234</v>
          </cell>
          <cell r="BN481">
            <v>2.1555356109740693E-2</v>
          </cell>
          <cell r="BO481">
            <v>-1.3091512949452477</v>
          </cell>
          <cell r="BP481">
            <v>-1.3052796090053287</v>
          </cell>
          <cell r="BQ481">
            <v>-1.3078090207178676</v>
          </cell>
          <cell r="BR481">
            <v>-0.4248862487573335</v>
          </cell>
          <cell r="BS481">
            <v>-1.6897280124888108</v>
          </cell>
          <cell r="BU481">
            <v>-0.66295517286082872</v>
          </cell>
          <cell r="CM481">
            <v>-0.66295517286082872</v>
          </cell>
          <cell r="CT481">
            <v>0</v>
          </cell>
          <cell r="CU481">
            <v>0</v>
          </cell>
          <cell r="CV481">
            <v>0</v>
          </cell>
          <cell r="CW481">
            <v>10</v>
          </cell>
        </row>
        <row r="482">
          <cell r="BJ482">
            <v>0.31358519984667099</v>
          </cell>
          <cell r="BK482">
            <v>-0.80392306440883798</v>
          </cell>
          <cell r="BL482">
            <v>-0.54169921535684906</v>
          </cell>
          <cell r="BM482">
            <v>0.36845153815857334</v>
          </cell>
          <cell r="BN482">
            <v>0.17368900854088612</v>
          </cell>
          <cell r="BO482">
            <v>-1.2865390195559898</v>
          </cell>
          <cell r="BP482">
            <v>-1.2188552781901245</v>
          </cell>
          <cell r="BQ482">
            <v>-1.2974447151842314</v>
          </cell>
          <cell r="BR482">
            <v>-0.60386286159001101</v>
          </cell>
          <cell r="BS482">
            <v>-1.4946983838560315</v>
          </cell>
          <cell r="BU482">
            <v>-0.63912967915959451</v>
          </cell>
          <cell r="CM482">
            <v>-0.63912967915959451</v>
          </cell>
          <cell r="CT482">
            <v>0</v>
          </cell>
          <cell r="CU482">
            <v>0</v>
          </cell>
          <cell r="CV482">
            <v>0</v>
          </cell>
          <cell r="CW482">
            <v>10</v>
          </cell>
        </row>
        <row r="483">
          <cell r="BJ483">
            <v>0.31353471260839005</v>
          </cell>
          <cell r="BK483">
            <v>-0.10447411556129384</v>
          </cell>
          <cell r="BL483">
            <v>-0.56624498926337641</v>
          </cell>
          <cell r="BM483">
            <v>0.36032485545141768</v>
          </cell>
          <cell r="BN483">
            <v>0.29599472190580278</v>
          </cell>
          <cell r="BO483">
            <v>-1.4047337475459551</v>
          </cell>
          <cell r="BP483">
            <v>-1.134610267656287</v>
          </cell>
          <cell r="BQ483">
            <v>-1.3468167696999735</v>
          </cell>
          <cell r="BR483">
            <v>-0.92228923530380358</v>
          </cell>
          <cell r="BS483">
            <v>-1.0249919012056437</v>
          </cell>
          <cell r="BU483">
            <v>-0.55343067362707221</v>
          </cell>
          <cell r="CM483">
            <v>-0.55343067362707221</v>
          </cell>
          <cell r="CT483">
            <v>0</v>
          </cell>
          <cell r="CU483">
            <v>0</v>
          </cell>
          <cell r="CV483">
            <v>0</v>
          </cell>
          <cell r="CW483">
            <v>10</v>
          </cell>
        </row>
      </sheetData>
      <sheetData sheetId="2">
        <row r="480">
          <cell r="BD480">
            <v>0.96599999999999997</v>
          </cell>
          <cell r="BE480">
            <v>0.80200000000000005</v>
          </cell>
          <cell r="BF480">
            <v>6.6000000000000003E-2</v>
          </cell>
          <cell r="BG480">
            <v>0.26400000000000001</v>
          </cell>
          <cell r="BH480">
            <v>0.20599999999999999</v>
          </cell>
          <cell r="BI480">
            <v>0.58599999999999997</v>
          </cell>
          <cell r="BJ480">
            <v>6.6000000000000003E-2</v>
          </cell>
          <cell r="BK480">
            <v>0.68500000000000005</v>
          </cell>
          <cell r="BN480">
            <v>0.544875</v>
          </cell>
        </row>
        <row r="481">
          <cell r="BD481">
            <v>0.99099999999999999</v>
          </cell>
          <cell r="BE481">
            <v>0.78600000000000003</v>
          </cell>
          <cell r="BF481">
            <v>0.09</v>
          </cell>
          <cell r="BG481">
            <v>0.27200000000000002</v>
          </cell>
          <cell r="BH481">
            <v>0.16500000000000001</v>
          </cell>
          <cell r="BI481">
            <v>0.628</v>
          </cell>
          <cell r="BJ481">
            <v>8.2000000000000003E-2</v>
          </cell>
          <cell r="BK481">
            <v>0.42099999999999999</v>
          </cell>
          <cell r="BN481">
            <v>0.57062499999999994</v>
          </cell>
          <cell r="CD481">
            <v>0</v>
          </cell>
          <cell r="CE481">
            <v>10</v>
          </cell>
          <cell r="CF481">
            <v>0</v>
          </cell>
          <cell r="CG481">
            <v>0</v>
          </cell>
        </row>
        <row r="482">
          <cell r="BD482">
            <v>0.92500000000000004</v>
          </cell>
          <cell r="BE482">
            <v>0.74399999999999999</v>
          </cell>
          <cell r="BF482">
            <v>0.09</v>
          </cell>
          <cell r="BG482">
            <v>0.59499999999999997</v>
          </cell>
          <cell r="BH482">
            <v>0.18099999999999999</v>
          </cell>
          <cell r="BI482">
            <v>0.65200000000000002</v>
          </cell>
          <cell r="BJ482">
            <v>9.9000000000000005E-2</v>
          </cell>
          <cell r="BK482">
            <v>0.30499999999999999</v>
          </cell>
          <cell r="BN482">
            <v>0.55112499999999986</v>
          </cell>
          <cell r="CD482">
            <v>10</v>
          </cell>
          <cell r="CE482">
            <v>0</v>
          </cell>
          <cell r="CF482">
            <v>0</v>
          </cell>
          <cell r="CG482">
            <v>0</v>
          </cell>
        </row>
        <row r="483">
          <cell r="BD483">
            <v>0.9</v>
          </cell>
          <cell r="BE483">
            <v>0.74399999999999999</v>
          </cell>
          <cell r="BF483">
            <v>4.9000000000000002E-2</v>
          </cell>
          <cell r="BG483">
            <v>0.35499999999999998</v>
          </cell>
          <cell r="BH483">
            <v>0.19</v>
          </cell>
          <cell r="BI483">
            <v>0.67700000000000005</v>
          </cell>
          <cell r="BJ483">
            <v>4.9000000000000002E-2</v>
          </cell>
          <cell r="BK483">
            <v>0.13200000000000001</v>
          </cell>
          <cell r="BN483">
            <v>0.61299999999999999</v>
          </cell>
          <cell r="CD483">
            <v>0</v>
          </cell>
          <cell r="CE483">
            <v>10</v>
          </cell>
          <cell r="CF483">
            <v>0</v>
          </cell>
          <cell r="CG48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71"/>
  <sheetViews>
    <sheetView topLeftCell="A328" workbookViewId="0">
      <selection activeCell="Q2" sqref="Q2:Q371"/>
    </sheetView>
  </sheetViews>
  <sheetFormatPr defaultRowHeight="12" x14ac:dyDescent="0.2"/>
  <cols>
    <col min="1" max="1" width="11.85546875" style="1" bestFit="1" customWidth="1"/>
    <col min="2" max="11" width="9.140625" style="1"/>
    <col min="12" max="12" width="13.85546875" style="1" bestFit="1" customWidth="1"/>
    <col min="13" max="17" width="9.140625" style="1"/>
    <col min="18" max="18" width="11.28515625" style="2" bestFit="1" customWidth="1"/>
    <col min="19" max="23" width="9.140625" style="1"/>
    <col min="24" max="24" width="11.5703125" style="1" customWidth="1"/>
    <col min="25" max="16384" width="9.140625" style="1"/>
  </cols>
  <sheetData>
    <row r="1" spans="1:45" x14ac:dyDescent="0.2">
      <c r="A1" s="1" t="s">
        <v>10</v>
      </c>
      <c r="B1" s="1" t="s">
        <v>13</v>
      </c>
      <c r="C1" s="1" t="s">
        <v>15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107</v>
      </c>
      <c r="R1" s="2" t="s">
        <v>65</v>
      </c>
      <c r="S1" s="1" t="s">
        <v>105</v>
      </c>
      <c r="T1" s="1" t="s">
        <v>106</v>
      </c>
      <c r="U1" s="1" t="s">
        <v>100</v>
      </c>
    </row>
    <row r="2" spans="1:45" x14ac:dyDescent="0.2">
      <c r="A2" s="2">
        <v>34700</v>
      </c>
      <c r="B2" s="1">
        <v>0.85407556980931909</v>
      </c>
      <c r="C2" s="1">
        <v>0.51887822117126947</v>
      </c>
      <c r="D2" s="1">
        <v>-1.047089223784319</v>
      </c>
      <c r="E2" s="1">
        <v>1.0325376575873373</v>
      </c>
      <c r="F2" s="1">
        <v>-0.35072946506669156</v>
      </c>
      <c r="G2" s="1">
        <v>1.1320526550006909</v>
      </c>
      <c r="H2" s="1">
        <v>1.4887317510979661</v>
      </c>
      <c r="I2" s="1">
        <v>-0.78545558655985148</v>
      </c>
      <c r="J2" s="1">
        <v>2.6939366858547182</v>
      </c>
      <c r="K2" s="1">
        <v>-0.43746389410126613</v>
      </c>
      <c r="L2" s="1">
        <v>0.50994743710091728</v>
      </c>
      <c r="M2" s="1">
        <v>6</v>
      </c>
      <c r="N2" s="1">
        <v>0</v>
      </c>
      <c r="O2" s="1">
        <v>0</v>
      </c>
      <c r="P2" s="1">
        <v>0</v>
      </c>
      <c r="Q2" s="1" t="str">
        <f>IF(M2=6, $M$1, IF(N2=6, $N$1, IF(O2=6, $O$1, $P$1)))</f>
        <v>Expansion</v>
      </c>
      <c r="R2" s="2">
        <f>EOMONTH(A2, 0)</f>
        <v>34730</v>
      </c>
      <c r="S2" s="1" t="e">
        <f>VLOOKUP(R2,BB!$A$3:$C$62769, 2, 1)</f>
        <v>#N/A</v>
      </c>
      <c r="T2" s="1" t="e">
        <f>U2-S2</f>
        <v>#N/A</v>
      </c>
      <c r="U2" s="1" t="e">
        <f>VLOOKUP(R2,BB!$A$3:$D$6771, 4, 1)</f>
        <v>#N/A</v>
      </c>
      <c r="X2" s="1" t="s">
        <v>0</v>
      </c>
      <c r="Y2" s="1" t="s">
        <v>48</v>
      </c>
      <c r="Z2" s="1" t="s">
        <v>58</v>
      </c>
      <c r="AA2" s="1" t="s">
        <v>66</v>
      </c>
      <c r="AL2" s="1">
        <v>10</v>
      </c>
      <c r="AM2" s="1">
        <v>0</v>
      </c>
      <c r="AN2" s="1">
        <v>0</v>
      </c>
      <c r="AO2" s="1">
        <v>0</v>
      </c>
      <c r="AP2" s="1">
        <f>IF(AL2&gt;0, AL2-4, AL2)</f>
        <v>6</v>
      </c>
      <c r="AQ2" s="1">
        <f t="shared" ref="AQ2:AS2" si="0">IF(AM2&gt;0, AM2-4, AM2)</f>
        <v>0</v>
      </c>
      <c r="AR2" s="1">
        <f t="shared" si="0"/>
        <v>0</v>
      </c>
      <c r="AS2" s="1">
        <f t="shared" si="0"/>
        <v>0</v>
      </c>
    </row>
    <row r="3" spans="1:45" x14ac:dyDescent="0.2">
      <c r="A3" s="2">
        <v>34731</v>
      </c>
      <c r="B3" s="1">
        <v>0.80442134032396906</v>
      </c>
      <c r="C3" s="1">
        <v>0.42225691728261111</v>
      </c>
      <c r="D3" s="1">
        <v>-0.90063086086957511</v>
      </c>
      <c r="E3" s="1">
        <v>1.2713603881140194</v>
      </c>
      <c r="F3" s="1">
        <v>-0.38011299369260787</v>
      </c>
      <c r="G3" s="1">
        <v>0.63931712720090139</v>
      </c>
      <c r="H3" s="1">
        <v>1.5736704247590003</v>
      </c>
      <c r="I3" s="1">
        <v>-0.81182365069647078</v>
      </c>
      <c r="J3" s="1">
        <v>2.5928183020345377</v>
      </c>
      <c r="K3" s="1">
        <v>-0.30678380689386953</v>
      </c>
      <c r="L3" s="1">
        <v>0.49044931875625164</v>
      </c>
      <c r="M3" s="1">
        <v>6</v>
      </c>
      <c r="N3" s="1">
        <v>0</v>
      </c>
      <c r="O3" s="1">
        <v>0</v>
      </c>
      <c r="P3" s="1">
        <v>0</v>
      </c>
      <c r="Q3" s="1" t="str">
        <f t="shared" ref="Q3:Q66" si="1">IF(M3=6, $M$1, IF(N3=6, $N$1, IF(O3=6, $O$1, $P$1)))</f>
        <v>Expansion</v>
      </c>
      <c r="R3" s="2">
        <f t="shared" ref="R3:R66" si="2">EOMONTH(A3, 0)</f>
        <v>34758</v>
      </c>
      <c r="S3" s="1" t="e">
        <f>VLOOKUP(R3,BB!$A$3:$C$62769, 2, 1)</f>
        <v>#N/A</v>
      </c>
      <c r="T3" s="1" t="e">
        <f t="shared" ref="T3:T66" si="3">U3-S3</f>
        <v>#N/A</v>
      </c>
      <c r="U3" s="1" t="e">
        <f>VLOOKUP(R3,BB!$A$3:$D$6771, 4, 1)</f>
        <v>#N/A</v>
      </c>
      <c r="X3" s="1" t="s">
        <v>1</v>
      </c>
      <c r="Y3" s="1" t="s">
        <v>49</v>
      </c>
      <c r="Z3" s="1" t="s">
        <v>59</v>
      </c>
      <c r="AA3" s="1" t="s">
        <v>67</v>
      </c>
      <c r="AL3" s="1">
        <v>10</v>
      </c>
      <c r="AM3" s="1">
        <v>0</v>
      </c>
      <c r="AN3" s="1">
        <v>0</v>
      </c>
      <c r="AO3" s="1">
        <v>0</v>
      </c>
      <c r="AP3" s="1">
        <f t="shared" ref="AP3:AP66" si="4">IF(AL3&gt;0, AL3-4, AL3)</f>
        <v>6</v>
      </c>
      <c r="AQ3" s="1">
        <f t="shared" ref="AQ3:AQ66" si="5">IF(AM3&gt;0, AM3-4, AM3)</f>
        <v>0</v>
      </c>
      <c r="AR3" s="1">
        <f t="shared" ref="AR3:AR66" si="6">IF(AN3&gt;0, AN3-4, AN3)</f>
        <v>0</v>
      </c>
      <c r="AS3" s="1">
        <f t="shared" ref="AS3:AS66" si="7">IF(AO3&gt;0, AO3-4, AO3)</f>
        <v>0</v>
      </c>
    </row>
    <row r="4" spans="1:45" x14ac:dyDescent="0.2">
      <c r="A4" s="2">
        <v>34759</v>
      </c>
      <c r="B4" s="1">
        <v>0.65294006234764423</v>
      </c>
      <c r="C4" s="1">
        <v>0.46288152354684553</v>
      </c>
      <c r="D4" s="1">
        <v>-0.91551841725871452</v>
      </c>
      <c r="E4" s="1">
        <v>1.249502191998626</v>
      </c>
      <c r="F4" s="1">
        <v>0.23554294090733549</v>
      </c>
      <c r="G4" s="1">
        <v>1.0663092695163393E-2</v>
      </c>
      <c r="H4" s="1">
        <v>1.6381493736100163</v>
      </c>
      <c r="I4" s="1">
        <v>-0.87163526113729495</v>
      </c>
      <c r="J4" s="1">
        <v>2.500638681063128</v>
      </c>
      <c r="K4" s="1">
        <v>-0.37087341342105173</v>
      </c>
      <c r="L4" s="1">
        <v>0.45922907743516977</v>
      </c>
      <c r="M4" s="1">
        <v>6</v>
      </c>
      <c r="N4" s="1">
        <v>0</v>
      </c>
      <c r="O4" s="1">
        <v>0</v>
      </c>
      <c r="P4" s="1">
        <v>0</v>
      </c>
      <c r="Q4" s="1" t="str">
        <f t="shared" si="1"/>
        <v>Expansion</v>
      </c>
      <c r="R4" s="2">
        <f t="shared" si="2"/>
        <v>34789</v>
      </c>
      <c r="S4" s="1" t="e">
        <f>VLOOKUP(R4,BB!$A$3:$C$62769, 2, 1)</f>
        <v>#N/A</v>
      </c>
      <c r="T4" s="1" t="e">
        <f t="shared" si="3"/>
        <v>#N/A</v>
      </c>
      <c r="U4" s="1" t="e">
        <f>VLOOKUP(R4,BB!$A$3:$D$6771, 4, 1)</f>
        <v>#N/A</v>
      </c>
      <c r="Y4" s="1" t="s">
        <v>50</v>
      </c>
      <c r="Z4" s="1" t="s">
        <v>60</v>
      </c>
      <c r="AA4" s="1" t="s">
        <v>68</v>
      </c>
      <c r="AL4" s="1">
        <v>10</v>
      </c>
      <c r="AM4" s="1">
        <v>0</v>
      </c>
      <c r="AN4" s="1">
        <v>0</v>
      </c>
      <c r="AO4" s="1">
        <v>0</v>
      </c>
      <c r="AP4" s="1">
        <f t="shared" si="4"/>
        <v>6</v>
      </c>
      <c r="AQ4" s="1">
        <f t="shared" si="5"/>
        <v>0</v>
      </c>
      <c r="AR4" s="1">
        <f t="shared" si="6"/>
        <v>0</v>
      </c>
      <c r="AS4" s="1">
        <f t="shared" si="7"/>
        <v>0</v>
      </c>
    </row>
    <row r="5" spans="1:45" x14ac:dyDescent="0.2">
      <c r="A5" s="2">
        <v>34790</v>
      </c>
      <c r="B5" s="1">
        <v>0.53944603326557006</v>
      </c>
      <c r="C5" s="1">
        <v>0.6742296512038839</v>
      </c>
      <c r="D5" s="1">
        <v>-0.82866613697348179</v>
      </c>
      <c r="E5" s="1">
        <v>0.71865845748842594</v>
      </c>
      <c r="F5" s="1">
        <v>9.3332902956735186E-2</v>
      </c>
      <c r="G5" s="1">
        <v>-0.12095635483662709</v>
      </c>
      <c r="H5" s="1">
        <v>1.6475215383593489</v>
      </c>
      <c r="I5" s="1">
        <v>-0.85760607018695256</v>
      </c>
      <c r="J5" s="1">
        <v>2.4161033691722524</v>
      </c>
      <c r="K5" s="1">
        <v>-0.16679758622559601</v>
      </c>
      <c r="L5" s="1">
        <v>0.4115265804223559</v>
      </c>
      <c r="M5" s="1">
        <v>0</v>
      </c>
      <c r="N5" s="1">
        <v>6</v>
      </c>
      <c r="O5" s="1">
        <v>0</v>
      </c>
      <c r="P5" s="1">
        <v>0</v>
      </c>
      <c r="Q5" s="1" t="str">
        <f t="shared" si="1"/>
        <v>Downturn</v>
      </c>
      <c r="R5" s="2">
        <f t="shared" si="2"/>
        <v>34819</v>
      </c>
      <c r="S5" s="1" t="e">
        <f>VLOOKUP(R5,BB!$A$3:$C$62769, 2, 1)</f>
        <v>#N/A</v>
      </c>
      <c r="T5" s="1" t="e">
        <f t="shared" si="3"/>
        <v>#N/A</v>
      </c>
      <c r="U5" s="1" t="e">
        <f>VLOOKUP(R5,BB!$A$3:$D$6771, 4, 1)</f>
        <v>#N/A</v>
      </c>
      <c r="X5" s="1" t="s">
        <v>2</v>
      </c>
      <c r="Y5" s="1" t="s">
        <v>51</v>
      </c>
      <c r="Z5" s="1" t="s">
        <v>78</v>
      </c>
      <c r="AA5" s="1" t="s">
        <v>69</v>
      </c>
      <c r="AL5" s="1">
        <v>0</v>
      </c>
      <c r="AM5" s="1">
        <v>10</v>
      </c>
      <c r="AN5" s="1">
        <v>0</v>
      </c>
      <c r="AO5" s="1">
        <v>0</v>
      </c>
      <c r="AP5" s="1">
        <f t="shared" si="4"/>
        <v>0</v>
      </c>
      <c r="AQ5" s="1">
        <f t="shared" si="5"/>
        <v>6</v>
      </c>
      <c r="AR5" s="1">
        <f t="shared" si="6"/>
        <v>0</v>
      </c>
      <c r="AS5" s="1">
        <f t="shared" si="7"/>
        <v>0</v>
      </c>
    </row>
    <row r="6" spans="1:45" x14ac:dyDescent="0.2">
      <c r="A6" s="2">
        <v>34820</v>
      </c>
      <c r="B6" s="1">
        <v>0.32246194940465706</v>
      </c>
      <c r="C6" s="1">
        <v>0.54808719076219847</v>
      </c>
      <c r="D6" s="1">
        <v>-0.85134740699691347</v>
      </c>
      <c r="E6" s="1">
        <v>0.96128778057883235</v>
      </c>
      <c r="F6" s="1">
        <v>-0.12320847206142511</v>
      </c>
      <c r="G6" s="1">
        <v>-1.1235353917613218</v>
      </c>
      <c r="H6" s="1">
        <v>1.6706742304769491</v>
      </c>
      <c r="I6" s="1">
        <v>-0.877920896431725</v>
      </c>
      <c r="J6" s="1">
        <v>2.3381664090272483</v>
      </c>
      <c r="K6" s="1">
        <v>4.4444931118763166E-2</v>
      </c>
      <c r="L6" s="1">
        <v>0.29091103241172633</v>
      </c>
      <c r="M6" s="1">
        <v>0</v>
      </c>
      <c r="N6" s="1">
        <v>6</v>
      </c>
      <c r="O6" s="1">
        <v>0</v>
      </c>
      <c r="P6" s="1">
        <v>0</v>
      </c>
      <c r="Q6" s="1" t="str">
        <f t="shared" si="1"/>
        <v>Downturn</v>
      </c>
      <c r="R6" s="2">
        <f t="shared" si="2"/>
        <v>34850</v>
      </c>
      <c r="S6" s="1" t="e">
        <f>VLOOKUP(R6,BB!$A$3:$C$62769, 2, 1)</f>
        <v>#N/A</v>
      </c>
      <c r="T6" s="1" t="e">
        <f t="shared" si="3"/>
        <v>#N/A</v>
      </c>
      <c r="U6" s="1" t="e">
        <f>VLOOKUP(R6,BB!$A$3:$D$6771, 4, 1)</f>
        <v>#N/A</v>
      </c>
      <c r="X6" s="1" t="s">
        <v>3</v>
      </c>
      <c r="Y6" s="1" t="s">
        <v>52</v>
      </c>
      <c r="Z6" s="1" t="s">
        <v>61</v>
      </c>
      <c r="AA6" s="1" t="s">
        <v>70</v>
      </c>
      <c r="AL6" s="1">
        <v>0</v>
      </c>
      <c r="AM6" s="1">
        <v>10</v>
      </c>
      <c r="AN6" s="1">
        <v>0</v>
      </c>
      <c r="AO6" s="1">
        <v>0</v>
      </c>
      <c r="AP6" s="1">
        <f t="shared" si="4"/>
        <v>0</v>
      </c>
      <c r="AQ6" s="1">
        <f t="shared" si="5"/>
        <v>6</v>
      </c>
      <c r="AR6" s="1">
        <f t="shared" si="6"/>
        <v>0</v>
      </c>
      <c r="AS6" s="1">
        <f t="shared" si="7"/>
        <v>0</v>
      </c>
    </row>
    <row r="7" spans="1:45" x14ac:dyDescent="0.2">
      <c r="A7" s="2">
        <v>34851</v>
      </c>
      <c r="B7" s="1">
        <v>5.8591765410858622E-2</v>
      </c>
      <c r="C7" s="1">
        <v>0.18834138748227655</v>
      </c>
      <c r="D7" s="1">
        <v>-0.88841936512582409</v>
      </c>
      <c r="E7" s="1">
        <v>0.94538020567678316</v>
      </c>
      <c r="F7" s="1">
        <v>-0.22815815939919312</v>
      </c>
      <c r="G7" s="1">
        <v>-1.2879623408313428</v>
      </c>
      <c r="H7" s="1">
        <v>1.6688990771512588</v>
      </c>
      <c r="I7" s="1">
        <v>-0.99606547077328655</v>
      </c>
      <c r="J7" s="1">
        <v>2.2659721028416291</v>
      </c>
      <c r="K7" s="1">
        <v>6.0529311097440369E-3</v>
      </c>
      <c r="L7" s="1">
        <v>0.17326321335429037</v>
      </c>
      <c r="M7" s="1">
        <v>0</v>
      </c>
      <c r="N7" s="1">
        <v>6</v>
      </c>
      <c r="O7" s="1">
        <v>0</v>
      </c>
      <c r="P7" s="1">
        <v>0</v>
      </c>
      <c r="Q7" s="1" t="str">
        <f t="shared" si="1"/>
        <v>Downturn</v>
      </c>
      <c r="R7" s="2">
        <f t="shared" si="2"/>
        <v>34880</v>
      </c>
      <c r="S7" s="1" t="e">
        <f>VLOOKUP(R7,BB!$A$3:$C$62769, 2, 1)</f>
        <v>#N/A</v>
      </c>
      <c r="T7" s="1" t="e">
        <f t="shared" si="3"/>
        <v>#N/A</v>
      </c>
      <c r="U7" s="1" t="e">
        <f>VLOOKUP(R7,BB!$A$3:$D$6771, 4, 1)</f>
        <v>#N/A</v>
      </c>
      <c r="X7" s="1" t="s">
        <v>4</v>
      </c>
      <c r="Y7" s="1" t="s">
        <v>53</v>
      </c>
      <c r="Z7" s="1" t="s">
        <v>62</v>
      </c>
      <c r="AA7" s="1" t="s">
        <v>71</v>
      </c>
      <c r="AL7" s="1">
        <v>0</v>
      </c>
      <c r="AM7" s="1">
        <v>10</v>
      </c>
      <c r="AN7" s="1">
        <v>0</v>
      </c>
      <c r="AO7" s="1">
        <v>0</v>
      </c>
      <c r="AP7" s="1">
        <f t="shared" si="4"/>
        <v>0</v>
      </c>
      <c r="AQ7" s="1">
        <f t="shared" si="5"/>
        <v>6</v>
      </c>
      <c r="AR7" s="1">
        <f t="shared" si="6"/>
        <v>0</v>
      </c>
      <c r="AS7" s="1">
        <f t="shared" si="7"/>
        <v>0</v>
      </c>
    </row>
    <row r="8" spans="1:45" x14ac:dyDescent="0.2">
      <c r="A8" s="2">
        <v>34881</v>
      </c>
      <c r="B8" s="1">
        <v>-0.10444151091231395</v>
      </c>
      <c r="C8" s="1">
        <v>0.5216697057388936</v>
      </c>
      <c r="D8" s="1">
        <v>-0.66147255121672899</v>
      </c>
      <c r="E8" s="1">
        <v>0.80150087608944642</v>
      </c>
      <c r="F8" s="1">
        <v>-0.17464696706589419</v>
      </c>
      <c r="G8" s="1">
        <v>-0.28784723965225895</v>
      </c>
      <c r="H8" s="1">
        <v>1.6756072001734188</v>
      </c>
      <c r="I8" s="1">
        <v>-0.98432291574880904</v>
      </c>
      <c r="J8" s="1">
        <v>2.1988126410495106</v>
      </c>
      <c r="K8" s="1">
        <v>6.6419381589368567E-2</v>
      </c>
      <c r="L8" s="1">
        <v>0.30512786200446329</v>
      </c>
      <c r="M8" s="1">
        <v>0</v>
      </c>
      <c r="N8" s="1">
        <v>6</v>
      </c>
      <c r="O8" s="1">
        <v>0</v>
      </c>
      <c r="P8" s="1">
        <v>0</v>
      </c>
      <c r="Q8" s="1" t="str">
        <f t="shared" si="1"/>
        <v>Downturn</v>
      </c>
      <c r="R8" s="2">
        <f t="shared" si="2"/>
        <v>34911</v>
      </c>
      <c r="S8" s="1" t="e">
        <f>VLOOKUP(R8,BB!$A$3:$C$62769, 2, 1)</f>
        <v>#N/A</v>
      </c>
      <c r="T8" s="1" t="e">
        <f t="shared" si="3"/>
        <v>#N/A</v>
      </c>
      <c r="U8" s="1" t="e">
        <f>VLOOKUP(R8,BB!$A$3:$D$6771, 4, 1)</f>
        <v>#N/A</v>
      </c>
      <c r="X8" s="1" t="s">
        <v>5</v>
      </c>
      <c r="Y8" s="1" t="s">
        <v>54</v>
      </c>
      <c r="Z8" s="1" t="s">
        <v>77</v>
      </c>
      <c r="AA8" s="1" t="s">
        <v>80</v>
      </c>
      <c r="AL8" s="1">
        <v>0</v>
      </c>
      <c r="AM8" s="1">
        <v>10</v>
      </c>
      <c r="AN8" s="1">
        <v>0</v>
      </c>
      <c r="AO8" s="1">
        <v>0</v>
      </c>
      <c r="AP8" s="1">
        <f t="shared" si="4"/>
        <v>0</v>
      </c>
      <c r="AQ8" s="1">
        <f t="shared" si="5"/>
        <v>6</v>
      </c>
      <c r="AR8" s="1">
        <f t="shared" si="6"/>
        <v>0</v>
      </c>
      <c r="AS8" s="1">
        <f t="shared" si="7"/>
        <v>0</v>
      </c>
    </row>
    <row r="9" spans="1:45" x14ac:dyDescent="0.2">
      <c r="A9" s="2">
        <v>34912</v>
      </c>
      <c r="B9" s="1">
        <v>-5.8733314711728137E-2</v>
      </c>
      <c r="C9" s="1">
        <v>0.57114306258157477</v>
      </c>
      <c r="D9" s="1">
        <v>-0.82717822050842549</v>
      </c>
      <c r="E9" s="1">
        <v>0.78764564122731406</v>
      </c>
      <c r="F9" s="1">
        <v>-7.6285062946278903E-2</v>
      </c>
      <c r="G9" s="1">
        <v>-1.0397713693620381</v>
      </c>
      <c r="H9" s="1">
        <v>1.6519298162770879</v>
      </c>
      <c r="I9" s="1">
        <v>-0.97738962321841805</v>
      </c>
      <c r="J9" s="1">
        <v>2.1360967275124869</v>
      </c>
      <c r="K9" s="1">
        <v>4.9515608049880984E-2</v>
      </c>
      <c r="L9" s="1">
        <v>0.22169732649014556</v>
      </c>
      <c r="M9" s="1">
        <v>0</v>
      </c>
      <c r="N9" s="1">
        <v>6</v>
      </c>
      <c r="O9" s="1">
        <v>0</v>
      </c>
      <c r="P9" s="1">
        <v>0</v>
      </c>
      <c r="Q9" s="1" t="str">
        <f t="shared" si="1"/>
        <v>Downturn</v>
      </c>
      <c r="R9" s="2">
        <f t="shared" si="2"/>
        <v>34942</v>
      </c>
      <c r="S9" s="1" t="e">
        <f>VLOOKUP(R9,BB!$A$3:$C$62769, 2, 1)</f>
        <v>#N/A</v>
      </c>
      <c r="T9" s="1" t="e">
        <f t="shared" si="3"/>
        <v>#N/A</v>
      </c>
      <c r="U9" s="1" t="e">
        <f>VLOOKUP(R9,BB!$A$3:$D$6771, 4, 1)</f>
        <v>#N/A</v>
      </c>
      <c r="X9" s="1" t="s">
        <v>6</v>
      </c>
      <c r="Y9" s="1" t="s">
        <v>55</v>
      </c>
      <c r="Z9" s="1" t="s">
        <v>75</v>
      </c>
      <c r="AA9" s="1" t="s">
        <v>72</v>
      </c>
      <c r="AL9" s="1">
        <v>0</v>
      </c>
      <c r="AM9" s="1">
        <v>10</v>
      </c>
      <c r="AN9" s="1">
        <v>0</v>
      </c>
      <c r="AO9" s="1">
        <v>0</v>
      </c>
      <c r="AP9" s="1">
        <f t="shared" si="4"/>
        <v>0</v>
      </c>
      <c r="AQ9" s="1">
        <f t="shared" si="5"/>
        <v>6</v>
      </c>
      <c r="AR9" s="1">
        <f t="shared" si="6"/>
        <v>0</v>
      </c>
      <c r="AS9" s="1">
        <f t="shared" si="7"/>
        <v>0</v>
      </c>
    </row>
    <row r="10" spans="1:45" x14ac:dyDescent="0.2">
      <c r="A10" s="2">
        <v>34943</v>
      </c>
      <c r="B10" s="1">
        <v>-1.7066773715907819E-2</v>
      </c>
      <c r="C10" s="1">
        <v>0.32293422067811578</v>
      </c>
      <c r="D10" s="1">
        <v>-0.96314128337059779</v>
      </c>
      <c r="E10" s="1">
        <v>0.90357924492693931</v>
      </c>
      <c r="F10" s="1">
        <v>-9.5645603428138423E-2</v>
      </c>
      <c r="G10" s="1">
        <v>-0.83058926260021693</v>
      </c>
      <c r="H10" s="1">
        <v>1.6507286338394926</v>
      </c>
      <c r="I10" s="1">
        <v>-0.9463301683090245</v>
      </c>
      <c r="J10" s="1">
        <v>2.0773259790932368</v>
      </c>
      <c r="K10" s="1">
        <v>0.11586505426804887</v>
      </c>
      <c r="L10" s="1">
        <v>0.22176600413819481</v>
      </c>
      <c r="M10" s="1">
        <v>6</v>
      </c>
      <c r="N10" s="1">
        <v>0</v>
      </c>
      <c r="O10" s="1">
        <v>0</v>
      </c>
      <c r="P10" s="1">
        <v>0</v>
      </c>
      <c r="Q10" s="1" t="str">
        <f t="shared" si="1"/>
        <v>Expansion</v>
      </c>
      <c r="R10" s="2">
        <f t="shared" si="2"/>
        <v>34972</v>
      </c>
      <c r="S10" s="1" t="e">
        <f>VLOOKUP(R10,BB!$A$3:$C$62769, 2, 1)</f>
        <v>#N/A</v>
      </c>
      <c r="T10" s="1" t="e">
        <f t="shared" si="3"/>
        <v>#N/A</v>
      </c>
      <c r="U10" s="1" t="e">
        <f>VLOOKUP(R10,BB!$A$3:$D$6771, 4, 1)</f>
        <v>#N/A</v>
      </c>
      <c r="X10" s="1" t="s">
        <v>7</v>
      </c>
      <c r="Y10" s="1" t="s">
        <v>56</v>
      </c>
      <c r="Z10" s="1" t="s">
        <v>76</v>
      </c>
      <c r="AA10" s="1" t="s">
        <v>73</v>
      </c>
      <c r="AL10" s="1">
        <v>10</v>
      </c>
      <c r="AM10" s="1">
        <v>0</v>
      </c>
      <c r="AN10" s="1">
        <v>0</v>
      </c>
      <c r="AO10" s="1">
        <v>0</v>
      </c>
      <c r="AP10" s="1">
        <f t="shared" si="4"/>
        <v>6</v>
      </c>
      <c r="AQ10" s="1">
        <f t="shared" si="5"/>
        <v>0</v>
      </c>
      <c r="AR10" s="1">
        <f t="shared" si="6"/>
        <v>0</v>
      </c>
      <c r="AS10" s="1">
        <f t="shared" si="7"/>
        <v>0</v>
      </c>
    </row>
    <row r="11" spans="1:45" x14ac:dyDescent="0.2">
      <c r="A11" s="2">
        <v>34973</v>
      </c>
      <c r="B11" s="1">
        <v>2.5125310246108899E-2</v>
      </c>
      <c r="C11" s="1">
        <v>0.2738535107359904</v>
      </c>
      <c r="D11" s="1">
        <v>-0.83291705506906821</v>
      </c>
      <c r="E11" s="1">
        <v>1.0181976687189758</v>
      </c>
      <c r="F11" s="1">
        <v>-0.27775352047922691</v>
      </c>
      <c r="G11" s="1">
        <v>-1.1151613697864706</v>
      </c>
      <c r="H11" s="1">
        <v>1.6119399733397026</v>
      </c>
      <c r="I11" s="1">
        <v>-0.94920222297248091</v>
      </c>
      <c r="J11" s="1">
        <v>2.0220769201213624</v>
      </c>
      <c r="K11" s="1">
        <v>0.31289679051806019</v>
      </c>
      <c r="L11" s="1">
        <v>0.20890560053729534</v>
      </c>
      <c r="M11" s="1">
        <v>0</v>
      </c>
      <c r="N11" s="1">
        <v>6</v>
      </c>
      <c r="O11" s="1">
        <v>0</v>
      </c>
      <c r="P11" s="1">
        <v>0</v>
      </c>
      <c r="Q11" s="1" t="str">
        <f t="shared" si="1"/>
        <v>Downturn</v>
      </c>
      <c r="R11" s="2">
        <f t="shared" si="2"/>
        <v>35003</v>
      </c>
      <c r="S11" s="1" t="e">
        <f>VLOOKUP(R11,BB!$A$3:$C$62769, 2, 1)</f>
        <v>#N/A</v>
      </c>
      <c r="T11" s="1" t="e">
        <f t="shared" si="3"/>
        <v>#N/A</v>
      </c>
      <c r="U11" s="1" t="e">
        <f>VLOOKUP(R11,BB!$A$3:$D$6771, 4, 1)</f>
        <v>#N/A</v>
      </c>
      <c r="X11" s="1" t="s">
        <v>8</v>
      </c>
      <c r="Y11" s="1" t="s">
        <v>57</v>
      </c>
      <c r="Z11" s="1" t="s">
        <v>79</v>
      </c>
      <c r="AA11" s="1" t="s">
        <v>74</v>
      </c>
      <c r="AL11" s="1">
        <v>0</v>
      </c>
      <c r="AM11" s="1">
        <v>10</v>
      </c>
      <c r="AN11" s="1">
        <v>0</v>
      </c>
      <c r="AO11" s="1">
        <v>0</v>
      </c>
      <c r="AP11" s="1">
        <f t="shared" si="4"/>
        <v>0</v>
      </c>
      <c r="AQ11" s="1">
        <f t="shared" si="5"/>
        <v>6</v>
      </c>
      <c r="AR11" s="1">
        <f t="shared" si="6"/>
        <v>0</v>
      </c>
      <c r="AS11" s="1">
        <f t="shared" si="7"/>
        <v>0</v>
      </c>
    </row>
    <row r="12" spans="1:45" x14ac:dyDescent="0.2">
      <c r="A12" s="2">
        <v>35004</v>
      </c>
      <c r="B12" s="1">
        <v>-0.11393151529745914</v>
      </c>
      <c r="C12" s="1">
        <v>0.53083974919532506</v>
      </c>
      <c r="D12" s="1">
        <v>-0.83925782895699697</v>
      </c>
      <c r="E12" s="1">
        <v>0.87162402429564201</v>
      </c>
      <c r="F12" s="1">
        <v>-0.41267551778842304</v>
      </c>
      <c r="G12" s="1">
        <v>-1.2670181906383742</v>
      </c>
      <c r="H12" s="1">
        <v>1.6253494299484941</v>
      </c>
      <c r="I12" s="1">
        <v>-0.92179036394411717</v>
      </c>
      <c r="J12" s="1">
        <v>1.9699870683111105</v>
      </c>
      <c r="K12" s="1">
        <v>0.26355181941132444</v>
      </c>
      <c r="L12" s="1">
        <v>0.17066786745365253</v>
      </c>
      <c r="M12" s="1">
        <v>0</v>
      </c>
      <c r="N12" s="1">
        <v>6</v>
      </c>
      <c r="O12" s="1">
        <v>0</v>
      </c>
      <c r="P12" s="1">
        <v>0</v>
      </c>
      <c r="Q12" s="1" t="str">
        <f t="shared" si="1"/>
        <v>Downturn</v>
      </c>
      <c r="R12" s="2">
        <f t="shared" si="2"/>
        <v>35033</v>
      </c>
      <c r="S12" s="1" t="e">
        <f>VLOOKUP(R12,BB!$A$3:$C$62769, 2, 1)</f>
        <v>#N/A</v>
      </c>
      <c r="T12" s="1" t="e">
        <f t="shared" si="3"/>
        <v>#N/A</v>
      </c>
      <c r="U12" s="1" t="e">
        <f>VLOOKUP(R12,BB!$A$3:$D$6771, 4, 1)</f>
        <v>#N/A</v>
      </c>
      <c r="AL12" s="1">
        <v>0</v>
      </c>
      <c r="AM12" s="1">
        <v>10</v>
      </c>
      <c r="AN12" s="1">
        <v>0</v>
      </c>
      <c r="AO12" s="1">
        <v>0</v>
      </c>
      <c r="AP12" s="1">
        <f t="shared" si="4"/>
        <v>0</v>
      </c>
      <c r="AQ12" s="1">
        <f t="shared" si="5"/>
        <v>6</v>
      </c>
      <c r="AR12" s="1">
        <f t="shared" si="6"/>
        <v>0</v>
      </c>
      <c r="AS12" s="1">
        <f t="shared" si="7"/>
        <v>0</v>
      </c>
    </row>
    <row r="13" spans="1:45" x14ac:dyDescent="0.2">
      <c r="A13" s="2">
        <v>35034</v>
      </c>
      <c r="B13" s="1">
        <v>-0.16327595764718045</v>
      </c>
      <c r="C13" s="1">
        <v>0.41275249177710682</v>
      </c>
      <c r="D13" s="1">
        <v>-0.79592951483996888</v>
      </c>
      <c r="E13" s="1">
        <v>0.85706450967500702</v>
      </c>
      <c r="F13" s="1">
        <v>-0.56872066058199811</v>
      </c>
      <c r="G13" s="1">
        <v>-1.1869533197269695</v>
      </c>
      <c r="H13" s="1">
        <v>1.5568447489498738</v>
      </c>
      <c r="I13" s="1">
        <v>-0.9061962832396564</v>
      </c>
      <c r="J13" s="1">
        <v>1.9207440564649436</v>
      </c>
      <c r="K13" s="1">
        <v>0.27304758947868973</v>
      </c>
      <c r="L13" s="1">
        <v>0.13993776603098476</v>
      </c>
      <c r="M13" s="1">
        <v>0</v>
      </c>
      <c r="N13" s="1">
        <v>6</v>
      </c>
      <c r="O13" s="1">
        <v>0</v>
      </c>
      <c r="P13" s="1">
        <v>0</v>
      </c>
      <c r="Q13" s="1" t="str">
        <f t="shared" si="1"/>
        <v>Downturn</v>
      </c>
      <c r="R13" s="2">
        <f t="shared" si="2"/>
        <v>35064</v>
      </c>
      <c r="S13" s="1" t="e">
        <f>VLOOKUP(R13,BB!$A$3:$C$62769, 2, 1)</f>
        <v>#N/A</v>
      </c>
      <c r="T13" s="1" t="e">
        <f t="shared" si="3"/>
        <v>#N/A</v>
      </c>
      <c r="U13" s="1" t="e">
        <f>VLOOKUP(R13,BB!$A$3:$D$6771, 4, 1)</f>
        <v>#N/A</v>
      </c>
      <c r="AL13" s="1">
        <v>0</v>
      </c>
      <c r="AM13" s="1">
        <v>10</v>
      </c>
      <c r="AN13" s="1">
        <v>0</v>
      </c>
      <c r="AO13" s="1">
        <v>0</v>
      </c>
      <c r="AP13" s="1">
        <f t="shared" si="4"/>
        <v>0</v>
      </c>
      <c r="AQ13" s="1">
        <f t="shared" si="5"/>
        <v>6</v>
      </c>
      <c r="AR13" s="1">
        <f t="shared" si="6"/>
        <v>0</v>
      </c>
      <c r="AS13" s="1">
        <f t="shared" si="7"/>
        <v>0</v>
      </c>
    </row>
    <row r="14" spans="1:45" x14ac:dyDescent="0.2">
      <c r="A14" s="2">
        <v>35065</v>
      </c>
      <c r="B14" s="1">
        <v>-0.15218975869021925</v>
      </c>
      <c r="C14" s="1">
        <v>-0.11114848586621051</v>
      </c>
      <c r="D14" s="1">
        <v>-0.45838884023301985</v>
      </c>
      <c r="E14" s="1">
        <v>0.84268096820062133</v>
      </c>
      <c r="F14" s="1">
        <v>-0.58448328813542927</v>
      </c>
      <c r="G14" s="1">
        <v>-1.31496969232667</v>
      </c>
      <c r="H14" s="1">
        <v>1.5074279468383089</v>
      </c>
      <c r="I14" s="1">
        <v>-0.85325916020148662</v>
      </c>
      <c r="J14" s="1">
        <v>2.4210074994617297</v>
      </c>
      <c r="K14" s="1">
        <v>0.24102360587188132</v>
      </c>
      <c r="L14" s="1">
        <v>0.1537700794919506</v>
      </c>
      <c r="M14" s="1">
        <v>0</v>
      </c>
      <c r="N14" s="1">
        <v>6</v>
      </c>
      <c r="O14" s="1">
        <v>0</v>
      </c>
      <c r="P14" s="1">
        <v>0</v>
      </c>
      <c r="Q14" s="1" t="str">
        <f t="shared" si="1"/>
        <v>Downturn</v>
      </c>
      <c r="R14" s="2">
        <f t="shared" si="2"/>
        <v>35095</v>
      </c>
      <c r="S14" s="1" t="e">
        <f>VLOOKUP(R14,BB!$A$3:$C$62769, 2, 1)</f>
        <v>#N/A</v>
      </c>
      <c r="T14" s="1" t="e">
        <f t="shared" si="3"/>
        <v>#N/A</v>
      </c>
      <c r="U14" s="1" t="e">
        <f>VLOOKUP(R14,BB!$A$3:$D$6771, 4, 1)</f>
        <v>#N/A</v>
      </c>
      <c r="AL14" s="1">
        <v>0</v>
      </c>
      <c r="AM14" s="1">
        <v>10</v>
      </c>
      <c r="AN14" s="1">
        <v>0</v>
      </c>
      <c r="AO14" s="1">
        <v>0</v>
      </c>
      <c r="AP14" s="1">
        <f t="shared" si="4"/>
        <v>0</v>
      </c>
      <c r="AQ14" s="1">
        <f t="shared" si="5"/>
        <v>6</v>
      </c>
      <c r="AR14" s="1">
        <f t="shared" si="6"/>
        <v>0</v>
      </c>
      <c r="AS14" s="1">
        <f t="shared" si="7"/>
        <v>0</v>
      </c>
    </row>
    <row r="15" spans="1:45" x14ac:dyDescent="0.2">
      <c r="A15" s="2">
        <v>35096</v>
      </c>
      <c r="B15" s="1">
        <v>-0.20373571199156998</v>
      </c>
      <c r="C15" s="1">
        <v>0.35767681576367982</v>
      </c>
      <c r="D15" s="1">
        <v>-0.42881936813928834</v>
      </c>
      <c r="E15" s="1">
        <v>0.9593394902461605</v>
      </c>
      <c r="F15" s="1">
        <v>-0.50898381053984665</v>
      </c>
      <c r="G15" s="1">
        <v>-1.2154373138467094</v>
      </c>
      <c r="H15" s="1">
        <v>1.4379982707412766</v>
      </c>
      <c r="I15" s="1">
        <v>-0.81434602483745611</v>
      </c>
      <c r="J15" s="1">
        <v>2.3432236565331537</v>
      </c>
      <c r="K15" s="1">
        <v>0.28902451597559192</v>
      </c>
      <c r="L15" s="1">
        <v>0.22159405199049917</v>
      </c>
      <c r="M15" s="1">
        <v>6</v>
      </c>
      <c r="N15" s="1">
        <v>0</v>
      </c>
      <c r="O15" s="1">
        <v>0</v>
      </c>
      <c r="P15" s="1">
        <v>0</v>
      </c>
      <c r="Q15" s="1" t="str">
        <f t="shared" si="1"/>
        <v>Expansion</v>
      </c>
      <c r="R15" s="2">
        <f t="shared" si="2"/>
        <v>35124</v>
      </c>
      <c r="S15" s="1" t="e">
        <f>VLOOKUP(R15,BB!$A$3:$C$62769, 2, 1)</f>
        <v>#N/A</v>
      </c>
      <c r="T15" s="1" t="e">
        <f t="shared" si="3"/>
        <v>#N/A</v>
      </c>
      <c r="U15" s="1" t="e">
        <f>VLOOKUP(R15,BB!$A$3:$D$6771, 4, 1)</f>
        <v>#N/A</v>
      </c>
      <c r="AL15" s="1">
        <v>10</v>
      </c>
      <c r="AM15" s="1">
        <v>0</v>
      </c>
      <c r="AN15" s="1">
        <v>0</v>
      </c>
      <c r="AO15" s="1">
        <v>0</v>
      </c>
      <c r="AP15" s="1">
        <f t="shared" si="4"/>
        <v>6</v>
      </c>
      <c r="AQ15" s="1">
        <f t="shared" si="5"/>
        <v>0</v>
      </c>
      <c r="AR15" s="1">
        <f t="shared" si="6"/>
        <v>0</v>
      </c>
      <c r="AS15" s="1">
        <f t="shared" si="7"/>
        <v>0</v>
      </c>
    </row>
    <row r="16" spans="1:45" x14ac:dyDescent="0.2">
      <c r="A16" s="2">
        <v>35125</v>
      </c>
      <c r="B16" s="1">
        <v>-0.31089579549387814</v>
      </c>
      <c r="C16" s="1">
        <v>0.37616699148787192</v>
      </c>
      <c r="D16" s="1">
        <v>-0.58163190889493566</v>
      </c>
      <c r="E16" s="1">
        <v>0.94363443091737875</v>
      </c>
      <c r="F16" s="1">
        <v>-0.32013878965182446</v>
      </c>
      <c r="G16" s="1">
        <v>-0.99913088414942086</v>
      </c>
      <c r="H16" s="1">
        <v>1.3796673399090176</v>
      </c>
      <c r="I16" s="1">
        <v>-0.79192178043278538</v>
      </c>
      <c r="J16" s="1">
        <v>2.2711623163635335</v>
      </c>
      <c r="K16" s="1">
        <v>0.31895680252214836</v>
      </c>
      <c r="L16" s="1">
        <v>0.22858687225771054</v>
      </c>
      <c r="M16" s="1">
        <v>6</v>
      </c>
      <c r="N16" s="1">
        <v>0</v>
      </c>
      <c r="O16" s="1">
        <v>0</v>
      </c>
      <c r="P16" s="1">
        <v>0</v>
      </c>
      <c r="Q16" s="1" t="str">
        <f t="shared" si="1"/>
        <v>Expansion</v>
      </c>
      <c r="R16" s="2">
        <f t="shared" si="2"/>
        <v>35155</v>
      </c>
      <c r="S16" s="1" t="e">
        <f>VLOOKUP(R16,BB!$A$3:$C$62769, 2, 1)</f>
        <v>#N/A</v>
      </c>
      <c r="T16" s="1" t="e">
        <f t="shared" si="3"/>
        <v>#N/A</v>
      </c>
      <c r="U16" s="1" t="e">
        <f>VLOOKUP(R16,BB!$A$3:$D$6771, 4, 1)</f>
        <v>#N/A</v>
      </c>
      <c r="AL16" s="1">
        <v>10</v>
      </c>
      <c r="AM16" s="1">
        <v>0</v>
      </c>
      <c r="AN16" s="1">
        <v>0</v>
      </c>
      <c r="AO16" s="1">
        <v>0</v>
      </c>
      <c r="AP16" s="1">
        <f t="shared" si="4"/>
        <v>6</v>
      </c>
      <c r="AQ16" s="1">
        <f t="shared" si="5"/>
        <v>0</v>
      </c>
      <c r="AR16" s="1">
        <f t="shared" si="6"/>
        <v>0</v>
      </c>
      <c r="AS16" s="1">
        <f t="shared" si="7"/>
        <v>0</v>
      </c>
    </row>
    <row r="17" spans="1:45" x14ac:dyDescent="0.2">
      <c r="A17" s="2">
        <v>35156</v>
      </c>
      <c r="B17" s="1">
        <v>-0.37595257251801556</v>
      </c>
      <c r="C17" s="1">
        <v>0.68476962182424495</v>
      </c>
      <c r="D17" s="1">
        <v>-0.51012770825049847</v>
      </c>
      <c r="E17" s="1">
        <v>0.79759275719562739</v>
      </c>
      <c r="F17" s="1">
        <v>-8.7765116753645414E-2</v>
      </c>
      <c r="G17" s="1">
        <v>-0.50896062778765261</v>
      </c>
      <c r="H17" s="1">
        <v>1.3180377531347276</v>
      </c>
      <c r="I17" s="1">
        <v>-0.75053319940884367</v>
      </c>
      <c r="J17" s="1">
        <v>2.2041198505470048</v>
      </c>
      <c r="K17" s="1">
        <v>0.26629131458999961</v>
      </c>
      <c r="L17" s="1">
        <v>0.30374720725729487</v>
      </c>
      <c r="M17" s="1">
        <v>0</v>
      </c>
      <c r="N17" s="1">
        <v>6</v>
      </c>
      <c r="O17" s="1">
        <v>0</v>
      </c>
      <c r="P17" s="1">
        <v>0</v>
      </c>
      <c r="Q17" s="1" t="str">
        <f t="shared" si="1"/>
        <v>Downturn</v>
      </c>
      <c r="R17" s="2">
        <f t="shared" si="2"/>
        <v>35185</v>
      </c>
      <c r="S17" s="1" t="e">
        <f>VLOOKUP(R17,BB!$A$3:$C$62769, 2, 1)</f>
        <v>#N/A</v>
      </c>
      <c r="T17" s="1" t="e">
        <f t="shared" si="3"/>
        <v>#N/A</v>
      </c>
      <c r="U17" s="1" t="e">
        <f>VLOOKUP(R17,BB!$A$3:$D$6771, 4, 1)</f>
        <v>#N/A</v>
      </c>
      <c r="AL17" s="1">
        <v>0</v>
      </c>
      <c r="AM17" s="1">
        <v>10</v>
      </c>
      <c r="AN17" s="1">
        <v>0</v>
      </c>
      <c r="AO17" s="1">
        <v>0</v>
      </c>
      <c r="AP17" s="1">
        <f t="shared" si="4"/>
        <v>0</v>
      </c>
      <c r="AQ17" s="1">
        <f t="shared" si="5"/>
        <v>6</v>
      </c>
      <c r="AR17" s="1">
        <f t="shared" si="6"/>
        <v>0</v>
      </c>
      <c r="AS17" s="1">
        <f t="shared" si="7"/>
        <v>0</v>
      </c>
    </row>
    <row r="18" spans="1:45" x14ac:dyDescent="0.2">
      <c r="A18" s="2">
        <v>35186</v>
      </c>
      <c r="B18" s="1">
        <v>-7.5981255777069379E-2</v>
      </c>
      <c r="C18" s="1">
        <v>0.61915937423125156</v>
      </c>
      <c r="D18" s="1">
        <v>-0.5154124648809324</v>
      </c>
      <c r="E18" s="1">
        <v>0.78372406109008785</v>
      </c>
      <c r="F18" s="1">
        <v>9.7101713783376314E-2</v>
      </c>
      <c r="G18" s="1">
        <v>-0.5480670535958474</v>
      </c>
      <c r="H18" s="1">
        <v>1.2147803479601449</v>
      </c>
      <c r="I18" s="1">
        <v>-0.73978637019963212</v>
      </c>
      <c r="J18" s="1">
        <v>2.14150821536832</v>
      </c>
      <c r="K18" s="1">
        <v>0.15919009258349451</v>
      </c>
      <c r="L18" s="1">
        <v>0.31362166605631936</v>
      </c>
      <c r="M18" s="1">
        <v>0</v>
      </c>
      <c r="N18" s="1">
        <v>6</v>
      </c>
      <c r="O18" s="1">
        <v>0</v>
      </c>
      <c r="P18" s="1">
        <v>0</v>
      </c>
      <c r="Q18" s="1" t="str">
        <f t="shared" si="1"/>
        <v>Downturn</v>
      </c>
      <c r="R18" s="2">
        <f t="shared" si="2"/>
        <v>35216</v>
      </c>
      <c r="S18" s="1" t="e">
        <f>VLOOKUP(R18,BB!$A$3:$C$62769, 2, 1)</f>
        <v>#N/A</v>
      </c>
      <c r="T18" s="1" t="e">
        <f t="shared" si="3"/>
        <v>#N/A</v>
      </c>
      <c r="U18" s="1" t="e">
        <f>VLOOKUP(R18,BB!$A$3:$D$6771, 4, 1)</f>
        <v>#N/A</v>
      </c>
      <c r="AL18" s="1">
        <v>0</v>
      </c>
      <c r="AM18" s="1">
        <v>10</v>
      </c>
      <c r="AN18" s="1">
        <v>0</v>
      </c>
      <c r="AO18" s="1">
        <v>0</v>
      </c>
      <c r="AP18" s="1">
        <f t="shared" si="4"/>
        <v>0</v>
      </c>
      <c r="AQ18" s="1">
        <f t="shared" si="5"/>
        <v>6</v>
      </c>
      <c r="AR18" s="1">
        <f t="shared" si="6"/>
        <v>0</v>
      </c>
      <c r="AS18" s="1">
        <f t="shared" si="7"/>
        <v>0</v>
      </c>
    </row>
    <row r="19" spans="1:45" x14ac:dyDescent="0.2">
      <c r="A19" s="2">
        <v>35217</v>
      </c>
      <c r="B19" s="1">
        <v>0.22602201305701505</v>
      </c>
      <c r="C19" s="1">
        <v>0.45295121993000198</v>
      </c>
      <c r="D19" s="1">
        <v>-0.52979571673315229</v>
      </c>
      <c r="E19" s="1">
        <v>1.1648245347267354</v>
      </c>
      <c r="F19" s="1">
        <v>0.28027513144458149</v>
      </c>
      <c r="G19" s="1">
        <v>0.3572611564516725</v>
      </c>
      <c r="H19" s="1">
        <v>1.1431505331490048</v>
      </c>
      <c r="I19" s="1">
        <v>-0.60066223944480457</v>
      </c>
      <c r="J19" s="1">
        <v>2.0828315875196983</v>
      </c>
      <c r="K19" s="1">
        <v>0.15264428319362952</v>
      </c>
      <c r="L19" s="1">
        <v>0.47295025032943833</v>
      </c>
      <c r="M19" s="1">
        <v>6</v>
      </c>
      <c r="N19" s="1">
        <v>0</v>
      </c>
      <c r="O19" s="1">
        <v>0</v>
      </c>
      <c r="P19" s="1">
        <v>0</v>
      </c>
      <c r="Q19" s="1" t="str">
        <f t="shared" si="1"/>
        <v>Expansion</v>
      </c>
      <c r="R19" s="2">
        <f t="shared" si="2"/>
        <v>35246</v>
      </c>
      <c r="S19" s="1" t="e">
        <f>VLOOKUP(R19,BB!$A$3:$C$62769, 2, 1)</f>
        <v>#N/A</v>
      </c>
      <c r="T19" s="1" t="e">
        <f t="shared" si="3"/>
        <v>#N/A</v>
      </c>
      <c r="U19" s="1" t="e">
        <f>VLOOKUP(R19,BB!$A$3:$D$6771, 4, 1)</f>
        <v>#N/A</v>
      </c>
      <c r="AL19" s="1">
        <v>10</v>
      </c>
      <c r="AM19" s="1">
        <v>0</v>
      </c>
      <c r="AN19" s="1">
        <v>0</v>
      </c>
      <c r="AO19" s="1">
        <v>0</v>
      </c>
      <c r="AP19" s="1">
        <f t="shared" si="4"/>
        <v>6</v>
      </c>
      <c r="AQ19" s="1">
        <f t="shared" si="5"/>
        <v>0</v>
      </c>
      <c r="AR19" s="1">
        <f t="shared" si="6"/>
        <v>0</v>
      </c>
      <c r="AS19" s="1">
        <f t="shared" si="7"/>
        <v>0</v>
      </c>
    </row>
    <row r="20" spans="1:45" x14ac:dyDescent="0.2">
      <c r="A20" s="2">
        <v>35247</v>
      </c>
      <c r="B20" s="1">
        <v>0.42657132454083435</v>
      </c>
      <c r="C20" s="1">
        <v>0.78659489726495779</v>
      </c>
      <c r="D20" s="1">
        <v>-0.56876928021185946</v>
      </c>
      <c r="E20" s="1">
        <v>0.88252944618000695</v>
      </c>
      <c r="F20" s="1">
        <v>0.32435521783693017</v>
      </c>
      <c r="G20" s="1">
        <v>-0.42581985999901628</v>
      </c>
      <c r="H20" s="1">
        <v>1.0976264896902943</v>
      </c>
      <c r="I20" s="1">
        <v>-0.60152947092380327</v>
      </c>
      <c r="J20" s="1">
        <v>2.0276685279134443</v>
      </c>
      <c r="K20" s="1">
        <v>0.20545257955357935</v>
      </c>
      <c r="L20" s="1">
        <v>0.41546798718453681</v>
      </c>
      <c r="M20" s="1">
        <v>0</v>
      </c>
      <c r="N20" s="1">
        <v>6</v>
      </c>
      <c r="O20" s="1">
        <v>0</v>
      </c>
      <c r="P20" s="1">
        <v>0</v>
      </c>
      <c r="Q20" s="1" t="str">
        <f t="shared" si="1"/>
        <v>Downturn</v>
      </c>
      <c r="R20" s="2">
        <f t="shared" si="2"/>
        <v>35277</v>
      </c>
      <c r="S20" s="1" t="e">
        <f>VLOOKUP(R20,BB!$A$3:$C$62769, 2, 1)</f>
        <v>#N/A</v>
      </c>
      <c r="T20" s="1" t="e">
        <f t="shared" si="3"/>
        <v>#N/A</v>
      </c>
      <c r="U20" s="1" t="e">
        <f>VLOOKUP(R20,BB!$A$3:$D$6771, 4, 1)</f>
        <v>#N/A</v>
      </c>
      <c r="AL20" s="1">
        <v>0</v>
      </c>
      <c r="AM20" s="1">
        <v>10</v>
      </c>
      <c r="AN20" s="1">
        <v>0</v>
      </c>
      <c r="AO20" s="1">
        <v>0</v>
      </c>
      <c r="AP20" s="1">
        <f t="shared" si="4"/>
        <v>0</v>
      </c>
      <c r="AQ20" s="1">
        <f t="shared" si="5"/>
        <v>6</v>
      </c>
      <c r="AR20" s="1">
        <f t="shared" si="6"/>
        <v>0</v>
      </c>
      <c r="AS20" s="1">
        <f t="shared" si="7"/>
        <v>0</v>
      </c>
    </row>
    <row r="21" spans="1:45" x14ac:dyDescent="0.2">
      <c r="A21" s="2">
        <v>35278</v>
      </c>
      <c r="B21" s="1">
        <v>0.55376045608602109</v>
      </c>
      <c r="C21" s="1">
        <v>1.0223840870359464</v>
      </c>
      <c r="D21" s="1">
        <v>-0.52609587985769102</v>
      </c>
      <c r="E21" s="1">
        <v>1.3962516172444557</v>
      </c>
      <c r="F21" s="1">
        <v>0.27626875340888629</v>
      </c>
      <c r="G21" s="1">
        <v>-4.9780319029030448E-2</v>
      </c>
      <c r="H21" s="1">
        <v>1.0583457843202735</v>
      </c>
      <c r="I21" s="1">
        <v>-0.56336803991501361</v>
      </c>
      <c r="J21" s="1">
        <v>1.9756581908893074</v>
      </c>
      <c r="K21" s="1">
        <v>0.18428631742623422</v>
      </c>
      <c r="L21" s="1">
        <v>0.53277109676093892</v>
      </c>
      <c r="M21" s="1">
        <v>6</v>
      </c>
      <c r="N21" s="1">
        <v>0</v>
      </c>
      <c r="O21" s="1">
        <v>0</v>
      </c>
      <c r="P21" s="1">
        <v>0</v>
      </c>
      <c r="Q21" s="1" t="str">
        <f t="shared" si="1"/>
        <v>Expansion</v>
      </c>
      <c r="R21" s="2">
        <f t="shared" si="2"/>
        <v>35308</v>
      </c>
      <c r="S21" s="1" t="e">
        <f>VLOOKUP(R21,BB!$A$3:$C$62769, 2, 1)</f>
        <v>#N/A</v>
      </c>
      <c r="T21" s="1" t="e">
        <f t="shared" si="3"/>
        <v>#N/A</v>
      </c>
      <c r="U21" s="1" t="e">
        <f>VLOOKUP(R21,BB!$A$3:$D$6771, 4, 1)</f>
        <v>#N/A</v>
      </c>
      <c r="AL21" s="1">
        <v>10</v>
      </c>
      <c r="AM21" s="1">
        <v>0</v>
      </c>
      <c r="AN21" s="1">
        <v>0</v>
      </c>
      <c r="AO21" s="1">
        <v>0</v>
      </c>
      <c r="AP21" s="1">
        <f t="shared" si="4"/>
        <v>6</v>
      </c>
      <c r="AQ21" s="1">
        <f t="shared" si="5"/>
        <v>0</v>
      </c>
      <c r="AR21" s="1">
        <f t="shared" si="6"/>
        <v>0</v>
      </c>
      <c r="AS21" s="1">
        <f t="shared" si="7"/>
        <v>0</v>
      </c>
    </row>
    <row r="22" spans="1:45" x14ac:dyDescent="0.2">
      <c r="A22" s="2">
        <v>35309</v>
      </c>
      <c r="B22" s="1">
        <v>0.58670207267804309</v>
      </c>
      <c r="C22" s="1">
        <v>1.0002267064230781</v>
      </c>
      <c r="D22" s="1">
        <v>-0.52644548310119832</v>
      </c>
      <c r="E22" s="1">
        <v>1.2394204318938602</v>
      </c>
      <c r="F22" s="1">
        <v>0.20580606425399522</v>
      </c>
      <c r="G22" s="1">
        <v>-0.14802170333220704</v>
      </c>
      <c r="H22" s="1">
        <v>0.95399875468499729</v>
      </c>
      <c r="I22" s="1">
        <v>-0.5350556565393948</v>
      </c>
      <c r="J22" s="1">
        <v>1.9264895369161186</v>
      </c>
      <c r="K22" s="1">
        <v>0.27329519138191732</v>
      </c>
      <c r="L22" s="1">
        <v>0.49764159152592102</v>
      </c>
      <c r="M22" s="1">
        <v>6</v>
      </c>
      <c r="N22" s="1">
        <v>0</v>
      </c>
      <c r="O22" s="1">
        <v>0</v>
      </c>
      <c r="P22" s="1">
        <v>0</v>
      </c>
      <c r="Q22" s="1" t="str">
        <f t="shared" si="1"/>
        <v>Expansion</v>
      </c>
      <c r="R22" s="2">
        <f t="shared" si="2"/>
        <v>35338</v>
      </c>
      <c r="S22" s="1" t="e">
        <f>VLOOKUP(R22,BB!$A$3:$C$62769, 2, 1)</f>
        <v>#N/A</v>
      </c>
      <c r="T22" s="1" t="e">
        <f t="shared" si="3"/>
        <v>#N/A</v>
      </c>
      <c r="U22" s="1" t="e">
        <f>VLOOKUP(R22,BB!$A$3:$D$6771, 4, 1)</f>
        <v>#N/A</v>
      </c>
      <c r="AL22" s="1">
        <v>10</v>
      </c>
      <c r="AM22" s="1">
        <v>0</v>
      </c>
      <c r="AN22" s="1">
        <v>0</v>
      </c>
      <c r="AO22" s="1">
        <v>0</v>
      </c>
      <c r="AP22" s="1">
        <f t="shared" si="4"/>
        <v>6</v>
      </c>
      <c r="AQ22" s="1">
        <f t="shared" si="5"/>
        <v>0</v>
      </c>
      <c r="AR22" s="1">
        <f t="shared" si="6"/>
        <v>0</v>
      </c>
      <c r="AS22" s="1">
        <f t="shared" si="7"/>
        <v>0</v>
      </c>
    </row>
    <row r="23" spans="1:45" x14ac:dyDescent="0.2">
      <c r="A23" s="2">
        <v>35339</v>
      </c>
      <c r="B23" s="1">
        <v>0.55577307958269595</v>
      </c>
      <c r="C23" s="1">
        <v>0.77196010212172372</v>
      </c>
      <c r="D23" s="1">
        <v>-0.52440832575209184</v>
      </c>
      <c r="E23" s="1">
        <v>1.2185869324137919</v>
      </c>
      <c r="F23" s="1">
        <v>0.22726145808332043</v>
      </c>
      <c r="G23" s="1">
        <v>-0.32566891648187785</v>
      </c>
      <c r="H23" s="1">
        <v>0.83723183001504387</v>
      </c>
      <c r="I23" s="1">
        <v>-0.49886421694995403</v>
      </c>
      <c r="J23" s="1">
        <v>1.8798928048006094</v>
      </c>
      <c r="K23" s="1">
        <v>0.12904616351567683</v>
      </c>
      <c r="L23" s="1">
        <v>0.42708109113489384</v>
      </c>
      <c r="M23" s="1">
        <v>0</v>
      </c>
      <c r="N23" s="1">
        <v>6</v>
      </c>
      <c r="O23" s="1">
        <v>0</v>
      </c>
      <c r="P23" s="1">
        <v>0</v>
      </c>
      <c r="Q23" s="1" t="str">
        <f t="shared" si="1"/>
        <v>Downturn</v>
      </c>
      <c r="R23" s="2">
        <f t="shared" si="2"/>
        <v>35369</v>
      </c>
      <c r="S23" s="1" t="e">
        <f>VLOOKUP(R23,BB!$A$3:$C$62769, 2, 1)</f>
        <v>#N/A</v>
      </c>
      <c r="T23" s="1" t="e">
        <f t="shared" si="3"/>
        <v>#N/A</v>
      </c>
      <c r="U23" s="1" t="e">
        <f>VLOOKUP(R23,BB!$A$3:$D$6771, 4, 1)</f>
        <v>#N/A</v>
      </c>
      <c r="AL23" s="1">
        <v>0</v>
      </c>
      <c r="AM23" s="1">
        <v>10</v>
      </c>
      <c r="AN23" s="1">
        <v>0</v>
      </c>
      <c r="AO23" s="1">
        <v>0</v>
      </c>
      <c r="AP23" s="1">
        <f t="shared" si="4"/>
        <v>0</v>
      </c>
      <c r="AQ23" s="1">
        <f t="shared" si="5"/>
        <v>6</v>
      </c>
      <c r="AR23" s="1">
        <f t="shared" si="6"/>
        <v>0</v>
      </c>
      <c r="AS23" s="1">
        <f t="shared" si="7"/>
        <v>0</v>
      </c>
    </row>
    <row r="24" spans="1:45" x14ac:dyDescent="0.2">
      <c r="A24" s="2">
        <v>35370</v>
      </c>
      <c r="B24" s="1">
        <v>0.48824162636745749</v>
      </c>
      <c r="C24" s="1">
        <v>0.86676365164237801</v>
      </c>
      <c r="D24" s="1">
        <v>-0.71224889262239044</v>
      </c>
      <c r="E24" s="1">
        <v>0.9353883941617076</v>
      </c>
      <c r="F24" s="1">
        <v>0.29301062384878651</v>
      </c>
      <c r="G24" s="1">
        <v>0.17542202280270963</v>
      </c>
      <c r="H24" s="1">
        <v>0.68923853624521814</v>
      </c>
      <c r="I24" s="1">
        <v>-0.47497035595416409</v>
      </c>
      <c r="J24" s="1">
        <v>1.8356327043149254</v>
      </c>
      <c r="K24" s="1">
        <v>0.35750052973310231</v>
      </c>
      <c r="L24" s="1">
        <v>0.44539788405397307</v>
      </c>
      <c r="M24" s="1">
        <v>0</v>
      </c>
      <c r="N24" s="1">
        <v>6</v>
      </c>
      <c r="O24" s="1">
        <v>0</v>
      </c>
      <c r="P24" s="1">
        <v>0</v>
      </c>
      <c r="Q24" s="1" t="str">
        <f t="shared" si="1"/>
        <v>Downturn</v>
      </c>
      <c r="R24" s="2">
        <f t="shared" si="2"/>
        <v>35399</v>
      </c>
      <c r="S24" s="1" t="e">
        <f>VLOOKUP(R24,BB!$A$3:$C$62769, 2, 1)</f>
        <v>#N/A</v>
      </c>
      <c r="T24" s="1" t="e">
        <f t="shared" si="3"/>
        <v>#N/A</v>
      </c>
      <c r="U24" s="1" t="e">
        <f>VLOOKUP(R24,BB!$A$3:$D$6771, 4, 1)</f>
        <v>#N/A</v>
      </c>
      <c r="AL24" s="1">
        <v>0</v>
      </c>
      <c r="AM24" s="1">
        <v>10</v>
      </c>
      <c r="AN24" s="1">
        <v>0</v>
      </c>
      <c r="AO24" s="1">
        <v>0</v>
      </c>
      <c r="AP24" s="1">
        <f t="shared" si="4"/>
        <v>0</v>
      </c>
      <c r="AQ24" s="1">
        <f t="shared" si="5"/>
        <v>6</v>
      </c>
      <c r="AR24" s="1">
        <f t="shared" si="6"/>
        <v>0</v>
      </c>
      <c r="AS24" s="1">
        <f t="shared" si="7"/>
        <v>0</v>
      </c>
    </row>
    <row r="25" spans="1:45" x14ac:dyDescent="0.2">
      <c r="A25" s="2">
        <v>35400</v>
      </c>
      <c r="B25" s="1">
        <v>0.41832207275097161</v>
      </c>
      <c r="C25" s="1">
        <v>1.0799534061519964</v>
      </c>
      <c r="D25" s="1">
        <v>-0.57873517140243269</v>
      </c>
      <c r="E25" s="1">
        <v>1.0514164167377862</v>
      </c>
      <c r="F25" s="1">
        <v>0.33422979460154545</v>
      </c>
      <c r="G25" s="1">
        <v>0.6721879148273181</v>
      </c>
      <c r="H25" s="1">
        <v>0.63856496683967667</v>
      </c>
      <c r="I25" s="1">
        <v>-0.45882963042616859</v>
      </c>
      <c r="J25" s="1">
        <v>1.7935029333507184</v>
      </c>
      <c r="K25" s="1">
        <v>0.5873596590291621</v>
      </c>
      <c r="L25" s="1">
        <v>0.55379723624605737</v>
      </c>
      <c r="M25" s="1">
        <v>6</v>
      </c>
      <c r="N25" s="1">
        <v>0</v>
      </c>
      <c r="O25" s="1">
        <v>0</v>
      </c>
      <c r="P25" s="1">
        <v>0</v>
      </c>
      <c r="Q25" s="1" t="str">
        <f t="shared" si="1"/>
        <v>Expansion</v>
      </c>
      <c r="R25" s="2">
        <f t="shared" si="2"/>
        <v>35430</v>
      </c>
      <c r="S25" s="1" t="e">
        <f>VLOOKUP(R25,BB!$A$3:$C$62769, 2, 1)</f>
        <v>#N/A</v>
      </c>
      <c r="T25" s="1" t="e">
        <f t="shared" si="3"/>
        <v>#N/A</v>
      </c>
      <c r="U25" s="1" t="e">
        <f>VLOOKUP(R25,BB!$A$3:$D$6771, 4, 1)</f>
        <v>#N/A</v>
      </c>
      <c r="AL25" s="1">
        <v>10</v>
      </c>
      <c r="AM25" s="1">
        <v>0</v>
      </c>
      <c r="AN25" s="1">
        <v>0</v>
      </c>
      <c r="AO25" s="1">
        <v>0</v>
      </c>
      <c r="AP25" s="1">
        <f t="shared" si="4"/>
        <v>6</v>
      </c>
      <c r="AQ25" s="1">
        <f t="shared" si="5"/>
        <v>0</v>
      </c>
      <c r="AR25" s="1">
        <f t="shared" si="6"/>
        <v>0</v>
      </c>
      <c r="AS25" s="1">
        <f t="shared" si="7"/>
        <v>0</v>
      </c>
    </row>
    <row r="26" spans="1:45" x14ac:dyDescent="0.2">
      <c r="A26" s="2">
        <v>35431</v>
      </c>
      <c r="B26" s="1">
        <v>0.35874146769517851</v>
      </c>
      <c r="C26" s="1">
        <v>1.2796448642257685</v>
      </c>
      <c r="D26" s="1">
        <v>-0.5250371205165052</v>
      </c>
      <c r="E26" s="1">
        <v>0.90314794555292666</v>
      </c>
      <c r="F26" s="1">
        <v>0.44215431892409623</v>
      </c>
      <c r="G26" s="1">
        <v>2.5256894436087394E-2</v>
      </c>
      <c r="H26" s="1">
        <v>0.54195849122894213</v>
      </c>
      <c r="I26" s="1">
        <v>-0.46944213273283125</v>
      </c>
      <c r="J26" s="1">
        <v>3.6893672387408696</v>
      </c>
      <c r="K26" s="1">
        <v>0.6618677708108317</v>
      </c>
      <c r="L26" s="1">
        <v>0.69076597383653648</v>
      </c>
      <c r="M26" s="1">
        <v>6</v>
      </c>
      <c r="N26" s="1">
        <v>0</v>
      </c>
      <c r="O26" s="1">
        <v>0</v>
      </c>
      <c r="P26" s="1">
        <v>0</v>
      </c>
      <c r="Q26" s="1" t="str">
        <f t="shared" si="1"/>
        <v>Expansion</v>
      </c>
      <c r="R26" s="2">
        <f t="shared" si="2"/>
        <v>35461</v>
      </c>
      <c r="S26" s="1" t="e">
        <f>VLOOKUP(R26,BB!$A$3:$C$62769, 2, 1)</f>
        <v>#N/A</v>
      </c>
      <c r="T26" s="1" t="e">
        <f t="shared" si="3"/>
        <v>#N/A</v>
      </c>
      <c r="U26" s="1" t="e">
        <f>VLOOKUP(R26,BB!$A$3:$D$6771, 4, 1)</f>
        <v>#N/A</v>
      </c>
      <c r="AE26" s="6"/>
      <c r="AF26" s="6"/>
      <c r="AG26" s="6"/>
      <c r="AL26" s="1">
        <v>10</v>
      </c>
      <c r="AM26" s="1">
        <v>0</v>
      </c>
      <c r="AN26" s="1">
        <v>0</v>
      </c>
      <c r="AO26" s="1">
        <v>0</v>
      </c>
      <c r="AP26" s="1">
        <f t="shared" si="4"/>
        <v>6</v>
      </c>
      <c r="AQ26" s="1">
        <f t="shared" si="5"/>
        <v>0</v>
      </c>
      <c r="AR26" s="1">
        <f t="shared" si="6"/>
        <v>0</v>
      </c>
      <c r="AS26" s="1">
        <f t="shared" si="7"/>
        <v>0</v>
      </c>
    </row>
    <row r="27" spans="1:45" x14ac:dyDescent="0.2">
      <c r="A27" s="2">
        <v>35462</v>
      </c>
      <c r="B27" s="1">
        <v>0.4932057788522235</v>
      </c>
      <c r="C27" s="1">
        <v>1.2443245521347057</v>
      </c>
      <c r="D27" s="1">
        <v>-0.68815941979364881</v>
      </c>
      <c r="E27" s="1">
        <v>1.0197608814789056</v>
      </c>
      <c r="F27" s="1">
        <v>0.38865388874299533</v>
      </c>
      <c r="G27" s="1">
        <v>0.24979665739206205</v>
      </c>
      <c r="H27" s="1">
        <v>0.46355639203641086</v>
      </c>
      <c r="I27" s="1">
        <v>-0.49918078882851508</v>
      </c>
      <c r="J27" s="1">
        <v>3.4663154078377878</v>
      </c>
      <c r="K27" s="1">
        <v>0.58921451436356453</v>
      </c>
      <c r="L27" s="1">
        <v>0.67274878642164915</v>
      </c>
      <c r="M27" s="1">
        <v>6</v>
      </c>
      <c r="N27" s="1">
        <v>0</v>
      </c>
      <c r="O27" s="1">
        <v>0</v>
      </c>
      <c r="P27" s="1">
        <v>0</v>
      </c>
      <c r="Q27" s="1" t="str">
        <f t="shared" si="1"/>
        <v>Expansion</v>
      </c>
      <c r="R27" s="2">
        <f t="shared" si="2"/>
        <v>35489</v>
      </c>
      <c r="S27" s="1" t="e">
        <f>VLOOKUP(R27,BB!$A$3:$C$62769, 2, 1)</f>
        <v>#N/A</v>
      </c>
      <c r="T27" s="1" t="e">
        <f t="shared" si="3"/>
        <v>#N/A</v>
      </c>
      <c r="U27" s="1" t="e">
        <f>VLOOKUP(R27,BB!$A$3:$D$6771, 4, 1)</f>
        <v>#N/A</v>
      </c>
      <c r="AL27" s="1">
        <v>10</v>
      </c>
      <c r="AM27" s="1">
        <v>0</v>
      </c>
      <c r="AN27" s="1">
        <v>0</v>
      </c>
      <c r="AO27" s="1">
        <v>0</v>
      </c>
      <c r="AP27" s="1">
        <f t="shared" si="4"/>
        <v>6</v>
      </c>
      <c r="AQ27" s="1">
        <f t="shared" si="5"/>
        <v>0</v>
      </c>
      <c r="AR27" s="1">
        <f t="shared" si="6"/>
        <v>0</v>
      </c>
      <c r="AS27" s="1">
        <f t="shared" si="7"/>
        <v>0</v>
      </c>
    </row>
    <row r="28" spans="1:45" x14ac:dyDescent="0.2">
      <c r="A28" s="2">
        <v>35490</v>
      </c>
      <c r="B28" s="1">
        <v>0.78307723296703269</v>
      </c>
      <c r="C28" s="1">
        <v>1.2306846507904616</v>
      </c>
      <c r="D28" s="1">
        <v>-0.65864294862910688</v>
      </c>
      <c r="E28" s="1">
        <v>1.1339749194779438</v>
      </c>
      <c r="F28" s="1">
        <v>0.2895713697621658</v>
      </c>
      <c r="G28" s="1">
        <v>0.62829737353572923</v>
      </c>
      <c r="H28" s="1">
        <v>0.33260167340711949</v>
      </c>
      <c r="I28" s="1">
        <v>-0.41943620888889316</v>
      </c>
      <c r="J28" s="1">
        <v>3.2762443332799407</v>
      </c>
      <c r="K28" s="1">
        <v>0.63901294657324925</v>
      </c>
      <c r="L28" s="1">
        <v>0.72353853422756431</v>
      </c>
      <c r="M28" s="1">
        <v>6</v>
      </c>
      <c r="N28" s="1">
        <v>0</v>
      </c>
      <c r="O28" s="1">
        <v>0</v>
      </c>
      <c r="P28" s="1">
        <v>0</v>
      </c>
      <c r="Q28" s="1" t="str">
        <f t="shared" si="1"/>
        <v>Expansion</v>
      </c>
      <c r="R28" s="2">
        <f t="shared" si="2"/>
        <v>35520</v>
      </c>
      <c r="S28" s="1" t="e">
        <f>VLOOKUP(R28,BB!$A$3:$C$62769, 2, 1)</f>
        <v>#N/A</v>
      </c>
      <c r="T28" s="1" t="e">
        <f t="shared" si="3"/>
        <v>#N/A</v>
      </c>
      <c r="U28" s="1" t="e">
        <f>VLOOKUP(R28,BB!$A$3:$D$6771, 4, 1)</f>
        <v>#N/A</v>
      </c>
      <c r="AL28" s="1">
        <v>10</v>
      </c>
      <c r="AM28" s="1">
        <v>0</v>
      </c>
      <c r="AN28" s="1">
        <v>0</v>
      </c>
      <c r="AO28" s="1">
        <v>0</v>
      </c>
      <c r="AP28" s="1">
        <f t="shared" si="4"/>
        <v>6</v>
      </c>
      <c r="AQ28" s="1">
        <f t="shared" si="5"/>
        <v>0</v>
      </c>
      <c r="AR28" s="1">
        <f t="shared" si="6"/>
        <v>0</v>
      </c>
      <c r="AS28" s="1">
        <f t="shared" si="7"/>
        <v>0</v>
      </c>
    </row>
    <row r="29" spans="1:45" x14ac:dyDescent="0.2">
      <c r="A29" s="2">
        <v>35521</v>
      </c>
      <c r="B29" s="1">
        <v>0.94953788562628993</v>
      </c>
      <c r="C29" s="1">
        <v>1.1353083375828159</v>
      </c>
      <c r="D29" s="1">
        <v>-0.7068445465078057</v>
      </c>
      <c r="E29" s="1">
        <v>1.5059908595178086</v>
      </c>
      <c r="F29" s="1">
        <v>5.3936484023542106E-2</v>
      </c>
      <c r="G29" s="1">
        <v>0.46856075314529061</v>
      </c>
      <c r="H29" s="1">
        <v>0.25281057044495014</v>
      </c>
      <c r="I29" s="1">
        <v>-0.3519136275235778</v>
      </c>
      <c r="J29" s="1">
        <v>3.1116078683463733</v>
      </c>
      <c r="K29" s="1">
        <v>0.59483328237612121</v>
      </c>
      <c r="L29" s="1">
        <v>0.70138278670318077</v>
      </c>
      <c r="M29" s="1">
        <v>0</v>
      </c>
      <c r="N29" s="1">
        <v>6</v>
      </c>
      <c r="O29" s="1">
        <v>0</v>
      </c>
      <c r="P29" s="1">
        <v>0</v>
      </c>
      <c r="Q29" s="1" t="str">
        <f t="shared" si="1"/>
        <v>Downturn</v>
      </c>
      <c r="R29" s="2">
        <f t="shared" si="2"/>
        <v>35550</v>
      </c>
      <c r="S29" s="1" t="e">
        <f>VLOOKUP(R29,BB!$A$3:$C$62769, 2, 1)</f>
        <v>#N/A</v>
      </c>
      <c r="T29" s="1" t="e">
        <f t="shared" si="3"/>
        <v>#N/A</v>
      </c>
      <c r="U29" s="1" t="e">
        <f>VLOOKUP(R29,BB!$A$3:$D$6771, 4, 1)</f>
        <v>#N/A</v>
      </c>
      <c r="AL29" s="1">
        <v>0</v>
      </c>
      <c r="AM29" s="1">
        <v>10</v>
      </c>
      <c r="AN29" s="1">
        <v>0</v>
      </c>
      <c r="AO29" s="1">
        <v>0</v>
      </c>
      <c r="AP29" s="1">
        <f t="shared" si="4"/>
        <v>0</v>
      </c>
      <c r="AQ29" s="1">
        <f t="shared" si="5"/>
        <v>6</v>
      </c>
      <c r="AR29" s="1">
        <f t="shared" si="6"/>
        <v>0</v>
      </c>
      <c r="AS29" s="1">
        <f t="shared" si="7"/>
        <v>0</v>
      </c>
    </row>
    <row r="30" spans="1:45" x14ac:dyDescent="0.2">
      <c r="A30" s="2">
        <v>35551</v>
      </c>
      <c r="B30" s="1">
        <v>0.82373147711590489</v>
      </c>
      <c r="C30" s="1">
        <v>1.5983293578650484</v>
      </c>
      <c r="D30" s="1">
        <v>-0.67973097735286314</v>
      </c>
      <c r="E30" s="1">
        <v>1.606708338367512</v>
      </c>
      <c r="F30" s="1">
        <v>-0.11124972779051687</v>
      </c>
      <c r="G30" s="1">
        <v>1.0511443935212765</v>
      </c>
      <c r="H30" s="1">
        <v>0.1791354384769559</v>
      </c>
      <c r="I30" s="1">
        <v>-0.34044771783471151</v>
      </c>
      <c r="J30" s="1">
        <v>2.9670786011630081</v>
      </c>
      <c r="K30" s="1">
        <v>0.61327810211821143</v>
      </c>
      <c r="L30" s="1">
        <v>0.77079772856498252</v>
      </c>
      <c r="M30" s="1">
        <v>6</v>
      </c>
      <c r="N30" s="1">
        <v>0</v>
      </c>
      <c r="O30" s="1">
        <v>0</v>
      </c>
      <c r="P30" s="1">
        <v>0</v>
      </c>
      <c r="Q30" s="1" t="str">
        <f t="shared" si="1"/>
        <v>Expansion</v>
      </c>
      <c r="R30" s="2">
        <f t="shared" si="2"/>
        <v>35581</v>
      </c>
      <c r="S30" s="1" t="e">
        <f>VLOOKUP(R30,BB!$A$3:$C$62769, 2, 1)</f>
        <v>#N/A</v>
      </c>
      <c r="T30" s="1" t="e">
        <f t="shared" si="3"/>
        <v>#N/A</v>
      </c>
      <c r="U30" s="1" t="e">
        <f>VLOOKUP(R30,BB!$A$3:$D$6771, 4, 1)</f>
        <v>#N/A</v>
      </c>
      <c r="AL30" s="1">
        <v>10</v>
      </c>
      <c r="AM30" s="1">
        <v>0</v>
      </c>
      <c r="AN30" s="1">
        <v>0</v>
      </c>
      <c r="AO30" s="1">
        <v>0</v>
      </c>
      <c r="AP30" s="1">
        <f t="shared" si="4"/>
        <v>6</v>
      </c>
      <c r="AQ30" s="1">
        <f t="shared" si="5"/>
        <v>0</v>
      </c>
      <c r="AR30" s="1">
        <f t="shared" si="6"/>
        <v>0</v>
      </c>
      <c r="AS30" s="1">
        <f t="shared" si="7"/>
        <v>0</v>
      </c>
    </row>
    <row r="31" spans="1:45" x14ac:dyDescent="0.2">
      <c r="A31" s="2">
        <v>35582</v>
      </c>
      <c r="B31" s="1">
        <v>0.63399199402240414</v>
      </c>
      <c r="C31" s="1">
        <v>1.6883414811757025</v>
      </c>
      <c r="D31" s="1">
        <v>-0.71237549793673538</v>
      </c>
      <c r="E31" s="1">
        <v>1.3188291447323477</v>
      </c>
      <c r="F31" s="1">
        <v>-0.2971146684804028</v>
      </c>
      <c r="G31" s="1">
        <v>0.77154327283398894</v>
      </c>
      <c r="H31" s="1">
        <v>0.10520127721813076</v>
      </c>
      <c r="I31" s="1">
        <v>-0.39507953136884616</v>
      </c>
      <c r="J31" s="1">
        <v>2.8387733613946007</v>
      </c>
      <c r="K31" s="1">
        <v>0.96248809083380238</v>
      </c>
      <c r="L31" s="1">
        <v>0.69145989244249928</v>
      </c>
      <c r="M31" s="1">
        <v>0</v>
      </c>
      <c r="N31" s="1">
        <v>6</v>
      </c>
      <c r="O31" s="1">
        <v>0</v>
      </c>
      <c r="P31" s="1">
        <v>0</v>
      </c>
      <c r="Q31" s="1" t="str">
        <f t="shared" si="1"/>
        <v>Downturn</v>
      </c>
      <c r="R31" s="2">
        <f t="shared" si="2"/>
        <v>35611</v>
      </c>
      <c r="S31" s="1" t="e">
        <f>VLOOKUP(R31,BB!$A$3:$C$62769, 2, 1)</f>
        <v>#N/A</v>
      </c>
      <c r="T31" s="1" t="e">
        <f t="shared" si="3"/>
        <v>#N/A</v>
      </c>
      <c r="U31" s="1" t="e">
        <f>VLOOKUP(R31,BB!$A$3:$D$6771, 4, 1)</f>
        <v>#N/A</v>
      </c>
      <c r="AL31" s="1">
        <v>0</v>
      </c>
      <c r="AM31" s="1">
        <v>10</v>
      </c>
      <c r="AN31" s="1">
        <v>0</v>
      </c>
      <c r="AO31" s="1">
        <v>0</v>
      </c>
      <c r="AP31" s="1">
        <f t="shared" si="4"/>
        <v>0</v>
      </c>
      <c r="AQ31" s="1">
        <f t="shared" si="5"/>
        <v>6</v>
      </c>
      <c r="AR31" s="1">
        <f t="shared" si="6"/>
        <v>0</v>
      </c>
      <c r="AS31" s="1">
        <f t="shared" si="7"/>
        <v>0</v>
      </c>
    </row>
    <row r="32" spans="1:45" x14ac:dyDescent="0.2">
      <c r="A32" s="2">
        <v>35612</v>
      </c>
      <c r="B32" s="1">
        <v>0.52661772003237461</v>
      </c>
      <c r="C32" s="1">
        <v>1.5190203503730106</v>
      </c>
      <c r="D32" s="1">
        <v>-0.91219384003460979</v>
      </c>
      <c r="E32" s="1">
        <v>1.5508492285590501</v>
      </c>
      <c r="F32" s="1">
        <v>-0.27399492771689854</v>
      </c>
      <c r="G32" s="1">
        <v>1.3579461959191113</v>
      </c>
      <c r="H32" s="1">
        <v>-8.5813377613183108E-4</v>
      </c>
      <c r="I32" s="1">
        <v>-0.33913259645820704</v>
      </c>
      <c r="J32" s="1">
        <v>2.7237855301125089</v>
      </c>
      <c r="K32" s="1">
        <v>1.2082622921908701</v>
      </c>
      <c r="L32" s="1">
        <v>0.73603018192010783</v>
      </c>
      <c r="M32" s="1">
        <v>0</v>
      </c>
      <c r="N32" s="1">
        <v>6</v>
      </c>
      <c r="O32" s="1">
        <v>0</v>
      </c>
      <c r="P32" s="1">
        <v>0</v>
      </c>
      <c r="Q32" s="1" t="str">
        <f t="shared" si="1"/>
        <v>Downturn</v>
      </c>
      <c r="R32" s="2">
        <f t="shared" si="2"/>
        <v>35642</v>
      </c>
      <c r="S32" s="1" t="e">
        <f>VLOOKUP(R32,BB!$A$3:$C$62769, 2, 1)</f>
        <v>#N/A</v>
      </c>
      <c r="T32" s="1" t="e">
        <f t="shared" si="3"/>
        <v>#N/A</v>
      </c>
      <c r="U32" s="1" t="e">
        <f>VLOOKUP(R32,BB!$A$3:$D$6771, 4, 1)</f>
        <v>#N/A</v>
      </c>
      <c r="AL32" s="1">
        <v>0</v>
      </c>
      <c r="AM32" s="1">
        <v>10</v>
      </c>
      <c r="AN32" s="1">
        <v>0</v>
      </c>
      <c r="AO32" s="1">
        <v>0</v>
      </c>
      <c r="AP32" s="1">
        <f t="shared" si="4"/>
        <v>0</v>
      </c>
      <c r="AQ32" s="1">
        <f t="shared" si="5"/>
        <v>6</v>
      </c>
      <c r="AR32" s="1">
        <f t="shared" si="6"/>
        <v>0</v>
      </c>
      <c r="AS32" s="1">
        <f t="shared" si="7"/>
        <v>0</v>
      </c>
    </row>
    <row r="33" spans="1:45" x14ac:dyDescent="0.2">
      <c r="A33" s="2">
        <v>35643</v>
      </c>
      <c r="B33" s="1">
        <v>0.70041636342560298</v>
      </c>
      <c r="C33" s="1">
        <v>1.615717219167552</v>
      </c>
      <c r="D33" s="1">
        <v>-0.76080861846196568</v>
      </c>
      <c r="E33" s="1">
        <v>1.3963008453206043</v>
      </c>
      <c r="F33" s="1">
        <v>-0.13553722240820695</v>
      </c>
      <c r="G33" s="1">
        <v>0.99290054036594455</v>
      </c>
      <c r="H33" s="1">
        <v>-9.3685177560990776E-2</v>
      </c>
      <c r="I33" s="1">
        <v>-0.42790289226529227</v>
      </c>
      <c r="J33" s="1">
        <v>2.619890123636631</v>
      </c>
      <c r="K33" s="1">
        <v>1.3053096370487827</v>
      </c>
      <c r="L33" s="1">
        <v>0.72126008182686618</v>
      </c>
      <c r="M33" s="1">
        <v>0</v>
      </c>
      <c r="N33" s="1">
        <v>6</v>
      </c>
      <c r="O33" s="1">
        <v>0</v>
      </c>
      <c r="P33" s="1">
        <v>0</v>
      </c>
      <c r="Q33" s="1" t="str">
        <f t="shared" si="1"/>
        <v>Downturn</v>
      </c>
      <c r="R33" s="2">
        <f t="shared" si="2"/>
        <v>35673</v>
      </c>
      <c r="S33" s="1" t="e">
        <f>VLOOKUP(R33,BB!$A$3:$C$62769, 2, 1)</f>
        <v>#N/A</v>
      </c>
      <c r="T33" s="1" t="e">
        <f t="shared" si="3"/>
        <v>#N/A</v>
      </c>
      <c r="U33" s="1" t="e">
        <f>VLOOKUP(R33,BB!$A$3:$D$6771, 4, 1)</f>
        <v>#N/A</v>
      </c>
      <c r="AL33" s="1">
        <v>0</v>
      </c>
      <c r="AM33" s="1">
        <v>10</v>
      </c>
      <c r="AN33" s="1">
        <v>0</v>
      </c>
      <c r="AO33" s="1">
        <v>0</v>
      </c>
      <c r="AP33" s="1">
        <f t="shared" si="4"/>
        <v>0</v>
      </c>
      <c r="AQ33" s="1">
        <f t="shared" si="5"/>
        <v>6</v>
      </c>
      <c r="AR33" s="1">
        <f t="shared" si="6"/>
        <v>0</v>
      </c>
      <c r="AS33" s="1">
        <f t="shared" si="7"/>
        <v>0</v>
      </c>
    </row>
    <row r="34" spans="1:45" x14ac:dyDescent="0.2">
      <c r="A34" s="2">
        <v>35674</v>
      </c>
      <c r="B34" s="1">
        <v>0.87025315299620165</v>
      </c>
      <c r="C34" s="1">
        <v>1.5733129208846179</v>
      </c>
      <c r="D34" s="1">
        <v>-0.83431623744592653</v>
      </c>
      <c r="E34" s="1">
        <v>1.3736636514982568</v>
      </c>
      <c r="F34" s="1">
        <v>4.8484628812509395E-2</v>
      </c>
      <c r="G34" s="1">
        <v>0.47946105734131494</v>
      </c>
      <c r="H34" s="1">
        <v>-0.13430498711015865</v>
      </c>
      <c r="I34" s="1">
        <v>-0.43694772679890309</v>
      </c>
      <c r="J34" s="1">
        <v>2.5253509434033314</v>
      </c>
      <c r="K34" s="1">
        <v>1.1611957763905392</v>
      </c>
      <c r="L34" s="1">
        <v>0.66261531799717821</v>
      </c>
      <c r="M34" s="1">
        <v>0</v>
      </c>
      <c r="N34" s="1">
        <v>6</v>
      </c>
      <c r="O34" s="1">
        <v>0</v>
      </c>
      <c r="P34" s="1">
        <v>0</v>
      </c>
      <c r="Q34" s="1" t="str">
        <f t="shared" si="1"/>
        <v>Downturn</v>
      </c>
      <c r="R34" s="2">
        <f t="shared" si="2"/>
        <v>35703</v>
      </c>
      <c r="S34" s="1" t="e">
        <f>VLOOKUP(R34,BB!$A$3:$C$62769, 2, 1)</f>
        <v>#N/A</v>
      </c>
      <c r="T34" s="1" t="e">
        <f t="shared" si="3"/>
        <v>#N/A</v>
      </c>
      <c r="U34" s="1" t="e">
        <f>VLOOKUP(R34,BB!$A$3:$D$6771, 4, 1)</f>
        <v>#N/A</v>
      </c>
      <c r="AL34" s="1">
        <v>0</v>
      </c>
      <c r="AM34" s="1">
        <v>10</v>
      </c>
      <c r="AN34" s="1">
        <v>0</v>
      </c>
      <c r="AO34" s="1">
        <v>0</v>
      </c>
      <c r="AP34" s="1">
        <f t="shared" si="4"/>
        <v>0</v>
      </c>
      <c r="AQ34" s="1">
        <f t="shared" si="5"/>
        <v>6</v>
      </c>
      <c r="AR34" s="1">
        <f t="shared" si="6"/>
        <v>0</v>
      </c>
      <c r="AS34" s="1">
        <f t="shared" si="7"/>
        <v>0</v>
      </c>
    </row>
    <row r="35" spans="1:45" x14ac:dyDescent="0.2">
      <c r="A35" s="2">
        <v>35704</v>
      </c>
      <c r="B35" s="1">
        <v>1.0287992951569724</v>
      </c>
      <c r="C35" s="1">
        <v>1.324168595678789</v>
      </c>
      <c r="D35" s="1">
        <v>-0.96834622354603028</v>
      </c>
      <c r="E35" s="1">
        <v>1.6002085305754321</v>
      </c>
      <c r="F35" s="1">
        <v>0.1863082748529446</v>
      </c>
      <c r="G35" s="1">
        <v>0.86021321621249847</v>
      </c>
      <c r="H35" s="1">
        <v>-0.13624777727367729</v>
      </c>
      <c r="I35" s="1">
        <v>-0.42608948152174325</v>
      </c>
      <c r="J35" s="1">
        <v>2.4387905033453348</v>
      </c>
      <c r="K35" s="1">
        <v>1.3329447081275712</v>
      </c>
      <c r="L35" s="1">
        <v>0.72407496416080908</v>
      </c>
      <c r="M35" s="1">
        <v>0</v>
      </c>
      <c r="N35" s="1">
        <v>6</v>
      </c>
      <c r="O35" s="1">
        <v>0</v>
      </c>
      <c r="P35" s="1">
        <v>0</v>
      </c>
      <c r="Q35" s="1" t="str">
        <f t="shared" si="1"/>
        <v>Downturn</v>
      </c>
      <c r="R35" s="2">
        <f t="shared" si="2"/>
        <v>35734</v>
      </c>
      <c r="S35" s="1" t="e">
        <f>VLOOKUP(R35,BB!$A$3:$C$62769, 2, 1)</f>
        <v>#N/A</v>
      </c>
      <c r="T35" s="1" t="e">
        <f t="shared" si="3"/>
        <v>#N/A</v>
      </c>
      <c r="U35" s="1" t="e">
        <f>VLOOKUP(R35,BB!$A$3:$D$6771, 4, 1)</f>
        <v>#N/A</v>
      </c>
      <c r="AL35" s="1">
        <v>0</v>
      </c>
      <c r="AM35" s="1">
        <v>10</v>
      </c>
      <c r="AN35" s="1">
        <v>0</v>
      </c>
      <c r="AO35" s="1">
        <v>0</v>
      </c>
      <c r="AP35" s="1">
        <f t="shared" si="4"/>
        <v>0</v>
      </c>
      <c r="AQ35" s="1">
        <f t="shared" si="5"/>
        <v>6</v>
      </c>
      <c r="AR35" s="1">
        <f t="shared" si="6"/>
        <v>0</v>
      </c>
      <c r="AS35" s="1">
        <f t="shared" si="7"/>
        <v>0</v>
      </c>
    </row>
    <row r="36" spans="1:45" x14ac:dyDescent="0.2">
      <c r="A36" s="2">
        <v>35735</v>
      </c>
      <c r="B36" s="1">
        <v>1.0887804849727409</v>
      </c>
      <c r="C36" s="1">
        <v>1.5372315427259235</v>
      </c>
      <c r="D36" s="1">
        <v>-1.0671277063281039</v>
      </c>
      <c r="E36" s="1">
        <v>1.6925707465287811</v>
      </c>
      <c r="F36" s="1">
        <v>0.30271231047547781</v>
      </c>
      <c r="G36" s="1">
        <v>0.5489341597116103</v>
      </c>
      <c r="H36" s="1">
        <v>-0.16449830285946249</v>
      </c>
      <c r="I36" s="1">
        <v>-0.48580844214996677</v>
      </c>
      <c r="J36" s="1">
        <v>2.3590999248848203</v>
      </c>
      <c r="K36" s="1">
        <v>1.1493444474200323</v>
      </c>
      <c r="L36" s="1">
        <v>0.69612391653818528</v>
      </c>
      <c r="M36" s="1">
        <v>0</v>
      </c>
      <c r="N36" s="1">
        <v>6</v>
      </c>
      <c r="O36" s="1">
        <v>0</v>
      </c>
      <c r="P36" s="1">
        <v>0</v>
      </c>
      <c r="Q36" s="1" t="str">
        <f t="shared" si="1"/>
        <v>Downturn</v>
      </c>
      <c r="R36" s="2">
        <f t="shared" si="2"/>
        <v>35764</v>
      </c>
      <c r="S36" s="1" t="e">
        <f>VLOOKUP(R36,BB!$A$3:$C$62769, 2, 1)</f>
        <v>#N/A</v>
      </c>
      <c r="T36" s="1" t="e">
        <f t="shared" si="3"/>
        <v>#N/A</v>
      </c>
      <c r="U36" s="1" t="e">
        <f>VLOOKUP(R36,BB!$A$3:$D$6771, 4, 1)</f>
        <v>#N/A</v>
      </c>
      <c r="AL36" s="1">
        <v>0</v>
      </c>
      <c r="AM36" s="1">
        <v>10</v>
      </c>
      <c r="AN36" s="1">
        <v>0</v>
      </c>
      <c r="AO36" s="1">
        <v>0</v>
      </c>
      <c r="AP36" s="1">
        <f t="shared" si="4"/>
        <v>0</v>
      </c>
      <c r="AQ36" s="1">
        <f t="shared" si="5"/>
        <v>6</v>
      </c>
      <c r="AR36" s="1">
        <f t="shared" si="6"/>
        <v>0</v>
      </c>
      <c r="AS36" s="1">
        <f t="shared" si="7"/>
        <v>0</v>
      </c>
    </row>
    <row r="37" spans="1:45" x14ac:dyDescent="0.2">
      <c r="A37" s="2">
        <v>35765</v>
      </c>
      <c r="B37" s="1">
        <v>1.1004861688991783</v>
      </c>
      <c r="C37" s="1">
        <v>1.7839857507034802</v>
      </c>
      <c r="D37" s="1">
        <v>-1.1051718142743219</v>
      </c>
      <c r="E37" s="1">
        <v>1.5399083251903907</v>
      </c>
      <c r="F37" s="1">
        <v>0.44320768793389237</v>
      </c>
      <c r="G37" s="1">
        <v>0.16736666816191467</v>
      </c>
      <c r="H37" s="1">
        <v>-0.19931176044059565</v>
      </c>
      <c r="I37" s="1">
        <v>-0.4882503806969099</v>
      </c>
      <c r="J37" s="1">
        <v>2.2853750485806641</v>
      </c>
      <c r="K37" s="1">
        <v>1.0746495565441341</v>
      </c>
      <c r="L37" s="1">
        <v>0.6602245250601827</v>
      </c>
      <c r="M37" s="1">
        <v>0</v>
      </c>
      <c r="N37" s="1">
        <v>6</v>
      </c>
      <c r="O37" s="1">
        <v>0</v>
      </c>
      <c r="P37" s="1">
        <v>0</v>
      </c>
      <c r="Q37" s="1" t="str">
        <f t="shared" si="1"/>
        <v>Downturn</v>
      </c>
      <c r="R37" s="2">
        <f t="shared" si="2"/>
        <v>35795</v>
      </c>
      <c r="S37" s="1" t="e">
        <f>VLOOKUP(R37,BB!$A$3:$C$62769, 2, 1)</f>
        <v>#N/A</v>
      </c>
      <c r="T37" s="1" t="e">
        <f t="shared" si="3"/>
        <v>#N/A</v>
      </c>
      <c r="U37" s="1" t="e">
        <f>VLOOKUP(R37,BB!$A$3:$D$6771, 4, 1)</f>
        <v>#N/A</v>
      </c>
      <c r="AL37" s="1">
        <v>0</v>
      </c>
      <c r="AM37" s="1">
        <v>10</v>
      </c>
      <c r="AN37" s="1">
        <v>0</v>
      </c>
      <c r="AO37" s="1">
        <v>0</v>
      </c>
      <c r="AP37" s="1">
        <f t="shared" si="4"/>
        <v>0</v>
      </c>
      <c r="AQ37" s="1">
        <f t="shared" si="5"/>
        <v>6</v>
      </c>
      <c r="AR37" s="1">
        <f t="shared" si="6"/>
        <v>0</v>
      </c>
      <c r="AS37" s="1">
        <f t="shared" si="7"/>
        <v>0</v>
      </c>
    </row>
    <row r="38" spans="1:45" x14ac:dyDescent="0.2">
      <c r="A38" s="2">
        <v>35796</v>
      </c>
      <c r="B38" s="1">
        <v>0.9641755994441219</v>
      </c>
      <c r="C38" s="1">
        <v>1.4425685177649932</v>
      </c>
      <c r="D38" s="1">
        <v>-0.94592159649441887</v>
      </c>
      <c r="E38" s="1">
        <v>1.5155607732760641</v>
      </c>
      <c r="F38" s="1">
        <v>0.56470647109283167</v>
      </c>
      <c r="G38" s="1">
        <v>0.16390448875605734</v>
      </c>
      <c r="H38" s="1">
        <v>-0.29196251970572767</v>
      </c>
      <c r="I38" s="1">
        <v>-0.54195012319095681</v>
      </c>
      <c r="J38" s="1">
        <v>4.7090997428776085</v>
      </c>
      <c r="K38" s="1">
        <v>1.3054222945174569</v>
      </c>
      <c r="L38" s="1">
        <v>0.88856036483380296</v>
      </c>
      <c r="M38" s="1">
        <v>0</v>
      </c>
      <c r="N38" s="1">
        <v>6</v>
      </c>
      <c r="O38" s="1">
        <v>0</v>
      </c>
      <c r="P38" s="1">
        <v>0</v>
      </c>
      <c r="Q38" s="1" t="str">
        <f t="shared" si="1"/>
        <v>Downturn</v>
      </c>
      <c r="R38" s="2">
        <f t="shared" si="2"/>
        <v>35826</v>
      </c>
      <c r="S38" s="1" t="e">
        <f>VLOOKUP(R38,BB!$A$3:$C$62769, 2, 1)</f>
        <v>#N/A</v>
      </c>
      <c r="T38" s="1" t="e">
        <f t="shared" si="3"/>
        <v>#N/A</v>
      </c>
      <c r="U38" s="1" t="e">
        <f>VLOOKUP(R38,BB!$A$3:$D$6771, 4, 1)</f>
        <v>#N/A</v>
      </c>
      <c r="X38" s="2"/>
      <c r="AL38" s="1">
        <v>0</v>
      </c>
      <c r="AM38" s="1">
        <v>10</v>
      </c>
      <c r="AN38" s="1">
        <v>0</v>
      </c>
      <c r="AO38" s="1">
        <v>0</v>
      </c>
      <c r="AP38" s="1">
        <f t="shared" si="4"/>
        <v>0</v>
      </c>
      <c r="AQ38" s="1">
        <f t="shared" si="5"/>
        <v>6</v>
      </c>
      <c r="AR38" s="1">
        <f t="shared" si="6"/>
        <v>0</v>
      </c>
      <c r="AS38" s="1">
        <f t="shared" si="7"/>
        <v>0</v>
      </c>
    </row>
    <row r="39" spans="1:45" x14ac:dyDescent="0.2">
      <c r="A39" s="2">
        <v>35827</v>
      </c>
      <c r="B39" s="1">
        <v>1.02022583334735</v>
      </c>
      <c r="C39" s="1">
        <v>1.89897714531357</v>
      </c>
      <c r="D39" s="1">
        <v>-1.0914895031751009</v>
      </c>
      <c r="E39" s="1">
        <v>1.6107383711780003</v>
      </c>
      <c r="F39" s="1">
        <v>0.68889292559458926</v>
      </c>
      <c r="G39" s="1">
        <v>0.36449092324091192</v>
      </c>
      <c r="H39" s="1">
        <v>-0.33112778441055923</v>
      </c>
      <c r="I39" s="1">
        <v>-0.36245799421245917</v>
      </c>
      <c r="J39" s="1">
        <v>4.2940418577945678</v>
      </c>
      <c r="K39" s="1">
        <v>1.4871455137566274</v>
      </c>
      <c r="L39" s="1">
        <v>0.95794372884274959</v>
      </c>
      <c r="M39" s="1">
        <v>6</v>
      </c>
      <c r="N39" s="1">
        <v>0</v>
      </c>
      <c r="O39" s="1">
        <v>0</v>
      </c>
      <c r="P39" s="1">
        <v>0</v>
      </c>
      <c r="Q39" s="1" t="str">
        <f t="shared" si="1"/>
        <v>Expansion</v>
      </c>
      <c r="R39" s="2">
        <f t="shared" si="2"/>
        <v>35854</v>
      </c>
      <c r="S39" s="1" t="e">
        <f>VLOOKUP(R39,BB!$A$3:$C$62769, 2, 1)</f>
        <v>#N/A</v>
      </c>
      <c r="T39" s="1" t="e">
        <f t="shared" si="3"/>
        <v>#N/A</v>
      </c>
      <c r="U39" s="1" t="e">
        <f>VLOOKUP(R39,BB!$A$3:$D$6771, 4, 1)</f>
        <v>#N/A</v>
      </c>
      <c r="X39" s="2">
        <v>42035</v>
      </c>
      <c r="Y39" s="1">
        <f>MATCH(X39,R:R, 0)</f>
        <v>242</v>
      </c>
      <c r="AL39" s="1">
        <v>10</v>
      </c>
      <c r="AM39" s="1">
        <v>0</v>
      </c>
      <c r="AN39" s="1">
        <v>0</v>
      </c>
      <c r="AO39" s="1">
        <v>0</v>
      </c>
      <c r="AP39" s="1">
        <f t="shared" si="4"/>
        <v>6</v>
      </c>
      <c r="AQ39" s="1">
        <f t="shared" si="5"/>
        <v>0</v>
      </c>
      <c r="AR39" s="1">
        <f t="shared" si="6"/>
        <v>0</v>
      </c>
      <c r="AS39" s="1">
        <f t="shared" si="7"/>
        <v>0</v>
      </c>
    </row>
    <row r="40" spans="1:45" x14ac:dyDescent="0.2">
      <c r="A40" s="2">
        <v>35855</v>
      </c>
      <c r="B40" s="1">
        <v>1.0651730315912151</v>
      </c>
      <c r="C40" s="1">
        <v>1.6949391200043216</v>
      </c>
      <c r="D40" s="1">
        <v>-1.0661825922003347</v>
      </c>
      <c r="E40" s="1">
        <v>1.4658045401632651</v>
      </c>
      <c r="F40" s="1">
        <v>0.7896733293498176</v>
      </c>
      <c r="G40" s="1">
        <v>0.69368873791677443</v>
      </c>
      <c r="H40" s="1">
        <v>-0.35056475980133645</v>
      </c>
      <c r="I40" s="1">
        <v>-0.53389968186443371</v>
      </c>
      <c r="J40" s="1">
        <v>3.9674194356630705</v>
      </c>
      <c r="K40" s="1">
        <v>1.6334704128522319</v>
      </c>
      <c r="L40" s="1">
        <v>0.93595215736745896</v>
      </c>
      <c r="M40" s="1">
        <v>0</v>
      </c>
      <c r="N40" s="1">
        <v>6</v>
      </c>
      <c r="O40" s="1">
        <v>0</v>
      </c>
      <c r="P40" s="1">
        <v>0</v>
      </c>
      <c r="Q40" s="1" t="str">
        <f t="shared" si="1"/>
        <v>Downturn</v>
      </c>
      <c r="R40" s="2">
        <f t="shared" si="2"/>
        <v>35885</v>
      </c>
      <c r="S40" s="1" t="e">
        <f>VLOOKUP(R40,BB!$A$3:$C$62769, 2, 1)</f>
        <v>#N/A</v>
      </c>
      <c r="T40" s="1" t="e">
        <f t="shared" si="3"/>
        <v>#N/A</v>
      </c>
      <c r="U40" s="1" t="e">
        <f>VLOOKUP(R40,BB!$A$3:$D$6771, 4, 1)</f>
        <v>#N/A</v>
      </c>
      <c r="X40" s="2">
        <f>MAX(R:R)</f>
        <v>45961</v>
      </c>
      <c r="Y40" s="1">
        <f>MATCH(X40,R:R, 0)</f>
        <v>371</v>
      </c>
      <c r="Z40" s="7"/>
      <c r="AA40" s="7"/>
      <c r="AE40" s="6"/>
      <c r="AF40" s="6"/>
      <c r="AG40" s="6"/>
      <c r="AL40" s="1">
        <v>0</v>
      </c>
      <c r="AM40" s="1">
        <v>10</v>
      </c>
      <c r="AN40" s="1">
        <v>0</v>
      </c>
      <c r="AO40" s="1">
        <v>0</v>
      </c>
      <c r="AP40" s="1">
        <f t="shared" si="4"/>
        <v>0</v>
      </c>
      <c r="AQ40" s="1">
        <f t="shared" si="5"/>
        <v>6</v>
      </c>
      <c r="AR40" s="1">
        <f t="shared" si="6"/>
        <v>0</v>
      </c>
      <c r="AS40" s="1">
        <f t="shared" si="7"/>
        <v>0</v>
      </c>
    </row>
    <row r="41" spans="1:45" x14ac:dyDescent="0.2">
      <c r="A41" s="2">
        <v>35886</v>
      </c>
      <c r="B41" s="1">
        <v>1.1785336096063246</v>
      </c>
      <c r="C41" s="1">
        <v>1.772278551132332</v>
      </c>
      <c r="D41" s="1">
        <v>-1.0377771346626268</v>
      </c>
      <c r="E41" s="1">
        <v>1.9099138523781778</v>
      </c>
      <c r="F41" s="1">
        <v>0.91473594059241103</v>
      </c>
      <c r="G41" s="1">
        <v>0.28855336523921593</v>
      </c>
      <c r="H41" s="1">
        <v>-0.22503697295698491</v>
      </c>
      <c r="I41" s="1">
        <v>-0.6289054289487247</v>
      </c>
      <c r="J41" s="1">
        <v>3.7014093039223637</v>
      </c>
      <c r="K41" s="1">
        <v>1.9425752597195021</v>
      </c>
      <c r="L41" s="1">
        <v>0.98162803460219905</v>
      </c>
      <c r="M41" s="1">
        <v>6</v>
      </c>
      <c r="N41" s="1">
        <v>0</v>
      </c>
      <c r="O41" s="1">
        <v>0</v>
      </c>
      <c r="P41" s="1">
        <v>0</v>
      </c>
      <c r="Q41" s="1" t="str">
        <f t="shared" si="1"/>
        <v>Expansion</v>
      </c>
      <c r="R41" s="2">
        <f t="shared" si="2"/>
        <v>35915</v>
      </c>
      <c r="S41" s="1" t="e">
        <f>VLOOKUP(R41,BB!$A$3:$C$62769, 2, 1)</f>
        <v>#N/A</v>
      </c>
      <c r="T41" s="1" t="e">
        <f t="shared" si="3"/>
        <v>#N/A</v>
      </c>
      <c r="U41" s="1" t="e">
        <f>VLOOKUP(R41,BB!$A$3:$D$6771, 4, 1)</f>
        <v>#N/A</v>
      </c>
      <c r="Y41" s="1" t="s">
        <v>102</v>
      </c>
      <c r="Z41" s="7" t="s">
        <v>103</v>
      </c>
      <c r="AA41" s="7" t="s">
        <v>104</v>
      </c>
      <c r="AL41" s="1">
        <v>10</v>
      </c>
      <c r="AM41" s="1">
        <v>0</v>
      </c>
      <c r="AN41" s="1">
        <v>0</v>
      </c>
      <c r="AO41" s="1">
        <v>0</v>
      </c>
      <c r="AP41" s="1">
        <f t="shared" si="4"/>
        <v>6</v>
      </c>
      <c r="AQ41" s="1">
        <f t="shared" si="5"/>
        <v>0</v>
      </c>
      <c r="AR41" s="1">
        <f t="shared" si="6"/>
        <v>0</v>
      </c>
      <c r="AS41" s="1">
        <f t="shared" si="7"/>
        <v>0</v>
      </c>
    </row>
    <row r="42" spans="1:45" x14ac:dyDescent="0.2">
      <c r="A42" s="2">
        <v>35916</v>
      </c>
      <c r="B42" s="1">
        <v>1.1174417260794236</v>
      </c>
      <c r="C42" s="1">
        <v>1.685463840683564</v>
      </c>
      <c r="D42" s="1">
        <v>-1.1142876873466228</v>
      </c>
      <c r="E42" s="1">
        <v>1.8738871882704791</v>
      </c>
      <c r="F42" s="1">
        <v>1.0406205707729062</v>
      </c>
      <c r="G42" s="1">
        <v>-2.5812491824056975E-2</v>
      </c>
      <c r="H42" s="1">
        <v>-0.119247722635305</v>
      </c>
      <c r="I42" s="1">
        <v>-0.52363568768082847</v>
      </c>
      <c r="J42" s="1">
        <v>3.4790912930799465</v>
      </c>
      <c r="K42" s="1">
        <v>1.9064589318646028</v>
      </c>
      <c r="L42" s="1">
        <v>0.93199799612641088</v>
      </c>
      <c r="M42" s="1">
        <v>0</v>
      </c>
      <c r="N42" s="1">
        <v>6</v>
      </c>
      <c r="O42" s="1">
        <v>0</v>
      </c>
      <c r="P42" s="1">
        <v>0</v>
      </c>
      <c r="Q42" s="1" t="str">
        <f t="shared" si="1"/>
        <v>Downturn</v>
      </c>
      <c r="R42" s="2">
        <f t="shared" si="2"/>
        <v>35946</v>
      </c>
      <c r="S42" s="1" t="e">
        <f>VLOOKUP(R42,BB!$A$3:$C$62769, 2, 1)</f>
        <v>#N/A</v>
      </c>
      <c r="T42" s="1" t="e">
        <f t="shared" si="3"/>
        <v>#N/A</v>
      </c>
      <c r="U42" s="1" t="e">
        <f>VLOOKUP(R42,BB!$A$3:$D$6771, 4, 1)</f>
        <v>#N/A</v>
      </c>
      <c r="X42" s="1" t="s">
        <v>26</v>
      </c>
      <c r="Y42" s="1">
        <f ca="1">COUNTIF(INDIRECT("Z"&amp;$Y$39&amp;":Z"&amp;$Y$40), $X42)</f>
        <v>14</v>
      </c>
      <c r="Z42" s="8">
        <f ca="1">COUNTIFS(INDIRECT("Z"&amp;$Y$39&amp;":Z"&amp;$Y$40), $X42, INDIRECT("V"&amp;$Y$39&amp;":V"&amp;$Y$40), "&gt;0")/(COUNTIFS(INDIRECT("Z"&amp;$Y$39&amp;":Z"&amp;$Y$40), $X42, INDIRECT("V"&amp;$Y$39&amp;":V"&amp;$Y$40), "&gt;0")+COUNTIFS(INDIRECT("Z"&amp;$Y$39&amp;":Z"&amp;$Y$40), $X42, INDIRECT("V"&amp;$Y$39&amp;":V"&amp;$Y$40), "&lt;0")+COUNTIFS(INDIRECT("Z"&amp;$Y$39&amp;":Z"&amp;$Y$40), $X42, INDIRECT("V"&amp;$Y$39&amp;":V"&amp;$Y$40), 0))</f>
        <v>0.6428571428571429</v>
      </c>
      <c r="AA42" s="8">
        <f ca="1">COUNTIFS(INDIRECT("Z"&amp;$Y$39&amp;":Z"&amp;$Y$40), $X42, INDIRECT("W"&amp;$Y$39&amp;":W"&amp;$Y$40), "&gt;0")/(COUNTIFS(INDIRECT("Z"&amp;$Y$39&amp;":Z"&amp;$Y$40), $X42, INDIRECT("W"&amp;$Y$39&amp;":W"&amp;$Y$40), "&gt;0")+COUNTIFS(INDIRECT("Z"&amp;$Y$39&amp;":Z"&amp;$Y$40), $X42, INDIRECT("W"&amp;$Y$39&amp;":W"&amp;$Y$40), "&lt;0")+COUNTIFS(INDIRECT("Z"&amp;$Y$39&amp;":Z"&amp;$Y$40), $X42, INDIRECT("W"&amp;$Y$39&amp;":W"&amp;$Y$40), 0))</f>
        <v>0.5</v>
      </c>
      <c r="AL42" s="1">
        <v>0</v>
      </c>
      <c r="AM42" s="1">
        <v>10</v>
      </c>
      <c r="AN42" s="1">
        <v>0</v>
      </c>
      <c r="AO42" s="1">
        <v>0</v>
      </c>
      <c r="AP42" s="1">
        <f t="shared" si="4"/>
        <v>0</v>
      </c>
      <c r="AQ42" s="1">
        <f t="shared" si="5"/>
        <v>6</v>
      </c>
      <c r="AR42" s="1">
        <f t="shared" si="6"/>
        <v>0</v>
      </c>
      <c r="AS42" s="1">
        <f t="shared" si="7"/>
        <v>0</v>
      </c>
    </row>
    <row r="43" spans="1:45" x14ac:dyDescent="0.2">
      <c r="A43" s="2">
        <v>35947</v>
      </c>
      <c r="B43" s="1">
        <v>0.93391611381096418</v>
      </c>
      <c r="C43" s="1">
        <v>1.7673888941967342</v>
      </c>
      <c r="D43" s="1">
        <v>-1.1727025064595411</v>
      </c>
      <c r="E43" s="1">
        <v>1.6088985583793447</v>
      </c>
      <c r="F43" s="1">
        <v>1.1651247330393149</v>
      </c>
      <c r="G43" s="1">
        <v>-0.40426987243080637</v>
      </c>
      <c r="H43" s="1">
        <v>-7.3153818052415385E-3</v>
      </c>
      <c r="I43" s="1">
        <v>-0.39346985472613877</v>
      </c>
      <c r="J43" s="1">
        <v>3.2895039633449978</v>
      </c>
      <c r="K43" s="1">
        <v>1.40574282425895</v>
      </c>
      <c r="L43" s="1">
        <v>0.81928174716085778</v>
      </c>
      <c r="M43" s="1">
        <v>0</v>
      </c>
      <c r="N43" s="1">
        <v>6</v>
      </c>
      <c r="O43" s="1">
        <v>0</v>
      </c>
      <c r="P43" s="1">
        <v>0</v>
      </c>
      <c r="Q43" s="1" t="str">
        <f t="shared" si="1"/>
        <v>Downturn</v>
      </c>
      <c r="R43" s="2">
        <f t="shared" si="2"/>
        <v>35976</v>
      </c>
      <c r="S43" s="1" t="e">
        <f>VLOOKUP(R43,BB!$A$3:$C$62769, 2, 1)</f>
        <v>#N/A</v>
      </c>
      <c r="T43" s="1" t="e">
        <f t="shared" si="3"/>
        <v>#N/A</v>
      </c>
      <c r="U43" s="1" t="e">
        <f>VLOOKUP(R43,BB!$A$3:$D$6771, 4, 1)</f>
        <v>#N/A</v>
      </c>
      <c r="X43" s="1" t="s">
        <v>27</v>
      </c>
      <c r="Y43" s="1">
        <f t="shared" ref="Y43:Y45" ca="1" si="8">COUNTIF(INDIRECT("Z"&amp;$Y$39&amp;":Z"&amp;$Y$40), $X43)</f>
        <v>15</v>
      </c>
      <c r="Z43" s="8">
        <f t="shared" ref="Z43:Z45" ca="1" si="9">COUNTIFS(INDIRECT("Z"&amp;$Y$39&amp;":Z"&amp;$Y$40), $X43, INDIRECT("V"&amp;$Y$39&amp;":V"&amp;$Y$40), "&gt;0")/(COUNTIFS(INDIRECT("Z"&amp;$Y$39&amp;":Z"&amp;$Y$40), $X43, INDIRECT("V"&amp;$Y$39&amp;":V"&amp;$Y$40), "&gt;0")+COUNTIFS(INDIRECT("Z"&amp;$Y$39&amp;":Z"&amp;$Y$40), $X43, INDIRECT("V"&amp;$Y$39&amp;":V"&amp;$Y$40), "&lt;0")+COUNTIFS(INDIRECT("Z"&amp;$Y$39&amp;":Z"&amp;$Y$40), $X43, INDIRECT("V"&amp;$Y$39&amp;":V"&amp;$Y$40), 0))</f>
        <v>0.53333333333333333</v>
      </c>
      <c r="AA43" s="8">
        <f t="shared" ref="AA43:AA45" ca="1" si="10">COUNTIFS(INDIRECT("Z"&amp;$Y$39&amp;":Z"&amp;$Y$40), $X43, INDIRECT("W"&amp;$Y$39&amp;":W"&amp;$Y$40), "&gt;0")/(COUNTIFS(INDIRECT("Z"&amp;$Y$39&amp;":Z"&amp;$Y$40), $X43, INDIRECT("W"&amp;$Y$39&amp;":W"&amp;$Y$40), "&gt;0")+COUNTIFS(INDIRECT("Z"&amp;$Y$39&amp;":Z"&amp;$Y$40), $X43, INDIRECT("W"&amp;$Y$39&amp;":W"&amp;$Y$40), "&lt;0")+COUNTIFS(INDIRECT("Z"&amp;$Y$39&amp;":Z"&amp;$Y$40), $X43, INDIRECT("W"&amp;$Y$39&amp;":W"&amp;$Y$40), 0))</f>
        <v>0.53333333333333333</v>
      </c>
      <c r="AL43" s="1">
        <v>0</v>
      </c>
      <c r="AM43" s="1">
        <v>10</v>
      </c>
      <c r="AN43" s="1">
        <v>0</v>
      </c>
      <c r="AO43" s="1">
        <v>0</v>
      </c>
      <c r="AP43" s="1">
        <f t="shared" si="4"/>
        <v>0</v>
      </c>
      <c r="AQ43" s="1">
        <f t="shared" si="5"/>
        <v>6</v>
      </c>
      <c r="AR43" s="1">
        <f t="shared" si="6"/>
        <v>0</v>
      </c>
      <c r="AS43" s="1">
        <f t="shared" si="7"/>
        <v>0</v>
      </c>
    </row>
    <row r="44" spans="1:45" x14ac:dyDescent="0.2">
      <c r="A44" s="2">
        <v>35977</v>
      </c>
      <c r="B44" s="1">
        <v>0.54675672203584358</v>
      </c>
      <c r="C44" s="1">
        <v>1.6526604173899671</v>
      </c>
      <c r="D44" s="1">
        <v>-1.1047834334575852</v>
      </c>
      <c r="E44" s="1">
        <v>1.5855759645411267</v>
      </c>
      <c r="F44" s="1">
        <v>1.2194967844801037</v>
      </c>
      <c r="G44" s="1">
        <v>-0.49973773785483888</v>
      </c>
      <c r="H44" s="1">
        <v>1.334104332031954E-2</v>
      </c>
      <c r="I44" s="1">
        <v>-0.2187237776669563</v>
      </c>
      <c r="J44" s="1">
        <v>3.1251911292041772</v>
      </c>
      <c r="K44" s="1">
        <v>1.2894734378446409</v>
      </c>
      <c r="L44" s="1">
        <v>0.76092505498367979</v>
      </c>
      <c r="M44" s="1">
        <v>0</v>
      </c>
      <c r="N44" s="1">
        <v>6</v>
      </c>
      <c r="O44" s="1">
        <v>0</v>
      </c>
      <c r="P44" s="1">
        <v>0</v>
      </c>
      <c r="Q44" s="1" t="str">
        <f t="shared" si="1"/>
        <v>Downturn</v>
      </c>
      <c r="R44" s="2">
        <f t="shared" si="2"/>
        <v>36007</v>
      </c>
      <c r="S44" s="1" t="e">
        <f>VLOOKUP(R44,BB!$A$3:$C$62769, 2, 1)</f>
        <v>#N/A</v>
      </c>
      <c r="T44" s="1" t="e">
        <f t="shared" si="3"/>
        <v>#N/A</v>
      </c>
      <c r="U44" s="1" t="e">
        <f>VLOOKUP(R44,BB!$A$3:$D$6771, 4, 1)</f>
        <v>#N/A</v>
      </c>
      <c r="X44" s="1" t="s">
        <v>28</v>
      </c>
      <c r="Y44" s="1">
        <f t="shared" ca="1" si="8"/>
        <v>6</v>
      </c>
      <c r="Z44" s="8">
        <f t="shared" ca="1" si="9"/>
        <v>0.5</v>
      </c>
      <c r="AA44" s="8">
        <f t="shared" ca="1" si="10"/>
        <v>0.83333333333333337</v>
      </c>
      <c r="AL44" s="1">
        <v>0</v>
      </c>
      <c r="AM44" s="1">
        <v>10</v>
      </c>
      <c r="AN44" s="1">
        <v>0</v>
      </c>
      <c r="AO44" s="1">
        <v>0</v>
      </c>
      <c r="AP44" s="1">
        <f t="shared" si="4"/>
        <v>0</v>
      </c>
      <c r="AQ44" s="1">
        <f t="shared" si="5"/>
        <v>6</v>
      </c>
      <c r="AR44" s="1">
        <f t="shared" si="6"/>
        <v>0</v>
      </c>
      <c r="AS44" s="1">
        <f t="shared" si="7"/>
        <v>0</v>
      </c>
    </row>
    <row r="45" spans="1:45" x14ac:dyDescent="0.2">
      <c r="A45" s="2">
        <v>36008</v>
      </c>
      <c r="B45" s="1">
        <v>0.64129473567426554</v>
      </c>
      <c r="C45" s="1">
        <v>1.5373652822716797</v>
      </c>
      <c r="D45" s="1">
        <v>-0.8528836642308546</v>
      </c>
      <c r="E45" s="1">
        <v>1.5629226411378632</v>
      </c>
      <c r="F45" s="1">
        <v>1.1800906782625249</v>
      </c>
      <c r="G45" s="1">
        <v>-0.42175569281414943</v>
      </c>
      <c r="H45" s="1">
        <v>4.6643471386799674E-2</v>
      </c>
      <c r="I45" s="1">
        <v>6.2518105685533523E-2</v>
      </c>
      <c r="J45" s="1">
        <v>2.9808801541314396</v>
      </c>
      <c r="K45" s="1">
        <v>1.2295574110737806</v>
      </c>
      <c r="L45" s="1">
        <v>0.79666331225788833</v>
      </c>
      <c r="M45" s="1">
        <v>0</v>
      </c>
      <c r="N45" s="1">
        <v>6</v>
      </c>
      <c r="O45" s="1">
        <v>0</v>
      </c>
      <c r="P45" s="1">
        <v>0</v>
      </c>
      <c r="Q45" s="1" t="str">
        <f t="shared" si="1"/>
        <v>Downturn</v>
      </c>
      <c r="R45" s="2">
        <f t="shared" si="2"/>
        <v>36038</v>
      </c>
      <c r="S45" s="1" t="e">
        <f>VLOOKUP(R45,BB!$A$3:$C$62769, 2, 1)</f>
        <v>#N/A</v>
      </c>
      <c r="T45" s="1" t="e">
        <f t="shared" si="3"/>
        <v>#N/A</v>
      </c>
      <c r="U45" s="1" t="e">
        <f>VLOOKUP(R45,BB!$A$3:$D$6771, 4, 1)</f>
        <v>#N/A</v>
      </c>
      <c r="X45" s="1" t="s">
        <v>29</v>
      </c>
      <c r="Y45" s="1">
        <f t="shared" ca="1" si="8"/>
        <v>5</v>
      </c>
      <c r="Z45" s="8">
        <f t="shared" ca="1" si="9"/>
        <v>0.6</v>
      </c>
      <c r="AA45" s="8">
        <f t="shared" ca="1" si="10"/>
        <v>0.6</v>
      </c>
      <c r="AL45" s="1">
        <v>0</v>
      </c>
      <c r="AM45" s="1">
        <v>10</v>
      </c>
      <c r="AN45" s="1">
        <v>0</v>
      </c>
      <c r="AO45" s="1">
        <v>0</v>
      </c>
      <c r="AP45" s="1">
        <f t="shared" si="4"/>
        <v>0</v>
      </c>
      <c r="AQ45" s="1">
        <f t="shared" si="5"/>
        <v>6</v>
      </c>
      <c r="AR45" s="1">
        <f t="shared" si="6"/>
        <v>0</v>
      </c>
      <c r="AS45" s="1">
        <f t="shared" si="7"/>
        <v>0</v>
      </c>
    </row>
    <row r="46" spans="1:45" x14ac:dyDescent="0.2">
      <c r="A46" s="2">
        <v>36039</v>
      </c>
      <c r="B46" s="1">
        <v>0.96702658299425759</v>
      </c>
      <c r="C46" s="1">
        <v>1.2381215262626006</v>
      </c>
      <c r="D46" s="1">
        <v>-0.91000238629356867</v>
      </c>
      <c r="E46" s="1">
        <v>1.4275164662615731</v>
      </c>
      <c r="F46" s="1">
        <v>1.0725400352213785</v>
      </c>
      <c r="G46" s="1">
        <v>-0.41126178529195428</v>
      </c>
      <c r="H46" s="1">
        <v>6.004157343759875E-2</v>
      </c>
      <c r="I46" s="1">
        <v>0.1935819360567248</v>
      </c>
      <c r="J46" s="1">
        <v>2.852722554006323</v>
      </c>
      <c r="K46" s="1">
        <v>1.0691648064684049</v>
      </c>
      <c r="L46" s="1">
        <v>0.75594513091233384</v>
      </c>
      <c r="M46" s="1">
        <v>0</v>
      </c>
      <c r="N46" s="1">
        <v>6</v>
      </c>
      <c r="O46" s="1">
        <v>0</v>
      </c>
      <c r="P46" s="1">
        <v>0</v>
      </c>
      <c r="Q46" s="1" t="str">
        <f t="shared" si="1"/>
        <v>Downturn</v>
      </c>
      <c r="R46" s="2">
        <f t="shared" si="2"/>
        <v>36068</v>
      </c>
      <c r="S46" s="1" t="e">
        <f>VLOOKUP(R46,BB!$A$3:$C$62769, 2, 1)</f>
        <v>#N/A</v>
      </c>
      <c r="T46" s="1" t="e">
        <f t="shared" si="3"/>
        <v>#N/A</v>
      </c>
      <c r="U46" s="1" t="e">
        <f>VLOOKUP(R46,BB!$A$3:$D$6771, 4, 1)</f>
        <v>#N/A</v>
      </c>
      <c r="AL46" s="1">
        <v>0</v>
      </c>
      <c r="AM46" s="1">
        <v>10</v>
      </c>
      <c r="AN46" s="1">
        <v>0</v>
      </c>
      <c r="AO46" s="1">
        <v>0</v>
      </c>
      <c r="AP46" s="1">
        <f t="shared" si="4"/>
        <v>0</v>
      </c>
      <c r="AQ46" s="1">
        <f t="shared" si="5"/>
        <v>6</v>
      </c>
      <c r="AR46" s="1">
        <f t="shared" si="6"/>
        <v>0</v>
      </c>
      <c r="AS46" s="1">
        <f t="shared" si="7"/>
        <v>0</v>
      </c>
    </row>
    <row r="47" spans="1:45" x14ac:dyDescent="0.2">
      <c r="A47" s="2">
        <v>36069</v>
      </c>
      <c r="B47" s="1">
        <v>1.3044668027513546</v>
      </c>
      <c r="C47" s="1">
        <v>0.87837563997116264</v>
      </c>
      <c r="D47" s="1">
        <v>-0.46123938394636632</v>
      </c>
      <c r="E47" s="1">
        <v>1.4099265455658774</v>
      </c>
      <c r="F47" s="1">
        <v>0.91868058210995274</v>
      </c>
      <c r="G47" s="1">
        <v>-0.64413879942735375</v>
      </c>
      <c r="H47" s="1">
        <v>7.295373976826515E-2</v>
      </c>
      <c r="I47" s="1">
        <v>0.34749663408815662</v>
      </c>
      <c r="J47" s="1">
        <v>2.7378343909501281</v>
      </c>
      <c r="K47" s="1">
        <v>1.2953351936959348</v>
      </c>
      <c r="L47" s="1">
        <v>0.78596913455271111</v>
      </c>
      <c r="M47" s="1">
        <v>0</v>
      </c>
      <c r="N47" s="1">
        <v>6</v>
      </c>
      <c r="O47" s="1">
        <v>0</v>
      </c>
      <c r="P47" s="1">
        <v>0</v>
      </c>
      <c r="Q47" s="1" t="str">
        <f t="shared" si="1"/>
        <v>Downturn</v>
      </c>
      <c r="R47" s="2">
        <f t="shared" si="2"/>
        <v>36099</v>
      </c>
      <c r="S47" s="1" t="e">
        <f>VLOOKUP(R47,BB!$A$3:$C$62769, 2, 1)</f>
        <v>#N/A</v>
      </c>
      <c r="T47" s="1" t="e">
        <f t="shared" si="3"/>
        <v>#N/A</v>
      </c>
      <c r="U47" s="1" t="e">
        <f>VLOOKUP(R47,BB!$A$3:$D$6771, 4, 1)</f>
        <v>#N/A</v>
      </c>
      <c r="AL47" s="1">
        <v>0</v>
      </c>
      <c r="AM47" s="1">
        <v>10</v>
      </c>
      <c r="AN47" s="1">
        <v>0</v>
      </c>
      <c r="AO47" s="1">
        <v>0</v>
      </c>
      <c r="AP47" s="1">
        <f t="shared" si="4"/>
        <v>0</v>
      </c>
      <c r="AQ47" s="1">
        <f t="shared" si="5"/>
        <v>6</v>
      </c>
      <c r="AR47" s="1">
        <f t="shared" si="6"/>
        <v>0</v>
      </c>
      <c r="AS47" s="1">
        <f t="shared" si="7"/>
        <v>0</v>
      </c>
    </row>
    <row r="48" spans="1:45" x14ac:dyDescent="0.2">
      <c r="A48" s="2">
        <v>36100</v>
      </c>
      <c r="B48" s="1">
        <v>1.200917067722798</v>
      </c>
      <c r="C48" s="1">
        <v>1.2268296067219111</v>
      </c>
      <c r="D48" s="1">
        <v>-0.82380496177618134</v>
      </c>
      <c r="E48" s="1">
        <v>1.6102065265315284</v>
      </c>
      <c r="F48" s="1">
        <v>0.73954763003316681</v>
      </c>
      <c r="G48" s="1">
        <v>-0.96241971656601655</v>
      </c>
      <c r="H48" s="1">
        <v>8.5379879775282816E-2</v>
      </c>
      <c r="I48" s="1">
        <v>0.47737731350572238</v>
      </c>
      <c r="J48" s="1">
        <v>2.6340059117579959</v>
      </c>
      <c r="K48" s="1">
        <v>1.7796488523582898</v>
      </c>
      <c r="L48" s="1">
        <v>0.79676881100644981</v>
      </c>
      <c r="M48" s="1">
        <v>6</v>
      </c>
      <c r="N48" s="1">
        <v>0</v>
      </c>
      <c r="O48" s="1">
        <v>0</v>
      </c>
      <c r="P48" s="1">
        <v>0</v>
      </c>
      <c r="Q48" s="1" t="str">
        <f t="shared" si="1"/>
        <v>Expansion</v>
      </c>
      <c r="R48" s="2">
        <f t="shared" si="2"/>
        <v>36129</v>
      </c>
      <c r="S48" s="1" t="e">
        <f>VLOOKUP(R48,BB!$A$3:$C$62769, 2, 1)</f>
        <v>#N/A</v>
      </c>
      <c r="T48" s="1" t="e">
        <f t="shared" si="3"/>
        <v>#N/A</v>
      </c>
      <c r="U48" s="1" t="e">
        <f>VLOOKUP(R48,BB!$A$3:$D$6771, 4, 1)</f>
        <v>#N/A</v>
      </c>
      <c r="AL48" s="1">
        <v>10</v>
      </c>
      <c r="AM48" s="1">
        <v>0</v>
      </c>
      <c r="AN48" s="1">
        <v>0</v>
      </c>
      <c r="AO48" s="1">
        <v>0</v>
      </c>
      <c r="AP48" s="1">
        <f t="shared" si="4"/>
        <v>6</v>
      </c>
      <c r="AQ48" s="1">
        <f t="shared" si="5"/>
        <v>0</v>
      </c>
      <c r="AR48" s="1">
        <f t="shared" si="6"/>
        <v>0</v>
      </c>
      <c r="AS48" s="1">
        <f t="shared" si="7"/>
        <v>0</v>
      </c>
    </row>
    <row r="49" spans="1:45" x14ac:dyDescent="0.2">
      <c r="A49" s="2">
        <v>36130</v>
      </c>
      <c r="B49" s="1">
        <v>1.1260929934497117</v>
      </c>
      <c r="C49" s="1">
        <v>1.2212888258067005</v>
      </c>
      <c r="D49" s="1">
        <v>-0.94123000414774161</v>
      </c>
      <c r="E49" s="1">
        <v>1.6952884021722556</v>
      </c>
      <c r="F49" s="1">
        <v>0.58330569347776118</v>
      </c>
      <c r="G49" s="1">
        <v>-1.3206924907733235</v>
      </c>
      <c r="H49" s="1">
        <v>8.440927954351872E-2</v>
      </c>
      <c r="I49" s="1">
        <v>0.48820123408663552</v>
      </c>
      <c r="J49" s="1">
        <v>2.5395113752397411</v>
      </c>
      <c r="K49" s="1">
        <v>1.8998063878833369</v>
      </c>
      <c r="L49" s="1">
        <v>0.7375981696738596</v>
      </c>
      <c r="M49" s="1">
        <v>0</v>
      </c>
      <c r="N49" s="1">
        <v>6</v>
      </c>
      <c r="O49" s="1">
        <v>0</v>
      </c>
      <c r="P49" s="1">
        <v>0</v>
      </c>
      <c r="Q49" s="1" t="str">
        <f t="shared" si="1"/>
        <v>Downturn</v>
      </c>
      <c r="R49" s="2">
        <f t="shared" si="2"/>
        <v>36160</v>
      </c>
      <c r="S49" s="1" t="e">
        <f>VLOOKUP(R49,BB!$A$3:$C$62769, 2, 1)</f>
        <v>#N/A</v>
      </c>
      <c r="T49" s="1" t="e">
        <f t="shared" si="3"/>
        <v>#N/A</v>
      </c>
      <c r="U49" s="1" t="e">
        <f>VLOOKUP(R49,BB!$A$3:$D$6771, 4, 1)</f>
        <v>#N/A</v>
      </c>
      <c r="AL49" s="1">
        <v>0</v>
      </c>
      <c r="AM49" s="1">
        <v>10</v>
      </c>
      <c r="AN49" s="1">
        <v>0</v>
      </c>
      <c r="AO49" s="1">
        <v>0</v>
      </c>
      <c r="AP49" s="1">
        <f t="shared" si="4"/>
        <v>0</v>
      </c>
      <c r="AQ49" s="1">
        <f t="shared" si="5"/>
        <v>6</v>
      </c>
      <c r="AR49" s="1">
        <f t="shared" si="6"/>
        <v>0</v>
      </c>
      <c r="AS49" s="1">
        <f t="shared" si="7"/>
        <v>0</v>
      </c>
    </row>
    <row r="50" spans="1:45" x14ac:dyDescent="0.2">
      <c r="A50" s="2">
        <v>36161</v>
      </c>
      <c r="B50" s="1">
        <v>0.84699351522049859</v>
      </c>
      <c r="C50" s="1">
        <v>1.2758150313833343</v>
      </c>
      <c r="D50" s="1">
        <v>-0.99360852233064301</v>
      </c>
      <c r="E50" s="1">
        <v>1.6689890366167135</v>
      </c>
      <c r="F50" s="1">
        <v>0.37306389398196033</v>
      </c>
      <c r="G50" s="1">
        <v>-0.33144945988987318</v>
      </c>
      <c r="H50" s="1">
        <v>0.15429023893714444</v>
      </c>
      <c r="I50" s="1">
        <v>0.62733672050173928</v>
      </c>
      <c r="J50" s="1">
        <v>2.2023190276203533</v>
      </c>
      <c r="K50" s="1">
        <v>1.8548039210473883</v>
      </c>
      <c r="L50" s="1">
        <v>0.7678553403088616</v>
      </c>
      <c r="M50" s="1">
        <v>6</v>
      </c>
      <c r="N50" s="1">
        <v>0</v>
      </c>
      <c r="O50" s="1">
        <v>0</v>
      </c>
      <c r="P50" s="1">
        <v>0</v>
      </c>
      <c r="Q50" s="1" t="str">
        <f t="shared" si="1"/>
        <v>Expansion</v>
      </c>
      <c r="R50" s="2">
        <f t="shared" si="2"/>
        <v>36191</v>
      </c>
      <c r="S50" s="1" t="e">
        <f>VLOOKUP(R50,BB!$A$3:$C$62769, 2, 1)</f>
        <v>#N/A</v>
      </c>
      <c r="T50" s="1" t="e">
        <f t="shared" si="3"/>
        <v>#N/A</v>
      </c>
      <c r="U50" s="1" t="e">
        <f>VLOOKUP(R50,BB!$A$3:$D$6771, 4, 1)</f>
        <v>#N/A</v>
      </c>
      <c r="AL50" s="1">
        <v>10</v>
      </c>
      <c r="AM50" s="1">
        <v>0</v>
      </c>
      <c r="AN50" s="1">
        <v>0</v>
      </c>
      <c r="AO50" s="1">
        <v>0</v>
      </c>
      <c r="AP50" s="1">
        <f t="shared" si="4"/>
        <v>6</v>
      </c>
      <c r="AQ50" s="1">
        <f t="shared" si="5"/>
        <v>0</v>
      </c>
      <c r="AR50" s="1">
        <f t="shared" si="6"/>
        <v>0</v>
      </c>
      <c r="AS50" s="1">
        <f t="shared" si="7"/>
        <v>0</v>
      </c>
    </row>
    <row r="51" spans="1:45" x14ac:dyDescent="0.2">
      <c r="A51" s="2">
        <v>36192</v>
      </c>
      <c r="B51" s="1">
        <v>1.0347310502238711</v>
      </c>
      <c r="C51" s="1">
        <v>1.4451442061763988</v>
      </c>
      <c r="D51" s="1">
        <v>-0.90872192556889531</v>
      </c>
      <c r="E51" s="1">
        <v>1.536334745130763</v>
      </c>
      <c r="F51" s="1">
        <v>0.16263884419539465</v>
      </c>
      <c r="G51" s="1">
        <v>0.31571883394205846</v>
      </c>
      <c r="H51" s="1">
        <v>0.25024216170755692</v>
      </c>
      <c r="I51" s="1">
        <v>0.8719640961599685</v>
      </c>
      <c r="J51" s="1">
        <v>0.734950704839609</v>
      </c>
      <c r="K51" s="1">
        <v>2.0331985778216448</v>
      </c>
      <c r="L51" s="1">
        <v>0.74762012946283696</v>
      </c>
      <c r="M51" s="1">
        <v>6</v>
      </c>
      <c r="N51" s="1">
        <v>0</v>
      </c>
      <c r="O51" s="1">
        <v>0</v>
      </c>
      <c r="P51" s="1">
        <v>0</v>
      </c>
      <c r="Q51" s="1" t="str">
        <f t="shared" si="1"/>
        <v>Expansion</v>
      </c>
      <c r="R51" s="2">
        <f t="shared" si="2"/>
        <v>36219</v>
      </c>
      <c r="S51" s="1" t="e">
        <f>VLOOKUP(R51,BB!$A$3:$C$62769, 2, 1)</f>
        <v>#N/A</v>
      </c>
      <c r="T51" s="1" t="e">
        <f t="shared" si="3"/>
        <v>#N/A</v>
      </c>
      <c r="U51" s="1" t="e">
        <f>VLOOKUP(R51,BB!$A$3:$D$6771, 4, 1)</f>
        <v>#N/A</v>
      </c>
      <c r="AL51" s="1">
        <v>10</v>
      </c>
      <c r="AM51" s="1">
        <v>0</v>
      </c>
      <c r="AN51" s="1">
        <v>0</v>
      </c>
      <c r="AO51" s="1">
        <v>0</v>
      </c>
      <c r="AP51" s="1">
        <f t="shared" si="4"/>
        <v>6</v>
      </c>
      <c r="AQ51" s="1">
        <f t="shared" si="5"/>
        <v>0</v>
      </c>
      <c r="AR51" s="1">
        <f t="shared" si="6"/>
        <v>0</v>
      </c>
      <c r="AS51" s="1">
        <f t="shared" si="7"/>
        <v>0</v>
      </c>
    </row>
    <row r="52" spans="1:45" x14ac:dyDescent="0.2">
      <c r="A52" s="2">
        <v>36220</v>
      </c>
      <c r="B52" s="1">
        <v>1.21017926440673</v>
      </c>
      <c r="C52" s="1">
        <v>1.5058026579321455</v>
      </c>
      <c r="D52" s="1">
        <v>-0.77632577225325339</v>
      </c>
      <c r="E52" s="1">
        <v>1.7268049580792837</v>
      </c>
      <c r="F52" s="1">
        <v>-0.12517794507294014</v>
      </c>
      <c r="G52" s="1">
        <v>0.73827736609258943</v>
      </c>
      <c r="H52" s="1">
        <v>0.3526022167481076</v>
      </c>
      <c r="I52" s="1">
        <v>1.130272563573095</v>
      </c>
      <c r="J52" s="1">
        <v>3.1057432777028056</v>
      </c>
      <c r="K52" s="1">
        <v>2.1042040751527096</v>
      </c>
      <c r="L52" s="1">
        <v>1.0972382662361273</v>
      </c>
      <c r="M52" s="1">
        <v>6</v>
      </c>
      <c r="N52" s="1">
        <v>0</v>
      </c>
      <c r="O52" s="1">
        <v>0</v>
      </c>
      <c r="P52" s="1">
        <v>0</v>
      </c>
      <c r="Q52" s="1" t="str">
        <f t="shared" si="1"/>
        <v>Expansion</v>
      </c>
      <c r="R52" s="2">
        <f t="shared" si="2"/>
        <v>36250</v>
      </c>
      <c r="S52" s="1" t="e">
        <f>VLOOKUP(R52,BB!$A$3:$C$62769, 2, 1)</f>
        <v>#N/A</v>
      </c>
      <c r="T52" s="1" t="e">
        <f t="shared" si="3"/>
        <v>#N/A</v>
      </c>
      <c r="U52" s="1" t="e">
        <f>VLOOKUP(R52,BB!$A$3:$D$6771, 4, 1)</f>
        <v>#N/A</v>
      </c>
      <c r="AL52" s="1">
        <v>10</v>
      </c>
      <c r="AM52" s="1">
        <v>0</v>
      </c>
      <c r="AN52" s="1">
        <v>0</v>
      </c>
      <c r="AO52" s="1">
        <v>0</v>
      </c>
      <c r="AP52" s="1">
        <f t="shared" si="4"/>
        <v>6</v>
      </c>
      <c r="AQ52" s="1">
        <f t="shared" si="5"/>
        <v>0</v>
      </c>
      <c r="AR52" s="1">
        <f t="shared" si="6"/>
        <v>0</v>
      </c>
      <c r="AS52" s="1">
        <f t="shared" si="7"/>
        <v>0</v>
      </c>
    </row>
    <row r="53" spans="1:45" x14ac:dyDescent="0.2">
      <c r="A53" s="2">
        <v>36251</v>
      </c>
      <c r="B53" s="1">
        <v>1.4966441939182074</v>
      </c>
      <c r="C53" s="1">
        <v>1.530016991251858</v>
      </c>
      <c r="D53" s="1">
        <v>-0.73839214129525998</v>
      </c>
      <c r="E53" s="1">
        <v>1.6004871201708872</v>
      </c>
      <c r="F53" s="1">
        <v>-0.39390731167902737</v>
      </c>
      <c r="G53" s="1">
        <v>0.40150756798287912</v>
      </c>
      <c r="H53" s="1">
        <v>0.26794273515461675</v>
      </c>
      <c r="I53" s="1">
        <v>1.2856843427116826</v>
      </c>
      <c r="J53" s="1">
        <v>2.469038675377262</v>
      </c>
      <c r="K53" s="1">
        <v>1.8407545829454863</v>
      </c>
      <c r="L53" s="1">
        <v>0.97597767565385918</v>
      </c>
      <c r="M53" s="1">
        <v>6</v>
      </c>
      <c r="N53" s="1">
        <v>0</v>
      </c>
      <c r="O53" s="1">
        <v>0</v>
      </c>
      <c r="P53" s="1">
        <v>0</v>
      </c>
      <c r="Q53" s="1" t="str">
        <f t="shared" si="1"/>
        <v>Expansion</v>
      </c>
      <c r="R53" s="2">
        <f t="shared" si="2"/>
        <v>36280</v>
      </c>
      <c r="S53" s="1" t="e">
        <f>VLOOKUP(R53,BB!$A$3:$C$62769, 2, 1)</f>
        <v>#N/A</v>
      </c>
      <c r="T53" s="1" t="e">
        <f t="shared" si="3"/>
        <v>#N/A</v>
      </c>
      <c r="U53" s="1" t="e">
        <f>VLOOKUP(R53,BB!$A$3:$D$6771, 4, 1)</f>
        <v>#N/A</v>
      </c>
      <c r="AL53" s="1">
        <v>10</v>
      </c>
      <c r="AM53" s="1">
        <v>0</v>
      </c>
      <c r="AN53" s="1">
        <v>0</v>
      </c>
      <c r="AO53" s="1">
        <v>0</v>
      </c>
      <c r="AP53" s="1">
        <f t="shared" si="4"/>
        <v>6</v>
      </c>
      <c r="AQ53" s="1">
        <f t="shared" si="5"/>
        <v>0</v>
      </c>
      <c r="AR53" s="1">
        <f t="shared" si="6"/>
        <v>0</v>
      </c>
      <c r="AS53" s="1">
        <f t="shared" si="7"/>
        <v>0</v>
      </c>
    </row>
    <row r="54" spans="1:45" x14ac:dyDescent="0.2">
      <c r="A54" s="2">
        <v>36281</v>
      </c>
      <c r="B54" s="1">
        <v>1.3925815219556865</v>
      </c>
      <c r="C54" s="1">
        <v>1.5484606445977014</v>
      </c>
      <c r="D54" s="1">
        <v>-0.86291008385026624</v>
      </c>
      <c r="E54" s="1">
        <v>1.6816224175947798</v>
      </c>
      <c r="F54" s="1">
        <v>-0.67480315333646057</v>
      </c>
      <c r="G54" s="1">
        <v>0.92807273346798647</v>
      </c>
      <c r="H54" s="1">
        <v>0.19702119577752317</v>
      </c>
      <c r="I54" s="1">
        <v>1.4525583056845661</v>
      </c>
      <c r="J54" s="1">
        <v>2.2866360592220096</v>
      </c>
      <c r="K54" s="1">
        <v>1.6603457154724044</v>
      </c>
      <c r="L54" s="1">
        <v>0.96095853565859313</v>
      </c>
      <c r="M54" s="1">
        <v>6</v>
      </c>
      <c r="N54" s="1">
        <v>0</v>
      </c>
      <c r="O54" s="1">
        <v>0</v>
      </c>
      <c r="P54" s="1">
        <v>0</v>
      </c>
      <c r="Q54" s="1" t="str">
        <f t="shared" si="1"/>
        <v>Expansion</v>
      </c>
      <c r="R54" s="2">
        <f t="shared" si="2"/>
        <v>36311</v>
      </c>
      <c r="S54" s="1" t="e">
        <f>VLOOKUP(R54,BB!$A$3:$C$62769, 2, 1)</f>
        <v>#N/A</v>
      </c>
      <c r="T54" s="1" t="e">
        <f t="shared" si="3"/>
        <v>#N/A</v>
      </c>
      <c r="U54" s="1" t="e">
        <f>VLOOKUP(R54,BB!$A$3:$D$6771, 4, 1)</f>
        <v>#N/A</v>
      </c>
      <c r="AL54" s="1">
        <v>10</v>
      </c>
      <c r="AM54" s="1">
        <v>0</v>
      </c>
      <c r="AN54" s="1">
        <v>0</v>
      </c>
      <c r="AO54" s="1">
        <v>0</v>
      </c>
      <c r="AP54" s="1">
        <f t="shared" si="4"/>
        <v>6</v>
      </c>
      <c r="AQ54" s="1">
        <f t="shared" si="5"/>
        <v>0</v>
      </c>
      <c r="AR54" s="1">
        <f t="shared" si="6"/>
        <v>0</v>
      </c>
      <c r="AS54" s="1">
        <f t="shared" si="7"/>
        <v>0</v>
      </c>
    </row>
    <row r="55" spans="1:45" x14ac:dyDescent="0.2">
      <c r="A55" s="2">
        <v>36312</v>
      </c>
      <c r="B55" s="1">
        <v>1.2740257978299732</v>
      </c>
      <c r="C55" s="1">
        <v>1.631591585317447</v>
      </c>
      <c r="D55" s="1">
        <v>-0.79254405973681108</v>
      </c>
      <c r="E55" s="1">
        <v>1.5546496237535927</v>
      </c>
      <c r="F55" s="1">
        <v>-0.85689665976132101</v>
      </c>
      <c r="G55" s="1">
        <v>1.309216167442236</v>
      </c>
      <c r="H55" s="1">
        <v>0.12036426103621968</v>
      </c>
      <c r="I55" s="1">
        <v>1.3338532897573097</v>
      </c>
      <c r="J55" s="1">
        <v>3.5214713728622025</v>
      </c>
      <c r="K55" s="1">
        <v>0.19115070017529778</v>
      </c>
      <c r="L55" s="1">
        <v>0.92868820786761452</v>
      </c>
      <c r="M55" s="1">
        <v>0</v>
      </c>
      <c r="N55" s="1">
        <v>6</v>
      </c>
      <c r="O55" s="1">
        <v>0</v>
      </c>
      <c r="P55" s="1">
        <v>0</v>
      </c>
      <c r="Q55" s="1" t="str">
        <f t="shared" si="1"/>
        <v>Downturn</v>
      </c>
      <c r="R55" s="2">
        <f t="shared" si="2"/>
        <v>36341</v>
      </c>
      <c r="S55" s="1" t="e">
        <f>VLOOKUP(R55,BB!$A$3:$C$62769, 2, 1)</f>
        <v>#N/A</v>
      </c>
      <c r="T55" s="1" t="e">
        <f t="shared" si="3"/>
        <v>#N/A</v>
      </c>
      <c r="U55" s="1" t="e">
        <f>VLOOKUP(R55,BB!$A$3:$D$6771, 4, 1)</f>
        <v>#N/A</v>
      </c>
      <c r="AL55" s="1">
        <v>0</v>
      </c>
      <c r="AM55" s="1">
        <v>10</v>
      </c>
      <c r="AN55" s="1">
        <v>0</v>
      </c>
      <c r="AO55" s="1">
        <v>0</v>
      </c>
      <c r="AP55" s="1">
        <f t="shared" si="4"/>
        <v>0</v>
      </c>
      <c r="AQ55" s="1">
        <f t="shared" si="5"/>
        <v>6</v>
      </c>
      <c r="AR55" s="1">
        <f t="shared" si="6"/>
        <v>0</v>
      </c>
      <c r="AS55" s="1">
        <f t="shared" si="7"/>
        <v>0</v>
      </c>
    </row>
    <row r="56" spans="1:45" x14ac:dyDescent="0.2">
      <c r="A56" s="2">
        <v>36342</v>
      </c>
      <c r="B56" s="1">
        <v>1.307778831461287</v>
      </c>
      <c r="C56" s="1">
        <v>1.5039427515138599</v>
      </c>
      <c r="D56" s="1">
        <v>-0.77958807213561432</v>
      </c>
      <c r="E56" s="1">
        <v>1.532568184766566</v>
      </c>
      <c r="F56" s="1">
        <v>-0.93026695083606414</v>
      </c>
      <c r="G56" s="1">
        <v>0.50001237931718334</v>
      </c>
      <c r="H56" s="1">
        <v>0.18629824774341883</v>
      </c>
      <c r="I56" s="1">
        <v>1.3679268266944906</v>
      </c>
      <c r="J56" s="1">
        <v>0.70117067740851302</v>
      </c>
      <c r="K56" s="1">
        <v>0.35581567846873891</v>
      </c>
      <c r="L56" s="1">
        <v>0.57456585544023786</v>
      </c>
      <c r="M56" s="1">
        <v>0</v>
      </c>
      <c r="N56" s="1">
        <v>6</v>
      </c>
      <c r="O56" s="1">
        <v>0</v>
      </c>
      <c r="P56" s="1">
        <v>0</v>
      </c>
      <c r="Q56" s="1" t="str">
        <f t="shared" si="1"/>
        <v>Downturn</v>
      </c>
      <c r="R56" s="2">
        <f t="shared" si="2"/>
        <v>36372</v>
      </c>
      <c r="S56" s="1" t="e">
        <f>VLOOKUP(R56,BB!$A$3:$C$62769, 2, 1)</f>
        <v>#N/A</v>
      </c>
      <c r="T56" s="1" t="e">
        <f t="shared" si="3"/>
        <v>#N/A</v>
      </c>
      <c r="U56" s="1" t="e">
        <f>VLOOKUP(R56,BB!$A$3:$D$6771, 4, 1)</f>
        <v>#N/A</v>
      </c>
      <c r="AL56" s="1">
        <v>0</v>
      </c>
      <c r="AM56" s="1">
        <v>10</v>
      </c>
      <c r="AN56" s="1">
        <v>0</v>
      </c>
      <c r="AO56" s="1">
        <v>0</v>
      </c>
      <c r="AP56" s="1">
        <f t="shared" si="4"/>
        <v>0</v>
      </c>
      <c r="AQ56" s="1">
        <f t="shared" si="5"/>
        <v>6</v>
      </c>
      <c r="AR56" s="1">
        <f t="shared" si="6"/>
        <v>0</v>
      </c>
      <c r="AS56" s="1">
        <f t="shared" si="7"/>
        <v>0</v>
      </c>
    </row>
    <row r="57" spans="1:45" x14ac:dyDescent="0.2">
      <c r="A57" s="2">
        <v>36373</v>
      </c>
      <c r="B57" s="1">
        <v>1.4268832146364732</v>
      </c>
      <c r="C57" s="1">
        <v>1.4979034671631715</v>
      </c>
      <c r="D57" s="1">
        <v>-0.82412118983412908</v>
      </c>
      <c r="E57" s="1">
        <v>1.6127595176255431</v>
      </c>
      <c r="F57" s="1">
        <v>-0.86111491877736168</v>
      </c>
      <c r="G57" s="1">
        <v>0.66402462281112062</v>
      </c>
      <c r="H57" s="1">
        <v>0.23239637975955993</v>
      </c>
      <c r="I57" s="1">
        <v>1.3372084147156418</v>
      </c>
      <c r="J57" s="1">
        <v>0.88148459561429138</v>
      </c>
      <c r="K57" s="1">
        <v>0.40548627672729209</v>
      </c>
      <c r="L57" s="1">
        <v>0.63729103804416032</v>
      </c>
      <c r="M57" s="1">
        <v>0</v>
      </c>
      <c r="N57" s="1">
        <v>6</v>
      </c>
      <c r="O57" s="1">
        <v>0</v>
      </c>
      <c r="P57" s="1">
        <v>0</v>
      </c>
      <c r="Q57" s="1" t="str">
        <f t="shared" si="1"/>
        <v>Downturn</v>
      </c>
      <c r="R57" s="2">
        <f t="shared" si="2"/>
        <v>36403</v>
      </c>
      <c r="S57" s="1" t="e">
        <f>VLOOKUP(R57,BB!$A$3:$C$62769, 2, 1)</f>
        <v>#N/A</v>
      </c>
      <c r="T57" s="1" t="e">
        <f t="shared" si="3"/>
        <v>#N/A</v>
      </c>
      <c r="U57" s="1" t="e">
        <f>VLOOKUP(R57,BB!$A$3:$D$6771, 4, 1)</f>
        <v>#N/A</v>
      </c>
      <c r="AL57" s="1">
        <v>0</v>
      </c>
      <c r="AM57" s="1">
        <v>10</v>
      </c>
      <c r="AN57" s="1">
        <v>0</v>
      </c>
      <c r="AO57" s="1">
        <v>0</v>
      </c>
      <c r="AP57" s="1">
        <f t="shared" si="4"/>
        <v>0</v>
      </c>
      <c r="AQ57" s="1">
        <f t="shared" si="5"/>
        <v>6</v>
      </c>
      <c r="AR57" s="1">
        <f t="shared" si="6"/>
        <v>0</v>
      </c>
      <c r="AS57" s="1">
        <f t="shared" si="7"/>
        <v>0</v>
      </c>
    </row>
    <row r="58" spans="1:45" x14ac:dyDescent="0.2">
      <c r="A58" s="2">
        <v>36404</v>
      </c>
      <c r="B58" s="1">
        <v>1.5452999957738913</v>
      </c>
      <c r="C58" s="1">
        <v>1.4202136440161242</v>
      </c>
      <c r="D58" s="1">
        <v>-0.78780085398537436</v>
      </c>
      <c r="E58" s="1">
        <v>1.5896658301827302</v>
      </c>
      <c r="F58" s="1">
        <v>-0.76188995369194579</v>
      </c>
      <c r="G58" s="1">
        <v>1.4453040837912912</v>
      </c>
      <c r="H58" s="1">
        <v>0.25851065901033943</v>
      </c>
      <c r="I58" s="1">
        <v>1.5744734839650376</v>
      </c>
      <c r="J58" s="1">
        <v>0.90905895535014325</v>
      </c>
      <c r="K58" s="1">
        <v>0.54348751942366613</v>
      </c>
      <c r="L58" s="1">
        <v>0.77363233638359041</v>
      </c>
      <c r="M58" s="1">
        <v>6</v>
      </c>
      <c r="N58" s="1">
        <v>0</v>
      </c>
      <c r="O58" s="1">
        <v>0</v>
      </c>
      <c r="P58" s="1">
        <v>0</v>
      </c>
      <c r="Q58" s="1" t="str">
        <f t="shared" si="1"/>
        <v>Expansion</v>
      </c>
      <c r="R58" s="2">
        <f t="shared" si="2"/>
        <v>36433</v>
      </c>
      <c r="S58" s="1" t="e">
        <f>VLOOKUP(R58,BB!$A$3:$C$62769, 2, 1)</f>
        <v>#N/A</v>
      </c>
      <c r="T58" s="1" t="e">
        <f t="shared" si="3"/>
        <v>#N/A</v>
      </c>
      <c r="U58" s="1" t="e">
        <f>VLOOKUP(R58,BB!$A$3:$D$6771, 4, 1)</f>
        <v>#N/A</v>
      </c>
      <c r="AL58" s="1">
        <v>10</v>
      </c>
      <c r="AM58" s="1">
        <v>0</v>
      </c>
      <c r="AN58" s="1">
        <v>0</v>
      </c>
      <c r="AO58" s="1">
        <v>0</v>
      </c>
      <c r="AP58" s="1">
        <f t="shared" si="4"/>
        <v>6</v>
      </c>
      <c r="AQ58" s="1">
        <f t="shared" si="5"/>
        <v>0</v>
      </c>
      <c r="AR58" s="1">
        <f t="shared" si="6"/>
        <v>0</v>
      </c>
      <c r="AS58" s="1">
        <f t="shared" si="7"/>
        <v>0</v>
      </c>
    </row>
    <row r="59" spans="1:45" x14ac:dyDescent="0.2">
      <c r="A59" s="2">
        <v>36434</v>
      </c>
      <c r="B59" s="1">
        <v>1.5626301208187643</v>
      </c>
      <c r="C59" s="1">
        <v>1.2517500460855653</v>
      </c>
      <c r="D59" s="1">
        <v>-0.85727995096071008</v>
      </c>
      <c r="E59" s="1">
        <v>1.6639853213871865</v>
      </c>
      <c r="F59" s="1">
        <v>-0.57580679396562051</v>
      </c>
      <c r="G59" s="1">
        <v>1.1555357270784479</v>
      </c>
      <c r="H59" s="1">
        <v>0.25193876045522545</v>
      </c>
      <c r="I59" s="1">
        <v>1.4950887366716978</v>
      </c>
      <c r="J59" s="1">
        <v>3.1084956214468256</v>
      </c>
      <c r="K59" s="1">
        <v>0.31205911064984149</v>
      </c>
      <c r="L59" s="1">
        <v>0.9368396699667223</v>
      </c>
      <c r="M59" s="1">
        <v>6</v>
      </c>
      <c r="N59" s="1">
        <v>0</v>
      </c>
      <c r="O59" s="1">
        <v>0</v>
      </c>
      <c r="P59" s="1">
        <v>0</v>
      </c>
      <c r="Q59" s="1" t="str">
        <f t="shared" si="1"/>
        <v>Expansion</v>
      </c>
      <c r="R59" s="2">
        <f t="shared" si="2"/>
        <v>36464</v>
      </c>
      <c r="S59" s="1" t="e">
        <f>VLOOKUP(R59,BB!$A$3:$C$62769, 2, 1)</f>
        <v>#N/A</v>
      </c>
      <c r="T59" s="1" t="e">
        <f t="shared" si="3"/>
        <v>#N/A</v>
      </c>
      <c r="U59" s="1" t="e">
        <f>VLOOKUP(R59,BB!$A$3:$D$6771, 4, 1)</f>
        <v>#N/A</v>
      </c>
      <c r="AL59" s="1">
        <v>10</v>
      </c>
      <c r="AM59" s="1">
        <v>0</v>
      </c>
      <c r="AN59" s="1">
        <v>0</v>
      </c>
      <c r="AO59" s="1">
        <v>0</v>
      </c>
      <c r="AP59" s="1">
        <f t="shared" si="4"/>
        <v>6</v>
      </c>
      <c r="AQ59" s="1">
        <f t="shared" si="5"/>
        <v>0</v>
      </c>
      <c r="AR59" s="1">
        <f t="shared" si="6"/>
        <v>0</v>
      </c>
      <c r="AS59" s="1">
        <f t="shared" si="7"/>
        <v>0</v>
      </c>
    </row>
    <row r="60" spans="1:45" x14ac:dyDescent="0.2">
      <c r="A60" s="2">
        <v>36465</v>
      </c>
      <c r="B60" s="1">
        <v>1.5322873265588068</v>
      </c>
      <c r="C60" s="1">
        <v>1.4560000444011683</v>
      </c>
      <c r="D60" s="1">
        <v>-0.94355810186997358</v>
      </c>
      <c r="E60" s="1">
        <v>1.6369022501997401</v>
      </c>
      <c r="F60" s="1">
        <v>-0.36070128657148165</v>
      </c>
      <c r="G60" s="1">
        <v>1.0482827079898667</v>
      </c>
      <c r="H60" s="1">
        <v>0.24531045096610329</v>
      </c>
      <c r="I60" s="1">
        <v>1.4905664573931257</v>
      </c>
      <c r="J60" s="1">
        <v>3.2354400469722249</v>
      </c>
      <c r="K60" s="1">
        <v>-7.0698085452281859E-2</v>
      </c>
      <c r="L60" s="1">
        <v>0.9269831810587299</v>
      </c>
      <c r="M60" s="1">
        <v>6</v>
      </c>
      <c r="N60" s="1">
        <v>0</v>
      </c>
      <c r="O60" s="1">
        <v>0</v>
      </c>
      <c r="P60" s="1">
        <v>0</v>
      </c>
      <c r="Q60" s="1" t="str">
        <f t="shared" si="1"/>
        <v>Expansion</v>
      </c>
      <c r="R60" s="2">
        <f t="shared" si="2"/>
        <v>36494</v>
      </c>
      <c r="S60" s="1" t="e">
        <f>VLOOKUP(R60,BB!$A$3:$C$62769, 2, 1)</f>
        <v>#N/A</v>
      </c>
      <c r="T60" s="1" t="e">
        <f t="shared" si="3"/>
        <v>#N/A</v>
      </c>
      <c r="U60" s="1" t="e">
        <f>VLOOKUP(R60,BB!$A$3:$D$6771, 4, 1)</f>
        <v>#N/A</v>
      </c>
      <c r="AL60" s="1">
        <v>10</v>
      </c>
      <c r="AM60" s="1">
        <v>0</v>
      </c>
      <c r="AN60" s="1">
        <v>0</v>
      </c>
      <c r="AO60" s="1">
        <v>0</v>
      </c>
      <c r="AP60" s="1">
        <f t="shared" si="4"/>
        <v>6</v>
      </c>
      <c r="AQ60" s="1">
        <f t="shared" si="5"/>
        <v>0</v>
      </c>
      <c r="AR60" s="1">
        <f t="shared" si="6"/>
        <v>0</v>
      </c>
      <c r="AS60" s="1">
        <f t="shared" si="7"/>
        <v>0</v>
      </c>
    </row>
    <row r="61" spans="1:45" x14ac:dyDescent="0.2">
      <c r="A61" s="2">
        <v>36495</v>
      </c>
      <c r="B61" s="1">
        <v>1.562465067477756</v>
      </c>
      <c r="C61" s="1">
        <v>1.6479033718114786</v>
      </c>
      <c r="D61" s="1">
        <v>-0.8755239727754488</v>
      </c>
      <c r="E61" s="1">
        <v>1.6093685712429857</v>
      </c>
      <c r="F61" s="1">
        <v>5.9297893509594773E-2</v>
      </c>
      <c r="G61" s="1">
        <v>0.87718275287375924</v>
      </c>
      <c r="H61" s="1">
        <v>0.2195962512830183</v>
      </c>
      <c r="I61" s="1">
        <v>1.9009800720398577</v>
      </c>
      <c r="J61" s="1">
        <v>1.0970602528315379</v>
      </c>
      <c r="K61" s="1">
        <v>1.1326928517120503E-3</v>
      </c>
      <c r="L61" s="1">
        <v>0.80994629531462525</v>
      </c>
      <c r="M61" s="1">
        <v>0</v>
      </c>
      <c r="N61" s="1">
        <v>6</v>
      </c>
      <c r="O61" s="1">
        <v>0</v>
      </c>
      <c r="P61" s="1">
        <v>0</v>
      </c>
      <c r="Q61" s="1" t="str">
        <f t="shared" si="1"/>
        <v>Downturn</v>
      </c>
      <c r="R61" s="2">
        <f t="shared" si="2"/>
        <v>36525</v>
      </c>
      <c r="S61" s="1">
        <f>VLOOKUP(R61,BB!$A$3:$C$62769, 2, 1)</f>
        <v>6.4420000000000002</v>
      </c>
      <c r="T61" s="1">
        <f t="shared" si="3"/>
        <v>3.5999999999999588E-2</v>
      </c>
      <c r="U61" s="1">
        <f>VLOOKUP(R61,BB!$A$3:$D$6771, 4, 1)</f>
        <v>6.4779999999999998</v>
      </c>
      <c r="AL61" s="1">
        <v>0</v>
      </c>
      <c r="AM61" s="1">
        <v>10</v>
      </c>
      <c r="AN61" s="1">
        <v>0</v>
      </c>
      <c r="AO61" s="1">
        <v>0</v>
      </c>
      <c r="AP61" s="1">
        <f t="shared" si="4"/>
        <v>0</v>
      </c>
      <c r="AQ61" s="1">
        <f t="shared" si="5"/>
        <v>6</v>
      </c>
      <c r="AR61" s="1">
        <f t="shared" si="6"/>
        <v>0</v>
      </c>
      <c r="AS61" s="1">
        <f t="shared" si="7"/>
        <v>0</v>
      </c>
    </row>
    <row r="62" spans="1:45" x14ac:dyDescent="0.2">
      <c r="A62" s="2">
        <v>36526</v>
      </c>
      <c r="B62" s="1">
        <v>1.5585993057912557</v>
      </c>
      <c r="C62" s="1">
        <v>1.744669946067742</v>
      </c>
      <c r="D62" s="1">
        <v>-1.0897806251994191</v>
      </c>
      <c r="E62" s="1">
        <v>1.6779941530749611</v>
      </c>
      <c r="F62" s="1">
        <v>0.5688281241341977</v>
      </c>
      <c r="G62" s="1">
        <v>1.038393420361037</v>
      </c>
      <c r="H62" s="1">
        <v>0.1879311533181042</v>
      </c>
      <c r="I62" s="1">
        <v>1.833538146805807</v>
      </c>
      <c r="J62" s="1">
        <v>4.1568718748788385</v>
      </c>
      <c r="K62" s="1">
        <v>-0.21091981843968169</v>
      </c>
      <c r="L62" s="1">
        <v>1.1466125680792842</v>
      </c>
      <c r="M62" s="1">
        <v>6</v>
      </c>
      <c r="N62" s="1">
        <v>0</v>
      </c>
      <c r="O62" s="1">
        <v>0</v>
      </c>
      <c r="P62" s="1">
        <v>0</v>
      </c>
      <c r="Q62" s="1" t="str">
        <f t="shared" si="1"/>
        <v>Expansion</v>
      </c>
      <c r="R62" s="2">
        <f t="shared" si="2"/>
        <v>36556</v>
      </c>
      <c r="S62" s="1">
        <f>VLOOKUP(R62,BB!$A$3:$C$62769, 2, 1)</f>
        <v>6.665</v>
      </c>
      <c r="T62" s="1">
        <f t="shared" si="3"/>
        <v>-0.17400000000000038</v>
      </c>
      <c r="U62" s="1">
        <f>VLOOKUP(R62,BB!$A$3:$D$6771, 4, 1)</f>
        <v>6.4909999999999997</v>
      </c>
      <c r="V62" s="1">
        <f>S62-S61</f>
        <v>0.22299999999999986</v>
      </c>
      <c r="W62" s="1">
        <f>T62-T61</f>
        <v>-0.20999999999999996</v>
      </c>
      <c r="Z62" s="1" t="str">
        <f>IF(ISNUMBER(V62)=TRUE, Q62, "")</f>
        <v>Expansion</v>
      </c>
      <c r="AL62" s="1">
        <v>10</v>
      </c>
      <c r="AM62" s="1">
        <v>0</v>
      </c>
      <c r="AN62" s="1">
        <v>0</v>
      </c>
      <c r="AO62" s="1">
        <v>0</v>
      </c>
      <c r="AP62" s="1">
        <f t="shared" si="4"/>
        <v>6</v>
      </c>
      <c r="AQ62" s="1">
        <f t="shared" si="5"/>
        <v>0</v>
      </c>
      <c r="AR62" s="1">
        <f t="shared" si="6"/>
        <v>0</v>
      </c>
      <c r="AS62" s="1">
        <f t="shared" si="7"/>
        <v>0</v>
      </c>
    </row>
    <row r="63" spans="1:45" x14ac:dyDescent="0.2">
      <c r="A63" s="2">
        <v>36557</v>
      </c>
      <c r="B63" s="1">
        <v>1.5509511610966027</v>
      </c>
      <c r="C63" s="1">
        <v>1.6065677963289675</v>
      </c>
      <c r="D63" s="1">
        <v>-1.3426616907117983</v>
      </c>
      <c r="E63" s="1">
        <v>1.5542134126115517</v>
      </c>
      <c r="F63" s="1">
        <v>1.104194062795522</v>
      </c>
      <c r="G63" s="1">
        <v>1.1529800817628038</v>
      </c>
      <c r="H63" s="1">
        <v>0.13621104867567754</v>
      </c>
      <c r="I63" s="1">
        <v>1.5113569048692135</v>
      </c>
      <c r="J63" s="1">
        <v>1.0493749175987945</v>
      </c>
      <c r="K63" s="1">
        <v>-0.59509120993662024</v>
      </c>
      <c r="L63" s="1">
        <v>0.77280964850907163</v>
      </c>
      <c r="M63" s="1">
        <v>0</v>
      </c>
      <c r="N63" s="1">
        <v>6</v>
      </c>
      <c r="O63" s="1">
        <v>0</v>
      </c>
      <c r="P63" s="1">
        <v>0</v>
      </c>
      <c r="Q63" s="1" t="str">
        <f t="shared" si="1"/>
        <v>Downturn</v>
      </c>
      <c r="R63" s="2">
        <f t="shared" si="2"/>
        <v>36585</v>
      </c>
      <c r="S63" s="1">
        <f>VLOOKUP(R63,BB!$A$3:$C$62769, 2, 1)</f>
        <v>6.4089999999999998</v>
      </c>
      <c r="T63" s="1">
        <f t="shared" si="3"/>
        <v>-0.26900000000000013</v>
      </c>
      <c r="U63" s="1">
        <f>VLOOKUP(R63,BB!$A$3:$D$6771, 4, 1)</f>
        <v>6.14</v>
      </c>
      <c r="V63" s="1" t="str">
        <f>IF(Q63&lt;&gt;Q64, S63-X63, "")</f>
        <v/>
      </c>
      <c r="W63" s="1" t="str">
        <f>IF(Q63&lt;&gt;Q64, T63-Y63, "")</f>
        <v/>
      </c>
      <c r="X63" s="1">
        <f>IF(Q63&lt;&gt;Q62,S62, X62)</f>
        <v>6.665</v>
      </c>
      <c r="Y63" s="1">
        <f>IF(Q63&lt;&gt;Q62,T62, Y62)</f>
        <v>-0.17400000000000038</v>
      </c>
      <c r="Z63" s="1" t="str">
        <f t="shared" ref="Z63:Z126" si="11">IF(ISNUMBER(V63)=TRUE, Q63, "")</f>
        <v/>
      </c>
      <c r="AL63" s="1">
        <v>0</v>
      </c>
      <c r="AM63" s="1">
        <v>10</v>
      </c>
      <c r="AN63" s="1">
        <v>0</v>
      </c>
      <c r="AO63" s="1">
        <v>0</v>
      </c>
      <c r="AP63" s="1">
        <f t="shared" si="4"/>
        <v>0</v>
      </c>
      <c r="AQ63" s="1">
        <f t="shared" si="5"/>
        <v>6</v>
      </c>
      <c r="AR63" s="1">
        <f t="shared" si="6"/>
        <v>0</v>
      </c>
      <c r="AS63" s="1">
        <f t="shared" si="7"/>
        <v>0</v>
      </c>
    </row>
    <row r="64" spans="1:45" x14ac:dyDescent="0.2">
      <c r="A64" s="2">
        <v>36586</v>
      </c>
      <c r="B64" s="1">
        <v>1.6322347971480899</v>
      </c>
      <c r="C64" s="1">
        <v>1.3959612536504276</v>
      </c>
      <c r="D64" s="1">
        <v>-1.8329246674201798</v>
      </c>
      <c r="E64" s="1">
        <v>1.5305498291523185</v>
      </c>
      <c r="F64" s="1">
        <v>1.5680665652862691</v>
      </c>
      <c r="G64" s="1">
        <v>0.89341488477167574</v>
      </c>
      <c r="H64" s="1">
        <v>0.12893657164997971</v>
      </c>
      <c r="I64" s="1">
        <v>1.4392801889561229</v>
      </c>
      <c r="J64" s="1">
        <v>2.0257099691992582</v>
      </c>
      <c r="K64" s="1">
        <v>-0.70425477703396544</v>
      </c>
      <c r="L64" s="1">
        <v>0.80769746153599953</v>
      </c>
      <c r="M64" s="1">
        <v>0</v>
      </c>
      <c r="N64" s="1">
        <v>6</v>
      </c>
      <c r="O64" s="1">
        <v>0</v>
      </c>
      <c r="P64" s="1">
        <v>0</v>
      </c>
      <c r="Q64" s="1" t="str">
        <f t="shared" si="1"/>
        <v>Downturn</v>
      </c>
      <c r="R64" s="2">
        <f t="shared" si="2"/>
        <v>36616</v>
      </c>
      <c r="S64" s="1">
        <f>VLOOKUP(R64,BB!$A$3:$C$62769, 2, 1)</f>
        <v>6.0039999999999996</v>
      </c>
      <c r="T64" s="1">
        <f t="shared" si="3"/>
        <v>-0.17599999999999927</v>
      </c>
      <c r="U64" s="1">
        <f>VLOOKUP(R64,BB!$A$3:$D$6771, 4, 1)</f>
        <v>5.8280000000000003</v>
      </c>
      <c r="V64" s="1" t="str">
        <f t="shared" ref="V64:V90" si="12">IF(Q64&lt;&gt;Q65, S64-X64, "")</f>
        <v/>
      </c>
      <c r="W64" s="1" t="str">
        <f t="shared" ref="W64:W90" si="13">IF(Q64&lt;&gt;Q65, T64-Y64, "")</f>
        <v/>
      </c>
      <c r="X64" s="1">
        <f t="shared" ref="X64:X81" si="14">IF(Q64&lt;&gt;Q63,S63, X63)</f>
        <v>6.665</v>
      </c>
      <c r="Y64" s="1">
        <f t="shared" ref="Y64:Y81" si="15">IF(Q64&lt;&gt;Q63,T63, Y63)</f>
        <v>-0.17400000000000038</v>
      </c>
      <c r="Z64" s="1" t="str">
        <f t="shared" si="11"/>
        <v/>
      </c>
      <c r="AL64" s="1">
        <v>0</v>
      </c>
      <c r="AM64" s="1">
        <v>10</v>
      </c>
      <c r="AN64" s="1">
        <v>0</v>
      </c>
      <c r="AO64" s="1">
        <v>0</v>
      </c>
      <c r="AP64" s="1">
        <f t="shared" si="4"/>
        <v>0</v>
      </c>
      <c r="AQ64" s="1">
        <f t="shared" si="5"/>
        <v>6</v>
      </c>
      <c r="AR64" s="1">
        <f t="shared" si="6"/>
        <v>0</v>
      </c>
      <c r="AS64" s="1">
        <f t="shared" si="7"/>
        <v>0</v>
      </c>
    </row>
    <row r="65" spans="1:45" x14ac:dyDescent="0.2">
      <c r="A65" s="2">
        <v>36617</v>
      </c>
      <c r="B65" s="1">
        <v>1.7223040473843179</v>
      </c>
      <c r="C65" s="1">
        <v>1.3852766415454598</v>
      </c>
      <c r="D65" s="1">
        <v>-1.7975461127388122</v>
      </c>
      <c r="E65" s="1">
        <v>1.6939088135030458</v>
      </c>
      <c r="F65" s="1">
        <v>1.8938265693090375</v>
      </c>
      <c r="G65" s="1">
        <v>0.68402729933563378</v>
      </c>
      <c r="H65" s="1">
        <v>0.13922623040711726</v>
      </c>
      <c r="I65" s="1">
        <v>1.3884762819687777</v>
      </c>
      <c r="J65" s="1">
        <v>0.16674998582408099</v>
      </c>
      <c r="K65" s="1">
        <v>-0.82500595991304726</v>
      </c>
      <c r="L65" s="1">
        <v>0.6451243796625612</v>
      </c>
      <c r="M65" s="1">
        <v>0</v>
      </c>
      <c r="N65" s="1">
        <v>6</v>
      </c>
      <c r="O65" s="1">
        <v>0</v>
      </c>
      <c r="P65" s="1">
        <v>0</v>
      </c>
      <c r="Q65" s="1" t="str">
        <f t="shared" si="1"/>
        <v>Downturn</v>
      </c>
      <c r="R65" s="2">
        <f t="shared" si="2"/>
        <v>36646</v>
      </c>
      <c r="S65" s="1">
        <f>VLOOKUP(R65,BB!$A$3:$C$62769, 2, 1)</f>
        <v>6.2119999999999997</v>
      </c>
      <c r="T65" s="1">
        <f t="shared" si="3"/>
        <v>-0.25199999999999978</v>
      </c>
      <c r="U65" s="1">
        <f>VLOOKUP(R65,BB!$A$3:$D$6771, 4, 1)</f>
        <v>5.96</v>
      </c>
      <c r="V65" s="1" t="str">
        <f t="shared" si="12"/>
        <v/>
      </c>
      <c r="W65" s="1" t="str">
        <f t="shared" si="13"/>
        <v/>
      </c>
      <c r="X65" s="1">
        <f t="shared" si="14"/>
        <v>6.665</v>
      </c>
      <c r="Y65" s="1">
        <f t="shared" si="15"/>
        <v>-0.17400000000000038</v>
      </c>
      <c r="Z65" s="1" t="str">
        <f t="shared" si="11"/>
        <v/>
      </c>
      <c r="AL65" s="1">
        <v>0</v>
      </c>
      <c r="AM65" s="1">
        <v>10</v>
      </c>
      <c r="AN65" s="1">
        <v>0</v>
      </c>
      <c r="AO65" s="1">
        <v>0</v>
      </c>
      <c r="AP65" s="1">
        <f t="shared" si="4"/>
        <v>0</v>
      </c>
      <c r="AQ65" s="1">
        <f t="shared" si="5"/>
        <v>6</v>
      </c>
      <c r="AR65" s="1">
        <f t="shared" si="6"/>
        <v>0</v>
      </c>
      <c r="AS65" s="1">
        <f t="shared" si="7"/>
        <v>0</v>
      </c>
    </row>
    <row r="66" spans="1:45" x14ac:dyDescent="0.2">
      <c r="A66" s="2">
        <v>36647</v>
      </c>
      <c r="B66" s="1">
        <v>1.6495178092885756</v>
      </c>
      <c r="C66" s="1">
        <v>1.6323687589871252</v>
      </c>
      <c r="D66" s="1">
        <v>-1.6897897899649144</v>
      </c>
      <c r="E66" s="1">
        <v>1.4802364602867071</v>
      </c>
      <c r="F66" s="1">
        <v>2.1152092382887768</v>
      </c>
      <c r="G66" s="1">
        <v>0.30389895678382645</v>
      </c>
      <c r="H66" s="1">
        <v>0.16129479948861289</v>
      </c>
      <c r="I66" s="1">
        <v>1.3475559624826237</v>
      </c>
      <c r="J66" s="1">
        <v>1.1192659097758864</v>
      </c>
      <c r="K66" s="1">
        <v>-0.75968552089243835</v>
      </c>
      <c r="L66" s="1">
        <v>0.73598725845247803</v>
      </c>
      <c r="M66" s="1">
        <v>0</v>
      </c>
      <c r="N66" s="1">
        <v>6</v>
      </c>
      <c r="O66" s="1">
        <v>0</v>
      </c>
      <c r="P66" s="1">
        <v>0</v>
      </c>
      <c r="Q66" s="1" t="str">
        <f t="shared" si="1"/>
        <v>Downturn</v>
      </c>
      <c r="R66" s="2">
        <f t="shared" si="2"/>
        <v>36677</v>
      </c>
      <c r="S66" s="1">
        <f>VLOOKUP(R66,BB!$A$3:$C$62769, 2, 1)</f>
        <v>6.2720000000000002</v>
      </c>
      <c r="T66" s="1">
        <f t="shared" si="3"/>
        <v>-0.26400000000000023</v>
      </c>
      <c r="U66" s="1">
        <f>VLOOKUP(R66,BB!$A$3:$D$6771, 4, 1)</f>
        <v>6.008</v>
      </c>
      <c r="V66" s="1" t="str">
        <f t="shared" si="12"/>
        <v/>
      </c>
      <c r="W66" s="1" t="str">
        <f t="shared" si="13"/>
        <v/>
      </c>
      <c r="X66" s="1">
        <f t="shared" si="14"/>
        <v>6.665</v>
      </c>
      <c r="Y66" s="1">
        <f t="shared" si="15"/>
        <v>-0.17400000000000038</v>
      </c>
      <c r="Z66" s="1" t="str">
        <f t="shared" si="11"/>
        <v/>
      </c>
      <c r="AL66" s="1">
        <v>0</v>
      </c>
      <c r="AM66" s="1">
        <v>10</v>
      </c>
      <c r="AN66" s="1">
        <v>0</v>
      </c>
      <c r="AO66" s="1">
        <v>0</v>
      </c>
      <c r="AP66" s="1">
        <f t="shared" si="4"/>
        <v>0</v>
      </c>
      <c r="AQ66" s="1">
        <f t="shared" si="5"/>
        <v>6</v>
      </c>
      <c r="AR66" s="1">
        <f t="shared" si="6"/>
        <v>0</v>
      </c>
      <c r="AS66" s="1">
        <f t="shared" si="7"/>
        <v>0</v>
      </c>
    </row>
    <row r="67" spans="1:45" x14ac:dyDescent="0.2">
      <c r="A67" s="2">
        <v>36678</v>
      </c>
      <c r="B67" s="1">
        <v>1.3748347030639485</v>
      </c>
      <c r="C67" s="1">
        <v>1.4076081412351482</v>
      </c>
      <c r="D67" s="1">
        <v>-1.5789249933888634</v>
      </c>
      <c r="E67" s="1">
        <v>1.5482284122223668</v>
      </c>
      <c r="F67" s="1">
        <v>2.2647335973883003</v>
      </c>
      <c r="G67" s="1">
        <v>-7.8116698850822577E-3</v>
      </c>
      <c r="H67" s="1">
        <v>0.23383591483257132</v>
      </c>
      <c r="I67" s="1">
        <v>1.7902370049648382</v>
      </c>
      <c r="J67" s="1">
        <v>0.371584883019558</v>
      </c>
      <c r="K67" s="1">
        <v>2.7912796261642003</v>
      </c>
      <c r="L67" s="1">
        <v>1.0195605619616988</v>
      </c>
      <c r="M67" s="1">
        <v>0</v>
      </c>
      <c r="N67" s="1">
        <v>6</v>
      </c>
      <c r="O67" s="1">
        <v>0</v>
      </c>
      <c r="P67" s="1">
        <v>0</v>
      </c>
      <c r="Q67" s="1" t="str">
        <f t="shared" ref="Q67:Q130" si="16">IF(M67=6, $M$1, IF(N67=6, $N$1, IF(O67=6, $O$1, $P$1)))</f>
        <v>Downturn</v>
      </c>
      <c r="R67" s="2">
        <f t="shared" ref="R67:R130" si="17">EOMONTH(A67, 0)</f>
        <v>36707</v>
      </c>
      <c r="S67" s="1">
        <f>VLOOKUP(R67,BB!$A$3:$C$62769, 2, 1)</f>
        <v>6.0309999999999997</v>
      </c>
      <c r="T67" s="1">
        <f t="shared" ref="T67:T130" si="18">U67-S67</f>
        <v>-0.13499999999999979</v>
      </c>
      <c r="U67" s="1">
        <f>VLOOKUP(R67,BB!$A$3:$D$6771, 4, 1)</f>
        <v>5.8959999999999999</v>
      </c>
      <c r="V67" s="1">
        <f t="shared" si="12"/>
        <v>-0.63400000000000034</v>
      </c>
      <c r="W67" s="1">
        <f t="shared" si="13"/>
        <v>3.900000000000059E-2</v>
      </c>
      <c r="X67" s="1">
        <f t="shared" si="14"/>
        <v>6.665</v>
      </c>
      <c r="Y67" s="1">
        <f t="shared" si="15"/>
        <v>-0.17400000000000038</v>
      </c>
      <c r="Z67" s="1" t="str">
        <f t="shared" si="11"/>
        <v>Downturn</v>
      </c>
      <c r="AL67" s="1">
        <v>0</v>
      </c>
      <c r="AM67" s="1">
        <v>10</v>
      </c>
      <c r="AN67" s="1">
        <v>0</v>
      </c>
      <c r="AO67" s="1">
        <v>0</v>
      </c>
      <c r="AP67" s="1">
        <f t="shared" ref="AP67:AP130" si="19">IF(AL67&gt;0, AL67-4, AL67)</f>
        <v>0</v>
      </c>
      <c r="AQ67" s="1">
        <f t="shared" ref="AQ67:AQ130" si="20">IF(AM67&gt;0, AM67-4, AM67)</f>
        <v>6</v>
      </c>
      <c r="AR67" s="1">
        <f t="shared" ref="AR67:AR130" si="21">IF(AN67&gt;0, AN67-4, AN67)</f>
        <v>0</v>
      </c>
      <c r="AS67" s="1">
        <f t="shared" ref="AS67:AS130" si="22">IF(AO67&gt;0, AO67-4, AO67)</f>
        <v>0</v>
      </c>
    </row>
    <row r="68" spans="1:45" x14ac:dyDescent="0.2">
      <c r="A68" s="2">
        <v>36708</v>
      </c>
      <c r="B68" s="1">
        <v>1.1533855277863609</v>
      </c>
      <c r="C68" s="1">
        <v>1.4866709034205958</v>
      </c>
      <c r="D68" s="1">
        <v>-1.4638944875213535</v>
      </c>
      <c r="E68" s="1">
        <v>1.5252827517537411</v>
      </c>
      <c r="F68" s="1">
        <v>2.3781862599269425</v>
      </c>
      <c r="G68" s="1">
        <v>-1.2552569690618309E-2</v>
      </c>
      <c r="H68" s="1">
        <v>0.3246420785249568</v>
      </c>
      <c r="I68" s="1">
        <v>1.5606516451584396</v>
      </c>
      <c r="J68" s="1">
        <v>2.4357023497701076</v>
      </c>
      <c r="K68" s="1">
        <v>2.5675881468906563</v>
      </c>
      <c r="L68" s="1">
        <v>1.195566260601983</v>
      </c>
      <c r="M68" s="1">
        <v>6</v>
      </c>
      <c r="N68" s="1">
        <v>0</v>
      </c>
      <c r="O68" s="1">
        <v>0</v>
      </c>
      <c r="P68" s="1">
        <v>0</v>
      </c>
      <c r="Q68" s="1" t="str">
        <f t="shared" si="16"/>
        <v>Expansion</v>
      </c>
      <c r="R68" s="2">
        <f t="shared" si="17"/>
        <v>36738</v>
      </c>
      <c r="S68" s="1">
        <f>VLOOKUP(R68,BB!$A$3:$C$62769, 2, 1)</f>
        <v>6.0309999999999997</v>
      </c>
      <c r="T68" s="1">
        <f t="shared" si="18"/>
        <v>-0.24899999999999967</v>
      </c>
      <c r="U68" s="1">
        <f>VLOOKUP(R68,BB!$A$3:$D$6771, 4, 1)</f>
        <v>5.782</v>
      </c>
      <c r="V68" s="1">
        <f t="shared" si="12"/>
        <v>0</v>
      </c>
      <c r="W68" s="1">
        <f t="shared" si="13"/>
        <v>-0.11399999999999988</v>
      </c>
      <c r="X68" s="1">
        <f t="shared" si="14"/>
        <v>6.0309999999999997</v>
      </c>
      <c r="Y68" s="1">
        <f t="shared" si="15"/>
        <v>-0.13499999999999979</v>
      </c>
      <c r="Z68" s="1" t="str">
        <f t="shared" si="11"/>
        <v>Expansion</v>
      </c>
      <c r="AL68" s="1">
        <v>10</v>
      </c>
      <c r="AM68" s="1">
        <v>0</v>
      </c>
      <c r="AN68" s="1">
        <v>0</v>
      </c>
      <c r="AO68" s="1">
        <v>0</v>
      </c>
      <c r="AP68" s="1">
        <f t="shared" si="19"/>
        <v>6</v>
      </c>
      <c r="AQ68" s="1">
        <f t="shared" si="20"/>
        <v>0</v>
      </c>
      <c r="AR68" s="1">
        <f t="shared" si="21"/>
        <v>0</v>
      </c>
      <c r="AS68" s="1">
        <f t="shared" si="22"/>
        <v>0</v>
      </c>
    </row>
    <row r="69" spans="1:45" x14ac:dyDescent="0.2">
      <c r="A69" s="2">
        <v>36739</v>
      </c>
      <c r="B69" s="1">
        <v>1.0849889942340574</v>
      </c>
      <c r="C69" s="1">
        <v>1.4409846861733162</v>
      </c>
      <c r="D69" s="1">
        <v>-1.6825109296673915</v>
      </c>
      <c r="E69" s="1">
        <v>1.4107465191099857</v>
      </c>
      <c r="F69" s="1">
        <v>2.427480867816413</v>
      </c>
      <c r="G69" s="1">
        <v>-0.52706420450128444</v>
      </c>
      <c r="H69" s="1">
        <v>0.4469091305650798</v>
      </c>
      <c r="I69" s="1">
        <v>1.5354695457153915</v>
      </c>
      <c r="J69" s="1">
        <v>0.66031098603191629</v>
      </c>
      <c r="K69" s="1">
        <v>2.5096796264474026</v>
      </c>
      <c r="L69" s="1">
        <v>0.93069952219248864</v>
      </c>
      <c r="M69" s="1">
        <v>0</v>
      </c>
      <c r="N69" s="1">
        <v>6</v>
      </c>
      <c r="O69" s="1">
        <v>0</v>
      </c>
      <c r="P69" s="1">
        <v>0</v>
      </c>
      <c r="Q69" s="1" t="str">
        <f t="shared" si="16"/>
        <v>Downturn</v>
      </c>
      <c r="R69" s="2">
        <f t="shared" si="17"/>
        <v>36769</v>
      </c>
      <c r="S69" s="1">
        <f>VLOOKUP(R69,BB!$A$3:$C$62769, 2, 1)</f>
        <v>5.7249999999999996</v>
      </c>
      <c r="T69" s="1">
        <f t="shared" si="18"/>
        <v>-5.6999999999999496E-2</v>
      </c>
      <c r="U69" s="1">
        <f>VLOOKUP(R69,BB!$A$3:$D$6771, 4, 1)</f>
        <v>5.6680000000000001</v>
      </c>
      <c r="V69" s="1" t="str">
        <f t="shared" si="12"/>
        <v/>
      </c>
      <c r="W69" s="1" t="str">
        <f t="shared" si="13"/>
        <v/>
      </c>
      <c r="X69" s="1">
        <f t="shared" si="14"/>
        <v>6.0309999999999997</v>
      </c>
      <c r="Y69" s="1">
        <f t="shared" si="15"/>
        <v>-0.24899999999999967</v>
      </c>
      <c r="Z69" s="1" t="str">
        <f t="shared" si="11"/>
        <v/>
      </c>
      <c r="AL69" s="1">
        <v>0</v>
      </c>
      <c r="AM69" s="1">
        <v>10</v>
      </c>
      <c r="AN69" s="1">
        <v>0</v>
      </c>
      <c r="AO69" s="1">
        <v>0</v>
      </c>
      <c r="AP69" s="1">
        <f t="shared" si="19"/>
        <v>0</v>
      </c>
      <c r="AQ69" s="1">
        <f t="shared" si="20"/>
        <v>6</v>
      </c>
      <c r="AR69" s="1">
        <f t="shared" si="21"/>
        <v>0</v>
      </c>
      <c r="AS69" s="1">
        <f t="shared" si="22"/>
        <v>0</v>
      </c>
    </row>
    <row r="70" spans="1:45" x14ac:dyDescent="0.2">
      <c r="A70" s="2">
        <v>36770</v>
      </c>
      <c r="B70" s="1">
        <v>0.96529222800007775</v>
      </c>
      <c r="C70" s="1">
        <v>1.4415828815432197</v>
      </c>
      <c r="D70" s="1">
        <v>-1.3107659001583463</v>
      </c>
      <c r="E70" s="1">
        <v>1.5639784411563582</v>
      </c>
      <c r="F70" s="1">
        <v>2.4428954646727092</v>
      </c>
      <c r="G70" s="1">
        <v>-0.44801664808340147</v>
      </c>
      <c r="H70" s="1">
        <v>0.54863735983061712</v>
      </c>
      <c r="I70" s="1">
        <v>1.1592929373018686</v>
      </c>
      <c r="J70" s="1">
        <v>1.5405826440343806</v>
      </c>
      <c r="K70" s="1">
        <v>2.3987671133675419</v>
      </c>
      <c r="L70" s="1">
        <v>1.0302246521665026</v>
      </c>
      <c r="M70" s="1">
        <v>0</v>
      </c>
      <c r="N70" s="1">
        <v>6</v>
      </c>
      <c r="O70" s="1">
        <v>0</v>
      </c>
      <c r="P70" s="1">
        <v>0</v>
      </c>
      <c r="Q70" s="1" t="str">
        <f t="shared" si="16"/>
        <v>Downturn</v>
      </c>
      <c r="R70" s="2">
        <f t="shared" si="17"/>
        <v>36799</v>
      </c>
      <c r="S70" s="1">
        <f>VLOOKUP(R70,BB!$A$3:$C$62769, 2, 1)</f>
        <v>5.8019999999999996</v>
      </c>
      <c r="T70" s="1">
        <f t="shared" si="18"/>
        <v>8.3000000000000185E-2</v>
      </c>
      <c r="U70" s="1">
        <f>VLOOKUP(R70,BB!$A$3:$D$6771, 4, 1)</f>
        <v>5.8849999999999998</v>
      </c>
      <c r="V70" s="1" t="str">
        <f t="shared" si="12"/>
        <v/>
      </c>
      <c r="W70" s="1" t="str">
        <f t="shared" si="13"/>
        <v/>
      </c>
      <c r="X70" s="1">
        <f t="shared" si="14"/>
        <v>6.0309999999999997</v>
      </c>
      <c r="Y70" s="1">
        <f t="shared" si="15"/>
        <v>-0.24899999999999967</v>
      </c>
      <c r="Z70" s="1" t="str">
        <f t="shared" si="11"/>
        <v/>
      </c>
      <c r="AL70" s="1">
        <v>0</v>
      </c>
      <c r="AM70" s="1">
        <v>10</v>
      </c>
      <c r="AN70" s="1">
        <v>0</v>
      </c>
      <c r="AO70" s="1">
        <v>0</v>
      </c>
      <c r="AP70" s="1">
        <f t="shared" si="19"/>
        <v>0</v>
      </c>
      <c r="AQ70" s="1">
        <f t="shared" si="20"/>
        <v>6</v>
      </c>
      <c r="AR70" s="1">
        <f t="shared" si="21"/>
        <v>0</v>
      </c>
      <c r="AS70" s="1">
        <f t="shared" si="22"/>
        <v>0</v>
      </c>
    </row>
    <row r="71" spans="1:45" x14ac:dyDescent="0.2">
      <c r="A71" s="2">
        <v>36800</v>
      </c>
      <c r="B71" s="1">
        <v>0.91620015350179462</v>
      </c>
      <c r="C71" s="1">
        <v>1.1869372123104056</v>
      </c>
      <c r="D71" s="1">
        <v>-1.2728381113205915</v>
      </c>
      <c r="E71" s="1">
        <v>1.534005139352896</v>
      </c>
      <c r="F71" s="1">
        <v>2.297472707366631</v>
      </c>
      <c r="G71" s="1">
        <v>-0.81987725186892502</v>
      </c>
      <c r="H71" s="1">
        <v>0.65582410859184181</v>
      </c>
      <c r="I71" s="1">
        <v>1.0639923101612185</v>
      </c>
      <c r="J71" s="1">
        <v>2.1292859482901223</v>
      </c>
      <c r="K71" s="1">
        <v>2.2364019408043041</v>
      </c>
      <c r="L71" s="1">
        <v>0.99274041571896987</v>
      </c>
      <c r="M71" s="1">
        <v>0</v>
      </c>
      <c r="N71" s="1">
        <v>6</v>
      </c>
      <c r="O71" s="1">
        <v>0</v>
      </c>
      <c r="P71" s="1">
        <v>0</v>
      </c>
      <c r="Q71" s="1" t="str">
        <f t="shared" si="16"/>
        <v>Downturn</v>
      </c>
      <c r="R71" s="2">
        <f t="shared" si="17"/>
        <v>36830</v>
      </c>
      <c r="S71" s="1">
        <f>VLOOKUP(R71,BB!$A$3:$C$62769, 2, 1)</f>
        <v>5.7510000000000003</v>
      </c>
      <c r="T71" s="1">
        <f t="shared" si="18"/>
        <v>3.6999999999999922E-2</v>
      </c>
      <c r="U71" s="1">
        <f>VLOOKUP(R71,BB!$A$3:$D$6771, 4, 1)</f>
        <v>5.7880000000000003</v>
      </c>
      <c r="V71" s="1" t="str">
        <f t="shared" si="12"/>
        <v/>
      </c>
      <c r="W71" s="1" t="str">
        <f t="shared" si="13"/>
        <v/>
      </c>
      <c r="X71" s="1">
        <f t="shared" si="14"/>
        <v>6.0309999999999997</v>
      </c>
      <c r="Y71" s="1">
        <f t="shared" si="15"/>
        <v>-0.24899999999999967</v>
      </c>
      <c r="Z71" s="1" t="str">
        <f t="shared" si="11"/>
        <v/>
      </c>
      <c r="AL71" s="1">
        <v>0</v>
      </c>
      <c r="AM71" s="1">
        <v>10</v>
      </c>
      <c r="AN71" s="1">
        <v>0</v>
      </c>
      <c r="AO71" s="1">
        <v>0</v>
      </c>
      <c r="AP71" s="1">
        <f t="shared" si="19"/>
        <v>0</v>
      </c>
      <c r="AQ71" s="1">
        <f t="shared" si="20"/>
        <v>6</v>
      </c>
      <c r="AR71" s="1">
        <f t="shared" si="21"/>
        <v>0</v>
      </c>
      <c r="AS71" s="1">
        <f t="shared" si="22"/>
        <v>0</v>
      </c>
    </row>
    <row r="72" spans="1:45" x14ac:dyDescent="0.2">
      <c r="A72" s="2">
        <v>36831</v>
      </c>
      <c r="B72" s="1">
        <v>0.74513165933149816</v>
      </c>
      <c r="C72" s="1">
        <v>1.1098814444723866</v>
      </c>
      <c r="D72" s="1">
        <v>-1.2301303015243004</v>
      </c>
      <c r="E72" s="1">
        <v>1.4184941348523885</v>
      </c>
      <c r="F72" s="1">
        <v>2.0044882187560744</v>
      </c>
      <c r="G72" s="1">
        <v>-0.9763495138741547</v>
      </c>
      <c r="H72" s="1">
        <v>0.74868920134122008</v>
      </c>
      <c r="I72" s="1">
        <v>1.1471944005382984</v>
      </c>
      <c r="J72" s="1">
        <v>0.12765712063471091</v>
      </c>
      <c r="K72" s="1">
        <v>2.1392186304274809</v>
      </c>
      <c r="L72" s="1">
        <v>0.72342749949556029</v>
      </c>
      <c r="M72" s="1">
        <v>0</v>
      </c>
      <c r="N72" s="1">
        <v>6</v>
      </c>
      <c r="O72" s="1">
        <v>0</v>
      </c>
      <c r="P72" s="1">
        <v>0</v>
      </c>
      <c r="Q72" s="1" t="str">
        <f t="shared" si="16"/>
        <v>Downturn</v>
      </c>
      <c r="R72" s="2">
        <f t="shared" si="17"/>
        <v>36860</v>
      </c>
      <c r="S72" s="1">
        <f>VLOOKUP(R72,BB!$A$3:$C$62769, 2, 1)</f>
        <v>5.468</v>
      </c>
      <c r="T72" s="1">
        <f t="shared" si="18"/>
        <v>0.13999999999999968</v>
      </c>
      <c r="U72" s="1">
        <f>VLOOKUP(R72,BB!$A$3:$D$6771, 4, 1)</f>
        <v>5.6079999999999997</v>
      </c>
      <c r="V72" s="1" t="str">
        <f t="shared" si="12"/>
        <v/>
      </c>
      <c r="W72" s="1" t="str">
        <f t="shared" si="13"/>
        <v/>
      </c>
      <c r="X72" s="1">
        <f t="shared" si="14"/>
        <v>6.0309999999999997</v>
      </c>
      <c r="Y72" s="1">
        <f t="shared" si="15"/>
        <v>-0.24899999999999967</v>
      </c>
      <c r="Z72" s="1" t="str">
        <f t="shared" si="11"/>
        <v/>
      </c>
      <c r="AL72" s="1">
        <v>0</v>
      </c>
      <c r="AM72" s="1">
        <v>10</v>
      </c>
      <c r="AN72" s="1">
        <v>0</v>
      </c>
      <c r="AO72" s="1">
        <v>0</v>
      </c>
      <c r="AP72" s="1">
        <f t="shared" si="19"/>
        <v>0</v>
      </c>
      <c r="AQ72" s="1">
        <f t="shared" si="20"/>
        <v>6</v>
      </c>
      <c r="AR72" s="1">
        <f t="shared" si="21"/>
        <v>0</v>
      </c>
      <c r="AS72" s="1">
        <f t="shared" si="22"/>
        <v>0</v>
      </c>
    </row>
    <row r="73" spans="1:45" x14ac:dyDescent="0.2">
      <c r="A73" s="2">
        <v>36861</v>
      </c>
      <c r="B73" s="1">
        <v>0.45132918617299278</v>
      </c>
      <c r="C73" s="1">
        <v>0.91476247824123413</v>
      </c>
      <c r="D73" s="1">
        <v>-1.0090203143800536</v>
      </c>
      <c r="E73" s="1">
        <v>1.3924463452059499</v>
      </c>
      <c r="F73" s="1">
        <v>1.5042861736110442</v>
      </c>
      <c r="G73" s="1">
        <v>-1.933695951013384</v>
      </c>
      <c r="H73" s="1">
        <v>0.84014350271156824</v>
      </c>
      <c r="I73" s="1">
        <v>0.73021667159857928</v>
      </c>
      <c r="J73" s="1">
        <v>2.9461905637909142E-2</v>
      </c>
      <c r="K73" s="1">
        <v>1.8193251839979565</v>
      </c>
      <c r="L73" s="1">
        <v>0.47392551817837969</v>
      </c>
      <c r="M73" s="1">
        <v>0</v>
      </c>
      <c r="N73" s="1">
        <v>6</v>
      </c>
      <c r="O73" s="1">
        <v>0</v>
      </c>
      <c r="P73" s="1">
        <v>0</v>
      </c>
      <c r="Q73" s="1" t="str">
        <f t="shared" si="16"/>
        <v>Downturn</v>
      </c>
      <c r="R73" s="2">
        <f t="shared" si="17"/>
        <v>36891</v>
      </c>
      <c r="S73" s="1">
        <f>VLOOKUP(R73,BB!$A$3:$C$62769, 2, 1)</f>
        <v>5.1120000000000001</v>
      </c>
      <c r="T73" s="1">
        <f t="shared" si="18"/>
        <v>0.34499999999999975</v>
      </c>
      <c r="U73" s="1">
        <f>VLOOKUP(R73,BB!$A$3:$D$6771, 4, 1)</f>
        <v>5.4569999999999999</v>
      </c>
      <c r="V73" s="1" t="str">
        <f t="shared" si="12"/>
        <v/>
      </c>
      <c r="W73" s="1" t="str">
        <f t="shared" si="13"/>
        <v/>
      </c>
      <c r="X73" s="1">
        <f t="shared" si="14"/>
        <v>6.0309999999999997</v>
      </c>
      <c r="Y73" s="1">
        <f t="shared" si="15"/>
        <v>-0.24899999999999967</v>
      </c>
      <c r="Z73" s="1" t="str">
        <f t="shared" si="11"/>
        <v/>
      </c>
      <c r="AL73" s="1">
        <v>0</v>
      </c>
      <c r="AM73" s="1">
        <v>10</v>
      </c>
      <c r="AN73" s="1">
        <v>0</v>
      </c>
      <c r="AO73" s="1">
        <v>0</v>
      </c>
      <c r="AP73" s="1">
        <f t="shared" si="19"/>
        <v>0</v>
      </c>
      <c r="AQ73" s="1">
        <f t="shared" si="20"/>
        <v>6</v>
      </c>
      <c r="AR73" s="1">
        <f t="shared" si="21"/>
        <v>0</v>
      </c>
      <c r="AS73" s="1">
        <f t="shared" si="22"/>
        <v>0</v>
      </c>
    </row>
    <row r="74" spans="1:45" x14ac:dyDescent="0.2">
      <c r="A74" s="2">
        <v>36892</v>
      </c>
      <c r="B74" s="1">
        <v>0.22065719736335429</v>
      </c>
      <c r="C74" s="1">
        <v>0.42315746125287418</v>
      </c>
      <c r="D74" s="1">
        <v>-0.32907082373873325</v>
      </c>
      <c r="E74" s="1">
        <v>1.1962261382301487</v>
      </c>
      <c r="F74" s="1">
        <v>1.1283864338921341</v>
      </c>
      <c r="G74" s="1">
        <v>-2.5496643630680249</v>
      </c>
      <c r="H74" s="1">
        <v>0.91701109995991592</v>
      </c>
      <c r="I74" s="1">
        <v>0.81577778962408809</v>
      </c>
      <c r="J74" s="1">
        <v>-0.28445465908062006</v>
      </c>
      <c r="K74" s="1">
        <v>2.1572814422549098</v>
      </c>
      <c r="L74" s="1">
        <v>0.36953077166900472</v>
      </c>
      <c r="M74" s="1">
        <v>0</v>
      </c>
      <c r="N74" s="1">
        <v>6</v>
      </c>
      <c r="O74" s="1">
        <v>0</v>
      </c>
      <c r="P74" s="1">
        <v>0</v>
      </c>
      <c r="Q74" s="1" t="str">
        <f t="shared" si="16"/>
        <v>Downturn</v>
      </c>
      <c r="R74" s="2">
        <f t="shared" si="17"/>
        <v>36922</v>
      </c>
      <c r="S74" s="1">
        <f>VLOOKUP(R74,BB!$A$3:$C$62769, 2, 1)</f>
        <v>5.1139999999999999</v>
      </c>
      <c r="T74" s="1">
        <f t="shared" si="18"/>
        <v>0.38700000000000045</v>
      </c>
      <c r="U74" s="1">
        <f>VLOOKUP(R74,BB!$A$3:$D$6771, 4, 1)</f>
        <v>5.5010000000000003</v>
      </c>
      <c r="V74" s="1" t="str">
        <f t="shared" si="12"/>
        <v/>
      </c>
      <c r="W74" s="1" t="str">
        <f t="shared" si="13"/>
        <v/>
      </c>
      <c r="X74" s="1">
        <f t="shared" si="14"/>
        <v>6.0309999999999997</v>
      </c>
      <c r="Y74" s="1">
        <f t="shared" si="15"/>
        <v>-0.24899999999999967</v>
      </c>
      <c r="Z74" s="1" t="str">
        <f t="shared" si="11"/>
        <v/>
      </c>
      <c r="AL74" s="1">
        <v>0</v>
      </c>
      <c r="AM74" s="1">
        <v>10</v>
      </c>
      <c r="AN74" s="1">
        <v>0</v>
      </c>
      <c r="AO74" s="1">
        <v>0</v>
      </c>
      <c r="AP74" s="1">
        <f t="shared" si="19"/>
        <v>0</v>
      </c>
      <c r="AQ74" s="1">
        <f t="shared" si="20"/>
        <v>6</v>
      </c>
      <c r="AR74" s="1">
        <f t="shared" si="21"/>
        <v>0</v>
      </c>
      <c r="AS74" s="1">
        <f t="shared" si="22"/>
        <v>0</v>
      </c>
    </row>
    <row r="75" spans="1:45" x14ac:dyDescent="0.2">
      <c r="A75" s="2">
        <v>36923</v>
      </c>
      <c r="B75" s="1">
        <v>0.11504528717081572</v>
      </c>
      <c r="C75" s="1">
        <v>0.14709887752407616</v>
      </c>
      <c r="D75" s="1">
        <v>-0.37015441261884219</v>
      </c>
      <c r="E75" s="1">
        <v>1.1759557597044148</v>
      </c>
      <c r="F75" s="1">
        <v>0.83759136048902694</v>
      </c>
      <c r="G75" s="1">
        <v>-2.4163606212798072</v>
      </c>
      <c r="H75" s="1">
        <v>0.99270468655339816</v>
      </c>
      <c r="I75" s="1">
        <v>0.85493525145821025</v>
      </c>
      <c r="J75" s="1">
        <v>-0.32789970169444066</v>
      </c>
      <c r="K75" s="1">
        <v>2.319023979577536</v>
      </c>
      <c r="L75" s="1">
        <v>0.33279404668843882</v>
      </c>
      <c r="M75" s="1">
        <v>0</v>
      </c>
      <c r="N75" s="1">
        <v>6</v>
      </c>
      <c r="O75" s="1">
        <v>0</v>
      </c>
      <c r="P75" s="1">
        <v>0</v>
      </c>
      <c r="Q75" s="1" t="str">
        <f t="shared" si="16"/>
        <v>Downturn</v>
      </c>
      <c r="R75" s="2">
        <f t="shared" si="17"/>
        <v>36950</v>
      </c>
      <c r="S75" s="1">
        <f>VLOOKUP(R75,BB!$A$3:$C$62769, 2, 1)</f>
        <v>4.8959999999999999</v>
      </c>
      <c r="T75" s="1">
        <f t="shared" si="18"/>
        <v>0.41800000000000015</v>
      </c>
      <c r="U75" s="1">
        <f>VLOOKUP(R75,BB!$A$3:$D$6771, 4, 1)</f>
        <v>5.3140000000000001</v>
      </c>
      <c r="V75" s="1" t="str">
        <f t="shared" si="12"/>
        <v/>
      </c>
      <c r="W75" s="1" t="str">
        <f t="shared" si="13"/>
        <v/>
      </c>
      <c r="X75" s="1">
        <f t="shared" si="14"/>
        <v>6.0309999999999997</v>
      </c>
      <c r="Y75" s="1">
        <f t="shared" si="15"/>
        <v>-0.24899999999999967</v>
      </c>
      <c r="Z75" s="1" t="str">
        <f t="shared" si="11"/>
        <v/>
      </c>
      <c r="AL75" s="1">
        <v>0</v>
      </c>
      <c r="AM75" s="1">
        <v>10</v>
      </c>
      <c r="AN75" s="1">
        <v>0</v>
      </c>
      <c r="AO75" s="1">
        <v>0</v>
      </c>
      <c r="AP75" s="1">
        <f t="shared" si="19"/>
        <v>0</v>
      </c>
      <c r="AQ75" s="1">
        <f t="shared" si="20"/>
        <v>6</v>
      </c>
      <c r="AR75" s="1">
        <f t="shared" si="21"/>
        <v>0</v>
      </c>
      <c r="AS75" s="1">
        <f t="shared" si="22"/>
        <v>0</v>
      </c>
    </row>
    <row r="76" spans="1:45" x14ac:dyDescent="0.2">
      <c r="A76" s="2">
        <v>36951</v>
      </c>
      <c r="B76" s="1">
        <v>-0.11739297443896456</v>
      </c>
      <c r="C76" s="1">
        <v>0.4915062805385394</v>
      </c>
      <c r="D76" s="1">
        <v>-7.257093811988366E-2</v>
      </c>
      <c r="E76" s="1">
        <v>1.0711907126558138</v>
      </c>
      <c r="F76" s="1">
        <v>0.62497863450478275</v>
      </c>
      <c r="G76" s="1">
        <v>-2.1667572334271044</v>
      </c>
      <c r="H76" s="1">
        <v>1.0220231323071214</v>
      </c>
      <c r="I76" s="1">
        <v>0.63040022343069679</v>
      </c>
      <c r="J76" s="1">
        <v>0.27983806948358897</v>
      </c>
      <c r="K76" s="1">
        <v>2.2136094432143416</v>
      </c>
      <c r="L76" s="1">
        <v>0.3976825350148932</v>
      </c>
      <c r="M76" s="1">
        <v>0</v>
      </c>
      <c r="N76" s="1">
        <v>6</v>
      </c>
      <c r="O76" s="1">
        <v>0</v>
      </c>
      <c r="P76" s="1">
        <v>0</v>
      </c>
      <c r="Q76" s="1" t="str">
        <f t="shared" si="16"/>
        <v>Downturn</v>
      </c>
      <c r="R76" s="2">
        <f t="shared" si="17"/>
        <v>36981</v>
      </c>
      <c r="S76" s="1">
        <f>VLOOKUP(R76,BB!$A$3:$C$62769, 2, 1)</f>
        <v>4.9169999999999998</v>
      </c>
      <c r="T76" s="1">
        <f t="shared" si="18"/>
        <v>0.52700000000000014</v>
      </c>
      <c r="U76" s="1">
        <f>VLOOKUP(R76,BB!$A$3:$D$6771, 4, 1)</f>
        <v>5.444</v>
      </c>
      <c r="V76" s="1" t="str">
        <f t="shared" si="12"/>
        <v/>
      </c>
      <c r="W76" s="1" t="str">
        <f t="shared" si="13"/>
        <v/>
      </c>
      <c r="X76" s="1">
        <f t="shared" si="14"/>
        <v>6.0309999999999997</v>
      </c>
      <c r="Y76" s="1">
        <f t="shared" si="15"/>
        <v>-0.24899999999999967</v>
      </c>
      <c r="Z76" s="1" t="str">
        <f t="shared" si="11"/>
        <v/>
      </c>
      <c r="AL76" s="1">
        <v>0</v>
      </c>
      <c r="AM76" s="1">
        <v>10</v>
      </c>
      <c r="AN76" s="1">
        <v>0</v>
      </c>
      <c r="AO76" s="1">
        <v>0</v>
      </c>
      <c r="AP76" s="1">
        <f t="shared" si="19"/>
        <v>0</v>
      </c>
      <c r="AQ76" s="1">
        <f t="shared" si="20"/>
        <v>6</v>
      </c>
      <c r="AR76" s="1">
        <f t="shared" si="21"/>
        <v>0</v>
      </c>
      <c r="AS76" s="1">
        <f t="shared" si="22"/>
        <v>0</v>
      </c>
    </row>
    <row r="77" spans="1:45" x14ac:dyDescent="0.2">
      <c r="A77" s="2">
        <v>36982</v>
      </c>
      <c r="B77" s="1">
        <v>-0.53598950059963679</v>
      </c>
      <c r="C77" s="1">
        <v>0.20848787867689017</v>
      </c>
      <c r="D77" s="1">
        <v>0.34250063271178532</v>
      </c>
      <c r="E77" s="1">
        <v>0.88379287379065607</v>
      </c>
      <c r="F77" s="1">
        <v>0.26140546353699251</v>
      </c>
      <c r="G77" s="1">
        <v>-2.173560074876991</v>
      </c>
      <c r="H77" s="1">
        <v>1.0380758332394751</v>
      </c>
      <c r="I77" s="1">
        <v>0.49094162506932487</v>
      </c>
      <c r="J77" s="1">
        <v>-0.15241175319254036</v>
      </c>
      <c r="K77" s="1">
        <v>2.4264809940511789</v>
      </c>
      <c r="L77" s="1">
        <v>0.27897239724071349</v>
      </c>
      <c r="M77" s="1">
        <v>0</v>
      </c>
      <c r="N77" s="1">
        <v>6</v>
      </c>
      <c r="O77" s="1">
        <v>0</v>
      </c>
      <c r="P77" s="1">
        <v>0</v>
      </c>
      <c r="Q77" s="1" t="str">
        <f t="shared" si="16"/>
        <v>Downturn</v>
      </c>
      <c r="R77" s="2">
        <f t="shared" si="17"/>
        <v>37011</v>
      </c>
      <c r="S77" s="1">
        <f>VLOOKUP(R77,BB!$A$3:$C$62769, 2, 1)</f>
        <v>5.3380000000000001</v>
      </c>
      <c r="T77" s="1">
        <f t="shared" si="18"/>
        <v>0.45000000000000018</v>
      </c>
      <c r="U77" s="1">
        <f>VLOOKUP(R77,BB!$A$3:$D$6771, 4, 1)</f>
        <v>5.7880000000000003</v>
      </c>
      <c r="V77" s="1" t="str">
        <f t="shared" si="12"/>
        <v/>
      </c>
      <c r="W77" s="1" t="str">
        <f t="shared" si="13"/>
        <v/>
      </c>
      <c r="X77" s="1">
        <f t="shared" si="14"/>
        <v>6.0309999999999997</v>
      </c>
      <c r="Y77" s="1">
        <f t="shared" si="15"/>
        <v>-0.24899999999999967</v>
      </c>
      <c r="Z77" s="1" t="str">
        <f t="shared" si="11"/>
        <v/>
      </c>
      <c r="AL77" s="1">
        <v>0</v>
      </c>
      <c r="AM77" s="1">
        <v>10</v>
      </c>
      <c r="AN77" s="1">
        <v>0</v>
      </c>
      <c r="AO77" s="1">
        <v>0</v>
      </c>
      <c r="AP77" s="1">
        <f t="shared" si="19"/>
        <v>0</v>
      </c>
      <c r="AQ77" s="1">
        <f t="shared" si="20"/>
        <v>6</v>
      </c>
      <c r="AR77" s="1">
        <f t="shared" si="21"/>
        <v>0</v>
      </c>
      <c r="AS77" s="1">
        <f t="shared" si="22"/>
        <v>0</v>
      </c>
    </row>
    <row r="78" spans="1:45" x14ac:dyDescent="0.2">
      <c r="A78" s="2">
        <v>37012</v>
      </c>
      <c r="B78" s="1">
        <v>-0.91484208955403701</v>
      </c>
      <c r="C78" s="1">
        <v>0.42168617078503356</v>
      </c>
      <c r="D78" s="1">
        <v>0.51093293027886599</v>
      </c>
      <c r="E78" s="1">
        <v>0.95393954728485064</v>
      </c>
      <c r="F78" s="1">
        <v>-0.13574678758355715</v>
      </c>
      <c r="G78" s="1">
        <v>-2.4459019683786631</v>
      </c>
      <c r="H78" s="1">
        <v>0.99515484721922376</v>
      </c>
      <c r="I78" s="1">
        <v>0.65971367942295822</v>
      </c>
      <c r="J78" s="1">
        <v>0.29901445700711105</v>
      </c>
      <c r="K78" s="1">
        <v>2.5200938654986427</v>
      </c>
      <c r="L78" s="1">
        <v>0.28640446519804286</v>
      </c>
      <c r="M78" s="1">
        <v>0</v>
      </c>
      <c r="N78" s="1">
        <v>6</v>
      </c>
      <c r="O78" s="1">
        <v>0</v>
      </c>
      <c r="P78" s="1">
        <v>0</v>
      </c>
      <c r="Q78" s="1" t="str">
        <f t="shared" si="16"/>
        <v>Downturn</v>
      </c>
      <c r="R78" s="2">
        <f t="shared" si="17"/>
        <v>37042</v>
      </c>
      <c r="S78" s="1">
        <f>VLOOKUP(R78,BB!$A$3:$C$62769, 2, 1)</f>
        <v>5.3810000000000002</v>
      </c>
      <c r="T78" s="1">
        <f t="shared" si="18"/>
        <v>0.37199999999999989</v>
      </c>
      <c r="U78" s="1">
        <f>VLOOKUP(R78,BB!$A$3:$D$6771, 4, 1)</f>
        <v>5.7530000000000001</v>
      </c>
      <c r="V78" s="1">
        <f t="shared" si="12"/>
        <v>-0.64999999999999947</v>
      </c>
      <c r="W78" s="1">
        <f t="shared" si="13"/>
        <v>0.62099999999999955</v>
      </c>
      <c r="X78" s="1">
        <f t="shared" si="14"/>
        <v>6.0309999999999997</v>
      </c>
      <c r="Y78" s="1">
        <f t="shared" si="15"/>
        <v>-0.24899999999999967</v>
      </c>
      <c r="Z78" s="1" t="str">
        <f t="shared" si="11"/>
        <v>Downturn</v>
      </c>
      <c r="AL78" s="1">
        <v>0</v>
      </c>
      <c r="AM78" s="1">
        <v>10</v>
      </c>
      <c r="AN78" s="1">
        <v>0</v>
      </c>
      <c r="AO78" s="1">
        <v>0</v>
      </c>
      <c r="AP78" s="1">
        <f t="shared" si="19"/>
        <v>0</v>
      </c>
      <c r="AQ78" s="1">
        <f t="shared" si="20"/>
        <v>6</v>
      </c>
      <c r="AR78" s="1">
        <f t="shared" si="21"/>
        <v>0</v>
      </c>
      <c r="AS78" s="1">
        <f t="shared" si="22"/>
        <v>0</v>
      </c>
    </row>
    <row r="79" spans="1:45" x14ac:dyDescent="0.2">
      <c r="A79" s="2">
        <v>37043</v>
      </c>
      <c r="B79" s="1">
        <v>-1.3527096652265032</v>
      </c>
      <c r="C79" s="1">
        <v>0.49611210197920247</v>
      </c>
      <c r="D79" s="1">
        <v>0.48417785151722154</v>
      </c>
      <c r="E79" s="1">
        <v>0.85310094969193084</v>
      </c>
      <c r="F79" s="1">
        <v>-0.59765755402122833</v>
      </c>
      <c r="G79" s="1">
        <v>-1.7897876027655626</v>
      </c>
      <c r="H79" s="1">
        <v>0.8872078996152033</v>
      </c>
      <c r="I79" s="1">
        <v>0.30100018173283605</v>
      </c>
      <c r="J79" s="1">
        <v>-0.61438994985523232</v>
      </c>
      <c r="K79" s="1">
        <v>0.77576693218348547</v>
      </c>
      <c r="L79" s="1">
        <v>-5.5717885514864673E-2</v>
      </c>
      <c r="M79" s="1">
        <v>0</v>
      </c>
      <c r="N79" s="1">
        <v>0</v>
      </c>
      <c r="O79" s="1">
        <v>6</v>
      </c>
      <c r="P79" s="1">
        <v>0</v>
      </c>
      <c r="Q79" s="1" t="str">
        <f t="shared" si="16"/>
        <v>Repair</v>
      </c>
      <c r="R79" s="2">
        <f t="shared" si="17"/>
        <v>37072</v>
      </c>
      <c r="S79" s="1">
        <f>VLOOKUP(R79,BB!$A$3:$C$62769, 2, 1)</f>
        <v>5.4119999999999999</v>
      </c>
      <c r="T79" s="1">
        <f t="shared" si="18"/>
        <v>0.34700000000000042</v>
      </c>
      <c r="U79" s="1">
        <f>VLOOKUP(R79,BB!$A$3:$D$6771, 4, 1)</f>
        <v>5.7590000000000003</v>
      </c>
      <c r="V79" s="1" t="str">
        <f t="shared" si="12"/>
        <v/>
      </c>
      <c r="W79" s="1" t="str">
        <f t="shared" si="13"/>
        <v/>
      </c>
      <c r="X79" s="1">
        <f t="shared" si="14"/>
        <v>5.3810000000000002</v>
      </c>
      <c r="Y79" s="1">
        <f t="shared" si="15"/>
        <v>0.37199999999999989</v>
      </c>
      <c r="Z79" s="1" t="str">
        <f t="shared" si="11"/>
        <v/>
      </c>
      <c r="AL79" s="1">
        <v>0</v>
      </c>
      <c r="AM79" s="1">
        <v>0</v>
      </c>
      <c r="AN79" s="1">
        <v>10</v>
      </c>
      <c r="AO79" s="1">
        <v>0</v>
      </c>
      <c r="AP79" s="1">
        <f t="shared" si="19"/>
        <v>0</v>
      </c>
      <c r="AQ79" s="1">
        <f t="shared" si="20"/>
        <v>0</v>
      </c>
      <c r="AR79" s="1">
        <f t="shared" si="21"/>
        <v>6</v>
      </c>
      <c r="AS79" s="1">
        <f t="shared" si="22"/>
        <v>0</v>
      </c>
    </row>
    <row r="80" spans="1:45" x14ac:dyDescent="0.2">
      <c r="A80" s="2">
        <v>37073</v>
      </c>
      <c r="B80" s="1">
        <v>-1.4775604948749697</v>
      </c>
      <c r="C80" s="1">
        <v>0.43615104459372084</v>
      </c>
      <c r="D80" s="1">
        <v>0.5969718599223417</v>
      </c>
      <c r="E80" s="1">
        <v>0.83862680161999414</v>
      </c>
      <c r="F80" s="1">
        <v>-1.1261266298198918</v>
      </c>
      <c r="G80" s="1">
        <v>-2.018128648965634</v>
      </c>
      <c r="H80" s="1">
        <v>0.7011569037924873</v>
      </c>
      <c r="I80" s="1">
        <v>0.46167314062887599</v>
      </c>
      <c r="J80" s="1">
        <v>0.69921399515062288</v>
      </c>
      <c r="K80" s="1">
        <v>0.59479650242568094</v>
      </c>
      <c r="L80" s="1">
        <v>-2.9322552552677194E-2</v>
      </c>
      <c r="M80" s="1">
        <v>0</v>
      </c>
      <c r="N80" s="1">
        <v>0</v>
      </c>
      <c r="O80" s="1">
        <v>6</v>
      </c>
      <c r="P80" s="1">
        <v>0</v>
      </c>
      <c r="Q80" s="1" t="str">
        <f t="shared" si="16"/>
        <v>Repair</v>
      </c>
      <c r="R80" s="2">
        <f t="shared" si="17"/>
        <v>37103</v>
      </c>
      <c r="S80" s="1">
        <f>VLOOKUP(R80,BB!$A$3:$C$62769, 2, 1)</f>
        <v>5.0540000000000003</v>
      </c>
      <c r="T80" s="1">
        <f t="shared" si="18"/>
        <v>0.46799999999999997</v>
      </c>
      <c r="U80" s="1">
        <f>VLOOKUP(R80,BB!$A$3:$D$6771, 4, 1)</f>
        <v>5.5220000000000002</v>
      </c>
      <c r="V80" s="1" t="str">
        <f t="shared" si="12"/>
        <v/>
      </c>
      <c r="W80" s="1" t="str">
        <f t="shared" si="13"/>
        <v/>
      </c>
      <c r="X80" s="1">
        <f t="shared" si="14"/>
        <v>5.3810000000000002</v>
      </c>
      <c r="Y80" s="1">
        <f t="shared" si="15"/>
        <v>0.37199999999999989</v>
      </c>
      <c r="Z80" s="1" t="str">
        <f t="shared" si="11"/>
        <v/>
      </c>
      <c r="AL80" s="1">
        <v>0</v>
      </c>
      <c r="AM80" s="1">
        <v>0</v>
      </c>
      <c r="AN80" s="1">
        <v>10</v>
      </c>
      <c r="AO80" s="1">
        <v>0</v>
      </c>
      <c r="AP80" s="1">
        <f t="shared" si="19"/>
        <v>0</v>
      </c>
      <c r="AQ80" s="1">
        <f t="shared" si="20"/>
        <v>0</v>
      </c>
      <c r="AR80" s="1">
        <f t="shared" si="21"/>
        <v>6</v>
      </c>
      <c r="AS80" s="1">
        <f t="shared" si="22"/>
        <v>0</v>
      </c>
    </row>
    <row r="81" spans="1:45" x14ac:dyDescent="0.2">
      <c r="A81" s="2">
        <v>37104</v>
      </c>
      <c r="B81" s="1">
        <v>-1.260291885050506</v>
      </c>
      <c r="C81" s="1">
        <v>0.34801912691846892</v>
      </c>
      <c r="D81" s="1">
        <v>0.52999212595884815</v>
      </c>
      <c r="E81" s="1">
        <v>0.48204469227823465</v>
      </c>
      <c r="F81" s="1">
        <v>-1.7485137205731909</v>
      </c>
      <c r="G81" s="1">
        <v>-0.966119048863332</v>
      </c>
      <c r="H81" s="1">
        <v>0.48215068337128442</v>
      </c>
      <c r="I81" s="1">
        <v>0.66924899359526913</v>
      </c>
      <c r="J81" s="1">
        <v>-0.21007055656919554</v>
      </c>
      <c r="K81" s="1">
        <v>0.5818488324644977</v>
      </c>
      <c r="L81" s="1">
        <v>-0.10916907564696214</v>
      </c>
      <c r="M81" s="1">
        <v>0</v>
      </c>
      <c r="N81" s="1">
        <v>0</v>
      </c>
      <c r="O81" s="1">
        <v>6</v>
      </c>
      <c r="P81" s="1">
        <v>0</v>
      </c>
      <c r="Q81" s="1" t="str">
        <f t="shared" si="16"/>
        <v>Repair</v>
      </c>
      <c r="R81" s="2">
        <f t="shared" si="17"/>
        <v>37134</v>
      </c>
      <c r="S81" s="1">
        <f>VLOOKUP(R81,BB!$A$3:$C$62769, 2, 1)</f>
        <v>4.8319999999999999</v>
      </c>
      <c r="T81" s="1">
        <f t="shared" si="18"/>
        <v>0.53600000000000048</v>
      </c>
      <c r="U81" s="1">
        <f>VLOOKUP(R81,BB!$A$3:$D$6771, 4, 1)</f>
        <v>5.3680000000000003</v>
      </c>
      <c r="V81" s="1" t="str">
        <f t="shared" si="12"/>
        <v/>
      </c>
      <c r="W81" s="1" t="str">
        <f t="shared" si="13"/>
        <v/>
      </c>
      <c r="X81" s="1">
        <f t="shared" si="14"/>
        <v>5.3810000000000002</v>
      </c>
      <c r="Y81" s="1">
        <f t="shared" si="15"/>
        <v>0.37199999999999989</v>
      </c>
      <c r="Z81" s="1" t="str">
        <f t="shared" si="11"/>
        <v/>
      </c>
      <c r="AL81" s="1">
        <v>0</v>
      </c>
      <c r="AM81" s="1">
        <v>0</v>
      </c>
      <c r="AN81" s="1">
        <v>10</v>
      </c>
      <c r="AO81" s="1">
        <v>0</v>
      </c>
      <c r="AP81" s="1">
        <f t="shared" si="19"/>
        <v>0</v>
      </c>
      <c r="AQ81" s="1">
        <f t="shared" si="20"/>
        <v>0</v>
      </c>
      <c r="AR81" s="1">
        <f t="shared" si="21"/>
        <v>6</v>
      </c>
      <c r="AS81" s="1">
        <f t="shared" si="22"/>
        <v>0</v>
      </c>
    </row>
    <row r="82" spans="1:45" x14ac:dyDescent="0.2">
      <c r="A82" s="2">
        <v>37135</v>
      </c>
      <c r="B82" s="1">
        <v>-1.3476226667889271</v>
      </c>
      <c r="C82" s="1">
        <v>-0.25603251844512354</v>
      </c>
      <c r="D82" s="1">
        <v>1.2151378452869706</v>
      </c>
      <c r="E82" s="1">
        <v>0.47036596931086233</v>
      </c>
      <c r="F82" s="1">
        <v>-2.4269015442976283</v>
      </c>
      <c r="G82" s="1">
        <v>-1.1626129259675233</v>
      </c>
      <c r="H82" s="1">
        <v>0.28820621833783289</v>
      </c>
      <c r="I82" s="1">
        <v>0.8701901236716616</v>
      </c>
      <c r="J82" s="1">
        <v>-1.2244140007923099E-2</v>
      </c>
      <c r="K82" s="1">
        <v>0.55038126691447764</v>
      </c>
      <c r="L82" s="1">
        <v>-0.18111323719853203</v>
      </c>
      <c r="M82" s="1">
        <v>0</v>
      </c>
      <c r="N82" s="1">
        <v>0</v>
      </c>
      <c r="O82" s="1">
        <v>6</v>
      </c>
      <c r="P82" s="1">
        <v>0</v>
      </c>
      <c r="Q82" s="1" t="str">
        <f t="shared" si="16"/>
        <v>Repair</v>
      </c>
      <c r="R82" s="2">
        <f t="shared" si="17"/>
        <v>37164</v>
      </c>
      <c r="S82" s="1">
        <f>VLOOKUP(R82,BB!$A$3:$C$62769, 2, 1)</f>
        <v>4.5880000000000001</v>
      </c>
      <c r="T82" s="1">
        <f t="shared" si="18"/>
        <v>0.83300000000000018</v>
      </c>
      <c r="U82" s="1">
        <f>VLOOKUP(R82,BB!$A$3:$D$6771, 4, 1)</f>
        <v>5.4210000000000003</v>
      </c>
      <c r="V82" s="1" t="str">
        <f t="shared" si="12"/>
        <v/>
      </c>
      <c r="W82" s="1" t="str">
        <f t="shared" si="13"/>
        <v/>
      </c>
      <c r="X82" s="1">
        <f t="shared" ref="X82:X145" si="23">IF(Q82&lt;&gt;Q81,S81, X81)</f>
        <v>5.3810000000000002</v>
      </c>
      <c r="Y82" s="1">
        <f t="shared" ref="Y82:Y145" si="24">IF(Q82&lt;&gt;Q81,T81, Y81)</f>
        <v>0.37199999999999989</v>
      </c>
      <c r="Z82" s="1" t="str">
        <f t="shared" si="11"/>
        <v/>
      </c>
      <c r="AL82" s="1">
        <v>0</v>
      </c>
      <c r="AM82" s="1">
        <v>0</v>
      </c>
      <c r="AN82" s="1">
        <v>10</v>
      </c>
      <c r="AO82" s="1">
        <v>0</v>
      </c>
      <c r="AP82" s="1">
        <f t="shared" si="19"/>
        <v>0</v>
      </c>
      <c r="AQ82" s="1">
        <f t="shared" si="20"/>
        <v>0</v>
      </c>
      <c r="AR82" s="1">
        <f t="shared" si="21"/>
        <v>6</v>
      </c>
      <c r="AS82" s="1">
        <f t="shared" si="22"/>
        <v>0</v>
      </c>
    </row>
    <row r="83" spans="1:45" x14ac:dyDescent="0.2">
      <c r="A83" s="2">
        <v>37165</v>
      </c>
      <c r="B83" s="1">
        <v>-2.0616513647999772</v>
      </c>
      <c r="C83" s="1">
        <v>-0.69738952052754</v>
      </c>
      <c r="D83" s="1">
        <v>1.3000909463055597</v>
      </c>
      <c r="E83" s="1">
        <v>2.5962333215953908E-2</v>
      </c>
      <c r="F83" s="1">
        <v>-2.9174599698715458</v>
      </c>
      <c r="G83" s="1">
        <v>-2.8151591781629701</v>
      </c>
      <c r="H83" s="1">
        <v>0.15897913832274771</v>
      </c>
      <c r="I83" s="1">
        <v>1.128628664457511</v>
      </c>
      <c r="J83" s="1">
        <v>-0.55663622734054408</v>
      </c>
      <c r="K83" s="1">
        <v>0.72301162637936567</v>
      </c>
      <c r="L83" s="1">
        <v>-0.57116235520214387</v>
      </c>
      <c r="M83" s="1">
        <v>0</v>
      </c>
      <c r="N83" s="1">
        <v>0</v>
      </c>
      <c r="O83" s="1">
        <v>6</v>
      </c>
      <c r="P83" s="1">
        <v>0</v>
      </c>
      <c r="Q83" s="1" t="str">
        <f t="shared" si="16"/>
        <v>Repair</v>
      </c>
      <c r="R83" s="2">
        <f t="shared" si="17"/>
        <v>37195</v>
      </c>
      <c r="S83" s="1">
        <f>VLOOKUP(R83,BB!$A$3:$C$62769, 2, 1)</f>
        <v>4.2320000000000002</v>
      </c>
      <c r="T83" s="1">
        <f t="shared" si="18"/>
        <v>0.64199999999999946</v>
      </c>
      <c r="U83" s="1">
        <f>VLOOKUP(R83,BB!$A$3:$D$6771, 4, 1)</f>
        <v>4.8739999999999997</v>
      </c>
      <c r="V83" s="1" t="str">
        <f t="shared" si="12"/>
        <v/>
      </c>
      <c r="W83" s="1" t="str">
        <f t="shared" si="13"/>
        <v/>
      </c>
      <c r="X83" s="1">
        <f t="shared" si="23"/>
        <v>5.3810000000000002</v>
      </c>
      <c r="Y83" s="1">
        <f t="shared" si="24"/>
        <v>0.37199999999999989</v>
      </c>
      <c r="Z83" s="1" t="str">
        <f t="shared" si="11"/>
        <v/>
      </c>
      <c r="AL83" s="1">
        <v>0</v>
      </c>
      <c r="AM83" s="1">
        <v>0</v>
      </c>
      <c r="AN83" s="1">
        <v>10</v>
      </c>
      <c r="AO83" s="1">
        <v>0</v>
      </c>
      <c r="AP83" s="1">
        <f t="shared" si="19"/>
        <v>0</v>
      </c>
      <c r="AQ83" s="1">
        <f t="shared" si="20"/>
        <v>0</v>
      </c>
      <c r="AR83" s="1">
        <f t="shared" si="21"/>
        <v>6</v>
      </c>
      <c r="AS83" s="1">
        <f t="shared" si="22"/>
        <v>0</v>
      </c>
    </row>
    <row r="84" spans="1:45" x14ac:dyDescent="0.2">
      <c r="A84" s="2">
        <v>37196</v>
      </c>
      <c r="B84" s="1">
        <v>-2.8577641189423311</v>
      </c>
      <c r="C84" s="1">
        <v>-0.83031161687922594</v>
      </c>
      <c r="D84" s="1">
        <v>1.4283735146525811</v>
      </c>
      <c r="E84" s="1">
        <v>-0.2471402726503418</v>
      </c>
      <c r="F84" s="1">
        <v>-3.1850649437772329</v>
      </c>
      <c r="G84" s="1">
        <v>-1.6450947725252749</v>
      </c>
      <c r="H84" s="1">
        <v>0.13016024521156597</v>
      </c>
      <c r="I84" s="1">
        <v>0.90276971383120719</v>
      </c>
      <c r="J84" s="1">
        <v>0.2076355105135391</v>
      </c>
      <c r="K84" s="1">
        <v>0.81088295545833133</v>
      </c>
      <c r="L84" s="1">
        <v>-0.52855537851071821</v>
      </c>
      <c r="M84" s="1">
        <v>0</v>
      </c>
      <c r="N84" s="1">
        <v>0</v>
      </c>
      <c r="O84" s="1">
        <v>6</v>
      </c>
      <c r="P84" s="1">
        <v>0</v>
      </c>
      <c r="Q84" s="1" t="str">
        <f t="shared" si="16"/>
        <v>Repair</v>
      </c>
      <c r="R84" s="2">
        <f t="shared" si="17"/>
        <v>37225</v>
      </c>
      <c r="S84" s="1">
        <f>VLOOKUP(R84,BB!$A$3:$C$62769, 2, 1)</f>
        <v>4.7519999999999998</v>
      </c>
      <c r="T84" s="1">
        <f t="shared" si="18"/>
        <v>0.53399999999999981</v>
      </c>
      <c r="U84" s="1">
        <f>VLOOKUP(R84,BB!$A$3:$D$6771, 4, 1)</f>
        <v>5.2859999999999996</v>
      </c>
      <c r="V84" s="1" t="str">
        <f t="shared" si="12"/>
        <v/>
      </c>
      <c r="W84" s="1" t="str">
        <f t="shared" si="13"/>
        <v/>
      </c>
      <c r="X84" s="1">
        <f t="shared" si="23"/>
        <v>5.3810000000000002</v>
      </c>
      <c r="Y84" s="1">
        <f t="shared" si="24"/>
        <v>0.37199999999999989</v>
      </c>
      <c r="Z84" s="1" t="str">
        <f t="shared" si="11"/>
        <v/>
      </c>
      <c r="AL84" s="1">
        <v>0</v>
      </c>
      <c r="AM84" s="1">
        <v>0</v>
      </c>
      <c r="AN84" s="1">
        <v>10</v>
      </c>
      <c r="AO84" s="1">
        <v>0</v>
      </c>
      <c r="AP84" s="1">
        <f t="shared" si="19"/>
        <v>0</v>
      </c>
      <c r="AQ84" s="1">
        <f t="shared" si="20"/>
        <v>0</v>
      </c>
      <c r="AR84" s="1">
        <f t="shared" si="21"/>
        <v>6</v>
      </c>
      <c r="AS84" s="1">
        <f t="shared" si="22"/>
        <v>0</v>
      </c>
    </row>
    <row r="85" spans="1:45" x14ac:dyDescent="0.2">
      <c r="A85" s="2">
        <v>37226</v>
      </c>
      <c r="B85" s="1">
        <v>-2.7428354074984784</v>
      </c>
      <c r="C85" s="1">
        <v>-0.42957925765677235</v>
      </c>
      <c r="D85" s="1">
        <v>1.5764360897353038</v>
      </c>
      <c r="E85" s="1">
        <v>-0.34653019215054903</v>
      </c>
      <c r="F85" s="1">
        <v>-3.2949740933955538</v>
      </c>
      <c r="G85" s="1">
        <v>-0.79517312916323424</v>
      </c>
      <c r="H85" s="1">
        <v>0.12118221209283929</v>
      </c>
      <c r="I85" s="1">
        <v>0.82890178150103644</v>
      </c>
      <c r="J85" s="1">
        <v>-0.11322460111499044</v>
      </c>
      <c r="K85" s="1">
        <v>0.68618841326745794</v>
      </c>
      <c r="L85" s="1">
        <v>-0.450960818438294</v>
      </c>
      <c r="M85" s="1">
        <v>0</v>
      </c>
      <c r="N85" s="1">
        <v>0</v>
      </c>
      <c r="O85" s="1">
        <v>6</v>
      </c>
      <c r="P85" s="1">
        <v>0</v>
      </c>
      <c r="Q85" s="1" t="str">
        <f t="shared" si="16"/>
        <v>Repair</v>
      </c>
      <c r="R85" s="2">
        <f t="shared" si="17"/>
        <v>37256</v>
      </c>
      <c r="S85" s="1">
        <f>VLOOKUP(R85,BB!$A$3:$C$62769, 2, 1)</f>
        <v>5.0510000000000002</v>
      </c>
      <c r="T85" s="1">
        <f t="shared" si="18"/>
        <v>0.41500000000000004</v>
      </c>
      <c r="U85" s="1">
        <f>VLOOKUP(R85,BB!$A$3:$D$6771, 4, 1)</f>
        <v>5.4660000000000002</v>
      </c>
      <c r="V85" s="1" t="str">
        <f t="shared" si="12"/>
        <v/>
      </c>
      <c r="W85" s="1" t="str">
        <f t="shared" si="13"/>
        <v/>
      </c>
      <c r="X85" s="1">
        <f t="shared" si="23"/>
        <v>5.3810000000000002</v>
      </c>
      <c r="Y85" s="1">
        <f t="shared" si="24"/>
        <v>0.37199999999999989</v>
      </c>
      <c r="Z85" s="1" t="str">
        <f t="shared" si="11"/>
        <v/>
      </c>
      <c r="AL85" s="1">
        <v>0</v>
      </c>
      <c r="AM85" s="1">
        <v>0</v>
      </c>
      <c r="AN85" s="1">
        <v>10</v>
      </c>
      <c r="AO85" s="1">
        <v>0</v>
      </c>
      <c r="AP85" s="1">
        <f t="shared" si="19"/>
        <v>0</v>
      </c>
      <c r="AQ85" s="1">
        <f t="shared" si="20"/>
        <v>0</v>
      </c>
      <c r="AR85" s="1">
        <f t="shared" si="21"/>
        <v>6</v>
      </c>
      <c r="AS85" s="1">
        <f t="shared" si="22"/>
        <v>0</v>
      </c>
    </row>
    <row r="86" spans="1:45" x14ac:dyDescent="0.2">
      <c r="A86" s="2">
        <v>37257</v>
      </c>
      <c r="B86" s="1">
        <v>-1.9965729317875081</v>
      </c>
      <c r="C86" s="1">
        <v>-0.31540115741591479</v>
      </c>
      <c r="D86" s="1">
        <v>1.3817372285589042</v>
      </c>
      <c r="E86" s="1">
        <v>-0.1837614905492409</v>
      </c>
      <c r="F86" s="1">
        <v>-3.5151794003432286</v>
      </c>
      <c r="G86" s="1">
        <v>-0.42016777898578889</v>
      </c>
      <c r="H86" s="1">
        <v>6.1686419525120613E-2</v>
      </c>
      <c r="I86" s="1">
        <v>0.78523555965448533</v>
      </c>
      <c r="J86" s="1">
        <v>-0.89600548349948639</v>
      </c>
      <c r="K86" s="1">
        <v>0.36895075830984003</v>
      </c>
      <c r="L86" s="1">
        <v>-0.47294782765328175</v>
      </c>
      <c r="M86" s="1">
        <v>0</v>
      </c>
      <c r="N86" s="1">
        <v>0</v>
      </c>
      <c r="O86" s="1">
        <v>6</v>
      </c>
      <c r="P86" s="1">
        <v>0</v>
      </c>
      <c r="Q86" s="1" t="str">
        <f t="shared" si="16"/>
        <v>Repair</v>
      </c>
      <c r="R86" s="2">
        <f t="shared" si="17"/>
        <v>37287</v>
      </c>
      <c r="S86" s="1">
        <f>VLOOKUP(R86,BB!$A$3:$C$62769, 2, 1)</f>
        <v>5.0330000000000004</v>
      </c>
      <c r="T86" s="1">
        <f t="shared" si="18"/>
        <v>0.39799999999999969</v>
      </c>
      <c r="U86" s="1">
        <f>VLOOKUP(R86,BB!$A$3:$D$6771, 4, 1)</f>
        <v>5.431</v>
      </c>
      <c r="V86" s="1" t="str">
        <f t="shared" si="12"/>
        <v/>
      </c>
      <c r="W86" s="1" t="str">
        <f t="shared" si="13"/>
        <v/>
      </c>
      <c r="X86" s="1">
        <f t="shared" si="23"/>
        <v>5.3810000000000002</v>
      </c>
      <c r="Y86" s="1">
        <f t="shared" si="24"/>
        <v>0.37199999999999989</v>
      </c>
      <c r="Z86" s="1" t="str">
        <f t="shared" si="11"/>
        <v/>
      </c>
      <c r="AL86" s="1">
        <v>0</v>
      </c>
      <c r="AM86" s="1">
        <v>0</v>
      </c>
      <c r="AN86" s="1">
        <v>10</v>
      </c>
      <c r="AO86" s="1">
        <v>0</v>
      </c>
      <c r="AP86" s="1">
        <f t="shared" si="19"/>
        <v>0</v>
      </c>
      <c r="AQ86" s="1">
        <f t="shared" si="20"/>
        <v>0</v>
      </c>
      <c r="AR86" s="1">
        <f t="shared" si="21"/>
        <v>6</v>
      </c>
      <c r="AS86" s="1">
        <f t="shared" si="22"/>
        <v>0</v>
      </c>
    </row>
    <row r="87" spans="1:45" x14ac:dyDescent="0.2">
      <c r="A87" s="2">
        <v>37288</v>
      </c>
      <c r="B87" s="1">
        <v>-1.3716255312351759</v>
      </c>
      <c r="C87" s="1">
        <v>-0.45673009696858774</v>
      </c>
      <c r="D87" s="1">
        <v>1.3178652654211978</v>
      </c>
      <c r="E87" s="1">
        <v>-0.10875579779817372</v>
      </c>
      <c r="F87" s="1">
        <v>-3.6954645247824152</v>
      </c>
      <c r="G87" s="1">
        <v>0.64907411024436501</v>
      </c>
      <c r="H87" s="1">
        <v>-7.2299332226409746E-2</v>
      </c>
      <c r="I87" s="1">
        <v>0.94122916400574563</v>
      </c>
      <c r="J87" s="1">
        <v>-0.82423384455800397</v>
      </c>
      <c r="K87" s="1">
        <v>0.18246926833272417</v>
      </c>
      <c r="L87" s="1">
        <v>-0.34384713195647332</v>
      </c>
      <c r="M87" s="1">
        <v>0</v>
      </c>
      <c r="N87" s="1">
        <v>0</v>
      </c>
      <c r="O87" s="1">
        <v>6</v>
      </c>
      <c r="P87" s="1">
        <v>0</v>
      </c>
      <c r="Q87" s="1" t="str">
        <f t="shared" si="16"/>
        <v>Repair</v>
      </c>
      <c r="R87" s="2">
        <f t="shared" si="17"/>
        <v>37315</v>
      </c>
      <c r="S87" s="1">
        <f>VLOOKUP(R87,BB!$A$3:$C$62769, 2, 1)</f>
        <v>4.8769999999999998</v>
      </c>
      <c r="T87" s="1">
        <f t="shared" si="18"/>
        <v>0.54</v>
      </c>
      <c r="U87" s="1">
        <f>VLOOKUP(R87,BB!$A$3:$D$6771, 4, 1)</f>
        <v>5.4169999999999998</v>
      </c>
      <c r="V87" s="1" t="str">
        <f t="shared" si="12"/>
        <v/>
      </c>
      <c r="W87" s="1" t="str">
        <f t="shared" si="13"/>
        <v/>
      </c>
      <c r="X87" s="1">
        <f t="shared" si="23"/>
        <v>5.3810000000000002</v>
      </c>
      <c r="Y87" s="1">
        <f t="shared" si="24"/>
        <v>0.37199999999999989</v>
      </c>
      <c r="Z87" s="1" t="str">
        <f t="shared" si="11"/>
        <v/>
      </c>
      <c r="AL87" s="1">
        <v>0</v>
      </c>
      <c r="AM87" s="1">
        <v>0</v>
      </c>
      <c r="AN87" s="1">
        <v>10</v>
      </c>
      <c r="AO87" s="1">
        <v>0</v>
      </c>
      <c r="AP87" s="1">
        <f t="shared" si="19"/>
        <v>0</v>
      </c>
      <c r="AQ87" s="1">
        <f t="shared" si="20"/>
        <v>0</v>
      </c>
      <c r="AR87" s="1">
        <f t="shared" si="21"/>
        <v>6</v>
      </c>
      <c r="AS87" s="1">
        <f t="shared" si="22"/>
        <v>0</v>
      </c>
    </row>
    <row r="88" spans="1:45" x14ac:dyDescent="0.2">
      <c r="A88" s="2">
        <v>37316</v>
      </c>
      <c r="B88" s="1">
        <v>-1.0175233964473587</v>
      </c>
      <c r="C88" s="1">
        <v>0.13924223554803405</v>
      </c>
      <c r="D88" s="1">
        <v>1.1560154130206597</v>
      </c>
      <c r="E88" s="1">
        <v>-0.30733464762797252</v>
      </c>
      <c r="F88" s="1">
        <v>-3.7486050634883865</v>
      </c>
      <c r="G88" s="1">
        <v>0.84566160904385002</v>
      </c>
      <c r="H88" s="1">
        <v>-0.17999698594603417</v>
      </c>
      <c r="I88" s="1">
        <v>1.3600324760372065</v>
      </c>
      <c r="J88" s="1">
        <v>-0.89703783913373725</v>
      </c>
      <c r="K88" s="1">
        <v>0.39039243616631913</v>
      </c>
      <c r="L88" s="1">
        <v>-0.22591537628274203</v>
      </c>
      <c r="M88" s="1">
        <v>0</v>
      </c>
      <c r="N88" s="1">
        <v>0</v>
      </c>
      <c r="O88" s="1">
        <v>6</v>
      </c>
      <c r="P88" s="1">
        <v>0</v>
      </c>
      <c r="Q88" s="1" t="str">
        <f t="shared" si="16"/>
        <v>Repair</v>
      </c>
      <c r="R88" s="2">
        <f t="shared" si="17"/>
        <v>37346</v>
      </c>
      <c r="S88" s="1">
        <f>VLOOKUP(R88,BB!$A$3:$C$62769, 2, 1)</f>
        <v>5.3959999999999999</v>
      </c>
      <c r="T88" s="1">
        <f t="shared" si="18"/>
        <v>0.39900000000000002</v>
      </c>
      <c r="U88" s="1">
        <f>VLOOKUP(R88,BB!$A$3:$D$6771, 4, 1)</f>
        <v>5.7949999999999999</v>
      </c>
      <c r="V88" s="1">
        <f t="shared" si="12"/>
        <v>1.499999999999968E-2</v>
      </c>
      <c r="W88" s="1">
        <f t="shared" si="13"/>
        <v>2.7000000000000135E-2</v>
      </c>
      <c r="X88" s="1">
        <f t="shared" si="23"/>
        <v>5.3810000000000002</v>
      </c>
      <c r="Y88" s="1">
        <f t="shared" si="24"/>
        <v>0.37199999999999989</v>
      </c>
      <c r="Z88" s="1" t="str">
        <f t="shared" si="11"/>
        <v>Repair</v>
      </c>
      <c r="AL88" s="1">
        <v>0</v>
      </c>
      <c r="AM88" s="1">
        <v>0</v>
      </c>
      <c r="AN88" s="1">
        <v>10</v>
      </c>
      <c r="AO88" s="1">
        <v>0</v>
      </c>
      <c r="AP88" s="1">
        <f t="shared" si="19"/>
        <v>0</v>
      </c>
      <c r="AQ88" s="1">
        <f t="shared" si="20"/>
        <v>0</v>
      </c>
      <c r="AR88" s="1">
        <f t="shared" si="21"/>
        <v>6</v>
      </c>
      <c r="AS88" s="1">
        <f t="shared" si="22"/>
        <v>0</v>
      </c>
    </row>
    <row r="89" spans="1:45" x14ac:dyDescent="0.2">
      <c r="A89" s="2">
        <v>37347</v>
      </c>
      <c r="B89" s="1">
        <v>-1.357514073196715</v>
      </c>
      <c r="C89" s="1">
        <v>6.9143283078624537E-2</v>
      </c>
      <c r="D89" s="1">
        <v>1.3941928687858005</v>
      </c>
      <c r="E89" s="1">
        <v>-0.60275740415636914</v>
      </c>
      <c r="F89" s="1">
        <v>-3.4732087540642036</v>
      </c>
      <c r="G89" s="1">
        <v>0.46283601737512159</v>
      </c>
      <c r="H89" s="1">
        <v>-0.24551126457301073</v>
      </c>
      <c r="I89" s="1">
        <v>1.4695834703002593</v>
      </c>
      <c r="J89" s="1">
        <v>-0.82870895018525148</v>
      </c>
      <c r="K89" s="1">
        <v>0.17974504280359468</v>
      </c>
      <c r="L89" s="1">
        <v>-0.29321997638321495</v>
      </c>
      <c r="M89" s="1">
        <v>0</v>
      </c>
      <c r="N89" s="1">
        <v>0</v>
      </c>
      <c r="O89" s="1">
        <v>0</v>
      </c>
      <c r="P89" s="1">
        <v>6</v>
      </c>
      <c r="Q89" s="1" t="str">
        <f t="shared" si="16"/>
        <v>Recovery</v>
      </c>
      <c r="R89" s="2">
        <f t="shared" si="17"/>
        <v>37376</v>
      </c>
      <c r="S89" s="1">
        <f>VLOOKUP(R89,BB!$A$3:$C$62769, 2, 1)</f>
        <v>5.0846999999999998</v>
      </c>
      <c r="T89" s="1">
        <f t="shared" si="18"/>
        <v>0.50710000000000033</v>
      </c>
      <c r="U89" s="1">
        <f>VLOOKUP(R89,BB!$A$3:$D$6771, 4, 1)</f>
        <v>5.5918000000000001</v>
      </c>
      <c r="V89" s="1" t="str">
        <f t="shared" si="12"/>
        <v/>
      </c>
      <c r="W89" s="1" t="str">
        <f t="shared" si="13"/>
        <v/>
      </c>
      <c r="X89" s="1">
        <f t="shared" si="23"/>
        <v>5.3959999999999999</v>
      </c>
      <c r="Y89" s="1">
        <f t="shared" si="24"/>
        <v>0.39900000000000002</v>
      </c>
      <c r="Z89" s="1" t="str">
        <f t="shared" si="11"/>
        <v/>
      </c>
      <c r="AL89" s="1">
        <v>0</v>
      </c>
      <c r="AM89" s="1">
        <v>0</v>
      </c>
      <c r="AN89" s="1">
        <v>0</v>
      </c>
      <c r="AO89" s="1">
        <v>10</v>
      </c>
      <c r="AP89" s="1">
        <f t="shared" si="19"/>
        <v>0</v>
      </c>
      <c r="AQ89" s="1">
        <f t="shared" si="20"/>
        <v>0</v>
      </c>
      <c r="AR89" s="1">
        <f t="shared" si="21"/>
        <v>0</v>
      </c>
      <c r="AS89" s="1">
        <f t="shared" si="22"/>
        <v>6</v>
      </c>
    </row>
    <row r="90" spans="1:45" x14ac:dyDescent="0.2">
      <c r="A90" s="2">
        <v>37377</v>
      </c>
      <c r="B90" s="1">
        <v>-1.7717976987054502</v>
      </c>
      <c r="C90" s="1">
        <v>9.5131862204272971E-2</v>
      </c>
      <c r="D90" s="1">
        <v>1.3852777898135482</v>
      </c>
      <c r="E90" s="1">
        <v>-0.43432302489502772</v>
      </c>
      <c r="F90" s="1">
        <v>-3.0975024583549025</v>
      </c>
      <c r="G90" s="1">
        <v>0.86189270336360579</v>
      </c>
      <c r="H90" s="1">
        <v>-0.27514102367543786</v>
      </c>
      <c r="I90" s="1">
        <v>1.2894084308769624</v>
      </c>
      <c r="J90" s="1">
        <v>-0.59530047047695567</v>
      </c>
      <c r="K90" s="1">
        <v>0.21483703321544109</v>
      </c>
      <c r="L90" s="1">
        <v>-0.2327516856633943</v>
      </c>
      <c r="M90" s="1">
        <v>0</v>
      </c>
      <c r="N90" s="1">
        <v>0</v>
      </c>
      <c r="O90" s="1">
        <v>0</v>
      </c>
      <c r="P90" s="1">
        <v>6</v>
      </c>
      <c r="Q90" s="1" t="str">
        <f t="shared" si="16"/>
        <v>Recovery</v>
      </c>
      <c r="R90" s="2">
        <f t="shared" si="17"/>
        <v>37407</v>
      </c>
      <c r="S90" s="1">
        <f>VLOOKUP(R90,BB!$A$3:$C$62769, 2, 1)</f>
        <v>5.0427</v>
      </c>
      <c r="T90" s="1">
        <f t="shared" si="18"/>
        <v>0.57200000000000006</v>
      </c>
      <c r="U90" s="1">
        <f>VLOOKUP(R90,BB!$A$3:$D$6771, 4, 1)</f>
        <v>5.6147</v>
      </c>
      <c r="V90" s="1">
        <f t="shared" si="12"/>
        <v>-0.35329999999999995</v>
      </c>
      <c r="W90" s="1">
        <f t="shared" si="13"/>
        <v>0.17300000000000004</v>
      </c>
      <c r="X90" s="1">
        <f t="shared" si="23"/>
        <v>5.3959999999999999</v>
      </c>
      <c r="Y90" s="1">
        <f t="shared" si="24"/>
        <v>0.39900000000000002</v>
      </c>
      <c r="Z90" s="1" t="str">
        <f t="shared" si="11"/>
        <v>Recovery</v>
      </c>
      <c r="AL90" s="1">
        <v>0</v>
      </c>
      <c r="AM90" s="1">
        <v>0</v>
      </c>
      <c r="AN90" s="1">
        <v>0</v>
      </c>
      <c r="AO90" s="1">
        <v>10</v>
      </c>
      <c r="AP90" s="1">
        <f t="shared" si="19"/>
        <v>0</v>
      </c>
      <c r="AQ90" s="1">
        <f t="shared" si="20"/>
        <v>0</v>
      </c>
      <c r="AR90" s="1">
        <f t="shared" si="21"/>
        <v>0</v>
      </c>
      <c r="AS90" s="1">
        <f t="shared" si="22"/>
        <v>6</v>
      </c>
    </row>
    <row r="91" spans="1:45" x14ac:dyDescent="0.2">
      <c r="A91" s="2">
        <v>37408</v>
      </c>
      <c r="B91" s="1">
        <v>-1.7804357377765261</v>
      </c>
      <c r="C91" s="1">
        <v>-5.2495241999437135E-2</v>
      </c>
      <c r="D91" s="1">
        <v>1.5720044525220149</v>
      </c>
      <c r="E91" s="1">
        <v>-0.55250771001151611</v>
      </c>
      <c r="F91" s="1">
        <v>-2.6781251710331886</v>
      </c>
      <c r="G91" s="1">
        <v>0.97351273833406993</v>
      </c>
      <c r="H91" s="1">
        <v>-0.30666126643187558</v>
      </c>
      <c r="I91" s="1">
        <v>1.3700651591105533</v>
      </c>
      <c r="J91" s="1">
        <v>-0.61469587648578072</v>
      </c>
      <c r="K91" s="1">
        <v>0.1284398558043966</v>
      </c>
      <c r="L91" s="1">
        <v>-0.19408987979672901</v>
      </c>
      <c r="M91" s="1">
        <v>0</v>
      </c>
      <c r="N91" s="1">
        <v>0</v>
      </c>
      <c r="O91" s="1">
        <v>6</v>
      </c>
      <c r="P91" s="1">
        <v>0</v>
      </c>
      <c r="Q91" s="1" t="str">
        <f t="shared" si="16"/>
        <v>Repair</v>
      </c>
      <c r="R91" s="2">
        <f t="shared" si="17"/>
        <v>37437</v>
      </c>
      <c r="S91" s="1">
        <f>VLOOKUP(R91,BB!$A$3:$C$62769, 2, 1)</f>
        <v>4.7965</v>
      </c>
      <c r="T91" s="1">
        <f t="shared" si="18"/>
        <v>0.71110000000000007</v>
      </c>
      <c r="U91" s="1">
        <f>VLOOKUP(R91,BB!$A$3:$D$6771, 4, 1)</f>
        <v>5.5076000000000001</v>
      </c>
      <c r="V91" s="1" t="str">
        <f t="shared" ref="V91:V154" si="25">IF(Q91&lt;&gt;Q92, S91-X91, "")</f>
        <v/>
      </c>
      <c r="W91" s="1" t="str">
        <f t="shared" ref="W91:W154" si="26">IF(Q91&lt;&gt;Q92, T91-Y91, "")</f>
        <v/>
      </c>
      <c r="X91" s="1">
        <f t="shared" si="23"/>
        <v>5.0427</v>
      </c>
      <c r="Y91" s="1">
        <f t="shared" si="24"/>
        <v>0.57200000000000006</v>
      </c>
      <c r="Z91" s="1" t="str">
        <f t="shared" si="11"/>
        <v/>
      </c>
      <c r="AL91" s="1">
        <v>0</v>
      </c>
      <c r="AM91" s="1">
        <v>0</v>
      </c>
      <c r="AN91" s="1">
        <v>10</v>
      </c>
      <c r="AO91" s="1">
        <v>0</v>
      </c>
      <c r="AP91" s="1">
        <f t="shared" si="19"/>
        <v>0</v>
      </c>
      <c r="AQ91" s="1">
        <f t="shared" si="20"/>
        <v>0</v>
      </c>
      <c r="AR91" s="1">
        <f t="shared" si="21"/>
        <v>6</v>
      </c>
      <c r="AS91" s="1">
        <f t="shared" si="22"/>
        <v>0</v>
      </c>
    </row>
    <row r="92" spans="1:45" x14ac:dyDescent="0.2">
      <c r="A92" s="2">
        <v>37438</v>
      </c>
      <c r="B92" s="1">
        <v>-1.3913371950085727</v>
      </c>
      <c r="C92" s="1">
        <v>-0.43890766735014186</v>
      </c>
      <c r="D92" s="1">
        <v>1.8964529467932316</v>
      </c>
      <c r="E92" s="1">
        <v>-0.58083894357390842</v>
      </c>
      <c r="F92" s="1">
        <v>-2.4249142273638644</v>
      </c>
      <c r="G92" s="1">
        <v>-0.30278862788179278</v>
      </c>
      <c r="H92" s="1">
        <v>-0.29118878376529256</v>
      </c>
      <c r="I92" s="1">
        <v>1.4354228763336456</v>
      </c>
      <c r="J92" s="1">
        <v>0.49226989261065951</v>
      </c>
      <c r="K92" s="1">
        <v>5.773552000505662E-2</v>
      </c>
      <c r="L92" s="1">
        <v>-0.15480942092009797</v>
      </c>
      <c r="M92" s="1">
        <v>0</v>
      </c>
      <c r="N92" s="1">
        <v>0</v>
      </c>
      <c r="O92" s="1">
        <v>6</v>
      </c>
      <c r="P92" s="1">
        <v>0</v>
      </c>
      <c r="Q92" s="1" t="str">
        <f t="shared" si="16"/>
        <v>Repair</v>
      </c>
      <c r="R92" s="2">
        <f t="shared" si="17"/>
        <v>37468</v>
      </c>
      <c r="S92" s="1">
        <f>VLOOKUP(R92,BB!$A$3:$C$62769, 2, 1)</f>
        <v>4.4588000000000001</v>
      </c>
      <c r="T92" s="1">
        <f t="shared" si="18"/>
        <v>0.84229999999999983</v>
      </c>
      <c r="U92" s="1">
        <f>VLOOKUP(R92,BB!$A$3:$D$6771, 4, 1)</f>
        <v>5.3010999999999999</v>
      </c>
      <c r="V92" s="1" t="str">
        <f t="shared" si="25"/>
        <v/>
      </c>
      <c r="W92" s="1" t="str">
        <f t="shared" si="26"/>
        <v/>
      </c>
      <c r="X92" s="1">
        <f t="shared" si="23"/>
        <v>5.0427</v>
      </c>
      <c r="Y92" s="1">
        <f t="shared" si="24"/>
        <v>0.57200000000000006</v>
      </c>
      <c r="Z92" s="1" t="str">
        <f t="shared" si="11"/>
        <v/>
      </c>
      <c r="AL92" s="1">
        <v>0</v>
      </c>
      <c r="AM92" s="1">
        <v>0</v>
      </c>
      <c r="AN92" s="1">
        <v>10</v>
      </c>
      <c r="AO92" s="1">
        <v>0</v>
      </c>
      <c r="AP92" s="1">
        <f t="shared" si="19"/>
        <v>0</v>
      </c>
      <c r="AQ92" s="1">
        <f t="shared" si="20"/>
        <v>0</v>
      </c>
      <c r="AR92" s="1">
        <f t="shared" si="21"/>
        <v>6</v>
      </c>
      <c r="AS92" s="1">
        <f t="shared" si="22"/>
        <v>0</v>
      </c>
    </row>
    <row r="93" spans="1:45" x14ac:dyDescent="0.2">
      <c r="A93" s="2">
        <v>37469</v>
      </c>
      <c r="B93" s="1">
        <v>-1.1318402235835594</v>
      </c>
      <c r="C93" s="1">
        <v>-0.60461819687796869</v>
      </c>
      <c r="D93" s="1">
        <v>1.5959100862405813</v>
      </c>
      <c r="E93" s="1">
        <v>-0.4087256463578246</v>
      </c>
      <c r="F93" s="1">
        <v>-2.2152478066013437</v>
      </c>
      <c r="G93" s="1">
        <v>-0.29663268487288202</v>
      </c>
      <c r="H93" s="1">
        <v>-0.29151554494446835</v>
      </c>
      <c r="I93" s="1">
        <v>1.1544511288463035</v>
      </c>
      <c r="J93" s="1">
        <v>-0.85156551873114728</v>
      </c>
      <c r="K93" s="1">
        <v>6.4259457548767496E-2</v>
      </c>
      <c r="L93" s="1">
        <v>-0.29855249493335417</v>
      </c>
      <c r="M93" s="1">
        <v>0</v>
      </c>
      <c r="N93" s="1">
        <v>0</v>
      </c>
      <c r="O93" s="1">
        <v>6</v>
      </c>
      <c r="P93" s="1">
        <v>0</v>
      </c>
      <c r="Q93" s="1" t="str">
        <f t="shared" si="16"/>
        <v>Repair</v>
      </c>
      <c r="R93" s="2">
        <f t="shared" si="17"/>
        <v>37499</v>
      </c>
      <c r="S93" s="1">
        <f>VLOOKUP(R93,BB!$A$3:$C$62769, 2, 1)</f>
        <v>4.1409000000000002</v>
      </c>
      <c r="T93" s="1">
        <f t="shared" si="18"/>
        <v>0.78419999999999934</v>
      </c>
      <c r="U93" s="1">
        <f>VLOOKUP(R93,BB!$A$3:$D$6771, 4, 1)</f>
        <v>4.9250999999999996</v>
      </c>
      <c r="V93" s="1" t="str">
        <f t="shared" si="25"/>
        <v/>
      </c>
      <c r="W93" s="1" t="str">
        <f t="shared" si="26"/>
        <v/>
      </c>
      <c r="X93" s="1">
        <f t="shared" si="23"/>
        <v>5.0427</v>
      </c>
      <c r="Y93" s="1">
        <f t="shared" si="24"/>
        <v>0.57200000000000006</v>
      </c>
      <c r="Z93" s="1" t="str">
        <f t="shared" si="11"/>
        <v/>
      </c>
      <c r="AL93" s="1">
        <v>0</v>
      </c>
      <c r="AM93" s="1">
        <v>0</v>
      </c>
      <c r="AN93" s="1">
        <v>10</v>
      </c>
      <c r="AO93" s="1">
        <v>0</v>
      </c>
      <c r="AP93" s="1">
        <f t="shared" si="19"/>
        <v>0</v>
      </c>
      <c r="AQ93" s="1">
        <f t="shared" si="20"/>
        <v>0</v>
      </c>
      <c r="AR93" s="1">
        <f t="shared" si="21"/>
        <v>6</v>
      </c>
      <c r="AS93" s="1">
        <f t="shared" si="22"/>
        <v>0</v>
      </c>
    </row>
    <row r="94" spans="1:45" x14ac:dyDescent="0.2">
      <c r="A94" s="2">
        <v>37500</v>
      </c>
      <c r="B94" s="1">
        <v>-1.3499183972342754</v>
      </c>
      <c r="C94" s="1">
        <v>-0.63450769089990955</v>
      </c>
      <c r="D94" s="1">
        <v>1.5103231723875385</v>
      </c>
      <c r="E94" s="1">
        <v>-0.33181121677089181</v>
      </c>
      <c r="F94" s="1">
        <v>-1.9857388616990934</v>
      </c>
      <c r="G94" s="1">
        <v>-0.51394693927968371</v>
      </c>
      <c r="H94" s="1">
        <v>-0.3167176228453934</v>
      </c>
      <c r="I94" s="1">
        <v>0.87799077672156833</v>
      </c>
      <c r="J94" s="1">
        <v>-0.93395503537893709</v>
      </c>
      <c r="K94" s="1">
        <v>4.7020933626402042E-2</v>
      </c>
      <c r="L94" s="1">
        <v>-0.36312608813726749</v>
      </c>
      <c r="M94" s="1">
        <v>0</v>
      </c>
      <c r="N94" s="1">
        <v>0</v>
      </c>
      <c r="O94" s="1">
        <v>6</v>
      </c>
      <c r="P94" s="1">
        <v>0</v>
      </c>
      <c r="Q94" s="1" t="str">
        <f t="shared" si="16"/>
        <v>Repair</v>
      </c>
      <c r="R94" s="2">
        <f t="shared" si="17"/>
        <v>37529</v>
      </c>
      <c r="S94" s="1">
        <f>VLOOKUP(R94,BB!$A$3:$C$62769, 2, 1)</f>
        <v>3.5941999999999998</v>
      </c>
      <c r="T94" s="1">
        <f t="shared" si="18"/>
        <v>1.0739999999999998</v>
      </c>
      <c r="U94" s="1">
        <f>VLOOKUP(R94,BB!$A$3:$D$6771, 4, 1)</f>
        <v>4.6681999999999997</v>
      </c>
      <c r="V94" s="1" t="str">
        <f t="shared" si="25"/>
        <v/>
      </c>
      <c r="W94" s="1" t="str">
        <f t="shared" si="26"/>
        <v/>
      </c>
      <c r="X94" s="1">
        <f t="shared" si="23"/>
        <v>5.0427</v>
      </c>
      <c r="Y94" s="1">
        <f t="shared" si="24"/>
        <v>0.57200000000000006</v>
      </c>
      <c r="Z94" s="1" t="str">
        <f t="shared" si="11"/>
        <v/>
      </c>
      <c r="AL94" s="1">
        <v>0</v>
      </c>
      <c r="AM94" s="1">
        <v>0</v>
      </c>
      <c r="AN94" s="1">
        <v>10</v>
      </c>
      <c r="AO94" s="1">
        <v>0</v>
      </c>
      <c r="AP94" s="1">
        <f t="shared" si="19"/>
        <v>0</v>
      </c>
      <c r="AQ94" s="1">
        <f t="shared" si="20"/>
        <v>0</v>
      </c>
      <c r="AR94" s="1">
        <f t="shared" si="21"/>
        <v>6</v>
      </c>
      <c r="AS94" s="1">
        <f t="shared" si="22"/>
        <v>0</v>
      </c>
    </row>
    <row r="95" spans="1:45" x14ac:dyDescent="0.2">
      <c r="A95" s="2">
        <v>37530</v>
      </c>
      <c r="B95" s="1">
        <v>-1.5518595543124973</v>
      </c>
      <c r="C95" s="1">
        <v>-1.2459874220458791</v>
      </c>
      <c r="D95" s="1">
        <v>1.957387729448234</v>
      </c>
      <c r="E95" s="1">
        <v>-0.4622044488120382</v>
      </c>
      <c r="F95" s="1">
        <v>-1.7350662738962179</v>
      </c>
      <c r="G95" s="1">
        <v>-0.73608898474248219</v>
      </c>
      <c r="H95" s="1">
        <v>-0.42077681227030106</v>
      </c>
      <c r="I95" s="1">
        <v>0.88595209052923907</v>
      </c>
      <c r="J95" s="1">
        <v>-1.051985565559364</v>
      </c>
      <c r="K95" s="1">
        <v>-0.28027068968329522</v>
      </c>
      <c r="L95" s="1">
        <v>-0.46408999313446025</v>
      </c>
      <c r="M95" s="1">
        <v>0</v>
      </c>
      <c r="N95" s="1">
        <v>0</v>
      </c>
      <c r="O95" s="1">
        <v>6</v>
      </c>
      <c r="P95" s="1">
        <v>0</v>
      </c>
      <c r="Q95" s="1" t="str">
        <f t="shared" si="16"/>
        <v>Repair</v>
      </c>
      <c r="R95" s="2">
        <f t="shared" si="17"/>
        <v>37560</v>
      </c>
      <c r="S95" s="1">
        <f>VLOOKUP(R95,BB!$A$3:$C$62769, 2, 1)</f>
        <v>3.8925000000000001</v>
      </c>
      <c r="T95" s="1">
        <f t="shared" si="18"/>
        <v>1.0933000000000002</v>
      </c>
      <c r="U95" s="1">
        <f>VLOOKUP(R95,BB!$A$3:$D$6771, 4, 1)</f>
        <v>4.9858000000000002</v>
      </c>
      <c r="V95" s="1" t="str">
        <f t="shared" si="25"/>
        <v/>
      </c>
      <c r="W95" s="1" t="str">
        <f t="shared" si="26"/>
        <v/>
      </c>
      <c r="X95" s="1">
        <f t="shared" si="23"/>
        <v>5.0427</v>
      </c>
      <c r="Y95" s="1">
        <f t="shared" si="24"/>
        <v>0.57200000000000006</v>
      </c>
      <c r="Z95" s="1" t="str">
        <f t="shared" si="11"/>
        <v/>
      </c>
      <c r="AL95" s="1">
        <v>0</v>
      </c>
      <c r="AM95" s="1">
        <v>0</v>
      </c>
      <c r="AN95" s="1">
        <v>10</v>
      </c>
      <c r="AO95" s="1">
        <v>0</v>
      </c>
      <c r="AP95" s="1">
        <f t="shared" si="19"/>
        <v>0</v>
      </c>
      <c r="AQ95" s="1">
        <f t="shared" si="20"/>
        <v>0</v>
      </c>
      <c r="AR95" s="1">
        <f t="shared" si="21"/>
        <v>6</v>
      </c>
      <c r="AS95" s="1">
        <f t="shared" si="22"/>
        <v>0</v>
      </c>
    </row>
    <row r="96" spans="1:45" x14ac:dyDescent="0.2">
      <c r="A96" s="2">
        <v>37561</v>
      </c>
      <c r="B96" s="1">
        <v>-1.5165097069027464</v>
      </c>
      <c r="C96" s="1">
        <v>-1.0729924272786449</v>
      </c>
      <c r="D96" s="1">
        <v>1.8683826702576811</v>
      </c>
      <c r="E96" s="1">
        <v>-0.80572398617210261</v>
      </c>
      <c r="F96" s="1">
        <v>-1.4805296361459532</v>
      </c>
      <c r="G96" s="1">
        <v>-0.57588988041416633</v>
      </c>
      <c r="H96" s="1">
        <v>-0.62677465176642655</v>
      </c>
      <c r="I96" s="1">
        <v>0.86159213047419159</v>
      </c>
      <c r="J96" s="1">
        <v>-0.71813286032483981</v>
      </c>
      <c r="K96" s="1">
        <v>-0.34400205937037148</v>
      </c>
      <c r="L96" s="1">
        <v>-0.44105804076433791</v>
      </c>
      <c r="M96" s="1">
        <v>0</v>
      </c>
      <c r="N96" s="1">
        <v>0</v>
      </c>
      <c r="O96" s="1">
        <v>6</v>
      </c>
      <c r="P96" s="1">
        <v>0</v>
      </c>
      <c r="Q96" s="1" t="str">
        <f t="shared" si="16"/>
        <v>Repair</v>
      </c>
      <c r="R96" s="2">
        <f t="shared" si="17"/>
        <v>37590</v>
      </c>
      <c r="S96" s="1">
        <f>VLOOKUP(R96,BB!$A$3:$C$62769, 2, 1)</f>
        <v>4.2051999999999996</v>
      </c>
      <c r="T96" s="1">
        <f t="shared" si="18"/>
        <v>0.83010000000000073</v>
      </c>
      <c r="U96" s="1">
        <f>VLOOKUP(R96,BB!$A$3:$D$6771, 4, 1)</f>
        <v>5.0353000000000003</v>
      </c>
      <c r="V96" s="1">
        <f t="shared" si="25"/>
        <v>-0.83750000000000036</v>
      </c>
      <c r="W96" s="1">
        <f t="shared" si="26"/>
        <v>0.25810000000000066</v>
      </c>
      <c r="X96" s="1">
        <f t="shared" si="23"/>
        <v>5.0427</v>
      </c>
      <c r="Y96" s="1">
        <f t="shared" si="24"/>
        <v>0.57200000000000006</v>
      </c>
      <c r="Z96" s="1" t="str">
        <f t="shared" si="11"/>
        <v>Repair</v>
      </c>
      <c r="AL96" s="1">
        <v>0</v>
      </c>
      <c r="AM96" s="1">
        <v>0</v>
      </c>
      <c r="AN96" s="1">
        <v>10</v>
      </c>
      <c r="AO96" s="1">
        <v>0</v>
      </c>
      <c r="AP96" s="1">
        <f t="shared" si="19"/>
        <v>0</v>
      </c>
      <c r="AQ96" s="1">
        <f t="shared" si="20"/>
        <v>0</v>
      </c>
      <c r="AR96" s="1">
        <f t="shared" si="21"/>
        <v>6</v>
      </c>
      <c r="AS96" s="1">
        <f t="shared" si="22"/>
        <v>0</v>
      </c>
    </row>
    <row r="97" spans="1:45" x14ac:dyDescent="0.2">
      <c r="A97" s="2">
        <v>37591</v>
      </c>
      <c r="B97" s="1">
        <v>-1.3850713310018201</v>
      </c>
      <c r="C97" s="1">
        <v>-1.2551848372559931</v>
      </c>
      <c r="D97" s="1">
        <v>1.9610218818160297</v>
      </c>
      <c r="E97" s="1">
        <v>-0.83471667572695996</v>
      </c>
      <c r="F97" s="1">
        <v>-1.3102163759164065</v>
      </c>
      <c r="G97" s="1">
        <v>0.65395790544173049</v>
      </c>
      <c r="H97" s="1">
        <v>-0.83026677928101889</v>
      </c>
      <c r="I97" s="1">
        <v>0.96067399000133402</v>
      </c>
      <c r="J97" s="1">
        <v>-0.73714576082688266</v>
      </c>
      <c r="K97" s="1">
        <v>-0.10623328039961681</v>
      </c>
      <c r="L97" s="1">
        <v>-0.28831812631496034</v>
      </c>
      <c r="M97" s="1">
        <v>0</v>
      </c>
      <c r="N97" s="1">
        <v>0</v>
      </c>
      <c r="O97" s="1">
        <v>0</v>
      </c>
      <c r="P97" s="1">
        <v>6</v>
      </c>
      <c r="Q97" s="1" t="str">
        <f t="shared" si="16"/>
        <v>Recovery</v>
      </c>
      <c r="R97" s="2">
        <f t="shared" si="17"/>
        <v>37621</v>
      </c>
      <c r="S97" s="1">
        <f>VLOOKUP(R97,BB!$A$3:$C$62769, 2, 1)</f>
        <v>3.8159999999999998</v>
      </c>
      <c r="T97" s="1">
        <f t="shared" si="18"/>
        <v>0.96199999999999974</v>
      </c>
      <c r="U97" s="1">
        <f>VLOOKUP(R97,BB!$A$3:$D$6771, 4, 1)</f>
        <v>4.7779999999999996</v>
      </c>
      <c r="V97" s="1" t="str">
        <f t="shared" si="25"/>
        <v/>
      </c>
      <c r="W97" s="1" t="str">
        <f t="shared" si="26"/>
        <v/>
      </c>
      <c r="X97" s="1">
        <f t="shared" si="23"/>
        <v>4.2051999999999996</v>
      </c>
      <c r="Y97" s="1">
        <f t="shared" si="24"/>
        <v>0.83010000000000073</v>
      </c>
      <c r="Z97" s="1" t="str">
        <f t="shared" si="11"/>
        <v/>
      </c>
      <c r="AL97" s="1">
        <v>0</v>
      </c>
      <c r="AM97" s="1">
        <v>0</v>
      </c>
      <c r="AN97" s="1">
        <v>0</v>
      </c>
      <c r="AO97" s="1">
        <v>10</v>
      </c>
      <c r="AP97" s="1">
        <f t="shared" si="19"/>
        <v>0</v>
      </c>
      <c r="AQ97" s="1">
        <f t="shared" si="20"/>
        <v>0</v>
      </c>
      <c r="AR97" s="1">
        <f t="shared" si="21"/>
        <v>0</v>
      </c>
      <c r="AS97" s="1">
        <f t="shared" si="22"/>
        <v>6</v>
      </c>
    </row>
    <row r="98" spans="1:45" x14ac:dyDescent="0.2">
      <c r="A98" s="2">
        <v>37622</v>
      </c>
      <c r="B98" s="1">
        <v>-1.225032118963256</v>
      </c>
      <c r="C98" s="1">
        <v>-1.3137304014833511</v>
      </c>
      <c r="D98" s="1">
        <v>2.0309716618675018</v>
      </c>
      <c r="E98" s="1">
        <v>-0.53149583747789175</v>
      </c>
      <c r="F98" s="1">
        <v>-1.233630191508946</v>
      </c>
      <c r="G98" s="1">
        <v>0.47512204887006865</v>
      </c>
      <c r="H98" s="1">
        <v>-0.93567343102493061</v>
      </c>
      <c r="I98" s="1">
        <v>1.0579937631292871</v>
      </c>
      <c r="J98" s="1">
        <v>-0.91545936363561953</v>
      </c>
      <c r="K98" s="1">
        <v>-6.9718212442033606E-2</v>
      </c>
      <c r="L98" s="1">
        <v>-0.26606520826691715</v>
      </c>
      <c r="M98" s="1">
        <v>0</v>
      </c>
      <c r="N98" s="1">
        <v>0</v>
      </c>
      <c r="O98" s="1">
        <v>0</v>
      </c>
      <c r="P98" s="1">
        <v>6</v>
      </c>
      <c r="Q98" s="1" t="str">
        <f t="shared" si="16"/>
        <v>Recovery</v>
      </c>
      <c r="R98" s="2">
        <f t="shared" si="17"/>
        <v>37652</v>
      </c>
      <c r="S98" s="1">
        <f>VLOOKUP(R98,BB!$A$3:$C$62769, 2, 1)</f>
        <v>3.9624999999999999</v>
      </c>
      <c r="T98" s="1">
        <f t="shared" si="18"/>
        <v>0.87860000000000005</v>
      </c>
      <c r="U98" s="1">
        <f>VLOOKUP(R98,BB!$A$3:$D$6771, 4, 1)</f>
        <v>4.8411</v>
      </c>
      <c r="V98" s="1">
        <f t="shared" si="25"/>
        <v>-0.24269999999999969</v>
      </c>
      <c r="W98" s="1">
        <f t="shared" si="26"/>
        <v>4.8499999999999321E-2</v>
      </c>
      <c r="X98" s="1">
        <f t="shared" si="23"/>
        <v>4.2051999999999996</v>
      </c>
      <c r="Y98" s="1">
        <f t="shared" si="24"/>
        <v>0.83010000000000073</v>
      </c>
      <c r="Z98" s="1" t="str">
        <f t="shared" si="11"/>
        <v>Recovery</v>
      </c>
      <c r="AL98" s="1">
        <v>0</v>
      </c>
      <c r="AM98" s="1">
        <v>0</v>
      </c>
      <c r="AN98" s="1">
        <v>0</v>
      </c>
      <c r="AO98" s="1">
        <v>10</v>
      </c>
      <c r="AP98" s="1">
        <f t="shared" si="19"/>
        <v>0</v>
      </c>
      <c r="AQ98" s="1">
        <f t="shared" si="20"/>
        <v>0</v>
      </c>
      <c r="AR98" s="1">
        <f t="shared" si="21"/>
        <v>0</v>
      </c>
      <c r="AS98" s="1">
        <f t="shared" si="22"/>
        <v>6</v>
      </c>
    </row>
    <row r="99" spans="1:45" x14ac:dyDescent="0.2">
      <c r="A99" s="2">
        <v>37653</v>
      </c>
      <c r="B99" s="1">
        <v>-1.3308568004300185</v>
      </c>
      <c r="C99" s="1">
        <v>-1.9680016365409239</v>
      </c>
      <c r="D99" s="1">
        <v>1.9033004731152181</v>
      </c>
      <c r="E99" s="1">
        <v>-0.6721812855458501</v>
      </c>
      <c r="F99" s="1">
        <v>-1.2480644338473095</v>
      </c>
      <c r="G99" s="1">
        <v>-0.27661187718125141</v>
      </c>
      <c r="H99" s="1">
        <v>-0.95592318119193642</v>
      </c>
      <c r="I99" s="1">
        <v>0.99732230258527577</v>
      </c>
      <c r="J99" s="1">
        <v>-1.1011986288700015</v>
      </c>
      <c r="K99" s="1">
        <v>-4.0052213080696786E-2</v>
      </c>
      <c r="L99" s="1">
        <v>-0.46922672809874938</v>
      </c>
      <c r="M99" s="1">
        <v>0</v>
      </c>
      <c r="N99" s="1">
        <v>0</v>
      </c>
      <c r="O99" s="1">
        <v>6</v>
      </c>
      <c r="P99" s="1">
        <v>0</v>
      </c>
      <c r="Q99" s="1" t="str">
        <f t="shared" si="16"/>
        <v>Repair</v>
      </c>
      <c r="R99" s="2">
        <f t="shared" si="17"/>
        <v>37680</v>
      </c>
      <c r="S99" s="1">
        <f>VLOOKUP(R99,BB!$A$3:$C$62769, 2, 1)</f>
        <v>3.6897000000000002</v>
      </c>
      <c r="T99" s="1">
        <f t="shared" si="18"/>
        <v>0.97949999999999982</v>
      </c>
      <c r="U99" s="1">
        <f>VLOOKUP(R99,BB!$A$3:$D$6771, 4, 1)</f>
        <v>4.6692</v>
      </c>
      <c r="V99" s="1" t="str">
        <f t="shared" si="25"/>
        <v/>
      </c>
      <c r="W99" s="1" t="str">
        <f t="shared" si="26"/>
        <v/>
      </c>
      <c r="X99" s="1">
        <f t="shared" si="23"/>
        <v>3.9624999999999999</v>
      </c>
      <c r="Y99" s="1">
        <f t="shared" si="24"/>
        <v>0.87860000000000005</v>
      </c>
      <c r="Z99" s="1" t="str">
        <f t="shared" si="11"/>
        <v/>
      </c>
      <c r="AL99" s="1">
        <v>0</v>
      </c>
      <c r="AM99" s="1">
        <v>0</v>
      </c>
      <c r="AN99" s="1">
        <v>10</v>
      </c>
      <c r="AO99" s="1">
        <v>0</v>
      </c>
      <c r="AP99" s="1">
        <f t="shared" si="19"/>
        <v>0</v>
      </c>
      <c r="AQ99" s="1">
        <f t="shared" si="20"/>
        <v>0</v>
      </c>
      <c r="AR99" s="1">
        <f t="shared" si="21"/>
        <v>6</v>
      </c>
      <c r="AS99" s="1">
        <f t="shared" si="22"/>
        <v>0</v>
      </c>
    </row>
    <row r="100" spans="1:45" x14ac:dyDescent="0.2">
      <c r="A100" s="2">
        <v>37681</v>
      </c>
      <c r="B100" s="1">
        <v>-1.4492379442376981</v>
      </c>
      <c r="C100" s="1">
        <v>-2.0253518410663833</v>
      </c>
      <c r="D100" s="1">
        <v>2.0775264761885981</v>
      </c>
      <c r="E100" s="1">
        <v>-0.69689674865464912</v>
      </c>
      <c r="F100" s="1">
        <v>-1.2622443307146394</v>
      </c>
      <c r="G100" s="1">
        <v>-1.2272501877120001</v>
      </c>
      <c r="H100" s="1">
        <v>-0.98412121697402322</v>
      </c>
      <c r="I100" s="1">
        <v>0.5301281399676161</v>
      </c>
      <c r="J100" s="1">
        <v>-0.98616545353050078</v>
      </c>
      <c r="K100" s="1">
        <v>-0.30786004504975878</v>
      </c>
      <c r="L100" s="1">
        <v>-0.63314731517834377</v>
      </c>
      <c r="M100" s="1">
        <v>0</v>
      </c>
      <c r="N100" s="1">
        <v>0</v>
      </c>
      <c r="O100" s="1">
        <v>6</v>
      </c>
      <c r="P100" s="1">
        <v>0</v>
      </c>
      <c r="Q100" s="1" t="str">
        <f t="shared" si="16"/>
        <v>Repair</v>
      </c>
      <c r="R100" s="2">
        <f t="shared" si="17"/>
        <v>37711</v>
      </c>
      <c r="S100" s="1">
        <f>VLOOKUP(R100,BB!$A$3:$C$62769, 2, 1)</f>
        <v>3.7959999999999998</v>
      </c>
      <c r="T100" s="1">
        <f t="shared" si="18"/>
        <v>1.0194000000000005</v>
      </c>
      <c r="U100" s="1">
        <f>VLOOKUP(R100,BB!$A$3:$D$6771, 4, 1)</f>
        <v>4.8154000000000003</v>
      </c>
      <c r="V100" s="1" t="str">
        <f t="shared" si="25"/>
        <v/>
      </c>
      <c r="W100" s="1" t="str">
        <f t="shared" si="26"/>
        <v/>
      </c>
      <c r="X100" s="1">
        <f t="shared" si="23"/>
        <v>3.9624999999999999</v>
      </c>
      <c r="Y100" s="1">
        <f t="shared" si="24"/>
        <v>0.87860000000000005</v>
      </c>
      <c r="Z100" s="1" t="str">
        <f t="shared" si="11"/>
        <v/>
      </c>
      <c r="AL100" s="1">
        <v>0</v>
      </c>
      <c r="AM100" s="1">
        <v>0</v>
      </c>
      <c r="AN100" s="1">
        <v>10</v>
      </c>
      <c r="AO100" s="1">
        <v>0</v>
      </c>
      <c r="AP100" s="1">
        <f t="shared" si="19"/>
        <v>0</v>
      </c>
      <c r="AQ100" s="1">
        <f t="shared" si="20"/>
        <v>0</v>
      </c>
      <c r="AR100" s="1">
        <f t="shared" si="21"/>
        <v>6</v>
      </c>
      <c r="AS100" s="1">
        <f t="shared" si="22"/>
        <v>0</v>
      </c>
    </row>
    <row r="101" spans="1:45" x14ac:dyDescent="0.2">
      <c r="A101" s="2">
        <v>37712</v>
      </c>
      <c r="B101" s="1">
        <v>-1.8211576574830326</v>
      </c>
      <c r="C101" s="1">
        <v>-1.2228823027676579</v>
      </c>
      <c r="D101" s="1">
        <v>2.1169830033153496</v>
      </c>
      <c r="E101" s="1">
        <v>-0.95586875980856922</v>
      </c>
      <c r="F101" s="1">
        <v>-1.263083728907185</v>
      </c>
      <c r="G101" s="1">
        <v>-1.3843818010087465</v>
      </c>
      <c r="H101" s="1">
        <v>-1.0510739886410059</v>
      </c>
      <c r="I101" s="1">
        <v>0.56790057134470728</v>
      </c>
      <c r="J101" s="1">
        <v>-0.85319224967742702</v>
      </c>
      <c r="K101" s="1">
        <v>-0.24109596948318179</v>
      </c>
      <c r="L101" s="1">
        <v>-0.61078528831167489</v>
      </c>
      <c r="M101" s="1">
        <v>0</v>
      </c>
      <c r="N101" s="1">
        <v>0</v>
      </c>
      <c r="O101" s="1">
        <v>6</v>
      </c>
      <c r="P101" s="1">
        <v>0</v>
      </c>
      <c r="Q101" s="1" t="str">
        <f t="shared" si="16"/>
        <v>Repair</v>
      </c>
      <c r="R101" s="2">
        <f t="shared" si="17"/>
        <v>37741</v>
      </c>
      <c r="S101" s="1">
        <f>VLOOKUP(R101,BB!$A$3:$C$62769, 2, 1)</f>
        <v>3.8359000000000001</v>
      </c>
      <c r="T101" s="1">
        <f t="shared" si="18"/>
        <v>0.92859999999999987</v>
      </c>
      <c r="U101" s="1">
        <f>VLOOKUP(R101,BB!$A$3:$D$6771, 4, 1)</f>
        <v>4.7645</v>
      </c>
      <c r="V101" s="1" t="str">
        <f t="shared" si="25"/>
        <v/>
      </c>
      <c r="W101" s="1" t="str">
        <f t="shared" si="26"/>
        <v/>
      </c>
      <c r="X101" s="1">
        <f t="shared" si="23"/>
        <v>3.9624999999999999</v>
      </c>
      <c r="Y101" s="1">
        <f t="shared" si="24"/>
        <v>0.87860000000000005</v>
      </c>
      <c r="Z101" s="1" t="str">
        <f t="shared" si="11"/>
        <v/>
      </c>
      <c r="AL101" s="1">
        <v>0</v>
      </c>
      <c r="AM101" s="1">
        <v>0</v>
      </c>
      <c r="AN101" s="1">
        <v>10</v>
      </c>
      <c r="AO101" s="1">
        <v>0</v>
      </c>
      <c r="AP101" s="1">
        <f t="shared" si="19"/>
        <v>0</v>
      </c>
      <c r="AQ101" s="1">
        <f t="shared" si="20"/>
        <v>0</v>
      </c>
      <c r="AR101" s="1">
        <f t="shared" si="21"/>
        <v>6</v>
      </c>
      <c r="AS101" s="1">
        <f t="shared" si="22"/>
        <v>0</v>
      </c>
    </row>
    <row r="102" spans="1:45" x14ac:dyDescent="0.2">
      <c r="A102" s="2">
        <v>37742</v>
      </c>
      <c r="B102" s="1">
        <v>-2.1201326573879475</v>
      </c>
      <c r="C102" s="1">
        <v>-1.1147273644728914</v>
      </c>
      <c r="D102" s="1">
        <v>1.7018309903085072</v>
      </c>
      <c r="E102" s="1">
        <v>-1.1039383177706945</v>
      </c>
      <c r="F102" s="1">
        <v>-1.1944572772773367</v>
      </c>
      <c r="G102" s="1">
        <v>-0.48489892919416516</v>
      </c>
      <c r="H102" s="1">
        <v>-1.075638691342057</v>
      </c>
      <c r="I102" s="1">
        <v>0.16219050593669049</v>
      </c>
      <c r="J102" s="1">
        <v>-0.99412113706197658</v>
      </c>
      <c r="K102" s="1">
        <v>-0.41826758402104536</v>
      </c>
      <c r="L102" s="1">
        <v>-0.66421604622829167</v>
      </c>
      <c r="M102" s="1">
        <v>0</v>
      </c>
      <c r="N102" s="1">
        <v>0</v>
      </c>
      <c r="O102" s="1">
        <v>6</v>
      </c>
      <c r="P102" s="1">
        <v>0</v>
      </c>
      <c r="Q102" s="1" t="str">
        <f t="shared" si="16"/>
        <v>Repair</v>
      </c>
      <c r="R102" s="2">
        <f t="shared" si="17"/>
        <v>37772</v>
      </c>
      <c r="S102" s="1">
        <f>VLOOKUP(R102,BB!$A$3:$C$62769, 2, 1)</f>
        <v>3.3698999999999999</v>
      </c>
      <c r="T102" s="1">
        <f t="shared" si="18"/>
        <v>1.0063</v>
      </c>
      <c r="U102" s="1">
        <f>VLOOKUP(R102,BB!$A$3:$D$6771, 4, 1)</f>
        <v>4.3761999999999999</v>
      </c>
      <c r="V102" s="1" t="str">
        <f t="shared" si="25"/>
        <v/>
      </c>
      <c r="W102" s="1" t="str">
        <f t="shared" si="26"/>
        <v/>
      </c>
      <c r="X102" s="1">
        <f t="shared" si="23"/>
        <v>3.9624999999999999</v>
      </c>
      <c r="Y102" s="1">
        <f t="shared" si="24"/>
        <v>0.87860000000000005</v>
      </c>
      <c r="Z102" s="1" t="str">
        <f t="shared" si="11"/>
        <v/>
      </c>
      <c r="AL102" s="1">
        <v>0</v>
      </c>
      <c r="AM102" s="1">
        <v>0</v>
      </c>
      <c r="AN102" s="1">
        <v>10</v>
      </c>
      <c r="AO102" s="1">
        <v>0</v>
      </c>
      <c r="AP102" s="1">
        <f t="shared" si="19"/>
        <v>0</v>
      </c>
      <c r="AQ102" s="1">
        <f t="shared" si="20"/>
        <v>0</v>
      </c>
      <c r="AR102" s="1">
        <f t="shared" si="21"/>
        <v>6</v>
      </c>
      <c r="AS102" s="1">
        <f t="shared" si="22"/>
        <v>0</v>
      </c>
    </row>
    <row r="103" spans="1:45" x14ac:dyDescent="0.2">
      <c r="A103" s="2">
        <v>37773</v>
      </c>
      <c r="B103" s="1">
        <v>-2.1176577270013226</v>
      </c>
      <c r="C103" s="1">
        <v>-1.1506245929424206</v>
      </c>
      <c r="D103" s="1">
        <v>1.9145428320120643</v>
      </c>
      <c r="E103" s="1">
        <v>-1.4996181200465186</v>
      </c>
      <c r="F103" s="1">
        <v>-1.1460935307800542</v>
      </c>
      <c r="G103" s="1">
        <v>-0.39319464499627005</v>
      </c>
      <c r="H103" s="1">
        <v>-1.1085539615134055</v>
      </c>
      <c r="I103" s="1">
        <v>4.1465531829354113E-2</v>
      </c>
      <c r="J103" s="1">
        <v>-0.77190871960541674</v>
      </c>
      <c r="K103" s="1">
        <v>-0.51355313566272398</v>
      </c>
      <c r="L103" s="1">
        <v>-0.67451960687067136</v>
      </c>
      <c r="M103" s="1">
        <v>0</v>
      </c>
      <c r="N103" s="1">
        <v>0</v>
      </c>
      <c r="O103" s="1">
        <v>6</v>
      </c>
      <c r="P103" s="1">
        <v>0</v>
      </c>
      <c r="Q103" s="1" t="str">
        <f t="shared" si="16"/>
        <v>Repair</v>
      </c>
      <c r="R103" s="2">
        <f t="shared" si="17"/>
        <v>37802</v>
      </c>
      <c r="S103" s="1">
        <f>VLOOKUP(R103,BB!$A$3:$C$62769, 2, 1)</f>
        <v>3.5133000000000001</v>
      </c>
      <c r="T103" s="1">
        <f t="shared" si="18"/>
        <v>1.0433000000000003</v>
      </c>
      <c r="U103" s="1">
        <f>VLOOKUP(R103,BB!$A$3:$D$6771, 4, 1)</f>
        <v>4.5566000000000004</v>
      </c>
      <c r="V103" s="1" t="str">
        <f t="shared" si="25"/>
        <v/>
      </c>
      <c r="W103" s="1" t="str">
        <f t="shared" si="26"/>
        <v/>
      </c>
      <c r="X103" s="1">
        <f t="shared" si="23"/>
        <v>3.9624999999999999</v>
      </c>
      <c r="Y103" s="1">
        <f t="shared" si="24"/>
        <v>0.87860000000000005</v>
      </c>
      <c r="Z103" s="1" t="str">
        <f t="shared" si="11"/>
        <v/>
      </c>
      <c r="AL103" s="1">
        <v>0</v>
      </c>
      <c r="AM103" s="1">
        <v>0</v>
      </c>
      <c r="AN103" s="1">
        <v>10</v>
      </c>
      <c r="AO103" s="1">
        <v>0</v>
      </c>
      <c r="AP103" s="1">
        <f t="shared" si="19"/>
        <v>0</v>
      </c>
      <c r="AQ103" s="1">
        <f t="shared" si="20"/>
        <v>0</v>
      </c>
      <c r="AR103" s="1">
        <f t="shared" si="21"/>
        <v>6</v>
      </c>
      <c r="AS103" s="1">
        <f t="shared" si="22"/>
        <v>0</v>
      </c>
    </row>
    <row r="104" spans="1:45" x14ac:dyDescent="0.2">
      <c r="A104" s="2">
        <v>37803</v>
      </c>
      <c r="B104" s="1">
        <v>-1.9156634997922624</v>
      </c>
      <c r="C104" s="1">
        <v>-1.4884497020893501</v>
      </c>
      <c r="D104" s="1">
        <v>2.489196483767766</v>
      </c>
      <c r="E104" s="1">
        <v>-1.2764709304813981</v>
      </c>
      <c r="F104" s="1">
        <v>-0.9798515849325824</v>
      </c>
      <c r="G104" s="1">
        <v>4.6179059788912062E-2</v>
      </c>
      <c r="H104" s="1">
        <v>-1.1894242744841417</v>
      </c>
      <c r="I104" s="1">
        <v>7.2455635490797102E-2</v>
      </c>
      <c r="J104" s="1">
        <v>-0.53537899442030057</v>
      </c>
      <c r="K104" s="1">
        <v>-0.44430641165150953</v>
      </c>
      <c r="L104" s="1">
        <v>-0.52217142188040699</v>
      </c>
      <c r="M104" s="1">
        <v>0</v>
      </c>
      <c r="N104" s="1">
        <v>0</v>
      </c>
      <c r="O104" s="1">
        <v>6</v>
      </c>
      <c r="P104" s="1">
        <v>0</v>
      </c>
      <c r="Q104" s="1" t="str">
        <f t="shared" si="16"/>
        <v>Repair</v>
      </c>
      <c r="R104" s="2">
        <f t="shared" si="17"/>
        <v>37833</v>
      </c>
      <c r="S104" s="1">
        <f>VLOOKUP(R104,BB!$A$3:$C$62769, 2, 1)</f>
        <v>4.4055</v>
      </c>
      <c r="T104" s="1">
        <f t="shared" si="18"/>
        <v>0.95190000000000019</v>
      </c>
      <c r="U104" s="1">
        <f>VLOOKUP(R104,BB!$A$3:$D$6771, 4, 1)</f>
        <v>5.3574000000000002</v>
      </c>
      <c r="V104" s="1" t="str">
        <f t="shared" si="25"/>
        <v/>
      </c>
      <c r="W104" s="1" t="str">
        <f t="shared" si="26"/>
        <v/>
      </c>
      <c r="X104" s="1">
        <f t="shared" si="23"/>
        <v>3.9624999999999999</v>
      </c>
      <c r="Y104" s="1">
        <f t="shared" si="24"/>
        <v>0.87860000000000005</v>
      </c>
      <c r="Z104" s="1" t="str">
        <f t="shared" si="11"/>
        <v/>
      </c>
      <c r="AL104" s="1">
        <v>0</v>
      </c>
      <c r="AM104" s="1">
        <v>0</v>
      </c>
      <c r="AN104" s="1">
        <v>10</v>
      </c>
      <c r="AO104" s="1">
        <v>0</v>
      </c>
      <c r="AP104" s="1">
        <f t="shared" si="19"/>
        <v>0</v>
      </c>
      <c r="AQ104" s="1">
        <f t="shared" si="20"/>
        <v>0</v>
      </c>
      <c r="AR104" s="1">
        <f t="shared" si="21"/>
        <v>6</v>
      </c>
      <c r="AS104" s="1">
        <f t="shared" si="22"/>
        <v>0</v>
      </c>
    </row>
    <row r="105" spans="1:45" x14ac:dyDescent="0.2">
      <c r="A105" s="2">
        <v>37834</v>
      </c>
      <c r="B105" s="1">
        <v>-1.5053934107172464</v>
      </c>
      <c r="C105" s="1">
        <v>-1.3000341884651296</v>
      </c>
      <c r="D105" s="1">
        <v>2.2111996455918153</v>
      </c>
      <c r="E105" s="1">
        <v>-1.1749382926764969</v>
      </c>
      <c r="F105" s="1">
        <v>-0.81941725040929603</v>
      </c>
      <c r="G105" s="1">
        <v>0.68122220129097133</v>
      </c>
      <c r="H105" s="1">
        <v>-1.2780522850251059</v>
      </c>
      <c r="I105" s="1">
        <v>-0.20248614331846684</v>
      </c>
      <c r="J105" s="1">
        <v>-0.96923774062378198</v>
      </c>
      <c r="K105" s="1">
        <v>-0.61827237339812813</v>
      </c>
      <c r="L105" s="1">
        <v>-0.49754098377508649</v>
      </c>
      <c r="M105" s="1">
        <v>0</v>
      </c>
      <c r="N105" s="1">
        <v>0</v>
      </c>
      <c r="O105" s="1">
        <v>6</v>
      </c>
      <c r="P105" s="1">
        <v>0</v>
      </c>
      <c r="Q105" s="1" t="str">
        <f t="shared" si="16"/>
        <v>Repair</v>
      </c>
      <c r="R105" s="2">
        <f t="shared" si="17"/>
        <v>37864</v>
      </c>
      <c r="S105" s="1">
        <f>VLOOKUP(R105,BB!$A$3:$C$62769, 2, 1)</f>
        <v>4.4635999999999996</v>
      </c>
      <c r="T105" s="1">
        <f t="shared" si="18"/>
        <v>0.75920000000000076</v>
      </c>
      <c r="U105" s="1">
        <f>VLOOKUP(R105,BB!$A$3:$D$6771, 4, 1)</f>
        <v>5.2228000000000003</v>
      </c>
      <c r="V105" s="1" t="str">
        <f t="shared" si="25"/>
        <v/>
      </c>
      <c r="W105" s="1" t="str">
        <f t="shared" si="26"/>
        <v/>
      </c>
      <c r="X105" s="1">
        <f t="shared" si="23"/>
        <v>3.9624999999999999</v>
      </c>
      <c r="Y105" s="1">
        <f t="shared" si="24"/>
        <v>0.87860000000000005</v>
      </c>
      <c r="Z105" s="1" t="str">
        <f t="shared" si="11"/>
        <v/>
      </c>
      <c r="AL105" s="1">
        <v>0</v>
      </c>
      <c r="AM105" s="1">
        <v>0</v>
      </c>
      <c r="AN105" s="1">
        <v>10</v>
      </c>
      <c r="AO105" s="1">
        <v>0</v>
      </c>
      <c r="AP105" s="1">
        <f t="shared" si="19"/>
        <v>0</v>
      </c>
      <c r="AQ105" s="1">
        <f t="shared" si="20"/>
        <v>0</v>
      </c>
      <c r="AR105" s="1">
        <f t="shared" si="21"/>
        <v>6</v>
      </c>
      <c r="AS105" s="1">
        <f t="shared" si="22"/>
        <v>0</v>
      </c>
    </row>
    <row r="106" spans="1:45" x14ac:dyDescent="0.2">
      <c r="A106" s="2">
        <v>37865</v>
      </c>
      <c r="B106" s="1">
        <v>-1.3140030295793623</v>
      </c>
      <c r="C106" s="1">
        <v>-1.5365292485985262</v>
      </c>
      <c r="D106" s="1">
        <v>2.1471656134832395</v>
      </c>
      <c r="E106" s="1">
        <v>-1.1965324728834907</v>
      </c>
      <c r="F106" s="1">
        <v>-0.64592710390898733</v>
      </c>
      <c r="G106" s="1">
        <v>0.45310837717762681</v>
      </c>
      <c r="H106" s="1">
        <v>-1.2893059855312279</v>
      </c>
      <c r="I106" s="1">
        <v>-0.16800579922581405</v>
      </c>
      <c r="J106" s="1">
        <v>-0.70117919472429857</v>
      </c>
      <c r="K106" s="1">
        <v>-2.6938568893368871</v>
      </c>
      <c r="L106" s="1">
        <v>-0.69450657331277277</v>
      </c>
      <c r="M106" s="1">
        <v>0</v>
      </c>
      <c r="N106" s="1">
        <v>0</v>
      </c>
      <c r="O106" s="1">
        <v>6</v>
      </c>
      <c r="P106" s="1">
        <v>0</v>
      </c>
      <c r="Q106" s="1" t="str">
        <f t="shared" si="16"/>
        <v>Repair</v>
      </c>
      <c r="R106" s="2">
        <f t="shared" si="17"/>
        <v>37894</v>
      </c>
      <c r="S106" s="1">
        <f>VLOOKUP(R106,BB!$A$3:$C$62769, 2, 1)</f>
        <v>3.9376000000000002</v>
      </c>
      <c r="T106" s="1">
        <f t="shared" si="18"/>
        <v>0.94469999999999965</v>
      </c>
      <c r="U106" s="1">
        <f>VLOOKUP(R106,BB!$A$3:$D$6771, 4, 1)</f>
        <v>4.8822999999999999</v>
      </c>
      <c r="V106" s="1">
        <f t="shared" si="25"/>
        <v>-2.48999999999997E-2</v>
      </c>
      <c r="W106" s="1">
        <f t="shared" si="26"/>
        <v>6.6099999999999604E-2</v>
      </c>
      <c r="X106" s="1">
        <f t="shared" si="23"/>
        <v>3.9624999999999999</v>
      </c>
      <c r="Y106" s="1">
        <f t="shared" si="24"/>
        <v>0.87860000000000005</v>
      </c>
      <c r="Z106" s="1" t="str">
        <f t="shared" si="11"/>
        <v>Repair</v>
      </c>
      <c r="AL106" s="1">
        <v>0</v>
      </c>
      <c r="AM106" s="1">
        <v>0</v>
      </c>
      <c r="AN106" s="1">
        <v>10</v>
      </c>
      <c r="AO106" s="1">
        <v>0</v>
      </c>
      <c r="AP106" s="1">
        <f t="shared" si="19"/>
        <v>0</v>
      </c>
      <c r="AQ106" s="1">
        <f t="shared" si="20"/>
        <v>0</v>
      </c>
      <c r="AR106" s="1">
        <f t="shared" si="21"/>
        <v>6</v>
      </c>
      <c r="AS106" s="1">
        <f t="shared" si="22"/>
        <v>0</v>
      </c>
    </row>
    <row r="107" spans="1:45" x14ac:dyDescent="0.2">
      <c r="A107" s="2">
        <v>37895</v>
      </c>
      <c r="B107" s="1">
        <v>-1.0898438132256787</v>
      </c>
      <c r="C107" s="1">
        <v>-1.3555671833177905</v>
      </c>
      <c r="D107" s="1">
        <v>2.0979903459496692</v>
      </c>
      <c r="E107" s="1">
        <v>-1.087360723057766</v>
      </c>
      <c r="F107" s="1">
        <v>-0.56010862243303705</v>
      </c>
      <c r="G107" s="1">
        <v>1.1716543813263793</v>
      </c>
      <c r="H107" s="1">
        <v>-1.2647028594857639</v>
      </c>
      <c r="I107" s="1">
        <v>-0.22976384559385754</v>
      </c>
      <c r="J107" s="1">
        <v>0.63044832605299062</v>
      </c>
      <c r="K107" s="1">
        <v>-2.43620301028204</v>
      </c>
      <c r="L107" s="1">
        <v>-0.41234570040668944</v>
      </c>
      <c r="M107" s="1">
        <v>0</v>
      </c>
      <c r="N107" s="1">
        <v>0</v>
      </c>
      <c r="O107" s="1">
        <v>0</v>
      </c>
      <c r="P107" s="1">
        <v>6</v>
      </c>
      <c r="Q107" s="1" t="str">
        <f t="shared" si="16"/>
        <v>Recovery</v>
      </c>
      <c r="R107" s="2">
        <f t="shared" si="17"/>
        <v>37925</v>
      </c>
      <c r="S107" s="1">
        <f>VLOOKUP(R107,BB!$A$3:$C$62769, 2, 1)</f>
        <v>4.2927</v>
      </c>
      <c r="T107" s="1">
        <f t="shared" si="18"/>
        <v>0.83870000000000022</v>
      </c>
      <c r="U107" s="1">
        <f>VLOOKUP(R107,BB!$A$3:$D$6771, 4, 1)</f>
        <v>5.1314000000000002</v>
      </c>
      <c r="V107" s="1" t="str">
        <f t="shared" si="25"/>
        <v/>
      </c>
      <c r="W107" s="1" t="str">
        <f t="shared" si="26"/>
        <v/>
      </c>
      <c r="X107" s="1">
        <f t="shared" si="23"/>
        <v>3.9376000000000002</v>
      </c>
      <c r="Y107" s="1">
        <f t="shared" si="24"/>
        <v>0.94469999999999965</v>
      </c>
      <c r="Z107" s="1" t="str">
        <f t="shared" si="11"/>
        <v/>
      </c>
      <c r="AL107" s="1">
        <v>0</v>
      </c>
      <c r="AM107" s="1">
        <v>0</v>
      </c>
      <c r="AN107" s="1">
        <v>0</v>
      </c>
      <c r="AO107" s="1">
        <v>10</v>
      </c>
      <c r="AP107" s="1">
        <f t="shared" si="19"/>
        <v>0</v>
      </c>
      <c r="AQ107" s="1">
        <f t="shared" si="20"/>
        <v>0</v>
      </c>
      <c r="AR107" s="1">
        <f t="shared" si="21"/>
        <v>0</v>
      </c>
      <c r="AS107" s="1">
        <f t="shared" si="22"/>
        <v>6</v>
      </c>
    </row>
    <row r="108" spans="1:45" x14ac:dyDescent="0.2">
      <c r="A108" s="2">
        <v>37926</v>
      </c>
      <c r="B108" s="1">
        <v>-0.81244359948123812</v>
      </c>
      <c r="C108" s="1">
        <v>-0.88258321655496386</v>
      </c>
      <c r="D108" s="1">
        <v>1.8244959904197036</v>
      </c>
      <c r="E108" s="1">
        <v>-0.98169421085236397</v>
      </c>
      <c r="F108" s="1">
        <v>-0.45804095054645338</v>
      </c>
      <c r="G108" s="1">
        <v>2.4254324578234367</v>
      </c>
      <c r="H108" s="1">
        <v>-1.2667997866706973</v>
      </c>
      <c r="I108" s="1">
        <v>2.5463172502433323E-2</v>
      </c>
      <c r="J108" s="1">
        <v>-9.6561506381606876E-2</v>
      </c>
      <c r="K108" s="1">
        <v>-2.3182067606130219</v>
      </c>
      <c r="L108" s="1">
        <v>-0.25409384103547722</v>
      </c>
      <c r="M108" s="1">
        <v>0</v>
      </c>
      <c r="N108" s="1">
        <v>0</v>
      </c>
      <c r="O108" s="1">
        <v>0</v>
      </c>
      <c r="P108" s="1">
        <v>6</v>
      </c>
      <c r="Q108" s="1" t="str">
        <f t="shared" si="16"/>
        <v>Recovery</v>
      </c>
      <c r="R108" s="2">
        <f t="shared" si="17"/>
        <v>37955</v>
      </c>
      <c r="S108" s="1">
        <f>VLOOKUP(R108,BB!$A$3:$C$62769, 2, 1)</f>
        <v>4.3315999999999999</v>
      </c>
      <c r="T108" s="1">
        <f t="shared" si="18"/>
        <v>0.7995000000000001</v>
      </c>
      <c r="U108" s="1">
        <f>VLOOKUP(R108,BB!$A$3:$D$6771, 4, 1)</f>
        <v>5.1311</v>
      </c>
      <c r="V108" s="1" t="str">
        <f t="shared" si="25"/>
        <v/>
      </c>
      <c r="W108" s="1" t="str">
        <f t="shared" si="26"/>
        <v/>
      </c>
      <c r="X108" s="1">
        <f t="shared" si="23"/>
        <v>3.9376000000000002</v>
      </c>
      <c r="Y108" s="1">
        <f t="shared" si="24"/>
        <v>0.94469999999999965</v>
      </c>
      <c r="Z108" s="1" t="str">
        <f t="shared" si="11"/>
        <v/>
      </c>
      <c r="AL108" s="1">
        <v>0</v>
      </c>
      <c r="AM108" s="1">
        <v>0</v>
      </c>
      <c r="AN108" s="1">
        <v>0</v>
      </c>
      <c r="AO108" s="1">
        <v>10</v>
      </c>
      <c r="AP108" s="1">
        <f t="shared" si="19"/>
        <v>0</v>
      </c>
      <c r="AQ108" s="1">
        <f t="shared" si="20"/>
        <v>0</v>
      </c>
      <c r="AR108" s="1">
        <f t="shared" si="21"/>
        <v>0</v>
      </c>
      <c r="AS108" s="1">
        <f t="shared" si="22"/>
        <v>6</v>
      </c>
    </row>
    <row r="109" spans="1:45" x14ac:dyDescent="0.2">
      <c r="A109" s="2">
        <v>37956</v>
      </c>
      <c r="B109" s="1">
        <v>-0.49285978324835789</v>
      </c>
      <c r="C109" s="1">
        <v>-0.91918621701297298</v>
      </c>
      <c r="D109" s="1">
        <v>1.9686184489641465</v>
      </c>
      <c r="E109" s="1">
        <v>-0.73820416509349029</v>
      </c>
      <c r="F109" s="1">
        <v>-0.3910946658112317</v>
      </c>
      <c r="G109" s="1">
        <v>3.079263084906529</v>
      </c>
      <c r="H109" s="1">
        <v>-1.2843940993798291</v>
      </c>
      <c r="I109" s="1">
        <v>0.1039872386803929</v>
      </c>
      <c r="J109" s="1">
        <v>-0.70446316829495503</v>
      </c>
      <c r="K109" s="1">
        <v>-2.3298841349582795</v>
      </c>
      <c r="L109" s="1">
        <v>-0.1708217461248048</v>
      </c>
      <c r="M109" s="1">
        <v>0</v>
      </c>
      <c r="N109" s="1">
        <v>0</v>
      </c>
      <c r="O109" s="1">
        <v>0</v>
      </c>
      <c r="P109" s="1">
        <v>6</v>
      </c>
      <c r="Q109" s="1" t="str">
        <f t="shared" si="16"/>
        <v>Recovery</v>
      </c>
      <c r="R109" s="2">
        <f t="shared" si="17"/>
        <v>37986</v>
      </c>
      <c r="S109" s="1">
        <f>VLOOKUP(R109,BB!$A$3:$C$62769, 2, 1)</f>
        <v>4.2454999999999998</v>
      </c>
      <c r="T109" s="1">
        <f t="shared" si="18"/>
        <v>0.82720000000000038</v>
      </c>
      <c r="U109" s="1">
        <f>VLOOKUP(R109,BB!$A$3:$D$6771, 4, 1)</f>
        <v>5.0727000000000002</v>
      </c>
      <c r="V109" s="1" t="str">
        <f t="shared" si="25"/>
        <v/>
      </c>
      <c r="W109" s="1" t="str">
        <f t="shared" si="26"/>
        <v/>
      </c>
      <c r="X109" s="1">
        <f t="shared" si="23"/>
        <v>3.9376000000000002</v>
      </c>
      <c r="Y109" s="1">
        <f t="shared" si="24"/>
        <v>0.94469999999999965</v>
      </c>
      <c r="Z109" s="1" t="str">
        <f t="shared" si="11"/>
        <v/>
      </c>
      <c r="AL109" s="1">
        <v>0</v>
      </c>
      <c r="AM109" s="1">
        <v>0</v>
      </c>
      <c r="AN109" s="1">
        <v>0</v>
      </c>
      <c r="AO109" s="1">
        <v>10</v>
      </c>
      <c r="AP109" s="1">
        <f t="shared" si="19"/>
        <v>0</v>
      </c>
      <c r="AQ109" s="1">
        <f t="shared" si="20"/>
        <v>0</v>
      </c>
      <c r="AR109" s="1">
        <f t="shared" si="21"/>
        <v>0</v>
      </c>
      <c r="AS109" s="1">
        <f t="shared" si="22"/>
        <v>6</v>
      </c>
    </row>
    <row r="110" spans="1:45" x14ac:dyDescent="0.2">
      <c r="A110" s="2">
        <v>37987</v>
      </c>
      <c r="B110" s="1">
        <v>-0.14563913095885639</v>
      </c>
      <c r="C110" s="1">
        <v>-0.66431942815857381</v>
      </c>
      <c r="D110" s="1">
        <v>1.7987046286965491</v>
      </c>
      <c r="E110" s="1">
        <v>-0.62288845103660817</v>
      </c>
      <c r="F110" s="1">
        <v>-0.2908056976114034</v>
      </c>
      <c r="G110" s="1">
        <v>2.4182299382115371</v>
      </c>
      <c r="H110" s="1">
        <v>-1.2967307340050334</v>
      </c>
      <c r="I110" s="1">
        <v>-7.9282058030969174E-2</v>
      </c>
      <c r="J110" s="1">
        <v>9.8644569121714112E-2</v>
      </c>
      <c r="K110" s="1">
        <v>-2.3396774224944794</v>
      </c>
      <c r="L110" s="1">
        <v>-0.11237637862661232</v>
      </c>
      <c r="M110" s="1">
        <v>0</v>
      </c>
      <c r="N110" s="1">
        <v>0</v>
      </c>
      <c r="O110" s="1">
        <v>0</v>
      </c>
      <c r="P110" s="1">
        <v>6</v>
      </c>
      <c r="Q110" s="1" t="str">
        <f t="shared" si="16"/>
        <v>Recovery</v>
      </c>
      <c r="R110" s="2">
        <f t="shared" si="17"/>
        <v>38017</v>
      </c>
      <c r="S110" s="1">
        <f>VLOOKUP(R110,BB!$A$3:$C$62769, 2, 1)</f>
        <v>4.1318999999999999</v>
      </c>
      <c r="T110" s="1">
        <f t="shared" si="18"/>
        <v>0.82910000000000039</v>
      </c>
      <c r="U110" s="1">
        <f>VLOOKUP(R110,BB!$A$3:$D$6771, 4, 1)</f>
        <v>4.9610000000000003</v>
      </c>
      <c r="V110" s="1">
        <f t="shared" si="25"/>
        <v>0.1942999999999997</v>
      </c>
      <c r="W110" s="1">
        <f t="shared" si="26"/>
        <v>-0.11559999999999926</v>
      </c>
      <c r="X110" s="1">
        <f t="shared" si="23"/>
        <v>3.9376000000000002</v>
      </c>
      <c r="Y110" s="1">
        <f t="shared" si="24"/>
        <v>0.94469999999999965</v>
      </c>
      <c r="Z110" s="1" t="str">
        <f t="shared" si="11"/>
        <v>Recovery</v>
      </c>
      <c r="AL110" s="1">
        <v>0</v>
      </c>
      <c r="AM110" s="1">
        <v>0</v>
      </c>
      <c r="AN110" s="1">
        <v>0</v>
      </c>
      <c r="AO110" s="1">
        <v>10</v>
      </c>
      <c r="AP110" s="1">
        <f t="shared" si="19"/>
        <v>0</v>
      </c>
      <c r="AQ110" s="1">
        <f t="shared" si="20"/>
        <v>0</v>
      </c>
      <c r="AR110" s="1">
        <f t="shared" si="21"/>
        <v>0</v>
      </c>
      <c r="AS110" s="1">
        <f t="shared" si="22"/>
        <v>6</v>
      </c>
    </row>
    <row r="111" spans="1:45" x14ac:dyDescent="0.2">
      <c r="A111" s="2">
        <v>38018</v>
      </c>
      <c r="B111" s="1">
        <v>-7.4934959242587654E-2</v>
      </c>
      <c r="C111" s="1">
        <v>-1.1336419301201208</v>
      </c>
      <c r="D111" s="1">
        <v>1.7924397949481861</v>
      </c>
      <c r="E111" s="1">
        <v>-0.64324894141815336</v>
      </c>
      <c r="F111" s="1">
        <v>-0.20791579209791472</v>
      </c>
      <c r="G111" s="1">
        <v>1.9117281250592773</v>
      </c>
      <c r="H111" s="1">
        <v>-1.2952770714490396</v>
      </c>
      <c r="I111" s="1">
        <v>-0.22670398389880736</v>
      </c>
      <c r="J111" s="1">
        <v>1.5955130421984089</v>
      </c>
      <c r="K111" s="1">
        <v>-2.2246152086357673</v>
      </c>
      <c r="L111" s="1">
        <v>-5.066569246565187E-2</v>
      </c>
      <c r="M111" s="1">
        <v>0</v>
      </c>
      <c r="N111" s="1">
        <v>0</v>
      </c>
      <c r="O111" s="1">
        <v>6</v>
      </c>
      <c r="P111" s="1">
        <v>0</v>
      </c>
      <c r="Q111" s="1" t="str">
        <f t="shared" si="16"/>
        <v>Repair</v>
      </c>
      <c r="R111" s="2">
        <f t="shared" si="17"/>
        <v>38046</v>
      </c>
      <c r="S111" s="1">
        <f>VLOOKUP(R111,BB!$A$3:$C$62769, 2, 1)</f>
        <v>3.9710999999999999</v>
      </c>
      <c r="T111" s="1">
        <f t="shared" si="18"/>
        <v>0.86629999999999985</v>
      </c>
      <c r="U111" s="1">
        <f>VLOOKUP(R111,BB!$A$3:$D$6771, 4, 1)</f>
        <v>4.8373999999999997</v>
      </c>
      <c r="V111" s="1" t="str">
        <f t="shared" si="25"/>
        <v/>
      </c>
      <c r="W111" s="1" t="str">
        <f t="shared" si="26"/>
        <v/>
      </c>
      <c r="X111" s="1">
        <f t="shared" si="23"/>
        <v>4.1318999999999999</v>
      </c>
      <c r="Y111" s="1">
        <f t="shared" si="24"/>
        <v>0.82910000000000039</v>
      </c>
      <c r="Z111" s="1" t="str">
        <f t="shared" si="11"/>
        <v/>
      </c>
      <c r="AL111" s="1">
        <v>0</v>
      </c>
      <c r="AM111" s="1">
        <v>0</v>
      </c>
      <c r="AN111" s="1">
        <v>10</v>
      </c>
      <c r="AO111" s="1">
        <v>0</v>
      </c>
      <c r="AP111" s="1">
        <f t="shared" si="19"/>
        <v>0</v>
      </c>
      <c r="AQ111" s="1">
        <f t="shared" si="20"/>
        <v>0</v>
      </c>
      <c r="AR111" s="1">
        <f t="shared" si="21"/>
        <v>6</v>
      </c>
      <c r="AS111" s="1">
        <f t="shared" si="22"/>
        <v>0</v>
      </c>
    </row>
    <row r="112" spans="1:45" x14ac:dyDescent="0.2">
      <c r="A112" s="2">
        <v>38047</v>
      </c>
      <c r="B112" s="1">
        <v>4.5932011843458229E-2</v>
      </c>
      <c r="C112" s="1">
        <v>-1.0925642170376701</v>
      </c>
      <c r="D112" s="1">
        <v>1.6856705265235716</v>
      </c>
      <c r="E112" s="1">
        <v>-0.80098243038856776</v>
      </c>
      <c r="F112" s="1">
        <v>-0.10828871658762251</v>
      </c>
      <c r="G112" s="1">
        <v>2.100751942035469</v>
      </c>
      <c r="H112" s="1">
        <v>-1.2709948683806656</v>
      </c>
      <c r="I112" s="1">
        <v>6.8950989796712228E-2</v>
      </c>
      <c r="J112" s="1">
        <v>-0.20955363302283794</v>
      </c>
      <c r="K112" s="1">
        <v>-1.9900648218899069</v>
      </c>
      <c r="L112" s="1">
        <v>-0.15711432171080597</v>
      </c>
      <c r="M112" s="1">
        <v>0</v>
      </c>
      <c r="N112" s="1">
        <v>0</v>
      </c>
      <c r="O112" s="1">
        <v>6</v>
      </c>
      <c r="P112" s="1">
        <v>0</v>
      </c>
      <c r="Q112" s="1" t="str">
        <f t="shared" si="16"/>
        <v>Repair</v>
      </c>
      <c r="R112" s="2">
        <f t="shared" si="17"/>
        <v>38077</v>
      </c>
      <c r="S112" s="1">
        <f>VLOOKUP(R112,BB!$A$3:$C$62769, 2, 1)</f>
        <v>3.8348</v>
      </c>
      <c r="T112" s="1">
        <f t="shared" si="18"/>
        <v>0.9368000000000003</v>
      </c>
      <c r="U112" s="1">
        <f>VLOOKUP(R112,BB!$A$3:$D$6771, 4, 1)</f>
        <v>4.7716000000000003</v>
      </c>
      <c r="V112" s="1" t="str">
        <f t="shared" si="25"/>
        <v/>
      </c>
      <c r="W112" s="1" t="str">
        <f t="shared" si="26"/>
        <v/>
      </c>
      <c r="X112" s="1">
        <f t="shared" si="23"/>
        <v>4.1318999999999999</v>
      </c>
      <c r="Y112" s="1">
        <f t="shared" si="24"/>
        <v>0.82910000000000039</v>
      </c>
      <c r="Z112" s="1" t="str">
        <f t="shared" si="11"/>
        <v/>
      </c>
      <c r="AL112" s="1">
        <v>0</v>
      </c>
      <c r="AM112" s="1">
        <v>0</v>
      </c>
      <c r="AN112" s="1">
        <v>10</v>
      </c>
      <c r="AO112" s="1">
        <v>0</v>
      </c>
      <c r="AP112" s="1">
        <f t="shared" si="19"/>
        <v>0</v>
      </c>
      <c r="AQ112" s="1">
        <f t="shared" si="20"/>
        <v>0</v>
      </c>
      <c r="AR112" s="1">
        <f t="shared" si="21"/>
        <v>6</v>
      </c>
      <c r="AS112" s="1">
        <f t="shared" si="22"/>
        <v>0</v>
      </c>
    </row>
    <row r="113" spans="1:45" x14ac:dyDescent="0.2">
      <c r="A113" s="2">
        <v>38078</v>
      </c>
      <c r="B113" s="1">
        <v>8.6813325082559262E-2</v>
      </c>
      <c r="C113" s="1">
        <v>-0.87037112828556473</v>
      </c>
      <c r="D113" s="1">
        <v>1.5795829727963584</v>
      </c>
      <c r="E113" s="1">
        <v>-0.6820684880157416</v>
      </c>
      <c r="F113" s="1">
        <v>-7.7726158663917553E-3</v>
      </c>
      <c r="G113" s="1">
        <v>2.0422750921737074</v>
      </c>
      <c r="H113" s="1">
        <v>-1.2957382831676314</v>
      </c>
      <c r="I113" s="1">
        <v>-0.17554424102956595</v>
      </c>
      <c r="J113" s="1">
        <v>-0.60295595841285266</v>
      </c>
      <c r="K113" s="1">
        <v>-1.9923336625678043</v>
      </c>
      <c r="L113" s="1">
        <v>-0.19181129872929276</v>
      </c>
      <c r="M113" s="1">
        <v>0</v>
      </c>
      <c r="N113" s="1">
        <v>0</v>
      </c>
      <c r="O113" s="1">
        <v>6</v>
      </c>
      <c r="P113" s="1">
        <v>0</v>
      </c>
      <c r="Q113" s="1" t="str">
        <f t="shared" si="16"/>
        <v>Repair</v>
      </c>
      <c r="R113" s="2">
        <f t="shared" si="17"/>
        <v>38107</v>
      </c>
      <c r="S113" s="1">
        <f>VLOOKUP(R113,BB!$A$3:$C$62769, 2, 1)</f>
        <v>4.5053000000000001</v>
      </c>
      <c r="T113" s="1">
        <f t="shared" si="18"/>
        <v>0.77909999999999968</v>
      </c>
      <c r="U113" s="1">
        <f>VLOOKUP(R113,BB!$A$3:$D$6771, 4, 1)</f>
        <v>5.2843999999999998</v>
      </c>
      <c r="V113" s="1">
        <f t="shared" si="25"/>
        <v>0.37340000000000018</v>
      </c>
      <c r="W113" s="1">
        <f t="shared" si="26"/>
        <v>-5.0000000000000711E-2</v>
      </c>
      <c r="X113" s="1">
        <f t="shared" si="23"/>
        <v>4.1318999999999999</v>
      </c>
      <c r="Y113" s="1">
        <f t="shared" si="24"/>
        <v>0.82910000000000039</v>
      </c>
      <c r="Z113" s="1" t="str">
        <f t="shared" si="11"/>
        <v>Repair</v>
      </c>
      <c r="AL113" s="1">
        <v>0</v>
      </c>
      <c r="AM113" s="1">
        <v>0</v>
      </c>
      <c r="AN113" s="1">
        <v>10</v>
      </c>
      <c r="AO113" s="1">
        <v>0</v>
      </c>
      <c r="AP113" s="1">
        <f t="shared" si="19"/>
        <v>0</v>
      </c>
      <c r="AQ113" s="1">
        <f t="shared" si="20"/>
        <v>0</v>
      </c>
      <c r="AR113" s="1">
        <f t="shared" si="21"/>
        <v>6</v>
      </c>
      <c r="AS113" s="1">
        <f t="shared" si="22"/>
        <v>0</v>
      </c>
    </row>
    <row r="114" spans="1:45" x14ac:dyDescent="0.2">
      <c r="A114" s="2">
        <v>38108</v>
      </c>
      <c r="B114" s="1">
        <v>0.20333548514919353</v>
      </c>
      <c r="C114" s="1">
        <v>-0.85635853696141917</v>
      </c>
      <c r="D114" s="1">
        <v>1.4685155120124089</v>
      </c>
      <c r="E114" s="1">
        <v>-0.69939138290241143</v>
      </c>
      <c r="F114" s="1">
        <v>7.5331566605659206E-2</v>
      </c>
      <c r="G114" s="1">
        <v>2.0862019691193341</v>
      </c>
      <c r="H114" s="1">
        <v>-1.3272930299989285</v>
      </c>
      <c r="I114" s="1">
        <v>-4.2092035289703053E-2</v>
      </c>
      <c r="J114" s="1">
        <v>-0.22939704875330508</v>
      </c>
      <c r="K114" s="1">
        <v>-2.1042316313849763</v>
      </c>
      <c r="L114" s="1">
        <v>-0.14253791324041482</v>
      </c>
      <c r="M114" s="1">
        <v>0</v>
      </c>
      <c r="N114" s="1">
        <v>0</v>
      </c>
      <c r="O114" s="1">
        <v>0</v>
      </c>
      <c r="P114" s="1">
        <v>6</v>
      </c>
      <c r="Q114" s="1" t="str">
        <f t="shared" si="16"/>
        <v>Recovery</v>
      </c>
      <c r="R114" s="2">
        <f t="shared" si="17"/>
        <v>38138</v>
      </c>
      <c r="S114" s="1">
        <f>VLOOKUP(R114,BB!$A$3:$C$62769, 2, 1)</f>
        <v>4.6467999999999998</v>
      </c>
      <c r="T114" s="1">
        <f t="shared" si="18"/>
        <v>0.69779999999999998</v>
      </c>
      <c r="U114" s="1">
        <f>VLOOKUP(R114,BB!$A$3:$D$6771, 4, 1)</f>
        <v>5.3445999999999998</v>
      </c>
      <c r="V114" s="1">
        <f t="shared" si="25"/>
        <v>0.14149999999999974</v>
      </c>
      <c r="W114" s="1">
        <f t="shared" si="26"/>
        <v>-8.1299999999999706E-2</v>
      </c>
      <c r="X114" s="1">
        <f t="shared" si="23"/>
        <v>4.5053000000000001</v>
      </c>
      <c r="Y114" s="1">
        <f t="shared" si="24"/>
        <v>0.77909999999999968</v>
      </c>
      <c r="Z114" s="1" t="str">
        <f t="shared" si="11"/>
        <v>Recovery</v>
      </c>
      <c r="AL114" s="1">
        <v>0</v>
      </c>
      <c r="AM114" s="1">
        <v>0</v>
      </c>
      <c r="AN114" s="1">
        <v>0</v>
      </c>
      <c r="AO114" s="1">
        <v>10</v>
      </c>
      <c r="AP114" s="1">
        <f t="shared" si="19"/>
        <v>0</v>
      </c>
      <c r="AQ114" s="1">
        <f t="shared" si="20"/>
        <v>0</v>
      </c>
      <c r="AR114" s="1">
        <f t="shared" si="21"/>
        <v>0</v>
      </c>
      <c r="AS114" s="1">
        <f t="shared" si="22"/>
        <v>6</v>
      </c>
    </row>
    <row r="115" spans="1:45" x14ac:dyDescent="0.2">
      <c r="A115" s="2">
        <v>38139</v>
      </c>
      <c r="B115" s="1">
        <v>0.16390623659665218</v>
      </c>
      <c r="C115" s="1">
        <v>-0.43572507709655117</v>
      </c>
      <c r="D115" s="1">
        <v>1.2049925056124191</v>
      </c>
      <c r="E115" s="1">
        <v>-0.70962077990924377</v>
      </c>
      <c r="F115" s="1">
        <v>0.14162949436518474</v>
      </c>
      <c r="G115" s="1">
        <v>1.7278820598686742</v>
      </c>
      <c r="H115" s="1">
        <v>-1.3753434097759869</v>
      </c>
      <c r="I115" s="1">
        <v>-0.13805664945830939</v>
      </c>
      <c r="J115" s="1">
        <v>-0.2775432621783776</v>
      </c>
      <c r="K115" s="1">
        <v>-2.657437648975761</v>
      </c>
      <c r="L115" s="1">
        <v>-0.23553165309512997</v>
      </c>
      <c r="M115" s="1">
        <v>0</v>
      </c>
      <c r="N115" s="1">
        <v>0</v>
      </c>
      <c r="O115" s="1">
        <v>6</v>
      </c>
      <c r="P115" s="1">
        <v>0</v>
      </c>
      <c r="Q115" s="1" t="str">
        <f t="shared" si="16"/>
        <v>Repair</v>
      </c>
      <c r="R115" s="2">
        <f t="shared" si="17"/>
        <v>38168</v>
      </c>
      <c r="S115" s="1">
        <f>VLOOKUP(R115,BB!$A$3:$C$62769, 2, 1)</f>
        <v>4.5805999999999996</v>
      </c>
      <c r="T115" s="1">
        <f t="shared" si="18"/>
        <v>0.70700000000000074</v>
      </c>
      <c r="U115" s="1">
        <f>VLOOKUP(R115,BB!$A$3:$D$6771, 4, 1)</f>
        <v>5.2876000000000003</v>
      </c>
      <c r="V115" s="1" t="str">
        <f t="shared" si="25"/>
        <v/>
      </c>
      <c r="W115" s="1" t="str">
        <f t="shared" si="26"/>
        <v/>
      </c>
      <c r="X115" s="1">
        <f t="shared" si="23"/>
        <v>4.6467999999999998</v>
      </c>
      <c r="Y115" s="1">
        <f t="shared" si="24"/>
        <v>0.69779999999999998</v>
      </c>
      <c r="Z115" s="1" t="str">
        <f t="shared" si="11"/>
        <v/>
      </c>
      <c r="AL115" s="1">
        <v>0</v>
      </c>
      <c r="AM115" s="1">
        <v>0</v>
      </c>
      <c r="AN115" s="1">
        <v>10</v>
      </c>
      <c r="AO115" s="1">
        <v>0</v>
      </c>
      <c r="AP115" s="1">
        <f t="shared" si="19"/>
        <v>0</v>
      </c>
      <c r="AQ115" s="1">
        <f t="shared" si="20"/>
        <v>0</v>
      </c>
      <c r="AR115" s="1">
        <f t="shared" si="21"/>
        <v>6</v>
      </c>
      <c r="AS115" s="1">
        <f t="shared" si="22"/>
        <v>0</v>
      </c>
    </row>
    <row r="116" spans="1:45" x14ac:dyDescent="0.2">
      <c r="A116" s="2">
        <v>38169</v>
      </c>
      <c r="B116" s="1">
        <v>0.19576386885774572</v>
      </c>
      <c r="C116" s="1">
        <v>-0.23553845404659532</v>
      </c>
      <c r="D116" s="1">
        <v>1.0704294361202074</v>
      </c>
      <c r="E116" s="1">
        <v>-0.57838663727780448</v>
      </c>
      <c r="F116" s="1">
        <v>0.19049629646770322</v>
      </c>
      <c r="G116" s="1">
        <v>1.886217760541173</v>
      </c>
      <c r="H116" s="1">
        <v>-1.3604646260429363</v>
      </c>
      <c r="I116" s="1">
        <v>-0.52350915232863149</v>
      </c>
      <c r="J116" s="1">
        <v>-0.16450004086864595</v>
      </c>
      <c r="K116" s="1">
        <v>-2.5535373216139523</v>
      </c>
      <c r="L116" s="1">
        <v>-0.20730288701917368</v>
      </c>
      <c r="M116" s="1">
        <v>0</v>
      </c>
      <c r="N116" s="1">
        <v>0</v>
      </c>
      <c r="O116" s="1">
        <v>6</v>
      </c>
      <c r="P116" s="1">
        <v>0</v>
      </c>
      <c r="Q116" s="1" t="str">
        <f t="shared" si="16"/>
        <v>Repair</v>
      </c>
      <c r="R116" s="2">
        <f t="shared" si="17"/>
        <v>38199</v>
      </c>
      <c r="S116" s="1">
        <f>VLOOKUP(R116,BB!$A$3:$C$62769, 2, 1)</f>
        <v>4.4747000000000003</v>
      </c>
      <c r="T116" s="1">
        <f t="shared" si="18"/>
        <v>0.72219999999999995</v>
      </c>
      <c r="U116" s="1">
        <f>VLOOKUP(R116,BB!$A$3:$D$6771, 4, 1)</f>
        <v>5.1969000000000003</v>
      </c>
      <c r="V116" s="1" t="str">
        <f t="shared" si="25"/>
        <v/>
      </c>
      <c r="W116" s="1" t="str">
        <f t="shared" si="26"/>
        <v/>
      </c>
      <c r="X116" s="1">
        <f t="shared" si="23"/>
        <v>4.6467999999999998</v>
      </c>
      <c r="Y116" s="1">
        <f t="shared" si="24"/>
        <v>0.69779999999999998</v>
      </c>
      <c r="Z116" s="1" t="str">
        <f t="shared" si="11"/>
        <v/>
      </c>
      <c r="AL116" s="1">
        <v>0</v>
      </c>
      <c r="AM116" s="1">
        <v>0</v>
      </c>
      <c r="AN116" s="1">
        <v>10</v>
      </c>
      <c r="AO116" s="1">
        <v>0</v>
      </c>
      <c r="AP116" s="1">
        <f t="shared" si="19"/>
        <v>0</v>
      </c>
      <c r="AQ116" s="1">
        <f t="shared" si="20"/>
        <v>0</v>
      </c>
      <c r="AR116" s="1">
        <f t="shared" si="21"/>
        <v>6</v>
      </c>
      <c r="AS116" s="1">
        <f t="shared" si="22"/>
        <v>0</v>
      </c>
    </row>
    <row r="117" spans="1:45" x14ac:dyDescent="0.2">
      <c r="A117" s="2">
        <v>38200</v>
      </c>
      <c r="B117" s="1">
        <v>0.19100589050631464</v>
      </c>
      <c r="C117" s="1">
        <v>-0.63951391534565949</v>
      </c>
      <c r="D117" s="1">
        <v>0.97758205433748979</v>
      </c>
      <c r="E117" s="1">
        <v>-0.44704951364016055</v>
      </c>
      <c r="F117" s="1">
        <v>0.18746601336882318</v>
      </c>
      <c r="G117" s="1">
        <v>1.2976105230056874</v>
      </c>
      <c r="H117" s="1">
        <v>-1.3359198110367685</v>
      </c>
      <c r="I117" s="1">
        <v>-0.23096980757204591</v>
      </c>
      <c r="J117" s="1">
        <v>-0.45991001707681356</v>
      </c>
      <c r="K117" s="1">
        <v>-2.5271278463206315</v>
      </c>
      <c r="L117" s="1">
        <v>-0.29868264297737646</v>
      </c>
      <c r="M117" s="1">
        <v>0</v>
      </c>
      <c r="N117" s="1">
        <v>0</v>
      </c>
      <c r="O117" s="1">
        <v>6</v>
      </c>
      <c r="P117" s="1">
        <v>0</v>
      </c>
      <c r="Q117" s="1" t="str">
        <f t="shared" si="16"/>
        <v>Repair</v>
      </c>
      <c r="R117" s="2">
        <f t="shared" si="17"/>
        <v>38230</v>
      </c>
      <c r="S117" s="1">
        <f>VLOOKUP(R117,BB!$A$3:$C$62769, 2, 1)</f>
        <v>4.1166999999999998</v>
      </c>
      <c r="T117" s="1">
        <f t="shared" si="18"/>
        <v>0.81050000000000022</v>
      </c>
      <c r="U117" s="1">
        <f>VLOOKUP(R117,BB!$A$3:$D$6771, 4, 1)</f>
        <v>4.9272</v>
      </c>
      <c r="V117" s="1" t="str">
        <f t="shared" si="25"/>
        <v/>
      </c>
      <c r="W117" s="1" t="str">
        <f t="shared" si="26"/>
        <v/>
      </c>
      <c r="X117" s="1">
        <f t="shared" si="23"/>
        <v>4.6467999999999998</v>
      </c>
      <c r="Y117" s="1">
        <f t="shared" si="24"/>
        <v>0.69779999999999998</v>
      </c>
      <c r="Z117" s="1" t="str">
        <f t="shared" si="11"/>
        <v/>
      </c>
      <c r="AL117" s="1">
        <v>0</v>
      </c>
      <c r="AM117" s="1">
        <v>0</v>
      </c>
      <c r="AN117" s="1">
        <v>10</v>
      </c>
      <c r="AO117" s="1">
        <v>0</v>
      </c>
      <c r="AP117" s="1">
        <f t="shared" si="19"/>
        <v>0</v>
      </c>
      <c r="AQ117" s="1">
        <f t="shared" si="20"/>
        <v>0</v>
      </c>
      <c r="AR117" s="1">
        <f t="shared" si="21"/>
        <v>6</v>
      </c>
      <c r="AS117" s="1">
        <f t="shared" si="22"/>
        <v>0</v>
      </c>
    </row>
    <row r="118" spans="1:45" x14ac:dyDescent="0.2">
      <c r="A118" s="2">
        <v>38231</v>
      </c>
      <c r="B118" s="1">
        <v>0.20736239491917619</v>
      </c>
      <c r="C118" s="1">
        <v>-0.70326716785491505</v>
      </c>
      <c r="D118" s="1">
        <v>0.72838267440271443</v>
      </c>
      <c r="E118" s="1">
        <v>-0.45708154888597857</v>
      </c>
      <c r="F118" s="1">
        <v>0.16742688707377276</v>
      </c>
      <c r="G118" s="1">
        <v>1.1992619625609893</v>
      </c>
      <c r="H118" s="1">
        <v>-1.2826461723901066</v>
      </c>
      <c r="I118" s="1">
        <v>-0.20440536889534777</v>
      </c>
      <c r="J118" s="1">
        <v>-0.82735245085090414</v>
      </c>
      <c r="K118" s="1">
        <v>-0.76643924823423826</v>
      </c>
      <c r="L118" s="1">
        <v>-0.19387580381548375</v>
      </c>
      <c r="M118" s="1">
        <v>0</v>
      </c>
      <c r="N118" s="1">
        <v>0</v>
      </c>
      <c r="O118" s="1">
        <v>6</v>
      </c>
      <c r="P118" s="1">
        <v>0</v>
      </c>
      <c r="Q118" s="1" t="str">
        <f t="shared" si="16"/>
        <v>Repair</v>
      </c>
      <c r="R118" s="2">
        <f t="shared" si="17"/>
        <v>38260</v>
      </c>
      <c r="S118" s="1">
        <f>VLOOKUP(R118,BB!$A$3:$C$62769, 2, 1)</f>
        <v>4.1193999999999997</v>
      </c>
      <c r="T118" s="1">
        <f t="shared" si="18"/>
        <v>0.77249999999999996</v>
      </c>
      <c r="U118" s="1">
        <f>VLOOKUP(R118,BB!$A$3:$D$6771, 4, 1)</f>
        <v>4.8918999999999997</v>
      </c>
      <c r="V118" s="1" t="str">
        <f t="shared" si="25"/>
        <v/>
      </c>
      <c r="W118" s="1" t="str">
        <f t="shared" si="26"/>
        <v/>
      </c>
      <c r="X118" s="1">
        <f t="shared" si="23"/>
        <v>4.6467999999999998</v>
      </c>
      <c r="Y118" s="1">
        <f t="shared" si="24"/>
        <v>0.69779999999999998</v>
      </c>
      <c r="Z118" s="1" t="str">
        <f t="shared" si="11"/>
        <v/>
      </c>
      <c r="AL118" s="1">
        <v>0</v>
      </c>
      <c r="AM118" s="1">
        <v>0</v>
      </c>
      <c r="AN118" s="1">
        <v>10</v>
      </c>
      <c r="AO118" s="1">
        <v>0</v>
      </c>
      <c r="AP118" s="1">
        <f t="shared" si="19"/>
        <v>0</v>
      </c>
      <c r="AQ118" s="1">
        <f t="shared" si="20"/>
        <v>0</v>
      </c>
      <c r="AR118" s="1">
        <f t="shared" si="21"/>
        <v>6</v>
      </c>
      <c r="AS118" s="1">
        <f t="shared" si="22"/>
        <v>0</v>
      </c>
    </row>
    <row r="119" spans="1:45" x14ac:dyDescent="0.2">
      <c r="A119" s="2">
        <v>38261</v>
      </c>
      <c r="B119" s="1">
        <v>0.14256834989685827</v>
      </c>
      <c r="C119" s="1">
        <v>-0.90526545238924916</v>
      </c>
      <c r="D119" s="1">
        <v>0.6778387499377645</v>
      </c>
      <c r="E119" s="1">
        <v>-0.60967014191843394</v>
      </c>
      <c r="F119" s="1">
        <v>0.14853475692221701</v>
      </c>
      <c r="G119" s="1">
        <v>0.88027659659388402</v>
      </c>
      <c r="H119" s="1">
        <v>-1.2015951495722763</v>
      </c>
      <c r="I119" s="1">
        <v>-0.52173550428438065</v>
      </c>
      <c r="J119" s="1">
        <v>-0.67892362808508877</v>
      </c>
      <c r="K119" s="1">
        <v>-0.81463155755139005</v>
      </c>
      <c r="L119" s="1">
        <v>-0.28826029804500947</v>
      </c>
      <c r="M119" s="1">
        <v>0</v>
      </c>
      <c r="N119" s="1">
        <v>0</v>
      </c>
      <c r="O119" s="1">
        <v>6</v>
      </c>
      <c r="P119" s="1">
        <v>0</v>
      </c>
      <c r="Q119" s="1" t="str">
        <f t="shared" si="16"/>
        <v>Repair</v>
      </c>
      <c r="R119" s="2">
        <f t="shared" si="17"/>
        <v>38291</v>
      </c>
      <c r="S119" s="1">
        <f>VLOOKUP(R119,BB!$A$3:$C$62769, 2, 1)</f>
        <v>4.0235000000000003</v>
      </c>
      <c r="T119" s="1">
        <f t="shared" si="18"/>
        <v>0.76539999999999964</v>
      </c>
      <c r="U119" s="1">
        <f>VLOOKUP(R119,BB!$A$3:$D$6771, 4, 1)</f>
        <v>4.7888999999999999</v>
      </c>
      <c r="V119" s="1" t="str">
        <f t="shared" si="25"/>
        <v/>
      </c>
      <c r="W119" s="1" t="str">
        <f t="shared" si="26"/>
        <v/>
      </c>
      <c r="X119" s="1">
        <f t="shared" si="23"/>
        <v>4.6467999999999998</v>
      </c>
      <c r="Y119" s="1">
        <f t="shared" si="24"/>
        <v>0.69779999999999998</v>
      </c>
      <c r="Z119" s="1" t="str">
        <f t="shared" si="11"/>
        <v/>
      </c>
      <c r="AL119" s="1">
        <v>0</v>
      </c>
      <c r="AM119" s="1">
        <v>0</v>
      </c>
      <c r="AN119" s="1">
        <v>10</v>
      </c>
      <c r="AO119" s="1">
        <v>0</v>
      </c>
      <c r="AP119" s="1">
        <f t="shared" si="19"/>
        <v>0</v>
      </c>
      <c r="AQ119" s="1">
        <f t="shared" si="20"/>
        <v>0</v>
      </c>
      <c r="AR119" s="1">
        <f t="shared" si="21"/>
        <v>6</v>
      </c>
      <c r="AS119" s="1">
        <f t="shared" si="22"/>
        <v>0</v>
      </c>
    </row>
    <row r="120" spans="1:45" x14ac:dyDescent="0.2">
      <c r="A120" s="2">
        <v>38292</v>
      </c>
      <c r="B120" s="1">
        <v>0.17243722533581535</v>
      </c>
      <c r="C120" s="1">
        <v>-1.0216901400433098</v>
      </c>
      <c r="D120" s="1">
        <v>0.53386605519634034</v>
      </c>
      <c r="E120" s="1">
        <v>-0.47039593448686717</v>
      </c>
      <c r="F120" s="1">
        <v>6.3409018237228887E-2</v>
      </c>
      <c r="G120" s="1">
        <v>1.0781940444589597</v>
      </c>
      <c r="H120" s="1">
        <v>-1.0733711774529171</v>
      </c>
      <c r="I120" s="1">
        <v>-0.9175591453357087</v>
      </c>
      <c r="J120" s="1">
        <v>-0.12713954031402822</v>
      </c>
      <c r="K120" s="1">
        <v>-0.79475420059009971</v>
      </c>
      <c r="L120" s="1">
        <v>-0.25570037949945867</v>
      </c>
      <c r="M120" s="1">
        <v>0</v>
      </c>
      <c r="N120" s="1">
        <v>0</v>
      </c>
      <c r="O120" s="1">
        <v>6</v>
      </c>
      <c r="P120" s="1">
        <v>0</v>
      </c>
      <c r="Q120" s="1" t="str">
        <f t="shared" si="16"/>
        <v>Repair</v>
      </c>
      <c r="R120" s="2">
        <f t="shared" si="17"/>
        <v>38321</v>
      </c>
      <c r="S120" s="1">
        <f>VLOOKUP(R120,BB!$A$3:$C$62769, 2, 1)</f>
        <v>4.3491999999999997</v>
      </c>
      <c r="T120" s="1">
        <f t="shared" si="18"/>
        <v>0.65280000000000005</v>
      </c>
      <c r="U120" s="1">
        <f>VLOOKUP(R120,BB!$A$3:$D$6771, 4, 1)</f>
        <v>5.0019999999999998</v>
      </c>
      <c r="V120" s="1">
        <f t="shared" si="25"/>
        <v>-0.29760000000000009</v>
      </c>
      <c r="W120" s="1">
        <f t="shared" si="26"/>
        <v>-4.4999999999999929E-2</v>
      </c>
      <c r="X120" s="1">
        <f t="shared" si="23"/>
        <v>4.6467999999999998</v>
      </c>
      <c r="Y120" s="1">
        <f t="shared" si="24"/>
        <v>0.69779999999999998</v>
      </c>
      <c r="Z120" s="1" t="str">
        <f t="shared" si="11"/>
        <v>Repair</v>
      </c>
      <c r="AL120" s="1">
        <v>0</v>
      </c>
      <c r="AM120" s="1">
        <v>0</v>
      </c>
      <c r="AN120" s="1">
        <v>10</v>
      </c>
      <c r="AO120" s="1">
        <v>0</v>
      </c>
      <c r="AP120" s="1">
        <f t="shared" si="19"/>
        <v>0</v>
      </c>
      <c r="AQ120" s="1">
        <f t="shared" si="20"/>
        <v>0</v>
      </c>
      <c r="AR120" s="1">
        <f t="shared" si="21"/>
        <v>6</v>
      </c>
      <c r="AS120" s="1">
        <f t="shared" si="22"/>
        <v>0</v>
      </c>
    </row>
    <row r="121" spans="1:45" x14ac:dyDescent="0.2">
      <c r="A121" s="2">
        <v>38322</v>
      </c>
      <c r="B121" s="1">
        <v>0.24586982887014258</v>
      </c>
      <c r="C121" s="1">
        <v>-0.43385005492435036</v>
      </c>
      <c r="D121" s="1">
        <v>0.30122572986204854</v>
      </c>
      <c r="E121" s="1">
        <v>-0.4735186919847898</v>
      </c>
      <c r="F121" s="1">
        <v>0.57004824921979425</v>
      </c>
      <c r="G121" s="1">
        <v>1.2355003882432598</v>
      </c>
      <c r="H121" s="1">
        <v>-1.0074416966364375</v>
      </c>
      <c r="I121" s="1">
        <v>-1.2440337128560421</v>
      </c>
      <c r="J121" s="1">
        <v>1.6334425087255082</v>
      </c>
      <c r="K121" s="1">
        <v>-0.8099546815703097</v>
      </c>
      <c r="L121" s="1">
        <v>1.7287866948824005E-3</v>
      </c>
      <c r="M121" s="1">
        <v>6</v>
      </c>
      <c r="N121" s="1">
        <v>0</v>
      </c>
      <c r="O121" s="1">
        <v>0</v>
      </c>
      <c r="P121" s="1">
        <v>0</v>
      </c>
      <c r="Q121" s="1" t="str">
        <f t="shared" si="16"/>
        <v>Expansion</v>
      </c>
      <c r="R121" s="2">
        <f t="shared" si="17"/>
        <v>38352</v>
      </c>
      <c r="S121" s="1">
        <f>VLOOKUP(R121,BB!$A$3:$C$62769, 2, 1)</f>
        <v>4.2182000000000004</v>
      </c>
      <c r="T121" s="1">
        <f t="shared" si="18"/>
        <v>0.60789999999999988</v>
      </c>
      <c r="U121" s="1">
        <f>VLOOKUP(R121,BB!$A$3:$D$6771, 4, 1)</f>
        <v>4.8261000000000003</v>
      </c>
      <c r="V121" s="1">
        <f t="shared" si="25"/>
        <v>-0.13099999999999934</v>
      </c>
      <c r="W121" s="1">
        <f t="shared" si="26"/>
        <v>-4.4900000000000162E-2</v>
      </c>
      <c r="X121" s="1">
        <f t="shared" si="23"/>
        <v>4.3491999999999997</v>
      </c>
      <c r="Y121" s="1">
        <f t="shared" si="24"/>
        <v>0.65280000000000005</v>
      </c>
      <c r="Z121" s="1" t="str">
        <f t="shared" si="11"/>
        <v>Expansion</v>
      </c>
      <c r="AL121" s="1">
        <v>10</v>
      </c>
      <c r="AM121" s="1">
        <v>0</v>
      </c>
      <c r="AN121" s="1">
        <v>0</v>
      </c>
      <c r="AO121" s="1">
        <v>0</v>
      </c>
      <c r="AP121" s="1">
        <f t="shared" si="19"/>
        <v>6</v>
      </c>
      <c r="AQ121" s="1">
        <f t="shared" si="20"/>
        <v>0</v>
      </c>
      <c r="AR121" s="1">
        <f t="shared" si="21"/>
        <v>0</v>
      </c>
      <c r="AS121" s="1">
        <f t="shared" si="22"/>
        <v>0</v>
      </c>
    </row>
    <row r="122" spans="1:45" x14ac:dyDescent="0.2">
      <c r="A122" s="2">
        <v>38353</v>
      </c>
      <c r="B122" s="1">
        <v>0.2428389393003037</v>
      </c>
      <c r="C122" s="1">
        <v>-0.37921044908758722</v>
      </c>
      <c r="D122" s="1">
        <v>-4.2615488264132778E-2</v>
      </c>
      <c r="E122" s="1">
        <v>-0.18494042210418341</v>
      </c>
      <c r="F122" s="1">
        <v>0.54921227323697908</v>
      </c>
      <c r="G122" s="1">
        <v>0.80988427657947959</v>
      </c>
      <c r="H122" s="1">
        <v>-1.0135262685602389</v>
      </c>
      <c r="I122" s="1">
        <v>-1.355215520394575</v>
      </c>
      <c r="J122" s="1">
        <v>1.0745486832792355</v>
      </c>
      <c r="K122" s="1">
        <v>-0.80833798495394427</v>
      </c>
      <c r="L122" s="1">
        <v>-0.11073619609686638</v>
      </c>
      <c r="M122" s="1">
        <v>0</v>
      </c>
      <c r="N122" s="1">
        <v>0</v>
      </c>
      <c r="O122" s="1">
        <v>0</v>
      </c>
      <c r="P122" s="1">
        <v>6</v>
      </c>
      <c r="Q122" s="1" t="str">
        <f t="shared" si="16"/>
        <v>Recovery</v>
      </c>
      <c r="R122" s="2">
        <f t="shared" si="17"/>
        <v>38383</v>
      </c>
      <c r="S122" s="1">
        <f>VLOOKUP(R122,BB!$A$3:$C$62769, 2, 1)</f>
        <v>4.1280000000000001</v>
      </c>
      <c r="T122" s="1">
        <f t="shared" si="18"/>
        <v>0.45690000000000008</v>
      </c>
      <c r="U122" s="1">
        <f>VLOOKUP(R122,BB!$A$3:$D$6771, 4, 1)</f>
        <v>4.5849000000000002</v>
      </c>
      <c r="V122" s="1">
        <f t="shared" si="25"/>
        <v>-9.020000000000028E-2</v>
      </c>
      <c r="W122" s="1">
        <f t="shared" si="26"/>
        <v>-0.1509999999999998</v>
      </c>
      <c r="X122" s="1">
        <f t="shared" si="23"/>
        <v>4.2182000000000004</v>
      </c>
      <c r="Y122" s="1">
        <f t="shared" si="24"/>
        <v>0.60789999999999988</v>
      </c>
      <c r="Z122" s="1" t="str">
        <f t="shared" si="11"/>
        <v>Recovery</v>
      </c>
      <c r="AL122" s="1">
        <v>0</v>
      </c>
      <c r="AM122" s="1">
        <v>0</v>
      </c>
      <c r="AN122" s="1">
        <v>0</v>
      </c>
      <c r="AO122" s="1">
        <v>10</v>
      </c>
      <c r="AP122" s="1">
        <f t="shared" si="19"/>
        <v>0</v>
      </c>
      <c r="AQ122" s="1">
        <f t="shared" si="20"/>
        <v>0</v>
      </c>
      <c r="AR122" s="1">
        <f t="shared" si="21"/>
        <v>0</v>
      </c>
      <c r="AS122" s="1">
        <f t="shared" si="22"/>
        <v>6</v>
      </c>
    </row>
    <row r="123" spans="1:45" x14ac:dyDescent="0.2">
      <c r="A123" s="2">
        <v>38384</v>
      </c>
      <c r="B123" s="1">
        <v>0.44177073899770319</v>
      </c>
      <c r="C123" s="1">
        <v>-0.35064086968262176</v>
      </c>
      <c r="D123" s="1">
        <v>-0.13298754630531689</v>
      </c>
      <c r="E123" s="1">
        <v>-0.48099913330956096</v>
      </c>
      <c r="F123" s="1">
        <v>0.61406201192595988</v>
      </c>
      <c r="G123" s="1">
        <v>0.60394286280232945</v>
      </c>
      <c r="H123" s="1">
        <v>-1.0213442114486389</v>
      </c>
      <c r="I123" s="1">
        <v>-1.3206735541258152</v>
      </c>
      <c r="J123" s="1">
        <v>-0.40558121174459227</v>
      </c>
      <c r="K123" s="1">
        <v>-0.86934637600090248</v>
      </c>
      <c r="L123" s="1">
        <v>-0.29217972888914556</v>
      </c>
      <c r="M123" s="1">
        <v>0</v>
      </c>
      <c r="N123" s="1">
        <v>0</v>
      </c>
      <c r="O123" s="1">
        <v>6</v>
      </c>
      <c r="P123" s="1">
        <v>0</v>
      </c>
      <c r="Q123" s="1" t="str">
        <f t="shared" si="16"/>
        <v>Repair</v>
      </c>
      <c r="R123" s="2">
        <f t="shared" si="17"/>
        <v>38411</v>
      </c>
      <c r="S123" s="1">
        <f>VLOOKUP(R123,BB!$A$3:$C$62769, 2, 1)</f>
        <v>4.3765999999999998</v>
      </c>
      <c r="T123" s="1">
        <f t="shared" si="18"/>
        <v>0.3429000000000002</v>
      </c>
      <c r="U123" s="1">
        <f>VLOOKUP(R123,BB!$A$3:$D$6771, 4, 1)</f>
        <v>4.7195</v>
      </c>
      <c r="V123" s="1" t="str">
        <f t="shared" si="25"/>
        <v/>
      </c>
      <c r="W123" s="1" t="str">
        <f t="shared" si="26"/>
        <v/>
      </c>
      <c r="X123" s="1">
        <f t="shared" si="23"/>
        <v>4.1280000000000001</v>
      </c>
      <c r="Y123" s="1">
        <f t="shared" si="24"/>
        <v>0.45690000000000008</v>
      </c>
      <c r="Z123" s="1" t="str">
        <f t="shared" si="11"/>
        <v/>
      </c>
      <c r="AL123" s="1">
        <v>0</v>
      </c>
      <c r="AM123" s="1">
        <v>0</v>
      </c>
      <c r="AN123" s="1">
        <v>10</v>
      </c>
      <c r="AO123" s="1">
        <v>0</v>
      </c>
      <c r="AP123" s="1">
        <f t="shared" si="19"/>
        <v>0</v>
      </c>
      <c r="AQ123" s="1">
        <f t="shared" si="20"/>
        <v>0</v>
      </c>
      <c r="AR123" s="1">
        <f t="shared" si="21"/>
        <v>6</v>
      </c>
      <c r="AS123" s="1">
        <f t="shared" si="22"/>
        <v>0</v>
      </c>
    </row>
    <row r="124" spans="1:45" x14ac:dyDescent="0.2">
      <c r="A124" s="2">
        <v>38412</v>
      </c>
      <c r="B124" s="1">
        <v>0.56791345035506025</v>
      </c>
      <c r="C124" s="1">
        <v>-0.43164008668166659</v>
      </c>
      <c r="D124" s="1">
        <v>-0.21992164164397188</v>
      </c>
      <c r="E124" s="1">
        <v>-0.1902188008302293</v>
      </c>
      <c r="F124" s="1">
        <v>0.14289207668361567</v>
      </c>
      <c r="G124" s="1">
        <v>0.58454564402164899</v>
      </c>
      <c r="H124" s="1">
        <v>-1.0413459759351729</v>
      </c>
      <c r="I124" s="1">
        <v>-1.4511278835198309</v>
      </c>
      <c r="J124" s="1">
        <v>-0.27489536838458828</v>
      </c>
      <c r="K124" s="1">
        <v>-1.1009507046902136</v>
      </c>
      <c r="L124" s="1">
        <v>-0.3414749290625349</v>
      </c>
      <c r="M124" s="1">
        <v>0</v>
      </c>
      <c r="N124" s="1">
        <v>0</v>
      </c>
      <c r="O124" s="1">
        <v>6</v>
      </c>
      <c r="P124" s="1">
        <v>0</v>
      </c>
      <c r="Q124" s="1" t="str">
        <f t="shared" si="16"/>
        <v>Repair</v>
      </c>
      <c r="R124" s="2">
        <f t="shared" si="17"/>
        <v>38442</v>
      </c>
      <c r="S124" s="1">
        <f>VLOOKUP(R124,BB!$A$3:$C$62769, 2, 1)</f>
        <v>4.4814999999999996</v>
      </c>
      <c r="T124" s="1">
        <f t="shared" si="18"/>
        <v>0.27330000000000076</v>
      </c>
      <c r="U124" s="1">
        <f>VLOOKUP(R124,BB!$A$3:$D$6771, 4, 1)</f>
        <v>4.7548000000000004</v>
      </c>
      <c r="V124" s="1" t="str">
        <f t="shared" si="25"/>
        <v/>
      </c>
      <c r="W124" s="1" t="str">
        <f t="shared" si="26"/>
        <v/>
      </c>
      <c r="X124" s="1">
        <f t="shared" si="23"/>
        <v>4.1280000000000001</v>
      </c>
      <c r="Y124" s="1">
        <f t="shared" si="24"/>
        <v>0.45690000000000008</v>
      </c>
      <c r="Z124" s="1" t="str">
        <f t="shared" si="11"/>
        <v/>
      </c>
      <c r="AL124" s="1">
        <v>0</v>
      </c>
      <c r="AM124" s="1">
        <v>0</v>
      </c>
      <c r="AN124" s="1">
        <v>10</v>
      </c>
      <c r="AO124" s="1">
        <v>0</v>
      </c>
      <c r="AP124" s="1">
        <f t="shared" si="19"/>
        <v>0</v>
      </c>
      <c r="AQ124" s="1">
        <f t="shared" si="20"/>
        <v>0</v>
      </c>
      <c r="AR124" s="1">
        <f t="shared" si="21"/>
        <v>6</v>
      </c>
      <c r="AS124" s="1">
        <f t="shared" si="22"/>
        <v>0</v>
      </c>
    </row>
    <row r="125" spans="1:45" x14ac:dyDescent="0.2">
      <c r="A125" s="2">
        <v>38443</v>
      </c>
      <c r="B125" s="1">
        <v>0.66139501137742551</v>
      </c>
      <c r="C125" s="1">
        <v>-0.66431482240809059</v>
      </c>
      <c r="D125" s="1">
        <v>-0.40296220133775329</v>
      </c>
      <c r="E125" s="1">
        <v>-0.19280071675481752</v>
      </c>
      <c r="F125" s="1">
        <v>0.1981768083369794</v>
      </c>
      <c r="G125" s="1">
        <v>0.21893269849025407</v>
      </c>
      <c r="H125" s="1">
        <v>-0.97887362773059849</v>
      </c>
      <c r="I125" s="1">
        <v>-1.532685259950519</v>
      </c>
      <c r="J125" s="1">
        <v>0.24657493844287653</v>
      </c>
      <c r="K125" s="1">
        <v>-1.1449785430357935</v>
      </c>
      <c r="L125" s="1">
        <v>-0.35915357145700372</v>
      </c>
      <c r="M125" s="1">
        <v>0</v>
      </c>
      <c r="N125" s="1">
        <v>0</v>
      </c>
      <c r="O125" s="1">
        <v>6</v>
      </c>
      <c r="P125" s="1">
        <v>0</v>
      </c>
      <c r="Q125" s="1" t="str">
        <f t="shared" si="16"/>
        <v>Repair</v>
      </c>
      <c r="R125" s="2">
        <f t="shared" si="17"/>
        <v>38472</v>
      </c>
      <c r="S125" s="1">
        <f>VLOOKUP(R125,BB!$A$3:$C$62769, 2, 1)</f>
        <v>4.1976000000000004</v>
      </c>
      <c r="T125" s="1">
        <f t="shared" si="18"/>
        <v>0.31569999999999965</v>
      </c>
      <c r="U125" s="1">
        <f>VLOOKUP(R125,BB!$A$3:$D$6771, 4, 1)</f>
        <v>4.5133000000000001</v>
      </c>
      <c r="V125" s="1" t="str">
        <f t="shared" si="25"/>
        <v/>
      </c>
      <c r="W125" s="1" t="str">
        <f t="shared" si="26"/>
        <v/>
      </c>
      <c r="X125" s="1">
        <f t="shared" si="23"/>
        <v>4.1280000000000001</v>
      </c>
      <c r="Y125" s="1">
        <f t="shared" si="24"/>
        <v>0.45690000000000008</v>
      </c>
      <c r="Z125" s="1" t="str">
        <f t="shared" si="11"/>
        <v/>
      </c>
      <c r="AL125" s="1">
        <v>0</v>
      </c>
      <c r="AM125" s="1">
        <v>0</v>
      </c>
      <c r="AN125" s="1">
        <v>10</v>
      </c>
      <c r="AO125" s="1">
        <v>0</v>
      </c>
      <c r="AP125" s="1">
        <f t="shared" si="19"/>
        <v>0</v>
      </c>
      <c r="AQ125" s="1">
        <f t="shared" si="20"/>
        <v>0</v>
      </c>
      <c r="AR125" s="1">
        <f t="shared" si="21"/>
        <v>6</v>
      </c>
      <c r="AS125" s="1">
        <f t="shared" si="22"/>
        <v>0</v>
      </c>
    </row>
    <row r="126" spans="1:45" x14ac:dyDescent="0.2">
      <c r="A126" s="2">
        <v>38473</v>
      </c>
      <c r="B126" s="1">
        <v>0.51191638384113602</v>
      </c>
      <c r="C126" s="1">
        <v>-0.43913799420056698</v>
      </c>
      <c r="D126" s="1">
        <v>-0.56333981962340607</v>
      </c>
      <c r="E126" s="1">
        <v>-5.482141743953288E-2</v>
      </c>
      <c r="F126" s="1">
        <v>0.18288491616999586</v>
      </c>
      <c r="G126" s="1">
        <v>-0.14377852509438172</v>
      </c>
      <c r="H126" s="1">
        <v>-0.99138300051072537</v>
      </c>
      <c r="I126" s="1">
        <v>-1.4135055561201928</v>
      </c>
      <c r="J126" s="1">
        <v>-2.1886513636129933E-2</v>
      </c>
      <c r="K126" s="1">
        <v>-1.108725436046702</v>
      </c>
      <c r="L126" s="1">
        <v>-0.40417769626605055</v>
      </c>
      <c r="M126" s="1">
        <v>0</v>
      </c>
      <c r="N126" s="1">
        <v>0</v>
      </c>
      <c r="O126" s="1">
        <v>6</v>
      </c>
      <c r="P126" s="1">
        <v>0</v>
      </c>
      <c r="Q126" s="1" t="str">
        <f t="shared" si="16"/>
        <v>Repair</v>
      </c>
      <c r="R126" s="2">
        <f t="shared" si="17"/>
        <v>38503</v>
      </c>
      <c r="S126" s="1">
        <f>VLOOKUP(R126,BB!$A$3:$C$62769, 2, 1)</f>
        <v>3.9809999999999999</v>
      </c>
      <c r="T126" s="1">
        <f t="shared" si="18"/>
        <v>0.33950000000000014</v>
      </c>
      <c r="U126" s="1">
        <f>VLOOKUP(R126,BB!$A$3:$D$6771, 4, 1)</f>
        <v>4.3205</v>
      </c>
      <c r="V126" s="1">
        <f t="shared" si="25"/>
        <v>-0.14700000000000024</v>
      </c>
      <c r="W126" s="1">
        <f t="shared" si="26"/>
        <v>-0.11739999999999995</v>
      </c>
      <c r="X126" s="1">
        <f t="shared" si="23"/>
        <v>4.1280000000000001</v>
      </c>
      <c r="Y126" s="1">
        <f t="shared" si="24"/>
        <v>0.45690000000000008</v>
      </c>
      <c r="Z126" s="1" t="str">
        <f t="shared" si="11"/>
        <v>Repair</v>
      </c>
      <c r="AL126" s="1">
        <v>0</v>
      </c>
      <c r="AM126" s="1">
        <v>0</v>
      </c>
      <c r="AN126" s="1">
        <v>10</v>
      </c>
      <c r="AO126" s="1">
        <v>0</v>
      </c>
      <c r="AP126" s="1">
        <f t="shared" si="19"/>
        <v>0</v>
      </c>
      <c r="AQ126" s="1">
        <f t="shared" si="20"/>
        <v>0</v>
      </c>
      <c r="AR126" s="1">
        <f t="shared" si="21"/>
        <v>6</v>
      </c>
      <c r="AS126" s="1">
        <f t="shared" si="22"/>
        <v>0</v>
      </c>
    </row>
    <row r="127" spans="1:45" x14ac:dyDescent="0.2">
      <c r="A127" s="2">
        <v>38504</v>
      </c>
      <c r="B127" s="1">
        <v>0.46640935664119987</v>
      </c>
      <c r="C127" s="1">
        <v>-0.26209833325753162</v>
      </c>
      <c r="D127" s="1">
        <v>-0.70738862958928295</v>
      </c>
      <c r="E127" s="1">
        <v>8.5500382633769134E-2</v>
      </c>
      <c r="F127" s="1">
        <v>0.13163618743933356</v>
      </c>
      <c r="G127" s="1">
        <v>0.30469306198319762</v>
      </c>
      <c r="H127" s="1">
        <v>-0.93936587484065448</v>
      </c>
      <c r="I127" s="1">
        <v>-1.2772449453552386</v>
      </c>
      <c r="J127" s="1">
        <v>1.2321267678854031</v>
      </c>
      <c r="K127" s="1">
        <v>-0.19743017039494565</v>
      </c>
      <c r="L127" s="1">
        <v>-0.11631621968547501</v>
      </c>
      <c r="M127" s="1">
        <v>0</v>
      </c>
      <c r="N127" s="1">
        <v>0</v>
      </c>
      <c r="O127" s="1">
        <v>0</v>
      </c>
      <c r="P127" s="1">
        <v>6</v>
      </c>
      <c r="Q127" s="1" t="str">
        <f t="shared" si="16"/>
        <v>Recovery</v>
      </c>
      <c r="R127" s="2">
        <f t="shared" si="17"/>
        <v>38533</v>
      </c>
      <c r="S127" s="1">
        <f>VLOOKUP(R127,BB!$A$3:$C$62769, 2, 1)</f>
        <v>3.9129999999999998</v>
      </c>
      <c r="T127" s="1">
        <f t="shared" si="18"/>
        <v>0.27809999999999979</v>
      </c>
      <c r="U127" s="1">
        <f>VLOOKUP(R127,BB!$A$3:$D$6771, 4, 1)</f>
        <v>4.1910999999999996</v>
      </c>
      <c r="V127" s="1" t="str">
        <f t="shared" si="25"/>
        <v/>
      </c>
      <c r="W127" s="1" t="str">
        <f t="shared" si="26"/>
        <v/>
      </c>
      <c r="X127" s="1">
        <f t="shared" si="23"/>
        <v>3.9809999999999999</v>
      </c>
      <c r="Y127" s="1">
        <f t="shared" si="24"/>
        <v>0.33950000000000014</v>
      </c>
      <c r="Z127" s="1" t="str">
        <f t="shared" ref="Z127:Z190" si="27">IF(ISNUMBER(V127)=TRUE, Q127, "")</f>
        <v/>
      </c>
      <c r="AL127" s="1">
        <v>0</v>
      </c>
      <c r="AM127" s="1">
        <v>0</v>
      </c>
      <c r="AN127" s="1">
        <v>0</v>
      </c>
      <c r="AO127" s="1">
        <v>10</v>
      </c>
      <c r="AP127" s="1">
        <f t="shared" si="19"/>
        <v>0</v>
      </c>
      <c r="AQ127" s="1">
        <f t="shared" si="20"/>
        <v>0</v>
      </c>
      <c r="AR127" s="1">
        <f t="shared" si="21"/>
        <v>0</v>
      </c>
      <c r="AS127" s="1">
        <f t="shared" si="22"/>
        <v>6</v>
      </c>
    </row>
    <row r="128" spans="1:45" x14ac:dyDescent="0.2">
      <c r="A128" s="2">
        <v>38534</v>
      </c>
      <c r="B128" s="1">
        <v>0.52947773403600706</v>
      </c>
      <c r="C128" s="1">
        <v>-0.39561412177431671</v>
      </c>
      <c r="D128" s="1">
        <v>-0.72667191915183171</v>
      </c>
      <c r="E128" s="1">
        <v>7.8379351144086909E-2</v>
      </c>
      <c r="F128" s="1">
        <v>8.0079747652153449E-2</v>
      </c>
      <c r="G128" s="1">
        <v>0.82958691956073605</v>
      </c>
      <c r="H128" s="1">
        <v>-0.94287445845725182</v>
      </c>
      <c r="I128" s="1">
        <v>-1.1192534707501569</v>
      </c>
      <c r="J128" s="1">
        <v>-0.35309135788019513</v>
      </c>
      <c r="K128" s="1">
        <v>-0.23080697583961843</v>
      </c>
      <c r="L128" s="1">
        <v>-0.2250788551460387</v>
      </c>
      <c r="M128" s="1">
        <v>0</v>
      </c>
      <c r="N128" s="1">
        <v>0</v>
      </c>
      <c r="O128" s="1">
        <v>0</v>
      </c>
      <c r="P128" s="1">
        <v>6</v>
      </c>
      <c r="Q128" s="1" t="str">
        <f t="shared" si="16"/>
        <v>Recovery</v>
      </c>
      <c r="R128" s="2">
        <f t="shared" si="17"/>
        <v>38564</v>
      </c>
      <c r="S128" s="1">
        <f>VLOOKUP(R128,BB!$A$3:$C$62769, 2, 1)</f>
        <v>4.2759999999999998</v>
      </c>
      <c r="T128" s="1">
        <f t="shared" si="18"/>
        <v>0.19460000000000033</v>
      </c>
      <c r="U128" s="1">
        <f>VLOOKUP(R128,BB!$A$3:$D$6771, 4, 1)</f>
        <v>4.4706000000000001</v>
      </c>
      <c r="V128" s="1" t="str">
        <f t="shared" si="25"/>
        <v/>
      </c>
      <c r="W128" s="1" t="str">
        <f t="shared" si="26"/>
        <v/>
      </c>
      <c r="X128" s="1">
        <f t="shared" si="23"/>
        <v>3.9809999999999999</v>
      </c>
      <c r="Y128" s="1">
        <f t="shared" si="24"/>
        <v>0.33950000000000014</v>
      </c>
      <c r="Z128" s="1" t="str">
        <f t="shared" si="27"/>
        <v/>
      </c>
      <c r="AL128" s="1">
        <v>0</v>
      </c>
      <c r="AM128" s="1">
        <v>0</v>
      </c>
      <c r="AN128" s="1">
        <v>0</v>
      </c>
      <c r="AO128" s="1">
        <v>10</v>
      </c>
      <c r="AP128" s="1">
        <f t="shared" si="19"/>
        <v>0</v>
      </c>
      <c r="AQ128" s="1">
        <f t="shared" si="20"/>
        <v>0</v>
      </c>
      <c r="AR128" s="1">
        <f t="shared" si="21"/>
        <v>0</v>
      </c>
      <c r="AS128" s="1">
        <f t="shared" si="22"/>
        <v>6</v>
      </c>
    </row>
    <row r="129" spans="1:45" x14ac:dyDescent="0.2">
      <c r="A129" s="2">
        <v>38565</v>
      </c>
      <c r="B129" s="1">
        <v>0.66641044519585013</v>
      </c>
      <c r="C129" s="1">
        <v>-0.2780571635238856</v>
      </c>
      <c r="D129" s="1">
        <v>-0.7894384991789235</v>
      </c>
      <c r="E129" s="1">
        <v>0.21759766289202701</v>
      </c>
      <c r="F129" s="1">
        <v>0.11567133510754862</v>
      </c>
      <c r="G129" s="1">
        <v>0.2455754751525108</v>
      </c>
      <c r="H129" s="1">
        <v>-0.8784447894229801</v>
      </c>
      <c r="I129" s="1">
        <v>-0.99664614732293488</v>
      </c>
      <c r="J129" s="1">
        <v>-0.16475935278608295</v>
      </c>
      <c r="K129" s="1">
        <v>-0.20056819262602793</v>
      </c>
      <c r="L129" s="1">
        <v>-0.20626592265128982</v>
      </c>
      <c r="M129" s="1">
        <v>0</v>
      </c>
      <c r="N129" s="1">
        <v>0</v>
      </c>
      <c r="O129" s="1">
        <v>0</v>
      </c>
      <c r="P129" s="1">
        <v>6</v>
      </c>
      <c r="Q129" s="1" t="str">
        <f t="shared" si="16"/>
        <v>Recovery</v>
      </c>
      <c r="R129" s="2">
        <f t="shared" si="17"/>
        <v>38595</v>
      </c>
      <c r="S129" s="1">
        <f>VLOOKUP(R129,BB!$A$3:$C$62769, 2, 1)</f>
        <v>4.0137</v>
      </c>
      <c r="T129" s="1">
        <f t="shared" si="18"/>
        <v>0.24000000000000021</v>
      </c>
      <c r="U129" s="1">
        <f>VLOOKUP(R129,BB!$A$3:$D$6771, 4, 1)</f>
        <v>4.2537000000000003</v>
      </c>
      <c r="V129" s="1">
        <f t="shared" si="25"/>
        <v>3.2700000000000173E-2</v>
      </c>
      <c r="W129" s="1">
        <f t="shared" si="26"/>
        <v>-9.9499999999999922E-2</v>
      </c>
      <c r="X129" s="1">
        <f t="shared" si="23"/>
        <v>3.9809999999999999</v>
      </c>
      <c r="Y129" s="1">
        <f t="shared" si="24"/>
        <v>0.33950000000000014</v>
      </c>
      <c r="Z129" s="1" t="str">
        <f t="shared" si="27"/>
        <v>Recovery</v>
      </c>
      <c r="AL129" s="1">
        <v>0</v>
      </c>
      <c r="AM129" s="1">
        <v>0</v>
      </c>
      <c r="AN129" s="1">
        <v>0</v>
      </c>
      <c r="AO129" s="1">
        <v>10</v>
      </c>
      <c r="AP129" s="1">
        <f t="shared" si="19"/>
        <v>0</v>
      </c>
      <c r="AQ129" s="1">
        <f t="shared" si="20"/>
        <v>0</v>
      </c>
      <c r="AR129" s="1">
        <f t="shared" si="21"/>
        <v>0</v>
      </c>
      <c r="AS129" s="1">
        <f t="shared" si="22"/>
        <v>6</v>
      </c>
    </row>
    <row r="130" spans="1:45" x14ac:dyDescent="0.2">
      <c r="A130" s="2">
        <v>38596</v>
      </c>
      <c r="B130" s="1">
        <v>0.33319387069936923</v>
      </c>
      <c r="C130" s="1">
        <v>-1.2174995302363814</v>
      </c>
      <c r="D130" s="1">
        <v>-0.83488331614636824</v>
      </c>
      <c r="E130" s="1">
        <v>-8.7613495170255934E-2</v>
      </c>
      <c r="F130" s="1">
        <v>0.20344880114208039</v>
      </c>
      <c r="G130" s="1">
        <v>1.3475830774558442</v>
      </c>
      <c r="H130" s="1">
        <v>-0.91862613689099626</v>
      </c>
      <c r="I130" s="1">
        <v>-1.1490439112476651</v>
      </c>
      <c r="J130" s="1">
        <v>-4.4179264198313556E-2</v>
      </c>
      <c r="K130" s="1">
        <v>-0.32541751546924641</v>
      </c>
      <c r="L130" s="1">
        <v>-0.26930374200619328</v>
      </c>
      <c r="M130" s="1">
        <v>0</v>
      </c>
      <c r="N130" s="1">
        <v>0</v>
      </c>
      <c r="O130" s="1">
        <v>6</v>
      </c>
      <c r="P130" s="1">
        <v>0</v>
      </c>
      <c r="Q130" s="1" t="str">
        <f t="shared" si="16"/>
        <v>Repair</v>
      </c>
      <c r="R130" s="2">
        <f t="shared" si="17"/>
        <v>38625</v>
      </c>
      <c r="S130" s="1">
        <f>VLOOKUP(R130,BB!$A$3:$C$62769, 2, 1)</f>
        <v>4.3239999999999998</v>
      </c>
      <c r="T130" s="1">
        <f t="shared" si="18"/>
        <v>0.2427999999999999</v>
      </c>
      <c r="U130" s="1">
        <f>VLOOKUP(R130,BB!$A$3:$D$6771, 4, 1)</f>
        <v>4.5667999999999997</v>
      </c>
      <c r="V130" s="1" t="str">
        <f t="shared" si="25"/>
        <v/>
      </c>
      <c r="W130" s="1" t="str">
        <f t="shared" si="26"/>
        <v/>
      </c>
      <c r="X130" s="1">
        <f t="shared" si="23"/>
        <v>4.0137</v>
      </c>
      <c r="Y130" s="1">
        <f t="shared" si="24"/>
        <v>0.24000000000000021</v>
      </c>
      <c r="Z130" s="1" t="str">
        <f t="shared" si="27"/>
        <v/>
      </c>
      <c r="AL130" s="1">
        <v>0</v>
      </c>
      <c r="AM130" s="1">
        <v>0</v>
      </c>
      <c r="AN130" s="1">
        <v>10</v>
      </c>
      <c r="AO130" s="1">
        <v>0</v>
      </c>
      <c r="AP130" s="1">
        <f t="shared" si="19"/>
        <v>0</v>
      </c>
      <c r="AQ130" s="1">
        <f t="shared" si="20"/>
        <v>0</v>
      </c>
      <c r="AR130" s="1">
        <f t="shared" si="21"/>
        <v>6</v>
      </c>
      <c r="AS130" s="1">
        <f t="shared" si="22"/>
        <v>0</v>
      </c>
    </row>
    <row r="131" spans="1:45" x14ac:dyDescent="0.2">
      <c r="A131" s="2">
        <v>38626</v>
      </c>
      <c r="B131" s="1">
        <v>-0.10148097639130449</v>
      </c>
      <c r="C131" s="1">
        <v>-1.2866652737660116</v>
      </c>
      <c r="D131" s="1">
        <v>-0.81230434618728176</v>
      </c>
      <c r="E131" s="1">
        <v>5.4452058990248672E-2</v>
      </c>
      <c r="F131" s="1">
        <v>0.30765344769990793</v>
      </c>
      <c r="G131" s="1">
        <v>1.2661700055251699</v>
      </c>
      <c r="H131" s="1">
        <v>-1.0342360338365659</v>
      </c>
      <c r="I131" s="1">
        <v>-0.95942964852264445</v>
      </c>
      <c r="J131" s="1">
        <v>0.26396069915697784</v>
      </c>
      <c r="K131" s="1">
        <v>-0.38756386095542633</v>
      </c>
      <c r="L131" s="1">
        <v>-0.26894439282869298</v>
      </c>
      <c r="M131" s="1">
        <v>0</v>
      </c>
      <c r="N131" s="1">
        <v>0</v>
      </c>
      <c r="O131" s="1">
        <v>6</v>
      </c>
      <c r="P131" s="1">
        <v>0</v>
      </c>
      <c r="Q131" s="1" t="str">
        <f t="shared" ref="Q131:Q194" si="28">IF(M131=6, $M$1, IF(N131=6, $N$1, IF(O131=6, $O$1, $P$1)))</f>
        <v>Repair</v>
      </c>
      <c r="R131" s="2">
        <f t="shared" ref="R131:R194" si="29">EOMONTH(A131, 0)</f>
        <v>38656</v>
      </c>
      <c r="S131" s="1">
        <f>VLOOKUP(R131,BB!$A$3:$C$62769, 2, 1)</f>
        <v>4.5506000000000002</v>
      </c>
      <c r="T131" s="1">
        <f t="shared" ref="T131:T194" si="30">U131-S131</f>
        <v>0.20310000000000006</v>
      </c>
      <c r="U131" s="1">
        <f>VLOOKUP(R131,BB!$A$3:$D$6771, 4, 1)</f>
        <v>4.7537000000000003</v>
      </c>
      <c r="V131" s="1" t="str">
        <f t="shared" si="25"/>
        <v/>
      </c>
      <c r="W131" s="1" t="str">
        <f t="shared" si="26"/>
        <v/>
      </c>
      <c r="X131" s="1">
        <f t="shared" si="23"/>
        <v>4.0137</v>
      </c>
      <c r="Y131" s="1">
        <f t="shared" si="24"/>
        <v>0.24000000000000021</v>
      </c>
      <c r="Z131" s="1" t="str">
        <f t="shared" si="27"/>
        <v/>
      </c>
      <c r="AL131" s="1">
        <v>0</v>
      </c>
      <c r="AM131" s="1">
        <v>0</v>
      </c>
      <c r="AN131" s="1">
        <v>10</v>
      </c>
      <c r="AO131" s="1">
        <v>0</v>
      </c>
      <c r="AP131" s="1">
        <f t="shared" ref="AP131:AP194" si="31">IF(AL131&gt;0, AL131-4, AL131)</f>
        <v>0</v>
      </c>
      <c r="AQ131" s="1">
        <f t="shared" ref="AQ131:AQ194" si="32">IF(AM131&gt;0, AM131-4, AM131)</f>
        <v>0</v>
      </c>
      <c r="AR131" s="1">
        <f t="shared" ref="AR131:AR194" si="33">IF(AN131&gt;0, AN131-4, AN131)</f>
        <v>6</v>
      </c>
      <c r="AS131" s="1">
        <f t="shared" ref="AS131:AS194" si="34">IF(AO131&gt;0, AO131-4, AO131)</f>
        <v>0</v>
      </c>
    </row>
    <row r="132" spans="1:45" x14ac:dyDescent="0.2">
      <c r="A132" s="2">
        <v>38657</v>
      </c>
      <c r="B132" s="1">
        <v>-0.17991305838558211</v>
      </c>
      <c r="C132" s="1">
        <v>-0.59590497407078136</v>
      </c>
      <c r="D132" s="1">
        <v>-0.92102811913154792</v>
      </c>
      <c r="E132" s="1">
        <v>4.8360956148632568E-2</v>
      </c>
      <c r="F132" s="1">
        <v>0.44425398179498027</v>
      </c>
      <c r="G132" s="1">
        <v>1.054180379852155</v>
      </c>
      <c r="H132" s="1">
        <v>-1.179282767819587</v>
      </c>
      <c r="I132" s="1">
        <v>-0.81471262551810086</v>
      </c>
      <c r="J132" s="1">
        <v>-0.15810505400311647</v>
      </c>
      <c r="K132" s="1">
        <v>-0.46612029500689983</v>
      </c>
      <c r="L132" s="1">
        <v>-0.2768271576139848</v>
      </c>
      <c r="M132" s="1">
        <v>0</v>
      </c>
      <c r="N132" s="1">
        <v>0</v>
      </c>
      <c r="O132" s="1">
        <v>6</v>
      </c>
      <c r="P132" s="1">
        <v>0</v>
      </c>
      <c r="Q132" s="1" t="str">
        <f t="shared" si="28"/>
        <v>Repair</v>
      </c>
      <c r="R132" s="2">
        <f t="shared" si="29"/>
        <v>38686</v>
      </c>
      <c r="S132" s="1">
        <f>VLOOKUP(R132,BB!$A$3:$C$62769, 2, 1)</f>
        <v>4.484</v>
      </c>
      <c r="T132" s="1">
        <f t="shared" si="30"/>
        <v>0.20870000000000033</v>
      </c>
      <c r="U132" s="1">
        <f>VLOOKUP(R132,BB!$A$3:$D$6771, 4, 1)</f>
        <v>4.6927000000000003</v>
      </c>
      <c r="V132" s="1" t="str">
        <f t="shared" si="25"/>
        <v/>
      </c>
      <c r="W132" s="1" t="str">
        <f t="shared" si="26"/>
        <v/>
      </c>
      <c r="X132" s="1">
        <f t="shared" si="23"/>
        <v>4.0137</v>
      </c>
      <c r="Y132" s="1">
        <f t="shared" si="24"/>
        <v>0.24000000000000021</v>
      </c>
      <c r="Z132" s="1" t="str">
        <f t="shared" si="27"/>
        <v/>
      </c>
      <c r="AL132" s="1">
        <v>0</v>
      </c>
      <c r="AM132" s="1">
        <v>0</v>
      </c>
      <c r="AN132" s="1">
        <v>10</v>
      </c>
      <c r="AO132" s="1">
        <v>0</v>
      </c>
      <c r="AP132" s="1">
        <f t="shared" si="31"/>
        <v>0</v>
      </c>
      <c r="AQ132" s="1">
        <f t="shared" si="32"/>
        <v>0</v>
      </c>
      <c r="AR132" s="1">
        <f t="shared" si="33"/>
        <v>6</v>
      </c>
      <c r="AS132" s="1">
        <f t="shared" si="34"/>
        <v>0</v>
      </c>
    </row>
    <row r="133" spans="1:45" x14ac:dyDescent="0.2">
      <c r="A133" s="2">
        <v>38687</v>
      </c>
      <c r="B133" s="1">
        <v>0.3138446481296126</v>
      </c>
      <c r="C133" s="1">
        <v>-0.36461143880209212</v>
      </c>
      <c r="D133" s="1">
        <v>-1.0122394321950205</v>
      </c>
      <c r="E133" s="1">
        <v>0.1902982402856267</v>
      </c>
      <c r="F133" s="1">
        <v>-2.6051863613868787E-2</v>
      </c>
      <c r="G133" s="1">
        <v>0.29270543091524215</v>
      </c>
      <c r="H133" s="1">
        <v>-1.2677152185007861</v>
      </c>
      <c r="I133" s="1">
        <v>-0.52058319015871746</v>
      </c>
      <c r="J133" s="1">
        <v>1.039493789565187</v>
      </c>
      <c r="K133" s="1">
        <v>-0.43968707898292519</v>
      </c>
      <c r="L133" s="1">
        <v>-0.1794546113357742</v>
      </c>
      <c r="M133" s="1">
        <v>0</v>
      </c>
      <c r="N133" s="1">
        <v>0</v>
      </c>
      <c r="O133" s="1">
        <v>6</v>
      </c>
      <c r="P133" s="1">
        <v>0</v>
      </c>
      <c r="Q133" s="1" t="str">
        <f t="shared" si="28"/>
        <v>Repair</v>
      </c>
      <c r="R133" s="2">
        <f t="shared" si="29"/>
        <v>38717</v>
      </c>
      <c r="S133" s="1">
        <f>VLOOKUP(R133,BB!$A$3:$C$62769, 2, 1)</f>
        <v>4.3910999999999998</v>
      </c>
      <c r="T133" s="1">
        <f t="shared" si="30"/>
        <v>0.14369999999999994</v>
      </c>
      <c r="U133" s="1">
        <f>VLOOKUP(R133,BB!$A$3:$D$6771, 4, 1)</f>
        <v>4.5347999999999997</v>
      </c>
      <c r="V133" s="1">
        <f t="shared" si="25"/>
        <v>0.37739999999999974</v>
      </c>
      <c r="W133" s="1">
        <f t="shared" si="26"/>
        <v>-9.6300000000000274E-2</v>
      </c>
      <c r="X133" s="1">
        <f t="shared" si="23"/>
        <v>4.0137</v>
      </c>
      <c r="Y133" s="1">
        <f t="shared" si="24"/>
        <v>0.24000000000000021</v>
      </c>
      <c r="Z133" s="1" t="str">
        <f t="shared" si="27"/>
        <v>Repair</v>
      </c>
      <c r="AL133" s="1">
        <v>0</v>
      </c>
      <c r="AM133" s="1">
        <v>0</v>
      </c>
      <c r="AN133" s="1">
        <v>10</v>
      </c>
      <c r="AO133" s="1">
        <v>0</v>
      </c>
      <c r="AP133" s="1">
        <f t="shared" si="31"/>
        <v>0</v>
      </c>
      <c r="AQ133" s="1">
        <f t="shared" si="32"/>
        <v>0</v>
      </c>
      <c r="AR133" s="1">
        <f t="shared" si="33"/>
        <v>6</v>
      </c>
      <c r="AS133" s="1">
        <f t="shared" si="34"/>
        <v>0</v>
      </c>
    </row>
    <row r="134" spans="1:45" x14ac:dyDescent="0.2">
      <c r="A134" s="2">
        <v>38718</v>
      </c>
      <c r="B134" s="1">
        <v>0.77144077471427652</v>
      </c>
      <c r="C134" s="1">
        <v>-0.23456761330804365</v>
      </c>
      <c r="D134" s="1">
        <v>-0.99589012293176704</v>
      </c>
      <c r="E134" s="1">
        <v>0.48152327579348142</v>
      </c>
      <c r="F134" s="1">
        <v>0.2668651638138359</v>
      </c>
      <c r="G134" s="1">
        <v>0.39695465964686411</v>
      </c>
      <c r="H134" s="1">
        <v>-0.84651317130463388</v>
      </c>
      <c r="I134" s="1">
        <v>-0.36086791406774271</v>
      </c>
      <c r="J134" s="1">
        <v>0.1213002821185082</v>
      </c>
      <c r="K134" s="1">
        <v>-0.49681005421894525</v>
      </c>
      <c r="L134" s="1">
        <v>-8.9656471974416646E-2</v>
      </c>
      <c r="M134" s="1">
        <v>0</v>
      </c>
      <c r="N134" s="1">
        <v>0</v>
      </c>
      <c r="O134" s="1">
        <v>0</v>
      </c>
      <c r="P134" s="1">
        <v>6</v>
      </c>
      <c r="Q134" s="1" t="str">
        <f t="shared" si="28"/>
        <v>Recovery</v>
      </c>
      <c r="R134" s="2">
        <f t="shared" si="29"/>
        <v>38748</v>
      </c>
      <c r="S134" s="1">
        <f>VLOOKUP(R134,BB!$A$3:$C$62769, 2, 1)</f>
        <v>4.5152000000000001</v>
      </c>
      <c r="T134" s="1">
        <f t="shared" si="30"/>
        <v>0.16159999999999997</v>
      </c>
      <c r="U134" s="1">
        <f>VLOOKUP(R134,BB!$A$3:$D$6771, 4, 1)</f>
        <v>4.6768000000000001</v>
      </c>
      <c r="V134" s="1" t="str">
        <f t="shared" si="25"/>
        <v/>
      </c>
      <c r="W134" s="1" t="str">
        <f t="shared" si="26"/>
        <v/>
      </c>
      <c r="X134" s="1">
        <f t="shared" si="23"/>
        <v>4.3910999999999998</v>
      </c>
      <c r="Y134" s="1">
        <f t="shared" si="24"/>
        <v>0.14369999999999994</v>
      </c>
      <c r="Z134" s="1" t="str">
        <f t="shared" si="27"/>
        <v/>
      </c>
      <c r="AL134" s="1">
        <v>0</v>
      </c>
      <c r="AM134" s="1">
        <v>0</v>
      </c>
      <c r="AN134" s="1">
        <v>0</v>
      </c>
      <c r="AO134" s="1">
        <v>10</v>
      </c>
      <c r="AP134" s="1">
        <f t="shared" si="31"/>
        <v>0</v>
      </c>
      <c r="AQ134" s="1">
        <f t="shared" si="32"/>
        <v>0</v>
      </c>
      <c r="AR134" s="1">
        <f t="shared" si="33"/>
        <v>0</v>
      </c>
      <c r="AS134" s="1">
        <f t="shared" si="34"/>
        <v>6</v>
      </c>
    </row>
    <row r="135" spans="1:45" x14ac:dyDescent="0.2">
      <c r="A135" s="2">
        <v>38749</v>
      </c>
      <c r="B135" s="1">
        <v>1.0658269955142103</v>
      </c>
      <c r="C135" s="1">
        <v>-0.46935702158934867</v>
      </c>
      <c r="D135" s="1">
        <v>-1.1235478779267942</v>
      </c>
      <c r="E135" s="1">
        <v>0.32131979000200517</v>
      </c>
      <c r="F135" s="1">
        <v>0.55706878937321058</v>
      </c>
      <c r="G135" s="1">
        <v>0.75272333138446423</v>
      </c>
      <c r="H135" s="1">
        <v>-0.46292737899704184</v>
      </c>
      <c r="I135" s="1">
        <v>-0.32074630856932912</v>
      </c>
      <c r="J135" s="1">
        <v>-0.3134328826334527</v>
      </c>
      <c r="K135" s="1">
        <v>-0.55806745969669391</v>
      </c>
      <c r="L135" s="1">
        <v>-5.5114002313877017E-2</v>
      </c>
      <c r="M135" s="1">
        <v>0</v>
      </c>
      <c r="N135" s="1">
        <v>0</v>
      </c>
      <c r="O135" s="1">
        <v>0</v>
      </c>
      <c r="P135" s="1">
        <v>6</v>
      </c>
      <c r="Q135" s="1" t="str">
        <f t="shared" si="28"/>
        <v>Recovery</v>
      </c>
      <c r="R135" s="2">
        <f t="shared" si="29"/>
        <v>38776</v>
      </c>
      <c r="S135" s="1">
        <f>VLOOKUP(R135,BB!$A$3:$C$62769, 2, 1)</f>
        <v>4.5510000000000002</v>
      </c>
      <c r="T135" s="1">
        <f t="shared" si="30"/>
        <v>-4.3499999999999872E-2</v>
      </c>
      <c r="U135" s="1">
        <f>VLOOKUP(R135,BB!$A$3:$D$6771, 4, 1)</f>
        <v>4.5075000000000003</v>
      </c>
      <c r="V135" s="1">
        <f t="shared" si="25"/>
        <v>0.15990000000000038</v>
      </c>
      <c r="W135" s="1">
        <f t="shared" si="26"/>
        <v>-0.18719999999999981</v>
      </c>
      <c r="X135" s="1">
        <f t="shared" si="23"/>
        <v>4.3910999999999998</v>
      </c>
      <c r="Y135" s="1">
        <f t="shared" si="24"/>
        <v>0.14369999999999994</v>
      </c>
      <c r="Z135" s="1" t="str">
        <f t="shared" si="27"/>
        <v>Recovery</v>
      </c>
      <c r="AL135" s="1">
        <v>0</v>
      </c>
      <c r="AM135" s="1">
        <v>0</v>
      </c>
      <c r="AN135" s="1">
        <v>0</v>
      </c>
      <c r="AO135" s="1">
        <v>10</v>
      </c>
      <c r="AP135" s="1">
        <f t="shared" si="31"/>
        <v>0</v>
      </c>
      <c r="AQ135" s="1">
        <f t="shared" si="32"/>
        <v>0</v>
      </c>
      <c r="AR135" s="1">
        <f t="shared" si="33"/>
        <v>0</v>
      </c>
      <c r="AS135" s="1">
        <f t="shared" si="34"/>
        <v>6</v>
      </c>
    </row>
    <row r="136" spans="1:45" x14ac:dyDescent="0.2">
      <c r="A136" s="2">
        <v>38777</v>
      </c>
      <c r="B136" s="1">
        <v>1.2465107363412571</v>
      </c>
      <c r="C136" s="1">
        <v>-0.20049945782327372</v>
      </c>
      <c r="D136" s="1">
        <v>-0.93882045318637941</v>
      </c>
      <c r="E136" s="1">
        <v>0.46345271248692721</v>
      </c>
      <c r="F136" s="1">
        <v>1.3961645803406404</v>
      </c>
      <c r="G136" s="1">
        <v>0.44736151845239658</v>
      </c>
      <c r="H136" s="1">
        <v>-3.3133115627392774E-2</v>
      </c>
      <c r="I136" s="1">
        <v>-0.23351886957532328</v>
      </c>
      <c r="J136" s="1">
        <v>1.7121893227554825</v>
      </c>
      <c r="K136" s="1">
        <v>-0.45631882637780447</v>
      </c>
      <c r="L136" s="1">
        <v>0.34033881477865296</v>
      </c>
      <c r="M136" s="1">
        <v>6</v>
      </c>
      <c r="N136" s="1">
        <v>0</v>
      </c>
      <c r="O136" s="1">
        <v>0</v>
      </c>
      <c r="P136" s="1">
        <v>0</v>
      </c>
      <c r="Q136" s="1" t="str">
        <f t="shared" si="28"/>
        <v>Expansion</v>
      </c>
      <c r="R136" s="2">
        <f t="shared" si="29"/>
        <v>38807</v>
      </c>
      <c r="S136" s="1">
        <f>VLOOKUP(R136,BB!$A$3:$C$62769, 2, 1)</f>
        <v>4.8472</v>
      </c>
      <c r="T136" s="1">
        <f t="shared" si="30"/>
        <v>4.2600000000000193E-2</v>
      </c>
      <c r="U136" s="1">
        <f>VLOOKUP(R136,BB!$A$3:$D$6771, 4, 1)</f>
        <v>4.8898000000000001</v>
      </c>
      <c r="V136" s="1" t="str">
        <f t="shared" si="25"/>
        <v/>
      </c>
      <c r="W136" s="1" t="str">
        <f t="shared" si="26"/>
        <v/>
      </c>
      <c r="X136" s="1">
        <f t="shared" si="23"/>
        <v>4.5510000000000002</v>
      </c>
      <c r="Y136" s="1">
        <f t="shared" si="24"/>
        <v>-4.3499999999999872E-2</v>
      </c>
      <c r="Z136" s="1" t="str">
        <f t="shared" si="27"/>
        <v/>
      </c>
      <c r="AL136" s="1">
        <v>10</v>
      </c>
      <c r="AM136" s="1">
        <v>0</v>
      </c>
      <c r="AN136" s="1">
        <v>0</v>
      </c>
      <c r="AO136" s="1">
        <v>0</v>
      </c>
      <c r="AP136" s="1">
        <f t="shared" si="31"/>
        <v>6</v>
      </c>
      <c r="AQ136" s="1">
        <f t="shared" si="32"/>
        <v>0</v>
      </c>
      <c r="AR136" s="1">
        <f t="shared" si="33"/>
        <v>0</v>
      </c>
      <c r="AS136" s="1">
        <f t="shared" si="34"/>
        <v>0</v>
      </c>
    </row>
    <row r="137" spans="1:45" x14ac:dyDescent="0.2">
      <c r="A137" s="2">
        <v>38808</v>
      </c>
      <c r="B137" s="1">
        <v>1.0664313865085147</v>
      </c>
      <c r="C137" s="1">
        <v>-8.6083177516311782E-2</v>
      </c>
      <c r="D137" s="1">
        <v>-0.75262529763935693</v>
      </c>
      <c r="E137" s="1">
        <v>0.45408779040086589</v>
      </c>
      <c r="F137" s="1">
        <v>1.3909575637678131</v>
      </c>
      <c r="G137" s="1">
        <v>0.84673813346740545</v>
      </c>
      <c r="H137" s="1">
        <v>-6.8740380807726736E-2</v>
      </c>
      <c r="I137" s="1">
        <v>-5.5155434278331673E-2</v>
      </c>
      <c r="J137" s="1">
        <v>0.13929339710844077</v>
      </c>
      <c r="K137" s="1">
        <v>-0.40721195909486024</v>
      </c>
      <c r="L137" s="1">
        <v>0.25276920219164523</v>
      </c>
      <c r="M137" s="1">
        <v>6</v>
      </c>
      <c r="N137" s="1">
        <v>0</v>
      </c>
      <c r="O137" s="1">
        <v>0</v>
      </c>
      <c r="P137" s="1">
        <v>0</v>
      </c>
      <c r="Q137" s="1" t="str">
        <f t="shared" si="28"/>
        <v>Expansion</v>
      </c>
      <c r="R137" s="2">
        <f t="shared" si="29"/>
        <v>38837</v>
      </c>
      <c r="S137" s="1">
        <f>VLOOKUP(R137,BB!$A$3:$C$62769, 2, 1)</f>
        <v>5.0505000000000004</v>
      </c>
      <c r="T137" s="1">
        <f t="shared" si="30"/>
        <v>0.11099999999999977</v>
      </c>
      <c r="U137" s="1">
        <f>VLOOKUP(R137,BB!$A$3:$D$6771, 4, 1)</f>
        <v>5.1615000000000002</v>
      </c>
      <c r="V137" s="1" t="str">
        <f t="shared" si="25"/>
        <v/>
      </c>
      <c r="W137" s="1" t="str">
        <f t="shared" si="26"/>
        <v/>
      </c>
      <c r="X137" s="1">
        <f t="shared" si="23"/>
        <v>4.5510000000000002</v>
      </c>
      <c r="Y137" s="1">
        <f t="shared" si="24"/>
        <v>-4.3499999999999872E-2</v>
      </c>
      <c r="Z137" s="1" t="str">
        <f t="shared" si="27"/>
        <v/>
      </c>
      <c r="AL137" s="1">
        <v>10</v>
      </c>
      <c r="AM137" s="1">
        <v>0</v>
      </c>
      <c r="AN137" s="1">
        <v>0</v>
      </c>
      <c r="AO137" s="1">
        <v>0</v>
      </c>
      <c r="AP137" s="1">
        <f t="shared" si="31"/>
        <v>6</v>
      </c>
      <c r="AQ137" s="1">
        <f t="shared" si="32"/>
        <v>0</v>
      </c>
      <c r="AR137" s="1">
        <f t="shared" si="33"/>
        <v>0</v>
      </c>
      <c r="AS137" s="1">
        <f t="shared" si="34"/>
        <v>0</v>
      </c>
    </row>
    <row r="138" spans="1:45" x14ac:dyDescent="0.2">
      <c r="A138" s="2">
        <v>38838</v>
      </c>
      <c r="B138" s="1">
        <v>0.7039615994770444</v>
      </c>
      <c r="C138" s="1">
        <v>-0.40379031890024175</v>
      </c>
      <c r="D138" s="1">
        <v>-0.86490497108325148</v>
      </c>
      <c r="E138" s="1">
        <v>0.59487702845408064</v>
      </c>
      <c r="F138" s="1">
        <v>1.2854669401742964</v>
      </c>
      <c r="G138" s="1">
        <v>0.26639882609759907</v>
      </c>
      <c r="H138" s="1">
        <v>1.0807816028576342E-2</v>
      </c>
      <c r="I138" s="1">
        <v>0.1737674097168751</v>
      </c>
      <c r="J138" s="1">
        <v>1.8626087325692864</v>
      </c>
      <c r="K138" s="1">
        <v>-0.24557362505272071</v>
      </c>
      <c r="L138" s="1">
        <v>0.33836194374815443</v>
      </c>
      <c r="M138" s="1">
        <v>6</v>
      </c>
      <c r="N138" s="1">
        <v>0</v>
      </c>
      <c r="O138" s="1">
        <v>0</v>
      </c>
      <c r="P138" s="1">
        <v>0</v>
      </c>
      <c r="Q138" s="1" t="str">
        <f t="shared" si="28"/>
        <v>Expansion</v>
      </c>
      <c r="R138" s="2">
        <f t="shared" si="29"/>
        <v>38868</v>
      </c>
      <c r="S138" s="1">
        <f>VLOOKUP(R138,BB!$A$3:$C$62769, 2, 1)</f>
        <v>5.1185999999999998</v>
      </c>
      <c r="T138" s="1">
        <f t="shared" si="30"/>
        <v>0.10909999999999975</v>
      </c>
      <c r="U138" s="1">
        <f>VLOOKUP(R138,BB!$A$3:$D$6771, 4, 1)</f>
        <v>5.2276999999999996</v>
      </c>
      <c r="V138" s="1">
        <f t="shared" si="25"/>
        <v>0.56759999999999966</v>
      </c>
      <c r="W138" s="1">
        <f t="shared" si="26"/>
        <v>0.15259999999999962</v>
      </c>
      <c r="X138" s="1">
        <f t="shared" si="23"/>
        <v>4.5510000000000002</v>
      </c>
      <c r="Y138" s="1">
        <f t="shared" si="24"/>
        <v>-4.3499999999999872E-2</v>
      </c>
      <c r="Z138" s="1" t="str">
        <f t="shared" si="27"/>
        <v>Expansion</v>
      </c>
      <c r="AL138" s="1">
        <v>10</v>
      </c>
      <c r="AM138" s="1">
        <v>0</v>
      </c>
      <c r="AN138" s="1">
        <v>0</v>
      </c>
      <c r="AO138" s="1">
        <v>0</v>
      </c>
      <c r="AP138" s="1">
        <f t="shared" si="31"/>
        <v>6</v>
      </c>
      <c r="AQ138" s="1">
        <f t="shared" si="32"/>
        <v>0</v>
      </c>
      <c r="AR138" s="1">
        <f t="shared" si="33"/>
        <v>0</v>
      </c>
      <c r="AS138" s="1">
        <f t="shared" si="34"/>
        <v>0</v>
      </c>
    </row>
    <row r="139" spans="1:45" x14ac:dyDescent="0.2">
      <c r="A139" s="2">
        <v>38869</v>
      </c>
      <c r="B139" s="1">
        <v>0.57398944162200638</v>
      </c>
      <c r="C139" s="1">
        <v>-0.28033332573097197</v>
      </c>
      <c r="D139" s="1">
        <v>-0.96666404861302024</v>
      </c>
      <c r="E139" s="1">
        <v>0.58353022386085962</v>
      </c>
      <c r="F139" s="1">
        <v>1.1850600953716479</v>
      </c>
      <c r="G139" s="1">
        <v>0.14084081330140619</v>
      </c>
      <c r="H139" s="1">
        <v>-0.10433023893818541</v>
      </c>
      <c r="I139" s="1">
        <v>0.14965578784994615</v>
      </c>
      <c r="J139" s="1">
        <v>1.708552982047298</v>
      </c>
      <c r="K139" s="1">
        <v>-0.4520431123018645</v>
      </c>
      <c r="L139" s="1">
        <v>0.25382586184691219</v>
      </c>
      <c r="M139" s="1">
        <v>0</v>
      </c>
      <c r="N139" s="1">
        <v>6</v>
      </c>
      <c r="O139" s="1">
        <v>0</v>
      </c>
      <c r="P139" s="1">
        <v>0</v>
      </c>
      <c r="Q139" s="1" t="str">
        <f t="shared" si="28"/>
        <v>Downturn</v>
      </c>
      <c r="R139" s="2">
        <f t="shared" si="29"/>
        <v>38898</v>
      </c>
      <c r="S139" s="1">
        <f>VLOOKUP(R139,BB!$A$3:$C$62769, 2, 1)</f>
        <v>5.1364000000000001</v>
      </c>
      <c r="T139" s="1">
        <f t="shared" si="30"/>
        <v>4.9500000000000099E-2</v>
      </c>
      <c r="U139" s="1">
        <f>VLOOKUP(R139,BB!$A$3:$D$6771, 4, 1)</f>
        <v>5.1859000000000002</v>
      </c>
      <c r="V139" s="1" t="str">
        <f t="shared" si="25"/>
        <v/>
      </c>
      <c r="W139" s="1" t="str">
        <f t="shared" si="26"/>
        <v/>
      </c>
      <c r="X139" s="1">
        <f t="shared" si="23"/>
        <v>5.1185999999999998</v>
      </c>
      <c r="Y139" s="1">
        <f t="shared" si="24"/>
        <v>0.10909999999999975</v>
      </c>
      <c r="Z139" s="1" t="str">
        <f t="shared" si="27"/>
        <v/>
      </c>
      <c r="AL139" s="1">
        <v>0</v>
      </c>
      <c r="AM139" s="1">
        <v>10</v>
      </c>
      <c r="AN139" s="1">
        <v>0</v>
      </c>
      <c r="AO139" s="1">
        <v>0</v>
      </c>
      <c r="AP139" s="1">
        <f t="shared" si="31"/>
        <v>0</v>
      </c>
      <c r="AQ139" s="1">
        <f t="shared" si="32"/>
        <v>6</v>
      </c>
      <c r="AR139" s="1">
        <f t="shared" si="33"/>
        <v>0</v>
      </c>
      <c r="AS139" s="1">
        <f t="shared" si="34"/>
        <v>0</v>
      </c>
    </row>
    <row r="140" spans="1:45" x14ac:dyDescent="0.2">
      <c r="A140" s="2">
        <v>38899</v>
      </c>
      <c r="B140" s="1">
        <v>0.53796934323507939</v>
      </c>
      <c r="C140" s="1">
        <v>-0.24341196394258116</v>
      </c>
      <c r="D140" s="1">
        <v>-0.91062116084709355</v>
      </c>
      <c r="E140" s="1">
        <v>0.27210959537345092</v>
      </c>
      <c r="F140" s="1">
        <v>1.0724702217409654</v>
      </c>
      <c r="G140" s="1">
        <v>0.31675680591544464</v>
      </c>
      <c r="H140" s="1">
        <v>-0.22530669324072208</v>
      </c>
      <c r="I140" s="1">
        <v>5.3325742872668391E-2</v>
      </c>
      <c r="J140" s="1">
        <v>0.61479478158524226</v>
      </c>
      <c r="K140" s="1">
        <v>-0.50091209693628436</v>
      </c>
      <c r="L140" s="1">
        <v>9.8717457575616979E-2</v>
      </c>
      <c r="M140" s="1">
        <v>0</v>
      </c>
      <c r="N140" s="1">
        <v>6</v>
      </c>
      <c r="O140" s="1">
        <v>0</v>
      </c>
      <c r="P140" s="1">
        <v>0</v>
      </c>
      <c r="Q140" s="1" t="str">
        <f t="shared" si="28"/>
        <v>Downturn</v>
      </c>
      <c r="R140" s="2">
        <f t="shared" si="29"/>
        <v>38929</v>
      </c>
      <c r="S140" s="1">
        <f>VLOOKUP(R140,BB!$A$3:$C$62769, 2, 1)</f>
        <v>4.9794</v>
      </c>
      <c r="T140" s="1">
        <f t="shared" si="30"/>
        <v>8.5499999999999687E-2</v>
      </c>
      <c r="U140" s="1">
        <f>VLOOKUP(R140,BB!$A$3:$D$6771, 4, 1)</f>
        <v>5.0648999999999997</v>
      </c>
      <c r="V140" s="1" t="str">
        <f t="shared" si="25"/>
        <v/>
      </c>
      <c r="W140" s="1" t="str">
        <f t="shared" si="26"/>
        <v/>
      </c>
      <c r="X140" s="1">
        <f t="shared" si="23"/>
        <v>5.1185999999999998</v>
      </c>
      <c r="Y140" s="1">
        <f t="shared" si="24"/>
        <v>0.10909999999999975</v>
      </c>
      <c r="Z140" s="1" t="str">
        <f t="shared" si="27"/>
        <v/>
      </c>
      <c r="AL140" s="1">
        <v>0</v>
      </c>
      <c r="AM140" s="1">
        <v>10</v>
      </c>
      <c r="AN140" s="1">
        <v>0</v>
      </c>
      <c r="AO140" s="1">
        <v>0</v>
      </c>
      <c r="AP140" s="1">
        <f t="shared" si="31"/>
        <v>0</v>
      </c>
      <c r="AQ140" s="1">
        <f t="shared" si="32"/>
        <v>6</v>
      </c>
      <c r="AR140" s="1">
        <f t="shared" si="33"/>
        <v>0</v>
      </c>
      <c r="AS140" s="1">
        <f t="shared" si="34"/>
        <v>0</v>
      </c>
    </row>
    <row r="141" spans="1:45" x14ac:dyDescent="0.2">
      <c r="A141" s="2">
        <v>38930</v>
      </c>
      <c r="B141" s="1">
        <v>0.70583124221694526</v>
      </c>
      <c r="C141" s="1">
        <v>-0.58385626836523385</v>
      </c>
      <c r="D141" s="1">
        <v>-0.9892777924561037</v>
      </c>
      <c r="E141" s="1">
        <v>0.41543002075302049</v>
      </c>
      <c r="F141" s="1">
        <v>0.94646993579329208</v>
      </c>
      <c r="G141" s="1">
        <v>0.26982399165062515</v>
      </c>
      <c r="H141" s="1">
        <v>-0.39905210827057169</v>
      </c>
      <c r="I141" s="1">
        <v>-0.2450622083697685</v>
      </c>
      <c r="J141" s="1">
        <v>0.32565127377870218</v>
      </c>
      <c r="K141" s="1">
        <v>-0.28677343652466447</v>
      </c>
      <c r="L141" s="1">
        <v>1.591846502062429E-2</v>
      </c>
      <c r="M141" s="1">
        <v>0</v>
      </c>
      <c r="N141" s="1">
        <v>6</v>
      </c>
      <c r="O141" s="1">
        <v>0</v>
      </c>
      <c r="P141" s="1">
        <v>0</v>
      </c>
      <c r="Q141" s="1" t="str">
        <f t="shared" si="28"/>
        <v>Downturn</v>
      </c>
      <c r="R141" s="2">
        <f t="shared" si="29"/>
        <v>38960</v>
      </c>
      <c r="S141" s="1">
        <f>VLOOKUP(R141,BB!$A$3:$C$62769, 2, 1)</f>
        <v>4.7257999999999996</v>
      </c>
      <c r="T141" s="1">
        <f t="shared" si="30"/>
        <v>0.15100000000000069</v>
      </c>
      <c r="U141" s="1">
        <f>VLOOKUP(R141,BB!$A$3:$D$6771, 4, 1)</f>
        <v>4.8768000000000002</v>
      </c>
      <c r="V141" s="1" t="str">
        <f t="shared" si="25"/>
        <v/>
      </c>
      <c r="W141" s="1" t="str">
        <f t="shared" si="26"/>
        <v/>
      </c>
      <c r="X141" s="1">
        <f t="shared" si="23"/>
        <v>5.1185999999999998</v>
      </c>
      <c r="Y141" s="1">
        <f t="shared" si="24"/>
        <v>0.10909999999999975</v>
      </c>
      <c r="Z141" s="1" t="str">
        <f t="shared" si="27"/>
        <v/>
      </c>
      <c r="AL141" s="1">
        <v>0</v>
      </c>
      <c r="AM141" s="1">
        <v>10</v>
      </c>
      <c r="AN141" s="1">
        <v>0</v>
      </c>
      <c r="AO141" s="1">
        <v>0</v>
      </c>
      <c r="AP141" s="1">
        <f t="shared" si="31"/>
        <v>0</v>
      </c>
      <c r="AQ141" s="1">
        <f t="shared" si="32"/>
        <v>6</v>
      </c>
      <c r="AR141" s="1">
        <f t="shared" si="33"/>
        <v>0</v>
      </c>
      <c r="AS141" s="1">
        <f t="shared" si="34"/>
        <v>0</v>
      </c>
    </row>
    <row r="142" spans="1:45" x14ac:dyDescent="0.2">
      <c r="A142" s="2">
        <v>38961</v>
      </c>
      <c r="B142" s="1">
        <v>0.6852195625846792</v>
      </c>
      <c r="C142" s="1">
        <v>-0.33635952515064915</v>
      </c>
      <c r="D142" s="1">
        <v>-0.98582573378639349</v>
      </c>
      <c r="E142" s="1">
        <v>0.56158969330037467</v>
      </c>
      <c r="F142" s="1">
        <v>0.77283772384443172</v>
      </c>
      <c r="G142" s="1">
        <v>-4.8706269319025969E-2</v>
      </c>
      <c r="H142" s="1">
        <v>-0.3526532533438223</v>
      </c>
      <c r="I142" s="1">
        <v>4.1041430857271161E-2</v>
      </c>
      <c r="J142" s="1">
        <v>0.13785595711427465</v>
      </c>
      <c r="K142" s="1">
        <v>-0.24466847795946758</v>
      </c>
      <c r="L142" s="1">
        <v>2.3033110814167288E-2</v>
      </c>
      <c r="M142" s="1">
        <v>0</v>
      </c>
      <c r="N142" s="1">
        <v>6</v>
      </c>
      <c r="O142" s="1">
        <v>0</v>
      </c>
      <c r="P142" s="1">
        <v>0</v>
      </c>
      <c r="Q142" s="1" t="str">
        <f t="shared" si="28"/>
        <v>Downturn</v>
      </c>
      <c r="R142" s="2">
        <f t="shared" si="29"/>
        <v>38990</v>
      </c>
      <c r="S142" s="1">
        <f>VLOOKUP(R142,BB!$A$3:$C$62769, 2, 1)</f>
        <v>4.6276000000000002</v>
      </c>
      <c r="T142" s="1">
        <f t="shared" si="30"/>
        <v>0.13429999999999964</v>
      </c>
      <c r="U142" s="1">
        <f>VLOOKUP(R142,BB!$A$3:$D$6771, 4, 1)</f>
        <v>4.7618999999999998</v>
      </c>
      <c r="V142" s="1">
        <f t="shared" si="25"/>
        <v>-0.49099999999999966</v>
      </c>
      <c r="W142" s="1">
        <f t="shared" si="26"/>
        <v>2.5199999999999889E-2</v>
      </c>
      <c r="X142" s="1">
        <f t="shared" si="23"/>
        <v>5.1185999999999998</v>
      </c>
      <c r="Y142" s="1">
        <f t="shared" si="24"/>
        <v>0.10909999999999975</v>
      </c>
      <c r="Z142" s="1" t="str">
        <f t="shared" si="27"/>
        <v>Downturn</v>
      </c>
      <c r="AL142" s="1">
        <v>0</v>
      </c>
      <c r="AM142" s="1">
        <v>10</v>
      </c>
      <c r="AN142" s="1">
        <v>0</v>
      </c>
      <c r="AO142" s="1">
        <v>0</v>
      </c>
      <c r="AP142" s="1">
        <f t="shared" si="31"/>
        <v>0</v>
      </c>
      <c r="AQ142" s="1">
        <f t="shared" si="32"/>
        <v>6</v>
      </c>
      <c r="AR142" s="1">
        <f t="shared" si="33"/>
        <v>0</v>
      </c>
      <c r="AS142" s="1">
        <f t="shared" si="34"/>
        <v>0</v>
      </c>
    </row>
    <row r="143" spans="1:45" x14ac:dyDescent="0.2">
      <c r="A143" s="2">
        <v>38991</v>
      </c>
      <c r="B143" s="1">
        <v>0.71110786346438171</v>
      </c>
      <c r="C143" s="1">
        <v>-0.28885369710264375</v>
      </c>
      <c r="D143" s="1">
        <v>-1.0187690966446532</v>
      </c>
      <c r="E143" s="1">
        <v>0.85622124330878668</v>
      </c>
      <c r="F143" s="1">
        <v>0.58517027692844292</v>
      </c>
      <c r="G143" s="1">
        <v>-0.38533296699394665</v>
      </c>
      <c r="H143" s="1">
        <v>-0.30539894782249255</v>
      </c>
      <c r="I143" s="1">
        <v>0.95089760583611926</v>
      </c>
      <c r="J143" s="1">
        <v>1.2682666378005298</v>
      </c>
      <c r="K143" s="1">
        <v>-0.15349720598756342</v>
      </c>
      <c r="L143" s="1">
        <v>0.2219811712786961</v>
      </c>
      <c r="M143" s="1">
        <v>6</v>
      </c>
      <c r="N143" s="1">
        <v>0</v>
      </c>
      <c r="O143" s="1">
        <v>0</v>
      </c>
      <c r="P143" s="1">
        <v>0</v>
      </c>
      <c r="Q143" s="1" t="str">
        <f t="shared" si="28"/>
        <v>Expansion</v>
      </c>
      <c r="R143" s="2">
        <f t="shared" si="29"/>
        <v>39021</v>
      </c>
      <c r="S143" s="1">
        <f>VLOOKUP(R143,BB!$A$3:$C$62769, 2, 1)</f>
        <v>4.5980999999999996</v>
      </c>
      <c r="T143" s="1">
        <f t="shared" si="30"/>
        <v>0.11720000000000041</v>
      </c>
      <c r="U143" s="1">
        <f>VLOOKUP(R143,BB!$A$3:$D$6771, 4, 1)</f>
        <v>4.7153</v>
      </c>
      <c r="V143" s="1">
        <f t="shared" si="25"/>
        <v>-2.9500000000000526E-2</v>
      </c>
      <c r="W143" s="1">
        <f t="shared" si="26"/>
        <v>-1.7099999999999227E-2</v>
      </c>
      <c r="X143" s="1">
        <f t="shared" si="23"/>
        <v>4.6276000000000002</v>
      </c>
      <c r="Y143" s="1">
        <f t="shared" si="24"/>
        <v>0.13429999999999964</v>
      </c>
      <c r="Z143" s="1" t="str">
        <f t="shared" si="27"/>
        <v>Expansion</v>
      </c>
      <c r="AL143" s="1">
        <v>10</v>
      </c>
      <c r="AM143" s="1">
        <v>0</v>
      </c>
      <c r="AN143" s="1">
        <v>0</v>
      </c>
      <c r="AO143" s="1">
        <v>0</v>
      </c>
      <c r="AP143" s="1">
        <f t="shared" si="31"/>
        <v>6</v>
      </c>
      <c r="AQ143" s="1">
        <f t="shared" si="32"/>
        <v>0</v>
      </c>
      <c r="AR143" s="1">
        <f t="shared" si="33"/>
        <v>0</v>
      </c>
      <c r="AS143" s="1">
        <f t="shared" si="34"/>
        <v>0</v>
      </c>
    </row>
    <row r="144" spans="1:45" x14ac:dyDescent="0.2">
      <c r="A144" s="2">
        <v>39022</v>
      </c>
      <c r="B144" s="1">
        <v>0.68723782982534976</v>
      </c>
      <c r="C144" s="1">
        <v>-0.41119134412515507</v>
      </c>
      <c r="D144" s="1">
        <v>-1.0687831138261938</v>
      </c>
      <c r="E144" s="1">
        <v>0.69308127721046853</v>
      </c>
      <c r="F144" s="1">
        <v>0.48343910097580017</v>
      </c>
      <c r="G144" s="1">
        <v>-0.72119470609065339</v>
      </c>
      <c r="H144" s="1">
        <v>-0.24124582425768243</v>
      </c>
      <c r="I144" s="1">
        <v>1.0550588000411991</v>
      </c>
      <c r="J144" s="1">
        <v>2.3800413812879748</v>
      </c>
      <c r="K144" s="1">
        <v>-0.18837791676052873</v>
      </c>
      <c r="L144" s="1">
        <v>0.26680654842805784</v>
      </c>
      <c r="M144" s="1">
        <v>0</v>
      </c>
      <c r="N144" s="1">
        <v>6</v>
      </c>
      <c r="O144" s="1">
        <v>0</v>
      </c>
      <c r="P144" s="1">
        <v>0</v>
      </c>
      <c r="Q144" s="1" t="str">
        <f t="shared" si="28"/>
        <v>Downturn</v>
      </c>
      <c r="R144" s="2">
        <f t="shared" si="29"/>
        <v>39051</v>
      </c>
      <c r="S144" s="1">
        <f>VLOOKUP(R144,BB!$A$3:$C$62769, 2, 1)</f>
        <v>4.4581</v>
      </c>
      <c r="T144" s="1">
        <f t="shared" si="30"/>
        <v>0.10379999999999967</v>
      </c>
      <c r="U144" s="1">
        <f>VLOOKUP(R144,BB!$A$3:$D$6771, 4, 1)</f>
        <v>4.5618999999999996</v>
      </c>
      <c r="V144" s="1">
        <f t="shared" si="25"/>
        <v>-0.13999999999999968</v>
      </c>
      <c r="W144" s="1">
        <f t="shared" si="26"/>
        <v>-1.3400000000000745E-2</v>
      </c>
      <c r="X144" s="1">
        <f t="shared" si="23"/>
        <v>4.5980999999999996</v>
      </c>
      <c r="Y144" s="1">
        <f t="shared" si="24"/>
        <v>0.11720000000000041</v>
      </c>
      <c r="Z144" s="1" t="str">
        <f t="shared" si="27"/>
        <v>Downturn</v>
      </c>
      <c r="AL144" s="1">
        <v>0</v>
      </c>
      <c r="AM144" s="1">
        <v>10</v>
      </c>
      <c r="AN144" s="1">
        <v>0</v>
      </c>
      <c r="AO144" s="1">
        <v>0</v>
      </c>
      <c r="AP144" s="1">
        <f t="shared" si="31"/>
        <v>0</v>
      </c>
      <c r="AQ144" s="1">
        <f t="shared" si="32"/>
        <v>6</v>
      </c>
      <c r="AR144" s="1">
        <f t="shared" si="33"/>
        <v>0</v>
      </c>
      <c r="AS144" s="1">
        <f t="shared" si="34"/>
        <v>0</v>
      </c>
    </row>
    <row r="145" spans="1:45" x14ac:dyDescent="0.2">
      <c r="A145" s="2">
        <v>39052</v>
      </c>
      <c r="B145" s="1">
        <v>0.58470308639108071</v>
      </c>
      <c r="C145" s="1">
        <v>-0.1078674407130827</v>
      </c>
      <c r="D145" s="1">
        <v>-1.0110364843367634</v>
      </c>
      <c r="E145" s="1">
        <v>0.6816969056085217</v>
      </c>
      <c r="F145" s="1">
        <v>0.53297441378443744</v>
      </c>
      <c r="G145" s="1">
        <v>-0.34202610807749317</v>
      </c>
      <c r="H145" s="1">
        <v>-0.1610138075815763</v>
      </c>
      <c r="I145" s="1">
        <v>1.0112434963560399</v>
      </c>
      <c r="J145" s="1">
        <v>1.3525665853201878</v>
      </c>
      <c r="K145" s="1">
        <v>-0.31062336066974749</v>
      </c>
      <c r="L145" s="1">
        <v>0.22306172860816048</v>
      </c>
      <c r="M145" s="1">
        <v>6</v>
      </c>
      <c r="N145" s="1">
        <v>0</v>
      </c>
      <c r="O145" s="1">
        <v>0</v>
      </c>
      <c r="P145" s="1">
        <v>0</v>
      </c>
      <c r="Q145" s="1" t="str">
        <f t="shared" si="28"/>
        <v>Expansion</v>
      </c>
      <c r="R145" s="2">
        <f t="shared" si="29"/>
        <v>39082</v>
      </c>
      <c r="S145" s="1">
        <f>VLOOKUP(R145,BB!$A$3:$C$62769, 2, 1)</f>
        <v>4.7022000000000004</v>
      </c>
      <c r="T145" s="1">
        <f t="shared" si="30"/>
        <v>0.10729999999999951</v>
      </c>
      <c r="U145" s="1">
        <f>VLOOKUP(R145,BB!$A$3:$D$6771, 4, 1)</f>
        <v>4.8094999999999999</v>
      </c>
      <c r="V145" s="1">
        <f t="shared" si="25"/>
        <v>0.24410000000000043</v>
      </c>
      <c r="W145" s="1">
        <f t="shared" si="26"/>
        <v>3.4999999999998366E-3</v>
      </c>
      <c r="X145" s="1">
        <f t="shared" si="23"/>
        <v>4.4581</v>
      </c>
      <c r="Y145" s="1">
        <f t="shared" si="24"/>
        <v>0.10379999999999967</v>
      </c>
      <c r="Z145" s="1" t="str">
        <f t="shared" si="27"/>
        <v>Expansion</v>
      </c>
      <c r="AL145" s="1">
        <v>10</v>
      </c>
      <c r="AM145" s="1">
        <v>0</v>
      </c>
      <c r="AN145" s="1">
        <v>0</v>
      </c>
      <c r="AO145" s="1">
        <v>0</v>
      </c>
      <c r="AP145" s="1">
        <f t="shared" si="31"/>
        <v>6</v>
      </c>
      <c r="AQ145" s="1">
        <f t="shared" si="32"/>
        <v>0</v>
      </c>
      <c r="AR145" s="1">
        <f t="shared" si="33"/>
        <v>0</v>
      </c>
      <c r="AS145" s="1">
        <f t="shared" si="34"/>
        <v>0</v>
      </c>
    </row>
    <row r="146" spans="1:45" x14ac:dyDescent="0.2">
      <c r="A146" s="2">
        <v>39083</v>
      </c>
      <c r="B146" s="1">
        <v>0.56336170126809015</v>
      </c>
      <c r="C146" s="1">
        <v>-4.1729248422952094E-2</v>
      </c>
      <c r="D146" s="1">
        <v>-1.0041621431246168</v>
      </c>
      <c r="E146" s="1">
        <v>0.52032076676493366</v>
      </c>
      <c r="F146" s="1">
        <v>0.41609422307248356</v>
      </c>
      <c r="G146" s="1">
        <v>-0.74758337154073162</v>
      </c>
      <c r="H146" s="1">
        <v>-0.64395433271947888</v>
      </c>
      <c r="I146" s="1">
        <v>0.97779274043056585</v>
      </c>
      <c r="J146" s="1">
        <v>2.2976382645137265</v>
      </c>
      <c r="K146" s="1">
        <v>-0.28720655713981053</v>
      </c>
      <c r="L146" s="1">
        <v>0.20505720431022095</v>
      </c>
      <c r="M146" s="1">
        <v>0</v>
      </c>
      <c r="N146" s="1">
        <v>6</v>
      </c>
      <c r="O146" s="1">
        <v>0</v>
      </c>
      <c r="P146" s="1">
        <v>0</v>
      </c>
      <c r="Q146" s="1" t="str">
        <f t="shared" si="28"/>
        <v>Downturn</v>
      </c>
      <c r="R146" s="2">
        <f t="shared" si="29"/>
        <v>39113</v>
      </c>
      <c r="S146" s="1">
        <f>VLOOKUP(R146,BB!$A$3:$C$62769, 2, 1)</f>
        <v>4.8079999999999998</v>
      </c>
      <c r="T146" s="1">
        <f t="shared" si="30"/>
        <v>9.8900000000000432E-2</v>
      </c>
      <c r="U146" s="1">
        <f>VLOOKUP(R146,BB!$A$3:$D$6771, 4, 1)</f>
        <v>4.9069000000000003</v>
      </c>
      <c r="V146" s="1" t="str">
        <f t="shared" si="25"/>
        <v/>
      </c>
      <c r="W146" s="1" t="str">
        <f t="shared" si="26"/>
        <v/>
      </c>
      <c r="X146" s="1">
        <f t="shared" ref="X146:X209" si="35">IF(Q146&lt;&gt;Q145,S145, X145)</f>
        <v>4.7022000000000004</v>
      </c>
      <c r="Y146" s="1">
        <f t="shared" ref="Y146:Y209" si="36">IF(Q146&lt;&gt;Q145,T145, Y145)</f>
        <v>0.10729999999999951</v>
      </c>
      <c r="Z146" s="1" t="str">
        <f t="shared" si="27"/>
        <v/>
      </c>
      <c r="AL146" s="1">
        <v>0</v>
      </c>
      <c r="AM146" s="1">
        <v>10</v>
      </c>
      <c r="AN146" s="1">
        <v>0</v>
      </c>
      <c r="AO146" s="1">
        <v>0</v>
      </c>
      <c r="AP146" s="1">
        <f t="shared" si="31"/>
        <v>0</v>
      </c>
      <c r="AQ146" s="1">
        <f t="shared" si="32"/>
        <v>6</v>
      </c>
      <c r="AR146" s="1">
        <f t="shared" si="33"/>
        <v>0</v>
      </c>
      <c r="AS146" s="1">
        <f t="shared" si="34"/>
        <v>0</v>
      </c>
    </row>
    <row r="147" spans="1:45" x14ac:dyDescent="0.2">
      <c r="A147" s="2">
        <v>39114</v>
      </c>
      <c r="B147" s="1">
        <v>0.52948653324312689</v>
      </c>
      <c r="C147" s="1">
        <v>7.0081767006438825E-2</v>
      </c>
      <c r="D147" s="1">
        <v>-0.95996561728713337</v>
      </c>
      <c r="E147" s="1">
        <v>0.66167434850671747</v>
      </c>
      <c r="F147" s="1">
        <v>0.317807631024145</v>
      </c>
      <c r="G147" s="1">
        <v>-0.15470814268179486</v>
      </c>
      <c r="H147" s="1">
        <v>-1.1285043899314113</v>
      </c>
      <c r="I147" s="1">
        <v>0.75565004651281886</v>
      </c>
      <c r="J147" s="1">
        <v>1.8488184147959139</v>
      </c>
      <c r="K147" s="1">
        <v>-0.3781180953974066</v>
      </c>
      <c r="L147" s="1">
        <v>0.15622224957914149</v>
      </c>
      <c r="M147" s="1">
        <v>0</v>
      </c>
      <c r="N147" s="1">
        <v>6</v>
      </c>
      <c r="O147" s="1">
        <v>0</v>
      </c>
      <c r="P147" s="1">
        <v>0</v>
      </c>
      <c r="Q147" s="1" t="str">
        <f t="shared" si="28"/>
        <v>Downturn</v>
      </c>
      <c r="R147" s="2">
        <f t="shared" si="29"/>
        <v>39141</v>
      </c>
      <c r="S147" s="1">
        <f>VLOOKUP(R147,BB!$A$3:$C$62769, 2, 1)</f>
        <v>4.5656999999999996</v>
      </c>
      <c r="T147" s="1">
        <f t="shared" si="30"/>
        <v>0.11490000000000045</v>
      </c>
      <c r="U147" s="1">
        <f>VLOOKUP(R147,BB!$A$3:$D$6771, 4, 1)</f>
        <v>4.6806000000000001</v>
      </c>
      <c r="V147" s="1" t="str">
        <f t="shared" si="25"/>
        <v/>
      </c>
      <c r="W147" s="1" t="str">
        <f t="shared" si="26"/>
        <v/>
      </c>
      <c r="X147" s="1">
        <f t="shared" si="35"/>
        <v>4.7022000000000004</v>
      </c>
      <c r="Y147" s="1">
        <f t="shared" si="36"/>
        <v>0.10729999999999951</v>
      </c>
      <c r="Z147" s="1" t="str">
        <f t="shared" si="27"/>
        <v/>
      </c>
      <c r="AL147" s="1">
        <v>0</v>
      </c>
      <c r="AM147" s="1">
        <v>10</v>
      </c>
      <c r="AN147" s="1">
        <v>0</v>
      </c>
      <c r="AO147" s="1">
        <v>0</v>
      </c>
      <c r="AP147" s="1">
        <f t="shared" si="31"/>
        <v>0</v>
      </c>
      <c r="AQ147" s="1">
        <f t="shared" si="32"/>
        <v>6</v>
      </c>
      <c r="AR147" s="1">
        <f t="shared" si="33"/>
        <v>0</v>
      </c>
      <c r="AS147" s="1">
        <f t="shared" si="34"/>
        <v>0</v>
      </c>
    </row>
    <row r="148" spans="1:45" x14ac:dyDescent="0.2">
      <c r="A148" s="2">
        <v>39142</v>
      </c>
      <c r="B148" s="1">
        <v>0.47157949316113618</v>
      </c>
      <c r="C148" s="1">
        <v>-0.18870892467014355</v>
      </c>
      <c r="D148" s="1">
        <v>-0.79597373590040732</v>
      </c>
      <c r="E148" s="1">
        <v>0.80213323035033246</v>
      </c>
      <c r="F148" s="1">
        <v>0.13676476872930726</v>
      </c>
      <c r="G148" s="1">
        <v>-0.42723880178227697</v>
      </c>
      <c r="H148" s="1">
        <v>-1.6406217035234838</v>
      </c>
      <c r="I148" s="1">
        <v>2.8020401709897254</v>
      </c>
      <c r="J148" s="1">
        <v>1.3140381392789777</v>
      </c>
      <c r="K148" s="1">
        <v>-0.50050282285575187</v>
      </c>
      <c r="L148" s="1">
        <v>0.19735098137774157</v>
      </c>
      <c r="M148" s="1">
        <v>0</v>
      </c>
      <c r="N148" s="1">
        <v>6</v>
      </c>
      <c r="O148" s="1">
        <v>0</v>
      </c>
      <c r="P148" s="1">
        <v>0</v>
      </c>
      <c r="Q148" s="1" t="str">
        <f t="shared" si="28"/>
        <v>Downturn</v>
      </c>
      <c r="R148" s="2">
        <f t="shared" si="29"/>
        <v>39172</v>
      </c>
      <c r="S148" s="1">
        <f>VLOOKUP(R148,BB!$A$3:$C$62769, 2, 1)</f>
        <v>4.6443000000000003</v>
      </c>
      <c r="T148" s="1">
        <f t="shared" si="30"/>
        <v>0.19890000000000008</v>
      </c>
      <c r="U148" s="1">
        <f>VLOOKUP(R148,BB!$A$3:$D$6771, 4, 1)</f>
        <v>4.8432000000000004</v>
      </c>
      <c r="V148" s="1" t="str">
        <f t="shared" si="25"/>
        <v/>
      </c>
      <c r="W148" s="1" t="str">
        <f t="shared" si="26"/>
        <v/>
      </c>
      <c r="X148" s="1">
        <f t="shared" si="35"/>
        <v>4.7022000000000004</v>
      </c>
      <c r="Y148" s="1">
        <f t="shared" si="36"/>
        <v>0.10729999999999951</v>
      </c>
      <c r="Z148" s="1" t="str">
        <f t="shared" si="27"/>
        <v/>
      </c>
      <c r="AL148" s="1">
        <v>0</v>
      </c>
      <c r="AM148" s="1">
        <v>10</v>
      </c>
      <c r="AN148" s="1">
        <v>0</v>
      </c>
      <c r="AO148" s="1">
        <v>0</v>
      </c>
      <c r="AP148" s="1">
        <f t="shared" si="31"/>
        <v>0</v>
      </c>
      <c r="AQ148" s="1">
        <f t="shared" si="32"/>
        <v>6</v>
      </c>
      <c r="AR148" s="1">
        <f t="shared" si="33"/>
        <v>0</v>
      </c>
      <c r="AS148" s="1">
        <f t="shared" si="34"/>
        <v>0</v>
      </c>
    </row>
    <row r="149" spans="1:45" x14ac:dyDescent="0.2">
      <c r="A149" s="2">
        <v>39173</v>
      </c>
      <c r="B149" s="1">
        <v>0.33084668376478649</v>
      </c>
      <c r="C149" s="1">
        <v>-0.34195133718855469</v>
      </c>
      <c r="D149" s="1">
        <v>-0.83176962712832914</v>
      </c>
      <c r="E149" s="1">
        <v>0.63994818250267016</v>
      </c>
      <c r="F149" s="1">
        <v>0.15631695609683149</v>
      </c>
      <c r="G149" s="1">
        <v>0.32270213257223024</v>
      </c>
      <c r="H149" s="1">
        <v>-1.5726685625022951</v>
      </c>
      <c r="I149" s="1">
        <v>2.9010344411951152</v>
      </c>
      <c r="J149" s="1">
        <v>2.0930641546516431</v>
      </c>
      <c r="K149" s="1">
        <v>-0.5331919288433159</v>
      </c>
      <c r="L149" s="1">
        <v>0.31643310951207815</v>
      </c>
      <c r="M149" s="1">
        <v>0</v>
      </c>
      <c r="N149" s="1">
        <v>6</v>
      </c>
      <c r="O149" s="1">
        <v>0</v>
      </c>
      <c r="P149" s="1">
        <v>0</v>
      </c>
      <c r="Q149" s="1" t="str">
        <f t="shared" si="28"/>
        <v>Downturn</v>
      </c>
      <c r="R149" s="2">
        <f t="shared" si="29"/>
        <v>39202</v>
      </c>
      <c r="S149" s="1">
        <f>VLOOKUP(R149,BB!$A$3:$C$62769, 2, 1)</f>
        <v>4.6222000000000003</v>
      </c>
      <c r="T149" s="1">
        <f t="shared" si="30"/>
        <v>0.19090000000000007</v>
      </c>
      <c r="U149" s="1">
        <f>VLOOKUP(R149,BB!$A$3:$D$6771, 4, 1)</f>
        <v>4.8131000000000004</v>
      </c>
      <c r="V149" s="1" t="str">
        <f t="shared" si="25"/>
        <v/>
      </c>
      <c r="W149" s="1" t="str">
        <f t="shared" si="26"/>
        <v/>
      </c>
      <c r="X149" s="1">
        <f t="shared" si="35"/>
        <v>4.7022000000000004</v>
      </c>
      <c r="Y149" s="1">
        <f t="shared" si="36"/>
        <v>0.10729999999999951</v>
      </c>
      <c r="Z149" s="1" t="str">
        <f t="shared" si="27"/>
        <v/>
      </c>
      <c r="AL149" s="1">
        <v>0</v>
      </c>
      <c r="AM149" s="1">
        <v>10</v>
      </c>
      <c r="AN149" s="1">
        <v>0</v>
      </c>
      <c r="AO149" s="1">
        <v>0</v>
      </c>
      <c r="AP149" s="1">
        <f t="shared" si="31"/>
        <v>0</v>
      </c>
      <c r="AQ149" s="1">
        <f t="shared" si="32"/>
        <v>6</v>
      </c>
      <c r="AR149" s="1">
        <f t="shared" si="33"/>
        <v>0</v>
      </c>
      <c r="AS149" s="1">
        <f t="shared" si="34"/>
        <v>0</v>
      </c>
    </row>
    <row r="150" spans="1:45" x14ac:dyDescent="0.2">
      <c r="A150" s="2">
        <v>39203</v>
      </c>
      <c r="B150" s="1">
        <v>0.52484791852378088</v>
      </c>
      <c r="C150" s="1">
        <v>-0.13941773635343735</v>
      </c>
      <c r="D150" s="1">
        <v>-0.88077273139744205</v>
      </c>
      <c r="E150" s="1">
        <v>0.63385103654143937</v>
      </c>
      <c r="F150" s="1">
        <v>0.17427631024898224</v>
      </c>
      <c r="G150" s="1">
        <v>0.38047487250036754</v>
      </c>
      <c r="H150" s="1">
        <v>-1.4908417371361939</v>
      </c>
      <c r="I150" s="1">
        <v>2.6112141727117546</v>
      </c>
      <c r="J150" s="1">
        <v>4.2263479430916728</v>
      </c>
      <c r="K150" s="1">
        <v>-0.54978657674444598</v>
      </c>
      <c r="L150" s="1">
        <v>0.54901934719864776</v>
      </c>
      <c r="M150" s="1">
        <v>0</v>
      </c>
      <c r="N150" s="1">
        <v>6</v>
      </c>
      <c r="O150" s="1">
        <v>0</v>
      </c>
      <c r="P150" s="1">
        <v>0</v>
      </c>
      <c r="Q150" s="1" t="str">
        <f t="shared" si="28"/>
        <v>Downturn</v>
      </c>
      <c r="R150" s="2">
        <f t="shared" si="29"/>
        <v>39233</v>
      </c>
      <c r="S150" s="1">
        <f>VLOOKUP(R150,BB!$A$3:$C$62769, 2, 1)</f>
        <v>4.8879000000000001</v>
      </c>
      <c r="T150" s="1">
        <f t="shared" si="30"/>
        <v>0.12190000000000012</v>
      </c>
      <c r="U150" s="1">
        <f>VLOOKUP(R150,BB!$A$3:$D$6771, 4, 1)</f>
        <v>5.0098000000000003</v>
      </c>
      <c r="V150" s="1" t="str">
        <f t="shared" si="25"/>
        <v/>
      </c>
      <c r="W150" s="1" t="str">
        <f t="shared" si="26"/>
        <v/>
      </c>
      <c r="X150" s="1">
        <f t="shared" si="35"/>
        <v>4.7022000000000004</v>
      </c>
      <c r="Y150" s="1">
        <f t="shared" si="36"/>
        <v>0.10729999999999951</v>
      </c>
      <c r="Z150" s="1" t="str">
        <f t="shared" si="27"/>
        <v/>
      </c>
      <c r="AL150" s="1">
        <v>0</v>
      </c>
      <c r="AM150" s="1">
        <v>10</v>
      </c>
      <c r="AN150" s="1">
        <v>0</v>
      </c>
      <c r="AO150" s="1">
        <v>0</v>
      </c>
      <c r="AP150" s="1">
        <f t="shared" si="31"/>
        <v>0</v>
      </c>
      <c r="AQ150" s="1">
        <f t="shared" si="32"/>
        <v>6</v>
      </c>
      <c r="AR150" s="1">
        <f t="shared" si="33"/>
        <v>0</v>
      </c>
      <c r="AS150" s="1">
        <f t="shared" si="34"/>
        <v>0</v>
      </c>
    </row>
    <row r="151" spans="1:45" x14ac:dyDescent="0.2">
      <c r="A151" s="2">
        <v>39234</v>
      </c>
      <c r="B151" s="1">
        <v>0.61620304586342545</v>
      </c>
      <c r="C151" s="1">
        <v>-0.33462084802907699</v>
      </c>
      <c r="D151" s="1">
        <v>-0.67702585688912476</v>
      </c>
      <c r="E151" s="1">
        <v>0.62912464557741099</v>
      </c>
      <c r="F151" s="1">
        <v>0.14109104449970661</v>
      </c>
      <c r="G151" s="1">
        <v>0.5806080331135306</v>
      </c>
      <c r="H151" s="1">
        <v>-1.2961892455676514</v>
      </c>
      <c r="I151" s="1">
        <v>2.4578776901797661</v>
      </c>
      <c r="J151" s="1">
        <v>0.98580858664755056</v>
      </c>
      <c r="K151" s="1">
        <v>-0.46755400860968621</v>
      </c>
      <c r="L151" s="1">
        <v>0.26353230867858513</v>
      </c>
      <c r="M151" s="1">
        <v>0</v>
      </c>
      <c r="N151" s="1">
        <v>6</v>
      </c>
      <c r="O151" s="1">
        <v>0</v>
      </c>
      <c r="P151" s="1">
        <v>0</v>
      </c>
      <c r="Q151" s="1" t="str">
        <f t="shared" si="28"/>
        <v>Downturn</v>
      </c>
      <c r="R151" s="2">
        <f t="shared" si="29"/>
        <v>39263</v>
      </c>
      <c r="S151" s="1">
        <f>VLOOKUP(R151,BB!$A$3:$C$62769, 2, 1)</f>
        <v>5.0244</v>
      </c>
      <c r="T151" s="1">
        <f t="shared" si="30"/>
        <v>9.9499999999999922E-2</v>
      </c>
      <c r="U151" s="1">
        <f>VLOOKUP(R151,BB!$A$3:$D$6771, 4, 1)</f>
        <v>5.1238999999999999</v>
      </c>
      <c r="V151" s="1">
        <f t="shared" si="25"/>
        <v>0.3221999999999996</v>
      </c>
      <c r="W151" s="1">
        <f t="shared" si="26"/>
        <v>-7.799999999999585E-3</v>
      </c>
      <c r="X151" s="1">
        <f t="shared" si="35"/>
        <v>4.7022000000000004</v>
      </c>
      <c r="Y151" s="1">
        <f t="shared" si="36"/>
        <v>0.10729999999999951</v>
      </c>
      <c r="Z151" s="1" t="str">
        <f t="shared" si="27"/>
        <v>Downturn</v>
      </c>
      <c r="AL151" s="1">
        <v>0</v>
      </c>
      <c r="AM151" s="1">
        <v>10</v>
      </c>
      <c r="AN151" s="1">
        <v>0</v>
      </c>
      <c r="AO151" s="1">
        <v>0</v>
      </c>
      <c r="AP151" s="1">
        <f t="shared" si="31"/>
        <v>0</v>
      </c>
      <c r="AQ151" s="1">
        <f t="shared" si="32"/>
        <v>6</v>
      </c>
      <c r="AR151" s="1">
        <f t="shared" si="33"/>
        <v>0</v>
      </c>
      <c r="AS151" s="1">
        <f t="shared" si="34"/>
        <v>0</v>
      </c>
    </row>
    <row r="152" spans="1:45" x14ac:dyDescent="0.2">
      <c r="A152" s="2">
        <v>39264</v>
      </c>
      <c r="B152" s="1">
        <v>0.7323727900519631</v>
      </c>
      <c r="C152" s="1">
        <v>0.10643652372871124</v>
      </c>
      <c r="D152" s="1">
        <v>-0.61551165862168944</v>
      </c>
      <c r="E152" s="1">
        <v>0.47203563031998935</v>
      </c>
      <c r="F152" s="1">
        <v>0.12372381903815778</v>
      </c>
      <c r="G152" s="1">
        <v>0.14903006973295588</v>
      </c>
      <c r="H152" s="1">
        <v>-1.0435183034344977</v>
      </c>
      <c r="I152" s="1">
        <v>2.403845217535078</v>
      </c>
      <c r="J152" s="1">
        <v>2.7551200145864394</v>
      </c>
      <c r="K152" s="1">
        <v>-0.44417453332907914</v>
      </c>
      <c r="L152" s="1">
        <v>0.46393595696080292</v>
      </c>
      <c r="M152" s="1">
        <v>6</v>
      </c>
      <c r="N152" s="1">
        <v>0</v>
      </c>
      <c r="O152" s="1">
        <v>0</v>
      </c>
      <c r="P152" s="1">
        <v>0</v>
      </c>
      <c r="Q152" s="1" t="str">
        <f t="shared" si="28"/>
        <v>Expansion</v>
      </c>
      <c r="R152" s="2">
        <f t="shared" si="29"/>
        <v>39294</v>
      </c>
      <c r="S152" s="1">
        <f>VLOOKUP(R152,BB!$A$3:$C$62769, 2, 1)</f>
        <v>4.7388000000000003</v>
      </c>
      <c r="T152" s="1">
        <f t="shared" si="30"/>
        <v>0.16310000000000002</v>
      </c>
      <c r="U152" s="1">
        <f>VLOOKUP(R152,BB!$A$3:$D$6771, 4, 1)</f>
        <v>4.9019000000000004</v>
      </c>
      <c r="V152" s="1">
        <f t="shared" si="25"/>
        <v>-0.28559999999999963</v>
      </c>
      <c r="W152" s="1">
        <f t="shared" si="26"/>
        <v>6.3600000000000101E-2</v>
      </c>
      <c r="X152" s="1">
        <f t="shared" si="35"/>
        <v>5.0244</v>
      </c>
      <c r="Y152" s="1">
        <f t="shared" si="36"/>
        <v>9.9499999999999922E-2</v>
      </c>
      <c r="Z152" s="1" t="str">
        <f t="shared" si="27"/>
        <v>Expansion</v>
      </c>
      <c r="AL152" s="1">
        <v>10</v>
      </c>
      <c r="AM152" s="1">
        <v>0</v>
      </c>
      <c r="AN152" s="1">
        <v>0</v>
      </c>
      <c r="AO152" s="1">
        <v>0</v>
      </c>
      <c r="AP152" s="1">
        <f t="shared" si="31"/>
        <v>6</v>
      </c>
      <c r="AQ152" s="1">
        <f t="shared" si="32"/>
        <v>0</v>
      </c>
      <c r="AR152" s="1">
        <f t="shared" si="33"/>
        <v>0</v>
      </c>
      <c r="AS152" s="1">
        <f t="shared" si="34"/>
        <v>0</v>
      </c>
    </row>
    <row r="153" spans="1:45" x14ac:dyDescent="0.2">
      <c r="A153" s="2">
        <v>39295</v>
      </c>
      <c r="B153" s="1">
        <v>0.61663927281151609</v>
      </c>
      <c r="C153" s="1">
        <v>-0.26548858794833824</v>
      </c>
      <c r="D153" s="1">
        <v>-0.42909802189431939</v>
      </c>
      <c r="E153" s="1">
        <v>0.46915902723646813</v>
      </c>
      <c r="F153" s="1">
        <v>3.9989882458083201E-2</v>
      </c>
      <c r="G153" s="1">
        <v>-1.952084381130954E-2</v>
      </c>
      <c r="H153" s="1">
        <v>-0.8002260713651983</v>
      </c>
      <c r="I153" s="1">
        <v>2.5877959183758135</v>
      </c>
      <c r="J153" s="1">
        <v>-0.76724042579629159</v>
      </c>
      <c r="K153" s="1">
        <v>-0.5249839312746124</v>
      </c>
      <c r="L153" s="1">
        <v>9.0702621879181128E-2</v>
      </c>
      <c r="M153" s="1">
        <v>0</v>
      </c>
      <c r="N153" s="1">
        <v>6</v>
      </c>
      <c r="O153" s="1">
        <v>0</v>
      </c>
      <c r="P153" s="1">
        <v>0</v>
      </c>
      <c r="Q153" s="1" t="str">
        <f t="shared" si="28"/>
        <v>Downturn</v>
      </c>
      <c r="R153" s="2">
        <f t="shared" si="29"/>
        <v>39325</v>
      </c>
      <c r="S153" s="1">
        <f>VLOOKUP(R153,BB!$A$3:$C$62769, 2, 1)</f>
        <v>4.5292000000000003</v>
      </c>
      <c r="T153" s="1">
        <f t="shared" si="30"/>
        <v>0.29319999999999968</v>
      </c>
      <c r="U153" s="1">
        <f>VLOOKUP(R153,BB!$A$3:$D$6771, 4, 1)</f>
        <v>4.8224</v>
      </c>
      <c r="V153" s="1" t="str">
        <f t="shared" si="25"/>
        <v/>
      </c>
      <c r="W153" s="1" t="str">
        <f t="shared" si="26"/>
        <v/>
      </c>
      <c r="X153" s="1">
        <f t="shared" si="35"/>
        <v>4.7388000000000003</v>
      </c>
      <c r="Y153" s="1">
        <f t="shared" si="36"/>
        <v>0.16310000000000002</v>
      </c>
      <c r="Z153" s="1" t="str">
        <f t="shared" si="27"/>
        <v/>
      </c>
      <c r="AL153" s="1">
        <v>0</v>
      </c>
      <c r="AM153" s="1">
        <v>10</v>
      </c>
      <c r="AN153" s="1">
        <v>0</v>
      </c>
      <c r="AO153" s="1">
        <v>0</v>
      </c>
      <c r="AP153" s="1">
        <f t="shared" si="31"/>
        <v>0</v>
      </c>
      <c r="AQ153" s="1">
        <f t="shared" si="32"/>
        <v>6</v>
      </c>
      <c r="AR153" s="1">
        <f t="shared" si="33"/>
        <v>0</v>
      </c>
      <c r="AS153" s="1">
        <f t="shared" si="34"/>
        <v>0</v>
      </c>
    </row>
    <row r="154" spans="1:45" x14ac:dyDescent="0.2">
      <c r="A154" s="2">
        <v>39326</v>
      </c>
      <c r="B154" s="1">
        <v>0.60089592890919674</v>
      </c>
      <c r="C154" s="1">
        <v>-0.5158728324334082</v>
      </c>
      <c r="D154" s="1">
        <v>-0.21186439198222173</v>
      </c>
      <c r="E154" s="1">
        <v>0.31539533342433801</v>
      </c>
      <c r="F154" s="1">
        <v>2.4441196483813616E-2</v>
      </c>
      <c r="G154" s="1">
        <v>-0.19074001518847622</v>
      </c>
      <c r="H154" s="1">
        <v>-0.67932029774301861</v>
      </c>
      <c r="I154" s="1">
        <v>2.554827924679024</v>
      </c>
      <c r="J154" s="1">
        <v>-0.68643750474138643</v>
      </c>
      <c r="K154" s="1">
        <v>-0.20087733978150282</v>
      </c>
      <c r="L154" s="1">
        <v>0.10104480016263584</v>
      </c>
      <c r="M154" s="1">
        <v>0</v>
      </c>
      <c r="N154" s="1">
        <v>6</v>
      </c>
      <c r="O154" s="1">
        <v>0</v>
      </c>
      <c r="P154" s="1">
        <v>0</v>
      </c>
      <c r="Q154" s="1" t="str">
        <f t="shared" si="28"/>
        <v>Downturn</v>
      </c>
      <c r="R154" s="2">
        <f t="shared" si="29"/>
        <v>39355</v>
      </c>
      <c r="S154" s="1">
        <f>VLOOKUP(R154,BB!$A$3:$C$62769, 2, 1)</f>
        <v>4.5865</v>
      </c>
      <c r="T154" s="1">
        <f t="shared" si="30"/>
        <v>0.24950000000000028</v>
      </c>
      <c r="U154" s="1">
        <f>VLOOKUP(R154,BB!$A$3:$D$6771, 4, 1)</f>
        <v>4.8360000000000003</v>
      </c>
      <c r="V154" s="1" t="str">
        <f t="shared" si="25"/>
        <v/>
      </c>
      <c r="W154" s="1" t="str">
        <f t="shared" si="26"/>
        <v/>
      </c>
      <c r="X154" s="1">
        <f t="shared" si="35"/>
        <v>4.7388000000000003</v>
      </c>
      <c r="Y154" s="1">
        <f t="shared" si="36"/>
        <v>0.16310000000000002</v>
      </c>
      <c r="Z154" s="1" t="str">
        <f t="shared" si="27"/>
        <v/>
      </c>
      <c r="AL154" s="1">
        <v>0</v>
      </c>
      <c r="AM154" s="1">
        <v>10</v>
      </c>
      <c r="AN154" s="1">
        <v>0</v>
      </c>
      <c r="AO154" s="1">
        <v>0</v>
      </c>
      <c r="AP154" s="1">
        <f t="shared" si="31"/>
        <v>0</v>
      </c>
      <c r="AQ154" s="1">
        <f t="shared" si="32"/>
        <v>6</v>
      </c>
      <c r="AR154" s="1">
        <f t="shared" si="33"/>
        <v>0</v>
      </c>
      <c r="AS154" s="1">
        <f t="shared" si="34"/>
        <v>0</v>
      </c>
    </row>
    <row r="155" spans="1:45" x14ac:dyDescent="0.2">
      <c r="A155" s="2">
        <v>39356</v>
      </c>
      <c r="B155" s="1">
        <v>0.51449428102597239</v>
      </c>
      <c r="C155" s="1">
        <v>-0.71529431204238891</v>
      </c>
      <c r="D155" s="1">
        <v>-0.29633679664601698</v>
      </c>
      <c r="E155" s="1">
        <v>0.31277271575924076</v>
      </c>
      <c r="F155" s="1">
        <v>1.0141580982926557E-2</v>
      </c>
      <c r="G155" s="1">
        <v>-0.40421297722915761</v>
      </c>
      <c r="H155" s="1">
        <v>-0.52845280388396354</v>
      </c>
      <c r="I155" s="1">
        <v>2.0226898780399218</v>
      </c>
      <c r="J155" s="1">
        <v>-0.16991341503002075</v>
      </c>
      <c r="K155" s="1">
        <v>-0.13154186664320375</v>
      </c>
      <c r="L155" s="1">
        <v>6.1434628433331008E-2</v>
      </c>
      <c r="M155" s="1">
        <v>0</v>
      </c>
      <c r="N155" s="1">
        <v>6</v>
      </c>
      <c r="O155" s="1">
        <v>0</v>
      </c>
      <c r="P155" s="1">
        <v>0</v>
      </c>
      <c r="Q155" s="1" t="str">
        <f t="shared" si="28"/>
        <v>Downturn</v>
      </c>
      <c r="R155" s="2">
        <f t="shared" si="29"/>
        <v>39386</v>
      </c>
      <c r="S155" s="1">
        <f>VLOOKUP(R155,BB!$A$3:$C$62769, 2, 1)</f>
        <v>4.4707999999999997</v>
      </c>
      <c r="T155" s="1">
        <f t="shared" si="30"/>
        <v>0.27490000000000059</v>
      </c>
      <c r="U155" s="1">
        <f>VLOOKUP(R155,BB!$A$3:$D$6771, 4, 1)</f>
        <v>4.7457000000000003</v>
      </c>
      <c r="V155" s="1" t="str">
        <f t="shared" ref="V155:V218" si="37">IF(Q155&lt;&gt;Q156, S155-X155, "")</f>
        <v/>
      </c>
      <c r="W155" s="1" t="str">
        <f t="shared" ref="W155:W218" si="38">IF(Q155&lt;&gt;Q156, T155-Y155, "")</f>
        <v/>
      </c>
      <c r="X155" s="1">
        <f t="shared" si="35"/>
        <v>4.7388000000000003</v>
      </c>
      <c r="Y155" s="1">
        <f t="shared" si="36"/>
        <v>0.16310000000000002</v>
      </c>
      <c r="Z155" s="1" t="str">
        <f t="shared" si="27"/>
        <v/>
      </c>
      <c r="AL155" s="1">
        <v>0</v>
      </c>
      <c r="AM155" s="1">
        <v>10</v>
      </c>
      <c r="AN155" s="1">
        <v>0</v>
      </c>
      <c r="AO155" s="1">
        <v>0</v>
      </c>
      <c r="AP155" s="1">
        <f t="shared" si="31"/>
        <v>0</v>
      </c>
      <c r="AQ155" s="1">
        <f t="shared" si="32"/>
        <v>6</v>
      </c>
      <c r="AR155" s="1">
        <f t="shared" si="33"/>
        <v>0</v>
      </c>
      <c r="AS155" s="1">
        <f t="shared" si="34"/>
        <v>0</v>
      </c>
    </row>
    <row r="156" spans="1:45" x14ac:dyDescent="0.2">
      <c r="A156" s="2">
        <v>39387</v>
      </c>
      <c r="B156" s="1">
        <v>0.40243666171192732</v>
      </c>
      <c r="C156" s="1">
        <v>-1.1187728592338917</v>
      </c>
      <c r="D156" s="1">
        <v>0.14261590808431251</v>
      </c>
      <c r="E156" s="1">
        <v>0.31277271575924476</v>
      </c>
      <c r="F156" s="1">
        <v>1.3485408867609542E-2</v>
      </c>
      <c r="G156" s="1">
        <v>-0.41592302630676303</v>
      </c>
      <c r="H156" s="1">
        <v>-0.41230696097655267</v>
      </c>
      <c r="I156" s="1">
        <v>1.7411062536617137</v>
      </c>
      <c r="J156" s="1">
        <v>-0.37378667997659487</v>
      </c>
      <c r="K156" s="1">
        <v>-4.0336848092409172E-2</v>
      </c>
      <c r="L156" s="1">
        <v>2.5129057349859645E-2</v>
      </c>
      <c r="M156" s="1">
        <v>0</v>
      </c>
      <c r="N156" s="1">
        <v>6</v>
      </c>
      <c r="O156" s="1">
        <v>0</v>
      </c>
      <c r="P156" s="1">
        <v>0</v>
      </c>
      <c r="Q156" s="1" t="str">
        <f t="shared" si="28"/>
        <v>Downturn</v>
      </c>
      <c r="R156" s="2">
        <f t="shared" si="29"/>
        <v>39416</v>
      </c>
      <c r="S156" s="1">
        <f>VLOOKUP(R156,BB!$A$3:$C$62769, 2, 1)</f>
        <v>3.9379</v>
      </c>
      <c r="T156" s="1">
        <f t="shared" si="30"/>
        <v>0.4410999999999996</v>
      </c>
      <c r="U156" s="1">
        <f>VLOOKUP(R156,BB!$A$3:$D$6771, 4, 1)</f>
        <v>4.3789999999999996</v>
      </c>
      <c r="V156" s="1">
        <f t="shared" si="37"/>
        <v>-0.80090000000000039</v>
      </c>
      <c r="W156" s="1">
        <f t="shared" si="38"/>
        <v>0.27799999999999958</v>
      </c>
      <c r="X156" s="1">
        <f t="shared" si="35"/>
        <v>4.7388000000000003</v>
      </c>
      <c r="Y156" s="1">
        <f t="shared" si="36"/>
        <v>0.16310000000000002</v>
      </c>
      <c r="Z156" s="1" t="str">
        <f t="shared" si="27"/>
        <v>Downturn</v>
      </c>
      <c r="AL156" s="1">
        <v>0</v>
      </c>
      <c r="AM156" s="1">
        <v>10</v>
      </c>
      <c r="AN156" s="1">
        <v>0</v>
      </c>
      <c r="AO156" s="1">
        <v>0</v>
      </c>
      <c r="AP156" s="1">
        <f t="shared" si="31"/>
        <v>0</v>
      </c>
      <c r="AQ156" s="1">
        <f t="shared" si="32"/>
        <v>6</v>
      </c>
      <c r="AR156" s="1">
        <f t="shared" si="33"/>
        <v>0</v>
      </c>
      <c r="AS156" s="1">
        <f t="shared" si="34"/>
        <v>0</v>
      </c>
    </row>
    <row r="157" spans="1:45" x14ac:dyDescent="0.2">
      <c r="A157" s="2">
        <v>39417</v>
      </c>
      <c r="B157" s="1">
        <v>0.19516666752146355</v>
      </c>
      <c r="C157" s="1">
        <v>-1.0351451481191518</v>
      </c>
      <c r="D157" s="1">
        <v>0.17120416986163506</v>
      </c>
      <c r="E157" s="1">
        <v>-0.134645185247457</v>
      </c>
      <c r="F157" s="1">
        <v>-6.5966841871770321E-2</v>
      </c>
      <c r="G157" s="1">
        <v>-1.021927868123129</v>
      </c>
      <c r="H157" s="1">
        <v>-0.34725523740782915</v>
      </c>
      <c r="I157" s="1">
        <v>1.6078077647635756</v>
      </c>
      <c r="J157" s="1">
        <v>8.5481038524327313E-2</v>
      </c>
      <c r="K157" s="1">
        <v>0.46486741416296101</v>
      </c>
      <c r="L157" s="1">
        <v>-8.0413225935374536E-3</v>
      </c>
      <c r="M157" s="1">
        <v>0</v>
      </c>
      <c r="N157" s="1">
        <v>0</v>
      </c>
      <c r="O157" s="1">
        <v>6</v>
      </c>
      <c r="P157" s="1">
        <v>0</v>
      </c>
      <c r="Q157" s="1" t="str">
        <f t="shared" si="28"/>
        <v>Repair</v>
      </c>
      <c r="R157" s="2">
        <f t="shared" si="29"/>
        <v>39447</v>
      </c>
      <c r="S157" s="1">
        <f>VLOOKUP(R157,BB!$A$3:$C$62769, 2, 1)</f>
        <v>4.0232000000000001</v>
      </c>
      <c r="T157" s="1">
        <f t="shared" si="30"/>
        <v>0.42900000000000027</v>
      </c>
      <c r="U157" s="1">
        <f>VLOOKUP(R157,BB!$A$3:$D$6771, 4, 1)</f>
        <v>4.4522000000000004</v>
      </c>
      <c r="V157" s="1">
        <f t="shared" si="37"/>
        <v>8.5300000000000153E-2</v>
      </c>
      <c r="W157" s="1">
        <f t="shared" si="38"/>
        <v>-1.2099999999999334E-2</v>
      </c>
      <c r="X157" s="1">
        <f t="shared" si="35"/>
        <v>3.9379</v>
      </c>
      <c r="Y157" s="1">
        <f t="shared" si="36"/>
        <v>0.4410999999999996</v>
      </c>
      <c r="Z157" s="1" t="str">
        <f t="shared" si="27"/>
        <v>Repair</v>
      </c>
      <c r="AL157" s="1">
        <v>0</v>
      </c>
      <c r="AM157" s="1">
        <v>0</v>
      </c>
      <c r="AN157" s="1">
        <v>10</v>
      </c>
      <c r="AO157" s="1">
        <v>0</v>
      </c>
      <c r="AP157" s="1">
        <f t="shared" si="31"/>
        <v>0</v>
      </c>
      <c r="AQ157" s="1">
        <f t="shared" si="32"/>
        <v>0</v>
      </c>
      <c r="AR157" s="1">
        <f t="shared" si="33"/>
        <v>6</v>
      </c>
      <c r="AS157" s="1">
        <f t="shared" si="34"/>
        <v>0</v>
      </c>
    </row>
    <row r="158" spans="1:45" x14ac:dyDescent="0.2">
      <c r="A158" s="2">
        <v>39448</v>
      </c>
      <c r="B158" s="1">
        <v>0.17506996340794562</v>
      </c>
      <c r="C158" s="1">
        <v>-1.0534553487968958</v>
      </c>
      <c r="D158" s="1">
        <v>0.72049742685423313</v>
      </c>
      <c r="E158" s="1">
        <v>1.8707186543498587E-2</v>
      </c>
      <c r="F158" s="1">
        <v>-0.17757345586904535</v>
      </c>
      <c r="G158" s="1">
        <v>-0.41988800026343498</v>
      </c>
      <c r="H158" s="1">
        <v>-0.30000413474740883</v>
      </c>
      <c r="I158" s="1">
        <v>1.6983105323720751</v>
      </c>
      <c r="J158" s="1">
        <v>-1.1111177640477587</v>
      </c>
      <c r="K158" s="1">
        <v>0.59525369575791154</v>
      </c>
      <c r="L158" s="1">
        <v>1.4580010121112031E-2</v>
      </c>
      <c r="M158" s="1">
        <v>0</v>
      </c>
      <c r="N158" s="1">
        <v>6</v>
      </c>
      <c r="O158" s="1">
        <v>0</v>
      </c>
      <c r="P158" s="1">
        <v>0</v>
      </c>
      <c r="Q158" s="1" t="str">
        <f t="shared" si="28"/>
        <v>Downturn</v>
      </c>
      <c r="R158" s="2">
        <f t="shared" si="29"/>
        <v>39478</v>
      </c>
      <c r="S158" s="1">
        <f>VLOOKUP(R158,BB!$A$3:$C$62769, 2, 1)</f>
        <v>3.5931000000000002</v>
      </c>
      <c r="T158" s="1">
        <f t="shared" si="30"/>
        <v>0.7293999999999996</v>
      </c>
      <c r="U158" s="1">
        <f>VLOOKUP(R158,BB!$A$3:$D$6771, 4, 1)</f>
        <v>4.3224999999999998</v>
      </c>
      <c r="V158" s="1">
        <f t="shared" si="37"/>
        <v>-0.43009999999999993</v>
      </c>
      <c r="W158" s="1">
        <f t="shared" si="38"/>
        <v>0.30039999999999933</v>
      </c>
      <c r="X158" s="1">
        <f t="shared" si="35"/>
        <v>4.0232000000000001</v>
      </c>
      <c r="Y158" s="1">
        <f t="shared" si="36"/>
        <v>0.42900000000000027</v>
      </c>
      <c r="Z158" s="1" t="str">
        <f t="shared" si="27"/>
        <v>Downturn</v>
      </c>
      <c r="AL158" s="1">
        <v>0</v>
      </c>
      <c r="AM158" s="1">
        <v>10</v>
      </c>
      <c r="AN158" s="1">
        <v>0</v>
      </c>
      <c r="AO158" s="1">
        <v>0</v>
      </c>
      <c r="AP158" s="1">
        <f t="shared" si="31"/>
        <v>0</v>
      </c>
      <c r="AQ158" s="1">
        <f t="shared" si="32"/>
        <v>6</v>
      </c>
      <c r="AR158" s="1">
        <f t="shared" si="33"/>
        <v>0</v>
      </c>
      <c r="AS158" s="1">
        <f t="shared" si="34"/>
        <v>0</v>
      </c>
    </row>
    <row r="159" spans="1:45" x14ac:dyDescent="0.2">
      <c r="A159" s="2">
        <v>39479</v>
      </c>
      <c r="B159" s="1">
        <v>3.1196180394172969E-2</v>
      </c>
      <c r="C159" s="1">
        <v>-1.6811904040346954</v>
      </c>
      <c r="D159" s="1">
        <v>1.1267215233000938</v>
      </c>
      <c r="E159" s="1">
        <v>0.17093190836064176</v>
      </c>
      <c r="F159" s="1">
        <v>-0.35498824096551101</v>
      </c>
      <c r="G159" s="1">
        <v>-0.8882970918796097</v>
      </c>
      <c r="H159" s="1">
        <v>-0.25537933801529211</v>
      </c>
      <c r="I159" s="1">
        <v>1.8045190155276487</v>
      </c>
      <c r="J159" s="1">
        <v>-0.28567493927402121</v>
      </c>
      <c r="K159" s="1">
        <v>0.69536586488427654</v>
      </c>
      <c r="L159" s="1">
        <v>3.6320447829770432E-2</v>
      </c>
      <c r="M159" s="1">
        <v>6</v>
      </c>
      <c r="N159" s="1">
        <v>0</v>
      </c>
      <c r="O159" s="1">
        <v>0</v>
      </c>
      <c r="P159" s="1">
        <v>0</v>
      </c>
      <c r="Q159" s="1" t="str">
        <f t="shared" si="28"/>
        <v>Expansion</v>
      </c>
      <c r="R159" s="2">
        <f t="shared" si="29"/>
        <v>39507</v>
      </c>
      <c r="S159" s="1">
        <f>VLOOKUP(R159,BB!$A$3:$C$62769, 2, 1)</f>
        <v>3.5091999999999999</v>
      </c>
      <c r="T159" s="1">
        <f t="shared" si="30"/>
        <v>0.89310000000000045</v>
      </c>
      <c r="U159" s="1">
        <f>VLOOKUP(R159,BB!$A$3:$D$6771, 4, 1)</f>
        <v>4.4023000000000003</v>
      </c>
      <c r="V159" s="1">
        <f t="shared" si="37"/>
        <v>-8.3900000000000308E-2</v>
      </c>
      <c r="W159" s="1">
        <f t="shared" si="38"/>
        <v>0.16370000000000084</v>
      </c>
      <c r="X159" s="1">
        <f t="shared" si="35"/>
        <v>3.5931000000000002</v>
      </c>
      <c r="Y159" s="1">
        <f t="shared" si="36"/>
        <v>0.7293999999999996</v>
      </c>
      <c r="Z159" s="1" t="str">
        <f t="shared" si="27"/>
        <v>Expansion</v>
      </c>
      <c r="AL159" s="1">
        <v>10</v>
      </c>
      <c r="AM159" s="1">
        <v>0</v>
      </c>
      <c r="AN159" s="1">
        <v>0</v>
      </c>
      <c r="AO159" s="1">
        <v>0</v>
      </c>
      <c r="AP159" s="1">
        <f t="shared" si="31"/>
        <v>6</v>
      </c>
      <c r="AQ159" s="1">
        <f t="shared" si="32"/>
        <v>0</v>
      </c>
      <c r="AR159" s="1">
        <f t="shared" si="33"/>
        <v>0</v>
      </c>
      <c r="AS159" s="1">
        <f t="shared" si="34"/>
        <v>0</v>
      </c>
    </row>
    <row r="160" spans="1:45" x14ac:dyDescent="0.2">
      <c r="A160" s="2">
        <v>39508</v>
      </c>
      <c r="B160" s="1">
        <v>-0.14455761084370874</v>
      </c>
      <c r="C160" s="1">
        <v>-2.1750427999462021</v>
      </c>
      <c r="D160" s="1">
        <v>1.0376992460827501</v>
      </c>
      <c r="E160" s="1">
        <v>-0.27596049479388851</v>
      </c>
      <c r="F160" s="1">
        <v>-0.54773959681249862</v>
      </c>
      <c r="G160" s="1">
        <v>-0.81852404980620519</v>
      </c>
      <c r="H160" s="1">
        <v>-0.21196994872329644</v>
      </c>
      <c r="I160" s="1">
        <v>7.7566864534138899E-2</v>
      </c>
      <c r="J160" s="1">
        <v>-0.71978033587356194</v>
      </c>
      <c r="K160" s="1">
        <v>0.69078000492708824</v>
      </c>
      <c r="L160" s="1">
        <v>-0.30875287212553837</v>
      </c>
      <c r="M160" s="1">
        <v>0</v>
      </c>
      <c r="N160" s="1">
        <v>0</v>
      </c>
      <c r="O160" s="1">
        <v>6</v>
      </c>
      <c r="P160" s="1">
        <v>0</v>
      </c>
      <c r="Q160" s="1" t="str">
        <f t="shared" si="28"/>
        <v>Repair</v>
      </c>
      <c r="R160" s="2">
        <f t="shared" si="29"/>
        <v>39538</v>
      </c>
      <c r="S160" s="1">
        <f>VLOOKUP(R160,BB!$A$3:$C$62769, 2, 1)</f>
        <v>3.4096000000000002</v>
      </c>
      <c r="T160" s="1">
        <f t="shared" si="30"/>
        <v>0.88209999999999944</v>
      </c>
      <c r="U160" s="1">
        <f>VLOOKUP(R160,BB!$A$3:$D$6771, 4, 1)</f>
        <v>4.2916999999999996</v>
      </c>
      <c r="V160" s="1" t="str">
        <f t="shared" si="37"/>
        <v/>
      </c>
      <c r="W160" s="1" t="str">
        <f t="shared" si="38"/>
        <v/>
      </c>
      <c r="X160" s="1">
        <f t="shared" si="35"/>
        <v>3.5091999999999999</v>
      </c>
      <c r="Y160" s="1">
        <f t="shared" si="36"/>
        <v>0.89310000000000045</v>
      </c>
      <c r="Z160" s="1" t="str">
        <f t="shared" si="27"/>
        <v/>
      </c>
      <c r="AL160" s="1">
        <v>0</v>
      </c>
      <c r="AM160" s="1">
        <v>0</v>
      </c>
      <c r="AN160" s="1">
        <v>10</v>
      </c>
      <c r="AO160" s="1">
        <v>0</v>
      </c>
      <c r="AP160" s="1">
        <f t="shared" si="31"/>
        <v>0</v>
      </c>
      <c r="AQ160" s="1">
        <f t="shared" si="32"/>
        <v>0</v>
      </c>
      <c r="AR160" s="1">
        <f t="shared" si="33"/>
        <v>6</v>
      </c>
      <c r="AS160" s="1">
        <f t="shared" si="34"/>
        <v>0</v>
      </c>
    </row>
    <row r="161" spans="1:45" x14ac:dyDescent="0.2">
      <c r="A161" s="2">
        <v>39539</v>
      </c>
      <c r="B161" s="1">
        <v>-0.48913014594523618</v>
      </c>
      <c r="C161" s="1">
        <v>-2.2286357128475416</v>
      </c>
      <c r="D161" s="1">
        <v>0.64700771106643473</v>
      </c>
      <c r="E161" s="1">
        <v>-0.1211389326676456</v>
      </c>
      <c r="F161" s="1">
        <v>-0.77258813979825558</v>
      </c>
      <c r="G161" s="1">
        <v>-0.80670955861785509</v>
      </c>
      <c r="H161" s="1">
        <v>-0.25215034257158481</v>
      </c>
      <c r="I161" s="1">
        <v>-0.12603609751089123</v>
      </c>
      <c r="J161" s="1">
        <v>4.2742577417012324E-2</v>
      </c>
      <c r="K161" s="1">
        <v>1.1378563010361207</v>
      </c>
      <c r="L161" s="1">
        <v>-0.2968782340439442</v>
      </c>
      <c r="M161" s="1">
        <v>0</v>
      </c>
      <c r="N161" s="1">
        <v>0</v>
      </c>
      <c r="O161" s="1">
        <v>6</v>
      </c>
      <c r="P161" s="1">
        <v>0</v>
      </c>
      <c r="Q161" s="1" t="str">
        <f t="shared" si="28"/>
        <v>Repair</v>
      </c>
      <c r="R161" s="2">
        <f t="shared" si="29"/>
        <v>39568</v>
      </c>
      <c r="S161" s="1">
        <f>VLOOKUP(R161,BB!$A$3:$C$62769, 2, 1)</f>
        <v>3.7279</v>
      </c>
      <c r="T161" s="1">
        <f t="shared" si="30"/>
        <v>0.73930000000000007</v>
      </c>
      <c r="U161" s="1">
        <f>VLOOKUP(R161,BB!$A$3:$D$6771, 4, 1)</f>
        <v>4.4672000000000001</v>
      </c>
      <c r="V161" s="1" t="str">
        <f t="shared" si="37"/>
        <v/>
      </c>
      <c r="W161" s="1" t="str">
        <f t="shared" si="38"/>
        <v/>
      </c>
      <c r="X161" s="1">
        <f t="shared" si="35"/>
        <v>3.5091999999999999</v>
      </c>
      <c r="Y161" s="1">
        <f t="shared" si="36"/>
        <v>0.89310000000000045</v>
      </c>
      <c r="Z161" s="1" t="str">
        <f t="shared" si="27"/>
        <v/>
      </c>
      <c r="AL161" s="1">
        <v>0</v>
      </c>
      <c r="AM161" s="1">
        <v>0</v>
      </c>
      <c r="AN161" s="1">
        <v>10</v>
      </c>
      <c r="AO161" s="1">
        <v>0</v>
      </c>
      <c r="AP161" s="1">
        <f t="shared" si="31"/>
        <v>0</v>
      </c>
      <c r="AQ161" s="1">
        <f t="shared" si="32"/>
        <v>0</v>
      </c>
      <c r="AR161" s="1">
        <f t="shared" si="33"/>
        <v>6</v>
      </c>
      <c r="AS161" s="1">
        <f t="shared" si="34"/>
        <v>0</v>
      </c>
    </row>
    <row r="162" spans="1:45" x14ac:dyDescent="0.2">
      <c r="A162" s="2">
        <v>39569</v>
      </c>
      <c r="B162" s="1">
        <v>-0.6005907641244419</v>
      </c>
      <c r="C162" s="1">
        <v>-2.4213524630873988</v>
      </c>
      <c r="D162" s="1">
        <v>0.57643550278164557</v>
      </c>
      <c r="E162" s="1">
        <v>-0.86482415843720173</v>
      </c>
      <c r="F162" s="1">
        <v>-0.16949016903734307</v>
      </c>
      <c r="G162" s="1">
        <v>-0.60267140833921495</v>
      </c>
      <c r="H162" s="1">
        <v>-0.37215428012738005</v>
      </c>
      <c r="I162" s="1">
        <v>-0.22204441604214067</v>
      </c>
      <c r="J162" s="1">
        <v>1.8194034831873298</v>
      </c>
      <c r="K162" s="1">
        <v>1.4572321635759811</v>
      </c>
      <c r="L162" s="1">
        <v>-0.14000565096501644</v>
      </c>
      <c r="M162" s="1">
        <v>0</v>
      </c>
      <c r="N162" s="1">
        <v>0</v>
      </c>
      <c r="O162" s="1">
        <v>6</v>
      </c>
      <c r="P162" s="1">
        <v>0</v>
      </c>
      <c r="Q162" s="1" t="str">
        <f t="shared" si="28"/>
        <v>Repair</v>
      </c>
      <c r="R162" s="2">
        <f t="shared" si="29"/>
        <v>39599</v>
      </c>
      <c r="S162" s="1">
        <f>VLOOKUP(R162,BB!$A$3:$C$62769, 2, 1)</f>
        <v>4.0594999999999999</v>
      </c>
      <c r="T162" s="1">
        <f t="shared" si="30"/>
        <v>0.65519999999999978</v>
      </c>
      <c r="U162" s="1">
        <f>VLOOKUP(R162,BB!$A$3:$D$6771, 4, 1)</f>
        <v>4.7146999999999997</v>
      </c>
      <c r="V162" s="1" t="str">
        <f t="shared" si="37"/>
        <v/>
      </c>
      <c r="W162" s="1" t="str">
        <f t="shared" si="38"/>
        <v/>
      </c>
      <c r="X162" s="1">
        <f t="shared" si="35"/>
        <v>3.5091999999999999</v>
      </c>
      <c r="Y162" s="1">
        <f t="shared" si="36"/>
        <v>0.89310000000000045</v>
      </c>
      <c r="Z162" s="1" t="str">
        <f t="shared" si="27"/>
        <v/>
      </c>
      <c r="AL162" s="1">
        <v>0</v>
      </c>
      <c r="AM162" s="1">
        <v>0</v>
      </c>
      <c r="AN162" s="1">
        <v>10</v>
      </c>
      <c r="AO162" s="1">
        <v>0</v>
      </c>
      <c r="AP162" s="1">
        <f t="shared" si="31"/>
        <v>0</v>
      </c>
      <c r="AQ162" s="1">
        <f t="shared" si="32"/>
        <v>0</v>
      </c>
      <c r="AR162" s="1">
        <f t="shared" si="33"/>
        <v>6</v>
      </c>
      <c r="AS162" s="1">
        <f t="shared" si="34"/>
        <v>0</v>
      </c>
    </row>
    <row r="163" spans="1:45" x14ac:dyDescent="0.2">
      <c r="A163" s="2">
        <v>39600</v>
      </c>
      <c r="B163" s="1">
        <v>-0.64512093035325513</v>
      </c>
      <c r="C163" s="1">
        <v>-2.6782163088521695</v>
      </c>
      <c r="D163" s="1">
        <v>0.49547690953551765</v>
      </c>
      <c r="E163" s="1">
        <v>-0.85036588169718497</v>
      </c>
      <c r="F163" s="1">
        <v>0.16167937169275726</v>
      </c>
      <c r="G163" s="1">
        <v>-0.48221430824110428</v>
      </c>
      <c r="H163" s="1">
        <v>-0.5052318155852491</v>
      </c>
      <c r="I163" s="1">
        <v>-0.30774235616285411</v>
      </c>
      <c r="J163" s="1">
        <v>1.1180011271740282</v>
      </c>
      <c r="K163" s="1">
        <v>1.3692172711901633</v>
      </c>
      <c r="L163" s="1">
        <v>-0.23245169212993505</v>
      </c>
      <c r="M163" s="1">
        <v>0</v>
      </c>
      <c r="N163" s="1">
        <v>0</v>
      </c>
      <c r="O163" s="1">
        <v>6</v>
      </c>
      <c r="P163" s="1">
        <v>0</v>
      </c>
      <c r="Q163" s="1" t="str">
        <f t="shared" si="28"/>
        <v>Repair</v>
      </c>
      <c r="R163" s="2">
        <f t="shared" si="29"/>
        <v>39629</v>
      </c>
      <c r="S163" s="1">
        <f>VLOOKUP(R163,BB!$A$3:$C$62769, 2, 1)</f>
        <v>3.9689999999999999</v>
      </c>
      <c r="T163" s="1">
        <f t="shared" si="30"/>
        <v>0.55490000000000039</v>
      </c>
      <c r="U163" s="1">
        <f>VLOOKUP(R163,BB!$A$3:$D$6771, 4, 1)</f>
        <v>4.5239000000000003</v>
      </c>
      <c r="V163" s="1" t="str">
        <f t="shared" si="37"/>
        <v/>
      </c>
      <c r="W163" s="1" t="str">
        <f t="shared" si="38"/>
        <v/>
      </c>
      <c r="X163" s="1">
        <f t="shared" si="35"/>
        <v>3.5091999999999999</v>
      </c>
      <c r="Y163" s="1">
        <f t="shared" si="36"/>
        <v>0.89310000000000045</v>
      </c>
      <c r="Z163" s="1" t="str">
        <f t="shared" si="27"/>
        <v/>
      </c>
      <c r="AL163" s="1">
        <v>0</v>
      </c>
      <c r="AM163" s="1">
        <v>0</v>
      </c>
      <c r="AN163" s="1">
        <v>10</v>
      </c>
      <c r="AO163" s="1">
        <v>0</v>
      </c>
      <c r="AP163" s="1">
        <f t="shared" si="31"/>
        <v>0</v>
      </c>
      <c r="AQ163" s="1">
        <f t="shared" si="32"/>
        <v>0</v>
      </c>
      <c r="AR163" s="1">
        <f t="shared" si="33"/>
        <v>6</v>
      </c>
      <c r="AS163" s="1">
        <f t="shared" si="34"/>
        <v>0</v>
      </c>
    </row>
    <row r="164" spans="1:45" x14ac:dyDescent="0.2">
      <c r="A164" s="2">
        <v>39630</v>
      </c>
      <c r="B164" s="1">
        <v>-0.73619010494005832</v>
      </c>
      <c r="C164" s="1">
        <v>-2.5214387742829127</v>
      </c>
      <c r="D164" s="1">
        <v>0.57599146649102484</v>
      </c>
      <c r="E164" s="1">
        <v>-1.1375215926734066</v>
      </c>
      <c r="F164" s="1">
        <v>0.32418654956508702</v>
      </c>
      <c r="G164" s="1">
        <v>-0.52239245645560384</v>
      </c>
      <c r="H164" s="1">
        <v>-0.70057404665404377</v>
      </c>
      <c r="I164" s="1">
        <v>-0.22628156100017002</v>
      </c>
      <c r="J164" s="1">
        <v>1.0646424408450224</v>
      </c>
      <c r="K164" s="1">
        <v>1.2327617547536167</v>
      </c>
      <c r="L164" s="1">
        <v>-0.26468163243514453</v>
      </c>
      <c r="M164" s="1">
        <v>0</v>
      </c>
      <c r="N164" s="1">
        <v>0</v>
      </c>
      <c r="O164" s="1">
        <v>6</v>
      </c>
      <c r="P164" s="1">
        <v>0</v>
      </c>
      <c r="Q164" s="1" t="str">
        <f t="shared" si="28"/>
        <v>Repair</v>
      </c>
      <c r="R164" s="2">
        <f t="shared" si="29"/>
        <v>39660</v>
      </c>
      <c r="S164" s="1">
        <f>VLOOKUP(R164,BB!$A$3:$C$62769, 2, 1)</f>
        <v>3.9462000000000002</v>
      </c>
      <c r="T164" s="1">
        <f t="shared" si="30"/>
        <v>0.62650000000000006</v>
      </c>
      <c r="U164" s="1">
        <f>VLOOKUP(R164,BB!$A$3:$D$6771, 4, 1)</f>
        <v>4.5727000000000002</v>
      </c>
      <c r="V164" s="1" t="str">
        <f t="shared" si="37"/>
        <v/>
      </c>
      <c r="W164" s="1" t="str">
        <f t="shared" si="38"/>
        <v/>
      </c>
      <c r="X164" s="1">
        <f t="shared" si="35"/>
        <v>3.5091999999999999</v>
      </c>
      <c r="Y164" s="1">
        <f t="shared" si="36"/>
        <v>0.89310000000000045</v>
      </c>
      <c r="Z164" s="1" t="str">
        <f t="shared" si="27"/>
        <v/>
      </c>
      <c r="AL164" s="1">
        <v>0</v>
      </c>
      <c r="AM164" s="1">
        <v>0</v>
      </c>
      <c r="AN164" s="1">
        <v>10</v>
      </c>
      <c r="AO164" s="1">
        <v>0</v>
      </c>
      <c r="AP164" s="1">
        <f t="shared" si="31"/>
        <v>0</v>
      </c>
      <c r="AQ164" s="1">
        <f t="shared" si="32"/>
        <v>0</v>
      </c>
      <c r="AR164" s="1">
        <f t="shared" si="33"/>
        <v>6</v>
      </c>
      <c r="AS164" s="1">
        <f t="shared" si="34"/>
        <v>0</v>
      </c>
    </row>
    <row r="165" spans="1:45" x14ac:dyDescent="0.2">
      <c r="A165" s="2">
        <v>39661</v>
      </c>
      <c r="B165" s="1">
        <v>-1.3814330035932851</v>
      </c>
      <c r="C165" s="1">
        <v>-2.2143213367440335</v>
      </c>
      <c r="D165" s="1">
        <v>0.57154357993340432</v>
      </c>
      <c r="E165" s="1">
        <v>-1.7178936235481679</v>
      </c>
      <c r="F165" s="1">
        <v>-0.40283165263056936</v>
      </c>
      <c r="G165" s="1">
        <v>-0.5438165078980669</v>
      </c>
      <c r="H165" s="1">
        <v>-0.97536230269323188</v>
      </c>
      <c r="I165" s="1">
        <v>-0.47555022784711759</v>
      </c>
      <c r="J165" s="1">
        <v>-0.95898520870192649</v>
      </c>
      <c r="K165" s="1">
        <v>1.213768196757032</v>
      </c>
      <c r="L165" s="1">
        <v>-0.68848820869659622</v>
      </c>
      <c r="M165" s="1">
        <v>0</v>
      </c>
      <c r="N165" s="1">
        <v>0</v>
      </c>
      <c r="O165" s="1">
        <v>6</v>
      </c>
      <c r="P165" s="1">
        <v>0</v>
      </c>
      <c r="Q165" s="1" t="str">
        <f t="shared" si="28"/>
        <v>Repair</v>
      </c>
      <c r="R165" s="2">
        <f t="shared" si="29"/>
        <v>39691</v>
      </c>
      <c r="S165" s="1">
        <f>VLOOKUP(R165,BB!$A$3:$C$62769, 2, 1)</f>
        <v>3.8115999999999999</v>
      </c>
      <c r="T165" s="1">
        <f t="shared" si="30"/>
        <v>0.61109999999999998</v>
      </c>
      <c r="U165" s="1">
        <f>VLOOKUP(R165,BB!$A$3:$D$6771, 4, 1)</f>
        <v>4.4226999999999999</v>
      </c>
      <c r="V165" s="1" t="str">
        <f t="shared" si="37"/>
        <v/>
      </c>
      <c r="W165" s="1" t="str">
        <f t="shared" si="38"/>
        <v/>
      </c>
      <c r="X165" s="1">
        <f t="shared" si="35"/>
        <v>3.5091999999999999</v>
      </c>
      <c r="Y165" s="1">
        <f t="shared" si="36"/>
        <v>0.89310000000000045</v>
      </c>
      <c r="Z165" s="1" t="str">
        <f t="shared" si="27"/>
        <v/>
      </c>
      <c r="AL165" s="1">
        <v>0</v>
      </c>
      <c r="AM165" s="1">
        <v>0</v>
      </c>
      <c r="AN165" s="1">
        <v>10</v>
      </c>
      <c r="AO165" s="1">
        <v>0</v>
      </c>
      <c r="AP165" s="1">
        <f t="shared" si="31"/>
        <v>0</v>
      </c>
      <c r="AQ165" s="1">
        <f t="shared" si="32"/>
        <v>0</v>
      </c>
      <c r="AR165" s="1">
        <f t="shared" si="33"/>
        <v>6</v>
      </c>
      <c r="AS165" s="1">
        <f t="shared" si="34"/>
        <v>0</v>
      </c>
    </row>
    <row r="166" spans="1:45" x14ac:dyDescent="0.2">
      <c r="A166" s="2">
        <v>39692</v>
      </c>
      <c r="B166" s="1">
        <v>-1.9111013656437092</v>
      </c>
      <c r="C166" s="1">
        <v>-2.0248215258315323</v>
      </c>
      <c r="D166" s="1">
        <v>1.0086140912076762</v>
      </c>
      <c r="E166" s="1">
        <v>-1.6807601916249755</v>
      </c>
      <c r="F166" s="1">
        <v>-0.85649454684661741</v>
      </c>
      <c r="G166" s="1">
        <v>-1.7929639486101825</v>
      </c>
      <c r="H166" s="1">
        <v>-1.3261209530686848</v>
      </c>
      <c r="I166" s="1">
        <v>-0.7389130476910728</v>
      </c>
      <c r="J166" s="1">
        <v>7.5578563023565318E-2</v>
      </c>
      <c r="K166" s="1">
        <v>0.22293036388537424</v>
      </c>
      <c r="L166" s="1">
        <v>-0.90240525612001576</v>
      </c>
      <c r="M166" s="1">
        <v>0</v>
      </c>
      <c r="N166" s="1">
        <v>0</v>
      </c>
      <c r="O166" s="1">
        <v>6</v>
      </c>
      <c r="P166" s="1">
        <v>0</v>
      </c>
      <c r="Q166" s="1" t="str">
        <f t="shared" si="28"/>
        <v>Repair</v>
      </c>
      <c r="R166" s="2">
        <f t="shared" si="29"/>
        <v>39721</v>
      </c>
      <c r="S166" s="1">
        <f>VLOOKUP(R166,BB!$A$3:$C$62769, 2, 1)</f>
        <v>3.8233999999999999</v>
      </c>
      <c r="T166" s="1">
        <f t="shared" si="30"/>
        <v>0.48760000000000003</v>
      </c>
      <c r="U166" s="1">
        <f>VLOOKUP(R166,BB!$A$3:$D$6771, 4, 1)</f>
        <v>4.3109999999999999</v>
      </c>
      <c r="V166" s="1" t="str">
        <f t="shared" si="37"/>
        <v/>
      </c>
      <c r="W166" s="1" t="str">
        <f t="shared" si="38"/>
        <v/>
      </c>
      <c r="X166" s="1">
        <f t="shared" si="35"/>
        <v>3.5091999999999999</v>
      </c>
      <c r="Y166" s="1">
        <f t="shared" si="36"/>
        <v>0.89310000000000045</v>
      </c>
      <c r="Z166" s="1" t="str">
        <f t="shared" si="27"/>
        <v/>
      </c>
      <c r="AL166" s="1">
        <v>0</v>
      </c>
      <c r="AM166" s="1">
        <v>0</v>
      </c>
      <c r="AN166" s="1">
        <v>10</v>
      </c>
      <c r="AO166" s="1">
        <v>0</v>
      </c>
      <c r="AP166" s="1">
        <f t="shared" si="31"/>
        <v>0</v>
      </c>
      <c r="AQ166" s="1">
        <f t="shared" si="32"/>
        <v>0</v>
      </c>
      <c r="AR166" s="1">
        <f t="shared" si="33"/>
        <v>6</v>
      </c>
      <c r="AS166" s="1">
        <f t="shared" si="34"/>
        <v>0</v>
      </c>
    </row>
    <row r="167" spans="1:45" x14ac:dyDescent="0.2">
      <c r="A167" s="2">
        <v>39722</v>
      </c>
      <c r="B167" s="1">
        <v>-2.5813883840077225</v>
      </c>
      <c r="C167" s="1">
        <v>-2.9568858231093578</v>
      </c>
      <c r="D167" s="1">
        <v>1.5699761739823412</v>
      </c>
      <c r="E167" s="1">
        <v>-2.2322172410218357</v>
      </c>
      <c r="F167" s="1">
        <v>-1.0835765662651735</v>
      </c>
      <c r="G167" s="1">
        <v>-2.6495357926515508</v>
      </c>
      <c r="H167" s="1">
        <v>-1.665310171314561</v>
      </c>
      <c r="I167" s="1">
        <v>-0.21267448698608868</v>
      </c>
      <c r="J167" s="1">
        <v>-0.50386224851983819</v>
      </c>
      <c r="K167" s="1">
        <v>-0.10525687170805496</v>
      </c>
      <c r="L167" s="1">
        <v>-1.2420731411601842</v>
      </c>
      <c r="M167" s="1">
        <v>0</v>
      </c>
      <c r="N167" s="1">
        <v>0</v>
      </c>
      <c r="O167" s="1">
        <v>6</v>
      </c>
      <c r="P167" s="1">
        <v>0</v>
      </c>
      <c r="Q167" s="1" t="str">
        <f t="shared" si="28"/>
        <v>Repair</v>
      </c>
      <c r="R167" s="2">
        <f t="shared" si="29"/>
        <v>39752</v>
      </c>
      <c r="S167" s="1">
        <f>VLOOKUP(R167,BB!$A$3:$C$62769, 2, 1)</f>
        <v>3.9529999999999998</v>
      </c>
      <c r="T167" s="1">
        <f t="shared" si="30"/>
        <v>0.41339999999999977</v>
      </c>
      <c r="U167" s="1">
        <f>VLOOKUP(R167,BB!$A$3:$D$6771, 4, 1)</f>
        <v>4.3663999999999996</v>
      </c>
      <c r="V167" s="1" t="str">
        <f t="shared" si="37"/>
        <v/>
      </c>
      <c r="W167" s="1" t="str">
        <f t="shared" si="38"/>
        <v/>
      </c>
      <c r="X167" s="1">
        <f t="shared" si="35"/>
        <v>3.5091999999999999</v>
      </c>
      <c r="Y167" s="1">
        <f t="shared" si="36"/>
        <v>0.89310000000000045</v>
      </c>
      <c r="Z167" s="1" t="str">
        <f t="shared" si="27"/>
        <v/>
      </c>
      <c r="AL167" s="1">
        <v>0</v>
      </c>
      <c r="AM167" s="1">
        <v>0</v>
      </c>
      <c r="AN167" s="1">
        <v>10</v>
      </c>
      <c r="AO167" s="1">
        <v>0</v>
      </c>
      <c r="AP167" s="1">
        <f t="shared" si="31"/>
        <v>0</v>
      </c>
      <c r="AQ167" s="1">
        <f t="shared" si="32"/>
        <v>0</v>
      </c>
      <c r="AR167" s="1">
        <f t="shared" si="33"/>
        <v>6</v>
      </c>
      <c r="AS167" s="1">
        <f t="shared" si="34"/>
        <v>0</v>
      </c>
    </row>
    <row r="168" spans="1:45" x14ac:dyDescent="0.2">
      <c r="A168" s="2">
        <v>39753</v>
      </c>
      <c r="B168" s="1">
        <v>-2.9903657397411987</v>
      </c>
      <c r="C168" s="1">
        <v>-2.5299181260048234</v>
      </c>
      <c r="D168" s="1">
        <v>1.0462424794634821</v>
      </c>
      <c r="E168" s="1">
        <v>-2.4554378464673756</v>
      </c>
      <c r="F168" s="1">
        <v>-1.3416138169271248</v>
      </c>
      <c r="G168" s="1">
        <v>-3.0746700791790591</v>
      </c>
      <c r="H168" s="1">
        <v>-1.9880997196507222</v>
      </c>
      <c r="I168" s="1">
        <v>-0.3064656785595925</v>
      </c>
      <c r="J168" s="1">
        <v>-1.4896597061569501</v>
      </c>
      <c r="K168" s="1">
        <v>-0.32085314665086745</v>
      </c>
      <c r="L168" s="1">
        <v>-1.5450841379874229</v>
      </c>
      <c r="M168" s="1">
        <v>0</v>
      </c>
      <c r="N168" s="1">
        <v>0</v>
      </c>
      <c r="O168" s="1">
        <v>6</v>
      </c>
      <c r="P168" s="1">
        <v>0</v>
      </c>
      <c r="Q168" s="1" t="str">
        <f t="shared" si="28"/>
        <v>Repair</v>
      </c>
      <c r="R168" s="2">
        <f t="shared" si="29"/>
        <v>39782</v>
      </c>
      <c r="S168" s="1">
        <f>VLOOKUP(R168,BB!$A$3:$C$62769, 2, 1)</f>
        <v>2.92</v>
      </c>
      <c r="T168" s="1">
        <f t="shared" si="30"/>
        <v>0.51690000000000014</v>
      </c>
      <c r="U168" s="1">
        <f>VLOOKUP(R168,BB!$A$3:$D$6771, 4, 1)</f>
        <v>3.4369000000000001</v>
      </c>
      <c r="V168" s="1" t="str">
        <f t="shared" si="37"/>
        <v/>
      </c>
      <c r="W168" s="1" t="str">
        <f t="shared" si="38"/>
        <v/>
      </c>
      <c r="X168" s="1">
        <f t="shared" si="35"/>
        <v>3.5091999999999999</v>
      </c>
      <c r="Y168" s="1">
        <f t="shared" si="36"/>
        <v>0.89310000000000045</v>
      </c>
      <c r="Z168" s="1" t="str">
        <f t="shared" si="27"/>
        <v/>
      </c>
      <c r="AL168" s="1">
        <v>0</v>
      </c>
      <c r="AM168" s="1">
        <v>0</v>
      </c>
      <c r="AN168" s="1">
        <v>10</v>
      </c>
      <c r="AO168" s="1">
        <v>0</v>
      </c>
      <c r="AP168" s="1">
        <f t="shared" si="31"/>
        <v>0</v>
      </c>
      <c r="AQ168" s="1">
        <f t="shared" si="32"/>
        <v>0</v>
      </c>
      <c r="AR168" s="1">
        <f t="shared" si="33"/>
        <v>6</v>
      </c>
      <c r="AS168" s="1">
        <f t="shared" si="34"/>
        <v>0</v>
      </c>
    </row>
    <row r="169" spans="1:45" x14ac:dyDescent="0.2">
      <c r="A169" s="2">
        <v>39783</v>
      </c>
      <c r="B169" s="1">
        <v>-3.4467059165899694</v>
      </c>
      <c r="C169" s="1">
        <v>-2.7408592694508815</v>
      </c>
      <c r="D169" s="1">
        <v>0.51045314389320873</v>
      </c>
      <c r="E169" s="1">
        <v>-3.0812587820012345</v>
      </c>
      <c r="F169" s="1">
        <v>-1.8503308931116065</v>
      </c>
      <c r="G169" s="1">
        <v>-3.647671843195432</v>
      </c>
      <c r="H169" s="1">
        <v>-2.2893618487064771</v>
      </c>
      <c r="I169" s="1">
        <v>-0.60345060761999736</v>
      </c>
      <c r="J169" s="1">
        <v>-1.1379780185430421</v>
      </c>
      <c r="K169" s="1">
        <v>-0.84582933867553733</v>
      </c>
      <c r="L169" s="1">
        <v>-1.9132993374000968</v>
      </c>
      <c r="M169" s="1">
        <v>0</v>
      </c>
      <c r="N169" s="1">
        <v>0</v>
      </c>
      <c r="O169" s="1">
        <v>6</v>
      </c>
      <c r="P169" s="1">
        <v>0</v>
      </c>
      <c r="Q169" s="1" t="str">
        <f t="shared" si="28"/>
        <v>Repair</v>
      </c>
      <c r="R169" s="2">
        <f t="shared" si="29"/>
        <v>39813</v>
      </c>
      <c r="S169" s="1">
        <f>VLOOKUP(R169,BB!$A$3:$C$62769, 2, 1)</f>
        <v>2.2122999999999999</v>
      </c>
      <c r="T169" s="1">
        <f t="shared" si="30"/>
        <v>0.46350000000000025</v>
      </c>
      <c r="U169" s="1">
        <f>VLOOKUP(R169,BB!$A$3:$D$6771, 4, 1)</f>
        <v>2.6758000000000002</v>
      </c>
      <c r="V169" s="1" t="str">
        <f t="shared" si="37"/>
        <v/>
      </c>
      <c r="W169" s="1" t="str">
        <f t="shared" si="38"/>
        <v/>
      </c>
      <c r="X169" s="1">
        <f t="shared" si="35"/>
        <v>3.5091999999999999</v>
      </c>
      <c r="Y169" s="1">
        <f t="shared" si="36"/>
        <v>0.89310000000000045</v>
      </c>
      <c r="Z169" s="1" t="str">
        <f t="shared" si="27"/>
        <v/>
      </c>
      <c r="AL169" s="1">
        <v>0</v>
      </c>
      <c r="AM169" s="1">
        <v>0</v>
      </c>
      <c r="AN169" s="1">
        <v>10</v>
      </c>
      <c r="AO169" s="1">
        <v>0</v>
      </c>
      <c r="AP169" s="1">
        <f t="shared" si="31"/>
        <v>0</v>
      </c>
      <c r="AQ169" s="1">
        <f t="shared" si="32"/>
        <v>0</v>
      </c>
      <c r="AR169" s="1">
        <f t="shared" si="33"/>
        <v>6</v>
      </c>
      <c r="AS169" s="1">
        <f t="shared" si="34"/>
        <v>0</v>
      </c>
    </row>
    <row r="170" spans="1:45" x14ac:dyDescent="0.2">
      <c r="A170" s="2">
        <v>39814</v>
      </c>
      <c r="B170" s="1">
        <v>-3.7440792100844633</v>
      </c>
      <c r="C170" s="1">
        <v>-2.6523478384633306</v>
      </c>
      <c r="D170" s="1">
        <v>0.97178950487148774</v>
      </c>
      <c r="E170" s="1">
        <v>-3.4907795367771413</v>
      </c>
      <c r="F170" s="1">
        <v>-2.5041473977388811</v>
      </c>
      <c r="G170" s="1">
        <v>-2.9101368250939568</v>
      </c>
      <c r="H170" s="1">
        <v>-2.5176017069440433</v>
      </c>
      <c r="I170" s="1">
        <v>-0.82868633415921555</v>
      </c>
      <c r="J170" s="1">
        <v>-0.22949503745290464</v>
      </c>
      <c r="K170" s="1">
        <v>-1.1018909813177602</v>
      </c>
      <c r="L170" s="1">
        <v>-1.9007375363160208</v>
      </c>
      <c r="M170" s="1">
        <v>0</v>
      </c>
      <c r="N170" s="1">
        <v>0</v>
      </c>
      <c r="O170" s="1">
        <v>6</v>
      </c>
      <c r="P170" s="1">
        <v>0</v>
      </c>
      <c r="Q170" s="1" t="str">
        <f t="shared" si="28"/>
        <v>Repair</v>
      </c>
      <c r="R170" s="2">
        <f t="shared" si="29"/>
        <v>39844</v>
      </c>
      <c r="S170" s="1">
        <f>VLOOKUP(R170,BB!$A$3:$C$62769, 2, 1)</f>
        <v>2.8403</v>
      </c>
      <c r="T170" s="1">
        <f t="shared" si="30"/>
        <v>0.76270000000000016</v>
      </c>
      <c r="U170" s="1">
        <f>VLOOKUP(R170,BB!$A$3:$D$6771, 4, 1)</f>
        <v>3.6030000000000002</v>
      </c>
      <c r="V170" s="1" t="str">
        <f t="shared" si="37"/>
        <v/>
      </c>
      <c r="W170" s="1" t="str">
        <f t="shared" si="38"/>
        <v/>
      </c>
      <c r="X170" s="1">
        <f t="shared" si="35"/>
        <v>3.5091999999999999</v>
      </c>
      <c r="Y170" s="1">
        <f t="shared" si="36"/>
        <v>0.89310000000000045</v>
      </c>
      <c r="Z170" s="1" t="str">
        <f t="shared" si="27"/>
        <v/>
      </c>
      <c r="AL170" s="1">
        <v>0</v>
      </c>
      <c r="AM170" s="1">
        <v>0</v>
      </c>
      <c r="AN170" s="1">
        <v>10</v>
      </c>
      <c r="AO170" s="1">
        <v>0</v>
      </c>
      <c r="AP170" s="1">
        <f t="shared" si="31"/>
        <v>0</v>
      </c>
      <c r="AQ170" s="1">
        <f t="shared" si="32"/>
        <v>0</v>
      </c>
      <c r="AR170" s="1">
        <f t="shared" si="33"/>
        <v>6</v>
      </c>
      <c r="AS170" s="1">
        <f t="shared" si="34"/>
        <v>0</v>
      </c>
    </row>
    <row r="171" spans="1:45" x14ac:dyDescent="0.2">
      <c r="A171" s="2">
        <v>39845</v>
      </c>
      <c r="B171" s="1">
        <v>-4.1733606821081368</v>
      </c>
      <c r="C171" s="1">
        <v>-3.0753475730287625</v>
      </c>
      <c r="D171" s="1">
        <v>1.1133612763302929</v>
      </c>
      <c r="E171" s="1">
        <v>-3.9557891344166038</v>
      </c>
      <c r="F171" s="1">
        <v>-3.1333846002424268</v>
      </c>
      <c r="G171" s="1">
        <v>-2.7620730887830454</v>
      </c>
      <c r="H171" s="1">
        <v>-2.7207678120126308</v>
      </c>
      <c r="I171" s="1">
        <v>-1.2083496798655795</v>
      </c>
      <c r="J171" s="1">
        <v>-1.3730293285834931</v>
      </c>
      <c r="K171" s="1">
        <v>-1.1998678377950471</v>
      </c>
      <c r="L171" s="1">
        <v>-2.248860846050543</v>
      </c>
      <c r="M171" s="1">
        <v>0</v>
      </c>
      <c r="N171" s="1">
        <v>0</v>
      </c>
      <c r="O171" s="1">
        <v>6</v>
      </c>
      <c r="P171" s="1">
        <v>0</v>
      </c>
      <c r="Q171" s="1" t="str">
        <f t="shared" si="28"/>
        <v>Repair</v>
      </c>
      <c r="R171" s="2">
        <f t="shared" si="29"/>
        <v>39872</v>
      </c>
      <c r="S171" s="1">
        <f>VLOOKUP(R171,BB!$A$3:$C$62769, 2, 1)</f>
        <v>3.0131000000000001</v>
      </c>
      <c r="T171" s="1">
        <f t="shared" si="30"/>
        <v>0.69519999999999982</v>
      </c>
      <c r="U171" s="1">
        <f>VLOOKUP(R171,BB!$A$3:$D$6771, 4, 1)</f>
        <v>3.7082999999999999</v>
      </c>
      <c r="V171" s="1" t="str">
        <f t="shared" si="37"/>
        <v/>
      </c>
      <c r="W171" s="1" t="str">
        <f t="shared" si="38"/>
        <v/>
      </c>
      <c r="X171" s="1">
        <f t="shared" si="35"/>
        <v>3.5091999999999999</v>
      </c>
      <c r="Y171" s="1">
        <f t="shared" si="36"/>
        <v>0.89310000000000045</v>
      </c>
      <c r="Z171" s="1" t="str">
        <f t="shared" si="27"/>
        <v/>
      </c>
      <c r="AL171" s="1">
        <v>0</v>
      </c>
      <c r="AM171" s="1">
        <v>0</v>
      </c>
      <c r="AN171" s="1">
        <v>10</v>
      </c>
      <c r="AO171" s="1">
        <v>0</v>
      </c>
      <c r="AP171" s="1">
        <f t="shared" si="31"/>
        <v>0</v>
      </c>
      <c r="AQ171" s="1">
        <f t="shared" si="32"/>
        <v>0</v>
      </c>
      <c r="AR171" s="1">
        <f t="shared" si="33"/>
        <v>6</v>
      </c>
      <c r="AS171" s="1">
        <f t="shared" si="34"/>
        <v>0</v>
      </c>
    </row>
    <row r="172" spans="1:45" x14ac:dyDescent="0.2">
      <c r="A172" s="2">
        <v>39873</v>
      </c>
      <c r="B172" s="1">
        <v>-4.5100196735058864</v>
      </c>
      <c r="C172" s="1">
        <v>-2.9061565014680726</v>
      </c>
      <c r="D172" s="1">
        <v>0.90878802049309115</v>
      </c>
      <c r="E172" s="1">
        <v>-4.1860525677201936</v>
      </c>
      <c r="F172" s="1">
        <v>-3.4977951561745551</v>
      </c>
      <c r="G172" s="1">
        <v>-2.5743807353437491</v>
      </c>
      <c r="H172" s="1">
        <v>-2.9431778608293033</v>
      </c>
      <c r="I172" s="1">
        <v>-1.5714343038152971</v>
      </c>
      <c r="J172" s="1">
        <v>-0.56020482209467748</v>
      </c>
      <c r="K172" s="1">
        <v>-1.3481378568537745</v>
      </c>
      <c r="L172" s="1">
        <v>-2.3188571457312421</v>
      </c>
      <c r="M172" s="1">
        <v>0</v>
      </c>
      <c r="N172" s="1">
        <v>0</v>
      </c>
      <c r="O172" s="1">
        <v>6</v>
      </c>
      <c r="P172" s="1">
        <v>0</v>
      </c>
      <c r="Q172" s="1" t="str">
        <f t="shared" si="28"/>
        <v>Repair</v>
      </c>
      <c r="R172" s="2">
        <f t="shared" si="29"/>
        <v>39903</v>
      </c>
      <c r="S172" s="1">
        <f>VLOOKUP(R172,BB!$A$3:$C$62769, 2, 1)</f>
        <v>2.6629</v>
      </c>
      <c r="T172" s="1">
        <f t="shared" si="30"/>
        <v>0.871</v>
      </c>
      <c r="U172" s="1">
        <f>VLOOKUP(R172,BB!$A$3:$D$6771, 4, 1)</f>
        <v>3.5339</v>
      </c>
      <c r="V172" s="1" t="str">
        <f t="shared" si="37"/>
        <v/>
      </c>
      <c r="W172" s="1" t="str">
        <f t="shared" si="38"/>
        <v/>
      </c>
      <c r="X172" s="1">
        <f t="shared" si="35"/>
        <v>3.5091999999999999</v>
      </c>
      <c r="Y172" s="1">
        <f t="shared" si="36"/>
        <v>0.89310000000000045</v>
      </c>
      <c r="Z172" s="1" t="str">
        <f t="shared" si="27"/>
        <v/>
      </c>
      <c r="AL172" s="1">
        <v>0</v>
      </c>
      <c r="AM172" s="1">
        <v>0</v>
      </c>
      <c r="AN172" s="1">
        <v>10</v>
      </c>
      <c r="AO172" s="1">
        <v>0</v>
      </c>
      <c r="AP172" s="1">
        <f t="shared" si="31"/>
        <v>0</v>
      </c>
      <c r="AQ172" s="1">
        <f t="shared" si="32"/>
        <v>0</v>
      </c>
      <c r="AR172" s="1">
        <f t="shared" si="33"/>
        <v>6</v>
      </c>
      <c r="AS172" s="1">
        <f t="shared" si="34"/>
        <v>0</v>
      </c>
    </row>
    <row r="173" spans="1:45" x14ac:dyDescent="0.2">
      <c r="A173" s="2">
        <v>39904</v>
      </c>
      <c r="B173" s="1">
        <v>-4.7216767843543606</v>
      </c>
      <c r="C173" s="1">
        <v>-2.2899947593781085</v>
      </c>
      <c r="D173" s="1">
        <v>1.2665887134049993</v>
      </c>
      <c r="E173" s="1">
        <v>-4.3495241483114944</v>
      </c>
      <c r="F173" s="1">
        <v>-3.5316152156074949</v>
      </c>
      <c r="G173" s="1">
        <v>-1.8813725722686852</v>
      </c>
      <c r="H173" s="1">
        <v>-3.178666839484007</v>
      </c>
      <c r="I173" s="1">
        <v>-1.0400873610947876</v>
      </c>
      <c r="J173" s="1">
        <v>-0.82275149398012892</v>
      </c>
      <c r="K173" s="1">
        <v>-1.7641623571802287</v>
      </c>
      <c r="L173" s="1">
        <v>-2.2313262818254294</v>
      </c>
      <c r="M173" s="1">
        <v>0</v>
      </c>
      <c r="N173" s="1">
        <v>0</v>
      </c>
      <c r="O173" s="1">
        <v>6</v>
      </c>
      <c r="P173" s="1">
        <v>0</v>
      </c>
      <c r="Q173" s="1" t="str">
        <f t="shared" si="28"/>
        <v>Repair</v>
      </c>
      <c r="R173" s="2">
        <f t="shared" si="29"/>
        <v>39933</v>
      </c>
      <c r="S173" s="1">
        <f>VLOOKUP(R173,BB!$A$3:$C$62769, 2, 1)</f>
        <v>3.1187</v>
      </c>
      <c r="T173" s="1">
        <f t="shared" si="30"/>
        <v>0.91369999999999996</v>
      </c>
      <c r="U173" s="1">
        <f>VLOOKUP(R173,BB!$A$3:$D$6771, 4, 1)</f>
        <v>4.0324</v>
      </c>
      <c r="V173" s="1">
        <f t="shared" si="37"/>
        <v>-0.39049999999999985</v>
      </c>
      <c r="W173" s="1">
        <f t="shared" si="38"/>
        <v>2.0599999999999508E-2</v>
      </c>
      <c r="X173" s="1">
        <f t="shared" si="35"/>
        <v>3.5091999999999999</v>
      </c>
      <c r="Y173" s="1">
        <f t="shared" si="36"/>
        <v>0.89310000000000045</v>
      </c>
      <c r="Z173" s="1" t="str">
        <f t="shared" si="27"/>
        <v>Repair</v>
      </c>
      <c r="AL173" s="1">
        <v>0</v>
      </c>
      <c r="AM173" s="1">
        <v>0</v>
      </c>
      <c r="AN173" s="1">
        <v>10</v>
      </c>
      <c r="AO173" s="1">
        <v>0</v>
      </c>
      <c r="AP173" s="1">
        <f t="shared" si="31"/>
        <v>0</v>
      </c>
      <c r="AQ173" s="1">
        <f t="shared" si="32"/>
        <v>0</v>
      </c>
      <c r="AR173" s="1">
        <f t="shared" si="33"/>
        <v>6</v>
      </c>
      <c r="AS173" s="1">
        <f t="shared" si="34"/>
        <v>0</v>
      </c>
    </row>
    <row r="174" spans="1:45" x14ac:dyDescent="0.2">
      <c r="A174" s="2">
        <v>39934</v>
      </c>
      <c r="B174" s="1">
        <v>-4.2833776835294168</v>
      </c>
      <c r="C174" s="1">
        <v>-1.6362289075520229</v>
      </c>
      <c r="D174" s="1">
        <v>1.5858805170297212</v>
      </c>
      <c r="E174" s="1">
        <v>-4.5544700058016128</v>
      </c>
      <c r="F174" s="1">
        <v>-3.8249874041613179</v>
      </c>
      <c r="G174" s="1">
        <v>-1.4159863933330838</v>
      </c>
      <c r="H174" s="1">
        <v>-3.3172487792113832</v>
      </c>
      <c r="I174" s="1">
        <v>-1.2584250539289492</v>
      </c>
      <c r="J174" s="1">
        <v>-0.52885065425483935</v>
      </c>
      <c r="K174" s="1">
        <v>-1.8796954493306324</v>
      </c>
      <c r="L174" s="1">
        <v>-2.1113389814073535</v>
      </c>
      <c r="M174" s="1">
        <v>0</v>
      </c>
      <c r="N174" s="1">
        <v>0</v>
      </c>
      <c r="O174" s="1">
        <v>0</v>
      </c>
      <c r="P174" s="1">
        <v>6</v>
      </c>
      <c r="Q174" s="1" t="str">
        <f t="shared" si="28"/>
        <v>Recovery</v>
      </c>
      <c r="R174" s="2">
        <f t="shared" si="29"/>
        <v>39964</v>
      </c>
      <c r="S174" s="1">
        <f>VLOOKUP(R174,BB!$A$3:$C$62769, 2, 1)</f>
        <v>3.4594</v>
      </c>
      <c r="T174" s="1">
        <f t="shared" si="30"/>
        <v>0.87670000000000003</v>
      </c>
      <c r="U174" s="1">
        <f>VLOOKUP(R174,BB!$A$3:$D$6771, 4, 1)</f>
        <v>4.3361000000000001</v>
      </c>
      <c r="V174" s="1" t="str">
        <f t="shared" si="37"/>
        <v/>
      </c>
      <c r="W174" s="1" t="str">
        <f t="shared" si="38"/>
        <v/>
      </c>
      <c r="X174" s="1">
        <f t="shared" si="35"/>
        <v>3.1187</v>
      </c>
      <c r="Y174" s="1">
        <f t="shared" si="36"/>
        <v>0.91369999999999996</v>
      </c>
      <c r="Z174" s="1" t="str">
        <f t="shared" si="27"/>
        <v/>
      </c>
      <c r="AL174" s="1">
        <v>0</v>
      </c>
      <c r="AM174" s="1">
        <v>0</v>
      </c>
      <c r="AN174" s="1">
        <v>0</v>
      </c>
      <c r="AO174" s="1">
        <v>10</v>
      </c>
      <c r="AP174" s="1">
        <f t="shared" si="31"/>
        <v>0</v>
      </c>
      <c r="AQ174" s="1">
        <f t="shared" si="32"/>
        <v>0</v>
      </c>
      <c r="AR174" s="1">
        <f t="shared" si="33"/>
        <v>0</v>
      </c>
      <c r="AS174" s="1">
        <f t="shared" si="34"/>
        <v>6</v>
      </c>
    </row>
    <row r="175" spans="1:45" x14ac:dyDescent="0.2">
      <c r="A175" s="2">
        <v>39965</v>
      </c>
      <c r="B175" s="1">
        <v>-3.7821375758908484</v>
      </c>
      <c r="C175" s="1">
        <v>-1.8178405963005841</v>
      </c>
      <c r="D175" s="1">
        <v>1.4277194804524118</v>
      </c>
      <c r="E175" s="1">
        <v>-4.2799763508367432</v>
      </c>
      <c r="F175" s="1">
        <v>-3.854392066209559</v>
      </c>
      <c r="G175" s="1">
        <v>-1.0796547575746935</v>
      </c>
      <c r="H175" s="1">
        <v>-3.3857710388007907</v>
      </c>
      <c r="I175" s="1">
        <v>-1.260170627150236</v>
      </c>
      <c r="J175" s="1">
        <v>-0.83824672177719139</v>
      </c>
      <c r="K175" s="1">
        <v>-1.8575260290936919</v>
      </c>
      <c r="L175" s="1">
        <v>-2.0727996283181929</v>
      </c>
      <c r="M175" s="1">
        <v>0</v>
      </c>
      <c r="N175" s="1">
        <v>0</v>
      </c>
      <c r="O175" s="1">
        <v>0</v>
      </c>
      <c r="P175" s="1">
        <v>6</v>
      </c>
      <c r="Q175" s="1" t="str">
        <f t="shared" si="28"/>
        <v>Recovery</v>
      </c>
      <c r="R175" s="2">
        <f t="shared" si="29"/>
        <v>39994</v>
      </c>
      <c r="S175" s="1">
        <f>VLOOKUP(R175,BB!$A$3:$C$62769, 2, 1)</f>
        <v>3.5326</v>
      </c>
      <c r="T175" s="1">
        <f t="shared" si="30"/>
        <v>0.79679999999999973</v>
      </c>
      <c r="U175" s="1">
        <f>VLOOKUP(R175,BB!$A$3:$D$6771, 4, 1)</f>
        <v>4.3293999999999997</v>
      </c>
      <c r="V175" s="1" t="str">
        <f t="shared" si="37"/>
        <v/>
      </c>
      <c r="W175" s="1" t="str">
        <f t="shared" si="38"/>
        <v/>
      </c>
      <c r="X175" s="1">
        <f t="shared" si="35"/>
        <v>3.1187</v>
      </c>
      <c r="Y175" s="1">
        <f t="shared" si="36"/>
        <v>0.91369999999999996</v>
      </c>
      <c r="Z175" s="1" t="str">
        <f t="shared" si="27"/>
        <v/>
      </c>
      <c r="AL175" s="1">
        <v>0</v>
      </c>
      <c r="AM175" s="1">
        <v>0</v>
      </c>
      <c r="AN175" s="1">
        <v>0</v>
      </c>
      <c r="AO175" s="1">
        <v>10</v>
      </c>
      <c r="AP175" s="1">
        <f t="shared" si="31"/>
        <v>0</v>
      </c>
      <c r="AQ175" s="1">
        <f t="shared" si="32"/>
        <v>0</v>
      </c>
      <c r="AR175" s="1">
        <f t="shared" si="33"/>
        <v>0</v>
      </c>
      <c r="AS175" s="1">
        <f t="shared" si="34"/>
        <v>6</v>
      </c>
    </row>
    <row r="176" spans="1:45" x14ac:dyDescent="0.2">
      <c r="A176" s="2">
        <v>39995</v>
      </c>
      <c r="B176" s="1">
        <v>-3.194495674325756</v>
      </c>
      <c r="C176" s="1">
        <v>-1.8849578887294356</v>
      </c>
      <c r="D176" s="1">
        <v>1.3439331466537277</v>
      </c>
      <c r="E176" s="1">
        <v>-3.8659639366497065</v>
      </c>
      <c r="F176" s="1">
        <v>-3.8251343108159692</v>
      </c>
      <c r="G176" s="1">
        <v>-0.42695161440875856</v>
      </c>
      <c r="H176" s="1">
        <v>-3.3836787790540459</v>
      </c>
      <c r="I176" s="1">
        <v>-1.1754388534313502</v>
      </c>
      <c r="J176" s="1">
        <v>-1.0540853783065378</v>
      </c>
      <c r="K176" s="1">
        <v>-1.7045957325151386</v>
      </c>
      <c r="L176" s="1">
        <v>-1.9171369021582971</v>
      </c>
      <c r="M176" s="1">
        <v>0</v>
      </c>
      <c r="N176" s="1">
        <v>0</v>
      </c>
      <c r="O176" s="1">
        <v>0</v>
      </c>
      <c r="P176" s="1">
        <v>6</v>
      </c>
      <c r="Q176" s="1" t="str">
        <f t="shared" si="28"/>
        <v>Recovery</v>
      </c>
      <c r="R176" s="2">
        <f t="shared" si="29"/>
        <v>40025</v>
      </c>
      <c r="S176" s="1">
        <f>VLOOKUP(R176,BB!$A$3:$C$62769, 2, 1)</f>
        <v>3.4796</v>
      </c>
      <c r="T176" s="1">
        <f t="shared" si="30"/>
        <v>0.81870000000000021</v>
      </c>
      <c r="U176" s="1">
        <f>VLOOKUP(R176,BB!$A$3:$D$6771, 4, 1)</f>
        <v>4.2983000000000002</v>
      </c>
      <c r="V176" s="1" t="str">
        <f t="shared" si="37"/>
        <v/>
      </c>
      <c r="W176" s="1" t="str">
        <f t="shared" si="38"/>
        <v/>
      </c>
      <c r="X176" s="1">
        <f t="shared" si="35"/>
        <v>3.1187</v>
      </c>
      <c r="Y176" s="1">
        <f t="shared" si="36"/>
        <v>0.91369999999999996</v>
      </c>
      <c r="Z176" s="1" t="str">
        <f t="shared" si="27"/>
        <v/>
      </c>
      <c r="AL176" s="1">
        <v>0</v>
      </c>
      <c r="AM176" s="1">
        <v>0</v>
      </c>
      <c r="AN176" s="1">
        <v>0</v>
      </c>
      <c r="AO176" s="1">
        <v>10</v>
      </c>
      <c r="AP176" s="1">
        <f t="shared" si="31"/>
        <v>0</v>
      </c>
      <c r="AQ176" s="1">
        <f t="shared" si="32"/>
        <v>0</v>
      </c>
      <c r="AR176" s="1">
        <f t="shared" si="33"/>
        <v>0</v>
      </c>
      <c r="AS176" s="1">
        <f t="shared" si="34"/>
        <v>6</v>
      </c>
    </row>
    <row r="177" spans="1:45" x14ac:dyDescent="0.2">
      <c r="A177" s="2">
        <v>40026</v>
      </c>
      <c r="B177" s="1">
        <v>-2.7879994312796197</v>
      </c>
      <c r="C177" s="1">
        <v>-1.5667123094759621</v>
      </c>
      <c r="D177" s="1">
        <v>1.3827578986962503</v>
      </c>
      <c r="E177" s="1">
        <v>-3.884754050281737</v>
      </c>
      <c r="F177" s="1">
        <v>-3.3134264852733302</v>
      </c>
      <c r="G177" s="1">
        <v>0.19809830892782396</v>
      </c>
      <c r="H177" s="1">
        <v>-3.3384852043751079</v>
      </c>
      <c r="I177" s="1">
        <v>-1.1784221994833322</v>
      </c>
      <c r="J177" s="1">
        <v>-1.1887721859532074</v>
      </c>
      <c r="K177" s="1">
        <v>-1.7279958971009208</v>
      </c>
      <c r="L177" s="1">
        <v>-1.7405711555599139</v>
      </c>
      <c r="M177" s="1">
        <v>0</v>
      </c>
      <c r="N177" s="1">
        <v>0</v>
      </c>
      <c r="O177" s="1">
        <v>0</v>
      </c>
      <c r="P177" s="1">
        <v>6</v>
      </c>
      <c r="Q177" s="1" t="str">
        <f t="shared" si="28"/>
        <v>Recovery</v>
      </c>
      <c r="R177" s="2">
        <f t="shared" si="29"/>
        <v>40056</v>
      </c>
      <c r="S177" s="1">
        <f>VLOOKUP(R177,BB!$A$3:$C$62769, 2, 1)</f>
        <v>3.3975</v>
      </c>
      <c r="T177" s="1">
        <f t="shared" si="30"/>
        <v>0.78070000000000039</v>
      </c>
      <c r="U177" s="1">
        <f>VLOOKUP(R177,BB!$A$3:$D$6771, 4, 1)</f>
        <v>4.1782000000000004</v>
      </c>
      <c r="V177" s="1" t="str">
        <f t="shared" si="37"/>
        <v/>
      </c>
      <c r="W177" s="1" t="str">
        <f t="shared" si="38"/>
        <v/>
      </c>
      <c r="X177" s="1">
        <f t="shared" si="35"/>
        <v>3.1187</v>
      </c>
      <c r="Y177" s="1">
        <f t="shared" si="36"/>
        <v>0.91369999999999996</v>
      </c>
      <c r="Z177" s="1" t="str">
        <f t="shared" si="27"/>
        <v/>
      </c>
      <c r="AL177" s="1">
        <v>0</v>
      </c>
      <c r="AM177" s="1">
        <v>0</v>
      </c>
      <c r="AN177" s="1">
        <v>0</v>
      </c>
      <c r="AO177" s="1">
        <v>10</v>
      </c>
      <c r="AP177" s="1">
        <f t="shared" si="31"/>
        <v>0</v>
      </c>
      <c r="AQ177" s="1">
        <f t="shared" si="32"/>
        <v>0</v>
      </c>
      <c r="AR177" s="1">
        <f t="shared" si="33"/>
        <v>0</v>
      </c>
      <c r="AS177" s="1">
        <f t="shared" si="34"/>
        <v>6</v>
      </c>
    </row>
    <row r="178" spans="1:45" x14ac:dyDescent="0.2">
      <c r="A178" s="2">
        <v>40057</v>
      </c>
      <c r="B178" s="1">
        <v>-2.4425264520358971</v>
      </c>
      <c r="C178" s="1">
        <v>-1.5774707702514839</v>
      </c>
      <c r="D178" s="1">
        <v>1.2872172118886491</v>
      </c>
      <c r="E178" s="1">
        <v>-3.7205230793186725</v>
      </c>
      <c r="F178" s="1">
        <v>-2.9233633276016491</v>
      </c>
      <c r="G178" s="1">
        <v>0.15342334768905114</v>
      </c>
      <c r="H178" s="1">
        <v>-3.2017261967045361</v>
      </c>
      <c r="I178" s="1">
        <v>-1.1961536591253683</v>
      </c>
      <c r="J178" s="1">
        <v>-0.4012516734138753</v>
      </c>
      <c r="K178" s="1">
        <v>-1.2361594485079732</v>
      </c>
      <c r="L178" s="1">
        <v>-1.5258534047381755</v>
      </c>
      <c r="M178" s="1">
        <v>0</v>
      </c>
      <c r="N178" s="1">
        <v>0</v>
      </c>
      <c r="O178" s="1">
        <v>0</v>
      </c>
      <c r="P178" s="1">
        <v>6</v>
      </c>
      <c r="Q178" s="1" t="str">
        <f t="shared" si="28"/>
        <v>Recovery</v>
      </c>
      <c r="R178" s="2">
        <f t="shared" si="29"/>
        <v>40086</v>
      </c>
      <c r="S178" s="1">
        <f>VLOOKUP(R178,BB!$A$3:$C$62769, 2, 1)</f>
        <v>3.3052999999999999</v>
      </c>
      <c r="T178" s="1">
        <f t="shared" si="30"/>
        <v>0.74479999999999968</v>
      </c>
      <c r="U178" s="1">
        <f>VLOOKUP(R178,BB!$A$3:$D$6771, 4, 1)</f>
        <v>4.0500999999999996</v>
      </c>
      <c r="V178" s="1" t="str">
        <f t="shared" si="37"/>
        <v/>
      </c>
      <c r="W178" s="1" t="str">
        <f t="shared" si="38"/>
        <v/>
      </c>
      <c r="X178" s="1">
        <f t="shared" si="35"/>
        <v>3.1187</v>
      </c>
      <c r="Y178" s="1">
        <f t="shared" si="36"/>
        <v>0.91369999999999996</v>
      </c>
      <c r="Z178" s="1" t="str">
        <f t="shared" si="27"/>
        <v/>
      </c>
      <c r="AL178" s="1">
        <v>0</v>
      </c>
      <c r="AM178" s="1">
        <v>0</v>
      </c>
      <c r="AN178" s="1">
        <v>0</v>
      </c>
      <c r="AO178" s="1">
        <v>10</v>
      </c>
      <c r="AP178" s="1">
        <f t="shared" si="31"/>
        <v>0</v>
      </c>
      <c r="AQ178" s="1">
        <f t="shared" si="32"/>
        <v>0</v>
      </c>
      <c r="AR178" s="1">
        <f t="shared" si="33"/>
        <v>0</v>
      </c>
      <c r="AS178" s="1">
        <f t="shared" si="34"/>
        <v>6</v>
      </c>
    </row>
    <row r="179" spans="1:45" x14ac:dyDescent="0.2">
      <c r="A179" s="2">
        <v>40087</v>
      </c>
      <c r="B179" s="1">
        <v>-2.1839931245084996</v>
      </c>
      <c r="C179" s="1">
        <v>-1.7514326448441915</v>
      </c>
      <c r="D179" s="1">
        <v>1.4009008354948569</v>
      </c>
      <c r="E179" s="1">
        <v>-3.8164980025291046</v>
      </c>
      <c r="F179" s="1">
        <v>-2.6764815697222852</v>
      </c>
      <c r="G179" s="1">
        <v>0.64258237459693179</v>
      </c>
      <c r="H179" s="1">
        <v>-3.1480810825896559</v>
      </c>
      <c r="I179" s="1">
        <v>-2.3154182722715038</v>
      </c>
      <c r="J179" s="1">
        <v>-0.96402903471546364</v>
      </c>
      <c r="K179" s="1">
        <v>-1.1749262553620941</v>
      </c>
      <c r="L179" s="1">
        <v>-1.598737677645101</v>
      </c>
      <c r="M179" s="1">
        <v>0</v>
      </c>
      <c r="N179" s="1">
        <v>0</v>
      </c>
      <c r="O179" s="1">
        <v>0</v>
      </c>
      <c r="P179" s="1">
        <v>6</v>
      </c>
      <c r="Q179" s="1" t="str">
        <f t="shared" si="28"/>
        <v>Recovery</v>
      </c>
      <c r="R179" s="2">
        <f t="shared" si="29"/>
        <v>40117</v>
      </c>
      <c r="S179" s="1">
        <f>VLOOKUP(R179,BB!$A$3:$C$62769, 2, 1)</f>
        <v>3.3828</v>
      </c>
      <c r="T179" s="1">
        <f t="shared" si="30"/>
        <v>0.8424999999999998</v>
      </c>
      <c r="U179" s="1">
        <f>VLOOKUP(R179,BB!$A$3:$D$6771, 4, 1)</f>
        <v>4.2252999999999998</v>
      </c>
      <c r="V179" s="1" t="str">
        <f t="shared" si="37"/>
        <v/>
      </c>
      <c r="W179" s="1" t="str">
        <f t="shared" si="38"/>
        <v/>
      </c>
      <c r="X179" s="1">
        <f t="shared" si="35"/>
        <v>3.1187</v>
      </c>
      <c r="Y179" s="1">
        <f t="shared" si="36"/>
        <v>0.91369999999999996</v>
      </c>
      <c r="Z179" s="1" t="str">
        <f t="shared" si="27"/>
        <v/>
      </c>
      <c r="AL179" s="1">
        <v>0</v>
      </c>
      <c r="AM179" s="1">
        <v>0</v>
      </c>
      <c r="AN179" s="1">
        <v>0</v>
      </c>
      <c r="AO179" s="1">
        <v>10</v>
      </c>
      <c r="AP179" s="1">
        <f t="shared" si="31"/>
        <v>0</v>
      </c>
      <c r="AQ179" s="1">
        <f t="shared" si="32"/>
        <v>0</v>
      </c>
      <c r="AR179" s="1">
        <f t="shared" si="33"/>
        <v>0</v>
      </c>
      <c r="AS179" s="1">
        <f t="shared" si="34"/>
        <v>6</v>
      </c>
    </row>
    <row r="180" spans="1:45" x14ac:dyDescent="0.2">
      <c r="A180" s="2">
        <v>40118</v>
      </c>
      <c r="B180" s="1">
        <v>-1.8634846287113489</v>
      </c>
      <c r="C180" s="1">
        <v>-1.6501340460449516</v>
      </c>
      <c r="D180" s="1">
        <v>1.4170694753334385</v>
      </c>
      <c r="E180" s="1">
        <v>-3.4305043508231479</v>
      </c>
      <c r="F180" s="1">
        <v>-2.4350094661400488</v>
      </c>
      <c r="G180" s="1">
        <v>0.3176069778773507</v>
      </c>
      <c r="H180" s="1">
        <v>-3.0863744512596485</v>
      </c>
      <c r="I180" s="1">
        <v>-2.0152817328183321</v>
      </c>
      <c r="J180" s="1">
        <v>0.34781168262734519</v>
      </c>
      <c r="K180" s="1">
        <v>-0.98411184814220132</v>
      </c>
      <c r="L180" s="1">
        <v>-1.3382412388101546</v>
      </c>
      <c r="M180" s="1">
        <v>0</v>
      </c>
      <c r="N180" s="1">
        <v>0</v>
      </c>
      <c r="O180" s="1">
        <v>0</v>
      </c>
      <c r="P180" s="1">
        <v>6</v>
      </c>
      <c r="Q180" s="1" t="str">
        <f t="shared" si="28"/>
        <v>Recovery</v>
      </c>
      <c r="R180" s="2">
        <f t="shared" si="29"/>
        <v>40147</v>
      </c>
      <c r="S180" s="1">
        <f>VLOOKUP(R180,BB!$A$3:$C$62769, 2, 1)</f>
        <v>3.1978</v>
      </c>
      <c r="T180" s="1">
        <f t="shared" si="30"/>
        <v>0.99390000000000001</v>
      </c>
      <c r="U180" s="1">
        <f>VLOOKUP(R180,BB!$A$3:$D$6771, 4, 1)</f>
        <v>4.1917</v>
      </c>
      <c r="V180" s="1" t="str">
        <f t="shared" si="37"/>
        <v/>
      </c>
      <c r="W180" s="1" t="str">
        <f t="shared" si="38"/>
        <v/>
      </c>
      <c r="X180" s="1">
        <f t="shared" si="35"/>
        <v>3.1187</v>
      </c>
      <c r="Y180" s="1">
        <f t="shared" si="36"/>
        <v>0.91369999999999996</v>
      </c>
      <c r="Z180" s="1" t="str">
        <f t="shared" si="27"/>
        <v/>
      </c>
      <c r="AL180" s="1">
        <v>0</v>
      </c>
      <c r="AM180" s="1">
        <v>0</v>
      </c>
      <c r="AN180" s="1">
        <v>0</v>
      </c>
      <c r="AO180" s="1">
        <v>10</v>
      </c>
      <c r="AP180" s="1">
        <f t="shared" si="31"/>
        <v>0</v>
      </c>
      <c r="AQ180" s="1">
        <f t="shared" si="32"/>
        <v>0</v>
      </c>
      <c r="AR180" s="1">
        <f t="shared" si="33"/>
        <v>0</v>
      </c>
      <c r="AS180" s="1">
        <f t="shared" si="34"/>
        <v>6</v>
      </c>
    </row>
    <row r="181" spans="1:45" x14ac:dyDescent="0.2">
      <c r="A181" s="2">
        <v>40148</v>
      </c>
      <c r="B181" s="1">
        <v>-1.49912615303249</v>
      </c>
      <c r="C181" s="1">
        <v>-1.4959418890095726</v>
      </c>
      <c r="D181" s="1">
        <v>1.5606812410785682</v>
      </c>
      <c r="E181" s="1">
        <v>-3.2519886338007344</v>
      </c>
      <c r="F181" s="1">
        <v>-2.056482288373283</v>
      </c>
      <c r="G181" s="1">
        <v>0.67997786870450228</v>
      </c>
      <c r="H181" s="1">
        <v>-2.9873903306270551</v>
      </c>
      <c r="I181" s="1">
        <v>-2.0653194725897679</v>
      </c>
      <c r="J181" s="1">
        <v>1.8334517770536105E-2</v>
      </c>
      <c r="K181" s="1">
        <v>-0.86263672400431612</v>
      </c>
      <c r="L181" s="1">
        <v>-1.1959891863883612</v>
      </c>
      <c r="M181" s="1">
        <v>0</v>
      </c>
      <c r="N181" s="1">
        <v>0</v>
      </c>
      <c r="O181" s="1">
        <v>0</v>
      </c>
      <c r="P181" s="1">
        <v>6</v>
      </c>
      <c r="Q181" s="1" t="str">
        <f t="shared" si="28"/>
        <v>Recovery</v>
      </c>
      <c r="R181" s="2">
        <f t="shared" si="29"/>
        <v>40178</v>
      </c>
      <c r="S181" s="1">
        <f>VLOOKUP(R181,BB!$A$3:$C$62769, 2, 1)</f>
        <v>3.8368000000000002</v>
      </c>
      <c r="T181" s="1">
        <f t="shared" si="30"/>
        <v>0.80429999999999957</v>
      </c>
      <c r="U181" s="1">
        <f>VLOOKUP(R181,BB!$A$3:$D$6771, 4, 1)</f>
        <v>4.6410999999999998</v>
      </c>
      <c r="V181" s="1" t="str">
        <f t="shared" si="37"/>
        <v/>
      </c>
      <c r="W181" s="1" t="str">
        <f t="shared" si="38"/>
        <v/>
      </c>
      <c r="X181" s="1">
        <f t="shared" si="35"/>
        <v>3.1187</v>
      </c>
      <c r="Y181" s="1">
        <f t="shared" si="36"/>
        <v>0.91369999999999996</v>
      </c>
      <c r="Z181" s="1" t="str">
        <f t="shared" si="27"/>
        <v/>
      </c>
      <c r="AL181" s="1">
        <v>0</v>
      </c>
      <c r="AM181" s="1">
        <v>0</v>
      </c>
      <c r="AN181" s="1">
        <v>0</v>
      </c>
      <c r="AO181" s="1">
        <v>10</v>
      </c>
      <c r="AP181" s="1">
        <f t="shared" si="31"/>
        <v>0</v>
      </c>
      <c r="AQ181" s="1">
        <f t="shared" si="32"/>
        <v>0</v>
      </c>
      <c r="AR181" s="1">
        <f t="shared" si="33"/>
        <v>0</v>
      </c>
      <c r="AS181" s="1">
        <f t="shared" si="34"/>
        <v>6</v>
      </c>
    </row>
    <row r="182" spans="1:45" x14ac:dyDescent="0.2">
      <c r="A182" s="2">
        <v>40179</v>
      </c>
      <c r="B182" s="1">
        <v>-1.10981963382821</v>
      </c>
      <c r="C182" s="1">
        <v>-1.3634192906074072</v>
      </c>
      <c r="D182" s="1">
        <v>1.6021358800965002</v>
      </c>
      <c r="E182" s="1">
        <v>-2.8880049726573391</v>
      </c>
      <c r="F182" s="1">
        <v>-1.5292794709765802</v>
      </c>
      <c r="G182" s="1">
        <v>1.0686931096478998</v>
      </c>
      <c r="H182" s="1">
        <v>-2.8777866857705088</v>
      </c>
      <c r="I182" s="1">
        <v>-2.2894061551360583</v>
      </c>
      <c r="J182" s="1">
        <v>-0.71853794441479413</v>
      </c>
      <c r="K182" s="1">
        <v>-0.77038176002859493</v>
      </c>
      <c r="L182" s="1">
        <v>-1.0875806923675095</v>
      </c>
      <c r="M182" s="1">
        <v>0</v>
      </c>
      <c r="N182" s="1">
        <v>0</v>
      </c>
      <c r="O182" s="1">
        <v>0</v>
      </c>
      <c r="P182" s="1">
        <v>6</v>
      </c>
      <c r="Q182" s="1" t="str">
        <f t="shared" si="28"/>
        <v>Recovery</v>
      </c>
      <c r="R182" s="2">
        <f t="shared" si="29"/>
        <v>40209</v>
      </c>
      <c r="S182" s="1">
        <f>VLOOKUP(R182,BB!$A$3:$C$62769, 2, 1)</f>
        <v>3.5844</v>
      </c>
      <c r="T182" s="1">
        <f t="shared" si="30"/>
        <v>0.90400000000000036</v>
      </c>
      <c r="U182" s="1">
        <f>VLOOKUP(R182,BB!$A$3:$D$6771, 4, 1)</f>
        <v>4.4884000000000004</v>
      </c>
      <c r="V182" s="1" t="str">
        <f t="shared" si="37"/>
        <v/>
      </c>
      <c r="W182" s="1" t="str">
        <f t="shared" si="38"/>
        <v/>
      </c>
      <c r="X182" s="1">
        <f t="shared" si="35"/>
        <v>3.1187</v>
      </c>
      <c r="Y182" s="1">
        <f t="shared" si="36"/>
        <v>0.91369999999999996</v>
      </c>
      <c r="Z182" s="1" t="str">
        <f t="shared" si="27"/>
        <v/>
      </c>
      <c r="AL182" s="1">
        <v>0</v>
      </c>
      <c r="AM182" s="1">
        <v>0</v>
      </c>
      <c r="AN182" s="1">
        <v>0</v>
      </c>
      <c r="AO182" s="1">
        <v>10</v>
      </c>
      <c r="AP182" s="1">
        <f t="shared" si="31"/>
        <v>0</v>
      </c>
      <c r="AQ182" s="1">
        <f t="shared" si="32"/>
        <v>0</v>
      </c>
      <c r="AR182" s="1">
        <f t="shared" si="33"/>
        <v>0</v>
      </c>
      <c r="AS182" s="1">
        <f t="shared" si="34"/>
        <v>6</v>
      </c>
    </row>
    <row r="183" spans="1:45" x14ac:dyDescent="0.2">
      <c r="A183" s="2">
        <v>40210</v>
      </c>
      <c r="B183" s="1">
        <v>-0.99967127289683622</v>
      </c>
      <c r="C183" s="1">
        <v>-1.7185541342799882</v>
      </c>
      <c r="D183" s="1">
        <v>1.5986378577136398</v>
      </c>
      <c r="E183" s="1">
        <v>-2.7738768877249691</v>
      </c>
      <c r="F183" s="1">
        <v>-1.0299310120111638</v>
      </c>
      <c r="G183" s="1">
        <v>0.76806717939097713</v>
      </c>
      <c r="H183" s="1">
        <v>-2.7884653928099778</v>
      </c>
      <c r="I183" s="1">
        <v>-2.0811909423286221</v>
      </c>
      <c r="J183" s="1">
        <v>-0.52358616362172961</v>
      </c>
      <c r="K183" s="1">
        <v>-0.66087872736903741</v>
      </c>
      <c r="L183" s="1">
        <v>-1.0209449495937708</v>
      </c>
      <c r="M183" s="1">
        <v>0</v>
      </c>
      <c r="N183" s="1">
        <v>0</v>
      </c>
      <c r="O183" s="1">
        <v>0</v>
      </c>
      <c r="P183" s="1">
        <v>6</v>
      </c>
      <c r="Q183" s="1" t="str">
        <f t="shared" si="28"/>
        <v>Recovery</v>
      </c>
      <c r="R183" s="2">
        <f t="shared" si="29"/>
        <v>40237</v>
      </c>
      <c r="S183" s="1">
        <f>VLOOKUP(R183,BB!$A$3:$C$62769, 2, 1)</f>
        <v>3.6116999999999999</v>
      </c>
      <c r="T183" s="1">
        <f t="shared" si="30"/>
        <v>0.94490000000000052</v>
      </c>
      <c r="U183" s="1">
        <f>VLOOKUP(R183,BB!$A$3:$D$6771, 4, 1)</f>
        <v>4.5566000000000004</v>
      </c>
      <c r="V183" s="1" t="str">
        <f t="shared" si="37"/>
        <v/>
      </c>
      <c r="W183" s="1" t="str">
        <f t="shared" si="38"/>
        <v/>
      </c>
      <c r="X183" s="1">
        <f t="shared" si="35"/>
        <v>3.1187</v>
      </c>
      <c r="Y183" s="1">
        <f t="shared" si="36"/>
        <v>0.91369999999999996</v>
      </c>
      <c r="Z183" s="1" t="str">
        <f t="shared" si="27"/>
        <v/>
      </c>
      <c r="AL183" s="1">
        <v>0</v>
      </c>
      <c r="AM183" s="1">
        <v>0</v>
      </c>
      <c r="AN183" s="1">
        <v>0</v>
      </c>
      <c r="AO183" s="1">
        <v>10</v>
      </c>
      <c r="AP183" s="1">
        <f t="shared" si="31"/>
        <v>0</v>
      </c>
      <c r="AQ183" s="1">
        <f t="shared" si="32"/>
        <v>0</v>
      </c>
      <c r="AR183" s="1">
        <f t="shared" si="33"/>
        <v>0</v>
      </c>
      <c r="AS183" s="1">
        <f t="shared" si="34"/>
        <v>6</v>
      </c>
    </row>
    <row r="184" spans="1:45" x14ac:dyDescent="0.2">
      <c r="A184" s="2">
        <v>40238</v>
      </c>
      <c r="B184" s="1">
        <v>-0.99285574567998547</v>
      </c>
      <c r="C184" s="1">
        <v>-1.4488849388566007</v>
      </c>
      <c r="D184" s="1">
        <v>1.5794866040022697</v>
      </c>
      <c r="E184" s="1">
        <v>-2.6697268040108715</v>
      </c>
      <c r="F184" s="1">
        <v>-0.62757655675297097</v>
      </c>
      <c r="G184" s="1">
        <v>1.250849292591967</v>
      </c>
      <c r="H184" s="1">
        <v>-2.6692925081189269</v>
      </c>
      <c r="I184" s="1">
        <v>-2.1079255430268091</v>
      </c>
      <c r="J184" s="1">
        <v>9.263832907137777E-2</v>
      </c>
      <c r="K184" s="1">
        <v>-0.41504546933809749</v>
      </c>
      <c r="L184" s="1">
        <v>-0.80083333401186485</v>
      </c>
      <c r="M184" s="1">
        <v>0</v>
      </c>
      <c r="N184" s="1">
        <v>0</v>
      </c>
      <c r="O184" s="1">
        <v>0</v>
      </c>
      <c r="P184" s="1">
        <v>6</v>
      </c>
      <c r="Q184" s="1" t="str">
        <f t="shared" si="28"/>
        <v>Recovery</v>
      </c>
      <c r="R184" s="2">
        <f t="shared" si="29"/>
        <v>40268</v>
      </c>
      <c r="S184" s="1">
        <f>VLOOKUP(R184,BB!$A$3:$C$62769, 2, 1)</f>
        <v>3.8256999999999999</v>
      </c>
      <c r="T184" s="1">
        <f t="shared" si="30"/>
        <v>0.88720000000000043</v>
      </c>
      <c r="U184" s="1">
        <f>VLOOKUP(R184,BB!$A$3:$D$6771, 4, 1)</f>
        <v>4.7129000000000003</v>
      </c>
      <c r="V184" s="1" t="str">
        <f t="shared" si="37"/>
        <v/>
      </c>
      <c r="W184" s="1" t="str">
        <f t="shared" si="38"/>
        <v/>
      </c>
      <c r="X184" s="1">
        <f t="shared" si="35"/>
        <v>3.1187</v>
      </c>
      <c r="Y184" s="1">
        <f t="shared" si="36"/>
        <v>0.91369999999999996</v>
      </c>
      <c r="Z184" s="1" t="str">
        <f t="shared" si="27"/>
        <v/>
      </c>
      <c r="AL184" s="1">
        <v>0</v>
      </c>
      <c r="AM184" s="1">
        <v>0</v>
      </c>
      <c r="AN184" s="1">
        <v>0</v>
      </c>
      <c r="AO184" s="1">
        <v>10</v>
      </c>
      <c r="AP184" s="1">
        <f t="shared" si="31"/>
        <v>0</v>
      </c>
      <c r="AQ184" s="1">
        <f t="shared" si="32"/>
        <v>0</v>
      </c>
      <c r="AR184" s="1">
        <f t="shared" si="33"/>
        <v>0</v>
      </c>
      <c r="AS184" s="1">
        <f t="shared" si="34"/>
        <v>6</v>
      </c>
    </row>
    <row r="185" spans="1:45" x14ac:dyDescent="0.2">
      <c r="A185" s="2">
        <v>40269</v>
      </c>
      <c r="B185" s="1">
        <v>-0.97920439621003685</v>
      </c>
      <c r="C185" s="1">
        <v>-1.2242046168116965</v>
      </c>
      <c r="D185" s="1">
        <v>1.4380826376306446</v>
      </c>
      <c r="E185" s="1">
        <v>-2.7031763302625187</v>
      </c>
      <c r="F185" s="1">
        <v>-0.34405955743893213</v>
      </c>
      <c r="G185" s="1">
        <v>1.3638611840702597</v>
      </c>
      <c r="H185" s="1">
        <v>-2.5066839641331407</v>
      </c>
      <c r="I185" s="1">
        <v>-2.8827818903799676</v>
      </c>
      <c r="J185" s="1">
        <v>-0.16691009289038805</v>
      </c>
      <c r="K185" s="1">
        <v>-0.25817901178561325</v>
      </c>
      <c r="L185" s="1">
        <v>-0.82632560382113884</v>
      </c>
      <c r="M185" s="1">
        <v>0</v>
      </c>
      <c r="N185" s="1">
        <v>0</v>
      </c>
      <c r="O185" s="1">
        <v>0</v>
      </c>
      <c r="P185" s="1">
        <v>6</v>
      </c>
      <c r="Q185" s="1" t="str">
        <f t="shared" si="28"/>
        <v>Recovery</v>
      </c>
      <c r="R185" s="2">
        <f t="shared" si="29"/>
        <v>40298</v>
      </c>
      <c r="S185" s="1">
        <f>VLOOKUP(R185,BB!$A$3:$C$62769, 2, 1)</f>
        <v>3.6532</v>
      </c>
      <c r="T185" s="1">
        <f t="shared" si="30"/>
        <v>0.86399999999999988</v>
      </c>
      <c r="U185" s="1">
        <f>VLOOKUP(R185,BB!$A$3:$D$6771, 4, 1)</f>
        <v>4.5171999999999999</v>
      </c>
      <c r="V185" s="1" t="str">
        <f t="shared" si="37"/>
        <v/>
      </c>
      <c r="W185" s="1" t="str">
        <f t="shared" si="38"/>
        <v/>
      </c>
      <c r="X185" s="1">
        <f t="shared" si="35"/>
        <v>3.1187</v>
      </c>
      <c r="Y185" s="1">
        <f t="shared" si="36"/>
        <v>0.91369999999999996</v>
      </c>
      <c r="Z185" s="1" t="str">
        <f t="shared" si="27"/>
        <v/>
      </c>
      <c r="AL185" s="1">
        <v>0</v>
      </c>
      <c r="AM185" s="1">
        <v>0</v>
      </c>
      <c r="AN185" s="1">
        <v>0</v>
      </c>
      <c r="AO185" s="1">
        <v>10</v>
      </c>
      <c r="AP185" s="1">
        <f t="shared" si="31"/>
        <v>0</v>
      </c>
      <c r="AQ185" s="1">
        <f t="shared" si="32"/>
        <v>0</v>
      </c>
      <c r="AR185" s="1">
        <f t="shared" si="33"/>
        <v>0</v>
      </c>
      <c r="AS185" s="1">
        <f t="shared" si="34"/>
        <v>6</v>
      </c>
    </row>
    <row r="186" spans="1:45" x14ac:dyDescent="0.2">
      <c r="A186" s="2">
        <v>40299</v>
      </c>
      <c r="B186" s="1">
        <v>-0.89120438423366588</v>
      </c>
      <c r="C186" s="1">
        <v>-1.0024834542938241</v>
      </c>
      <c r="D186" s="1">
        <v>1.2424934347479395</v>
      </c>
      <c r="E186" s="1">
        <v>-2.4823647134812847</v>
      </c>
      <c r="F186" s="1">
        <v>-0.2283431189781126</v>
      </c>
      <c r="G186" s="1">
        <v>1.2401910610611842</v>
      </c>
      <c r="H186" s="1">
        <v>-2.3594789031612358</v>
      </c>
      <c r="I186" s="1">
        <v>-2.9520316693948661</v>
      </c>
      <c r="J186" s="1">
        <v>-0.61874637199994542</v>
      </c>
      <c r="K186" s="1">
        <v>-0.47132432342646657</v>
      </c>
      <c r="L186" s="1">
        <v>-0.85232924431602775</v>
      </c>
      <c r="M186" s="1">
        <v>0</v>
      </c>
      <c r="N186" s="1">
        <v>0</v>
      </c>
      <c r="O186" s="1">
        <v>0</v>
      </c>
      <c r="P186" s="1">
        <v>6</v>
      </c>
      <c r="Q186" s="1" t="str">
        <f t="shared" si="28"/>
        <v>Recovery</v>
      </c>
      <c r="R186" s="2">
        <f t="shared" si="29"/>
        <v>40329</v>
      </c>
      <c r="S186" s="1">
        <f>VLOOKUP(R186,BB!$A$3:$C$62769, 2, 1)</f>
        <v>3.2848000000000002</v>
      </c>
      <c r="T186" s="1">
        <f t="shared" si="30"/>
        <v>0.91949999999999976</v>
      </c>
      <c r="U186" s="1">
        <f>VLOOKUP(R186,BB!$A$3:$D$6771, 4, 1)</f>
        <v>4.2042999999999999</v>
      </c>
      <c r="V186" s="1">
        <f t="shared" si="37"/>
        <v>0.16610000000000014</v>
      </c>
      <c r="W186" s="1">
        <f t="shared" si="38"/>
        <v>5.7999999999998053E-3</v>
      </c>
      <c r="X186" s="1">
        <f t="shared" si="35"/>
        <v>3.1187</v>
      </c>
      <c r="Y186" s="1">
        <f t="shared" si="36"/>
        <v>0.91369999999999996</v>
      </c>
      <c r="Z186" s="1" t="str">
        <f t="shared" si="27"/>
        <v>Recovery</v>
      </c>
      <c r="AL186" s="1">
        <v>0</v>
      </c>
      <c r="AM186" s="1">
        <v>0</v>
      </c>
      <c r="AN186" s="1">
        <v>0</v>
      </c>
      <c r="AO186" s="1">
        <v>10</v>
      </c>
      <c r="AP186" s="1">
        <f t="shared" si="31"/>
        <v>0</v>
      </c>
      <c r="AQ186" s="1">
        <f t="shared" si="32"/>
        <v>0</v>
      </c>
      <c r="AR186" s="1">
        <f t="shared" si="33"/>
        <v>0</v>
      </c>
      <c r="AS186" s="1">
        <f t="shared" si="34"/>
        <v>6</v>
      </c>
    </row>
    <row r="187" spans="1:45" x14ac:dyDescent="0.2">
      <c r="A187" s="2">
        <v>40330</v>
      </c>
      <c r="B187" s="1">
        <v>-0.892777492555347</v>
      </c>
      <c r="C187" s="1">
        <v>-1.3923818318054846</v>
      </c>
      <c r="D187" s="1">
        <v>1.0334295033426268</v>
      </c>
      <c r="E187" s="1">
        <v>-2.2804604223812266</v>
      </c>
      <c r="F187" s="1">
        <v>-9.0532869408925035E-2</v>
      </c>
      <c r="G187" s="1">
        <v>0.68962567601123681</v>
      </c>
      <c r="H187" s="1">
        <v>-2.242374605183147</v>
      </c>
      <c r="I187" s="1">
        <v>-3.1054487223386897</v>
      </c>
      <c r="J187" s="1">
        <v>-0.62398195007657942</v>
      </c>
      <c r="K187" s="1">
        <v>-0.39811432031098004</v>
      </c>
      <c r="L187" s="1">
        <v>-0.93030170347065178</v>
      </c>
      <c r="M187" s="1">
        <v>0</v>
      </c>
      <c r="N187" s="1">
        <v>0</v>
      </c>
      <c r="O187" s="1">
        <v>6</v>
      </c>
      <c r="P187" s="1">
        <v>0</v>
      </c>
      <c r="Q187" s="1" t="str">
        <f t="shared" si="28"/>
        <v>Repair</v>
      </c>
      <c r="R187" s="2">
        <f t="shared" si="29"/>
        <v>40359</v>
      </c>
      <c r="S187" s="1">
        <f>VLOOKUP(R187,BB!$A$3:$C$62769, 2, 1)</f>
        <v>2.9310999999999998</v>
      </c>
      <c r="T187" s="1">
        <f t="shared" si="30"/>
        <v>0.95740000000000025</v>
      </c>
      <c r="U187" s="1">
        <f>VLOOKUP(R187,BB!$A$3:$D$6771, 4, 1)</f>
        <v>3.8885000000000001</v>
      </c>
      <c r="V187" s="1" t="str">
        <f t="shared" si="37"/>
        <v/>
      </c>
      <c r="W187" s="1" t="str">
        <f t="shared" si="38"/>
        <v/>
      </c>
      <c r="X187" s="1">
        <f t="shared" si="35"/>
        <v>3.2848000000000002</v>
      </c>
      <c r="Y187" s="1">
        <f t="shared" si="36"/>
        <v>0.91949999999999976</v>
      </c>
      <c r="Z187" s="1" t="str">
        <f t="shared" si="27"/>
        <v/>
      </c>
      <c r="AL187" s="1">
        <v>0</v>
      </c>
      <c r="AM187" s="1">
        <v>0</v>
      </c>
      <c r="AN187" s="1">
        <v>10</v>
      </c>
      <c r="AO187" s="1">
        <v>0</v>
      </c>
      <c r="AP187" s="1">
        <f t="shared" si="31"/>
        <v>0</v>
      </c>
      <c r="AQ187" s="1">
        <f t="shared" si="32"/>
        <v>0</v>
      </c>
      <c r="AR187" s="1">
        <f t="shared" si="33"/>
        <v>6</v>
      </c>
      <c r="AS187" s="1">
        <f t="shared" si="34"/>
        <v>0</v>
      </c>
    </row>
    <row r="188" spans="1:45" x14ac:dyDescent="0.2">
      <c r="A188" s="2">
        <v>40360</v>
      </c>
      <c r="B188" s="1">
        <v>-0.87349651993788613</v>
      </c>
      <c r="C188" s="1">
        <v>-1.4727065817799303</v>
      </c>
      <c r="D188" s="1">
        <v>1.0485307407656697</v>
      </c>
      <c r="E188" s="1">
        <v>-2.2161930364037876</v>
      </c>
      <c r="F188" s="1">
        <v>7.003180116129043E-2</v>
      </c>
      <c r="G188" s="1">
        <v>0.57594578328643309</v>
      </c>
      <c r="H188" s="1">
        <v>-2.1345802197230852</v>
      </c>
      <c r="I188" s="1">
        <v>-3.4165486583832645</v>
      </c>
      <c r="J188" s="1">
        <v>-0.50667653951338654</v>
      </c>
      <c r="K188" s="1">
        <v>-0.30743297386347068</v>
      </c>
      <c r="L188" s="1">
        <v>-0.92331262043914175</v>
      </c>
      <c r="M188" s="1">
        <v>0</v>
      </c>
      <c r="N188" s="1">
        <v>0</v>
      </c>
      <c r="O188" s="1">
        <v>6</v>
      </c>
      <c r="P188" s="1">
        <v>0</v>
      </c>
      <c r="Q188" s="1" t="str">
        <f t="shared" si="28"/>
        <v>Repair</v>
      </c>
      <c r="R188" s="2">
        <f t="shared" si="29"/>
        <v>40390</v>
      </c>
      <c r="S188" s="1">
        <f>VLOOKUP(R188,BB!$A$3:$C$62769, 2, 1)</f>
        <v>2.9051999999999998</v>
      </c>
      <c r="T188" s="1">
        <f t="shared" si="30"/>
        <v>1.0829000000000004</v>
      </c>
      <c r="U188" s="1">
        <f>VLOOKUP(R188,BB!$A$3:$D$6771, 4, 1)</f>
        <v>3.9881000000000002</v>
      </c>
      <c r="V188" s="1" t="str">
        <f t="shared" si="37"/>
        <v/>
      </c>
      <c r="W188" s="1" t="str">
        <f t="shared" si="38"/>
        <v/>
      </c>
      <c r="X188" s="1">
        <f t="shared" si="35"/>
        <v>3.2848000000000002</v>
      </c>
      <c r="Y188" s="1">
        <f t="shared" si="36"/>
        <v>0.91949999999999976</v>
      </c>
      <c r="Z188" s="1" t="str">
        <f t="shared" si="27"/>
        <v/>
      </c>
      <c r="AL188" s="1">
        <v>0</v>
      </c>
      <c r="AM188" s="1">
        <v>0</v>
      </c>
      <c r="AN188" s="1">
        <v>10</v>
      </c>
      <c r="AO188" s="1">
        <v>0</v>
      </c>
      <c r="AP188" s="1">
        <f t="shared" si="31"/>
        <v>0</v>
      </c>
      <c r="AQ188" s="1">
        <f t="shared" si="32"/>
        <v>0</v>
      </c>
      <c r="AR188" s="1">
        <f t="shared" si="33"/>
        <v>6</v>
      </c>
      <c r="AS188" s="1">
        <f t="shared" si="34"/>
        <v>0</v>
      </c>
    </row>
    <row r="189" spans="1:45" x14ac:dyDescent="0.2">
      <c r="A189" s="2">
        <v>40391</v>
      </c>
      <c r="B189" s="1">
        <v>-0.95500634011894692</v>
      </c>
      <c r="C189" s="1">
        <v>-1.3352650726118629</v>
      </c>
      <c r="D189" s="1">
        <v>0.66294305940742537</v>
      </c>
      <c r="E189" s="1">
        <v>-2.2155167312406405</v>
      </c>
      <c r="F189" s="1">
        <v>0.34012001921046531</v>
      </c>
      <c r="G189" s="1">
        <v>0.69226259784036392</v>
      </c>
      <c r="H189" s="1">
        <v>-1.9928068245587924</v>
      </c>
      <c r="I189" s="1">
        <v>-3.3757897083253066</v>
      </c>
      <c r="J189" s="1">
        <v>-0.51563313294021385</v>
      </c>
      <c r="K189" s="1">
        <v>-0.17578146583985921</v>
      </c>
      <c r="L189" s="1">
        <v>-0.88704735991773698</v>
      </c>
      <c r="M189" s="1">
        <v>0</v>
      </c>
      <c r="N189" s="1">
        <v>0</v>
      </c>
      <c r="O189" s="1">
        <v>6</v>
      </c>
      <c r="P189" s="1">
        <v>0</v>
      </c>
      <c r="Q189" s="1" t="str">
        <f t="shared" si="28"/>
        <v>Repair</v>
      </c>
      <c r="R189" s="2">
        <f t="shared" si="29"/>
        <v>40421</v>
      </c>
      <c r="S189" s="1">
        <f>VLOOKUP(R189,BB!$A$3:$C$62769, 2, 1)</f>
        <v>2.4683000000000002</v>
      </c>
      <c r="T189" s="1">
        <f t="shared" si="30"/>
        <v>1.0471999999999997</v>
      </c>
      <c r="U189" s="1">
        <f>VLOOKUP(R189,BB!$A$3:$D$6771, 4, 1)</f>
        <v>3.5154999999999998</v>
      </c>
      <c r="V189" s="1" t="str">
        <f t="shared" si="37"/>
        <v/>
      </c>
      <c r="W189" s="1" t="str">
        <f t="shared" si="38"/>
        <v/>
      </c>
      <c r="X189" s="1">
        <f t="shared" si="35"/>
        <v>3.2848000000000002</v>
      </c>
      <c r="Y189" s="1">
        <f t="shared" si="36"/>
        <v>0.91949999999999976</v>
      </c>
      <c r="Z189" s="1" t="str">
        <f t="shared" si="27"/>
        <v/>
      </c>
      <c r="AL189" s="1">
        <v>0</v>
      </c>
      <c r="AM189" s="1">
        <v>0</v>
      </c>
      <c r="AN189" s="1">
        <v>10</v>
      </c>
      <c r="AO189" s="1">
        <v>0</v>
      </c>
      <c r="AP189" s="1">
        <f t="shared" si="31"/>
        <v>0</v>
      </c>
      <c r="AQ189" s="1">
        <f t="shared" si="32"/>
        <v>0</v>
      </c>
      <c r="AR189" s="1">
        <f t="shared" si="33"/>
        <v>6</v>
      </c>
      <c r="AS189" s="1">
        <f t="shared" si="34"/>
        <v>0</v>
      </c>
    </row>
    <row r="190" spans="1:45" x14ac:dyDescent="0.2">
      <c r="A190" s="2">
        <v>40422</v>
      </c>
      <c r="B190" s="1">
        <v>-0.94124808815317373</v>
      </c>
      <c r="C190" s="1">
        <v>-1.5205518160320595</v>
      </c>
      <c r="D190" s="1">
        <v>0.74268726039648303</v>
      </c>
      <c r="E190" s="1">
        <v>-2.1549290566915666</v>
      </c>
      <c r="F190" s="1">
        <v>0.46159223278307476</v>
      </c>
      <c r="G190" s="1">
        <v>0.3937631580065577</v>
      </c>
      <c r="H190" s="1">
        <v>-1.8862304621633452</v>
      </c>
      <c r="I190" s="1">
        <v>-3.3758781186478042</v>
      </c>
      <c r="J190" s="1">
        <v>-0.1761259893006171</v>
      </c>
      <c r="K190" s="1">
        <v>-0.1135289268198716</v>
      </c>
      <c r="L190" s="1">
        <v>-0.85704498066223223</v>
      </c>
      <c r="M190" s="1">
        <v>0</v>
      </c>
      <c r="N190" s="1">
        <v>0</v>
      </c>
      <c r="O190" s="1">
        <v>6</v>
      </c>
      <c r="P190" s="1">
        <v>0</v>
      </c>
      <c r="Q190" s="1" t="str">
        <f t="shared" si="28"/>
        <v>Repair</v>
      </c>
      <c r="R190" s="2">
        <f t="shared" si="29"/>
        <v>40451</v>
      </c>
      <c r="S190" s="1">
        <f>VLOOKUP(R190,BB!$A$3:$C$62769, 2, 1)</f>
        <v>2.5097999999999998</v>
      </c>
      <c r="T190" s="1">
        <f t="shared" si="30"/>
        <v>1.1751</v>
      </c>
      <c r="U190" s="1">
        <f>VLOOKUP(R190,BB!$A$3:$D$6771, 4, 1)</f>
        <v>3.6848999999999998</v>
      </c>
      <c r="V190" s="1">
        <f t="shared" si="37"/>
        <v>-0.77500000000000036</v>
      </c>
      <c r="W190" s="1">
        <f t="shared" si="38"/>
        <v>0.25560000000000027</v>
      </c>
      <c r="X190" s="1">
        <f t="shared" si="35"/>
        <v>3.2848000000000002</v>
      </c>
      <c r="Y190" s="1">
        <f t="shared" si="36"/>
        <v>0.91949999999999976</v>
      </c>
      <c r="Z190" s="1" t="str">
        <f t="shared" si="27"/>
        <v>Repair</v>
      </c>
      <c r="AL190" s="1">
        <v>0</v>
      </c>
      <c r="AM190" s="1">
        <v>0</v>
      </c>
      <c r="AN190" s="1">
        <v>10</v>
      </c>
      <c r="AO190" s="1">
        <v>0</v>
      </c>
      <c r="AP190" s="1">
        <f t="shared" si="31"/>
        <v>0</v>
      </c>
      <c r="AQ190" s="1">
        <f t="shared" si="32"/>
        <v>0</v>
      </c>
      <c r="AR190" s="1">
        <f t="shared" si="33"/>
        <v>6</v>
      </c>
      <c r="AS190" s="1">
        <f t="shared" si="34"/>
        <v>0</v>
      </c>
    </row>
    <row r="191" spans="1:45" x14ac:dyDescent="0.2">
      <c r="A191" s="2">
        <v>40452</v>
      </c>
      <c r="B191" s="1">
        <v>-0.89990622919386409</v>
      </c>
      <c r="C191" s="1">
        <v>-1.4378806651642893</v>
      </c>
      <c r="D191" s="1">
        <v>0.9144043220527881</v>
      </c>
      <c r="E191" s="1">
        <v>-2.0994554241043861</v>
      </c>
      <c r="F191" s="1">
        <v>0.53008942589019514</v>
      </c>
      <c r="G191" s="1">
        <v>0.76792662762428721</v>
      </c>
      <c r="H191" s="1">
        <v>-1.7289275316307444</v>
      </c>
      <c r="I191" s="1">
        <v>-3.3000816000522804</v>
      </c>
      <c r="J191" s="1">
        <v>-0.4386822720627872</v>
      </c>
      <c r="K191" s="1">
        <v>1.118745434301433E-2</v>
      </c>
      <c r="L191" s="1">
        <v>-0.76813258922980665</v>
      </c>
      <c r="M191" s="1">
        <v>0</v>
      </c>
      <c r="N191" s="1">
        <v>0</v>
      </c>
      <c r="O191" s="1">
        <v>0</v>
      </c>
      <c r="P191" s="1">
        <v>6</v>
      </c>
      <c r="Q191" s="1" t="str">
        <f t="shared" si="28"/>
        <v>Recovery</v>
      </c>
      <c r="R191" s="2">
        <f t="shared" si="29"/>
        <v>40482</v>
      </c>
      <c r="S191" s="1">
        <f>VLOOKUP(R191,BB!$A$3:$C$62769, 2, 1)</f>
        <v>2.5992999999999999</v>
      </c>
      <c r="T191" s="1">
        <f t="shared" si="30"/>
        <v>1.3835000000000002</v>
      </c>
      <c r="U191" s="1">
        <f>VLOOKUP(R191,BB!$A$3:$D$6771, 4, 1)</f>
        <v>3.9828000000000001</v>
      </c>
      <c r="V191" s="1" t="str">
        <f t="shared" si="37"/>
        <v/>
      </c>
      <c r="W191" s="1" t="str">
        <f t="shared" si="38"/>
        <v/>
      </c>
      <c r="X191" s="1">
        <f t="shared" si="35"/>
        <v>2.5097999999999998</v>
      </c>
      <c r="Y191" s="1">
        <f t="shared" si="36"/>
        <v>1.1751</v>
      </c>
      <c r="Z191" s="1" t="str">
        <f t="shared" ref="Z191:Z254" si="39">IF(ISNUMBER(V191)=TRUE, Q191, "")</f>
        <v/>
      </c>
      <c r="AL191" s="1">
        <v>0</v>
      </c>
      <c r="AM191" s="1">
        <v>0</v>
      </c>
      <c r="AN191" s="1">
        <v>0</v>
      </c>
      <c r="AO191" s="1">
        <v>10</v>
      </c>
      <c r="AP191" s="1">
        <f t="shared" si="31"/>
        <v>0</v>
      </c>
      <c r="AQ191" s="1">
        <f t="shared" si="32"/>
        <v>0</v>
      </c>
      <c r="AR191" s="1">
        <f t="shared" si="33"/>
        <v>0</v>
      </c>
      <c r="AS191" s="1">
        <f t="shared" si="34"/>
        <v>6</v>
      </c>
    </row>
    <row r="192" spans="1:45" x14ac:dyDescent="0.2">
      <c r="A192" s="2">
        <v>40483</v>
      </c>
      <c r="B192" s="1">
        <v>-0.70897536800204897</v>
      </c>
      <c r="C192" s="1">
        <v>-1.2630965821456344</v>
      </c>
      <c r="D192" s="1">
        <v>0.98548124581089247</v>
      </c>
      <c r="E192" s="1">
        <v>-2.1613657933575792</v>
      </c>
      <c r="F192" s="1">
        <v>0.53257158909637348</v>
      </c>
      <c r="G192" s="1">
        <v>0.71058754408065072</v>
      </c>
      <c r="H192" s="1">
        <v>-1.5639125314632971</v>
      </c>
      <c r="I192" s="1">
        <v>-3.3682088763728442</v>
      </c>
      <c r="J192" s="1">
        <v>-0.16159703501015182</v>
      </c>
      <c r="K192" s="1">
        <v>-0.1390866659822006</v>
      </c>
      <c r="L192" s="1">
        <v>-0.71376024733458387</v>
      </c>
      <c r="M192" s="1">
        <v>0</v>
      </c>
      <c r="N192" s="1">
        <v>0</v>
      </c>
      <c r="O192" s="1">
        <v>0</v>
      </c>
      <c r="P192" s="1">
        <v>6</v>
      </c>
      <c r="Q192" s="1" t="str">
        <f t="shared" si="28"/>
        <v>Recovery</v>
      </c>
      <c r="R192" s="2">
        <f t="shared" si="29"/>
        <v>40512</v>
      </c>
      <c r="S192" s="1">
        <f>VLOOKUP(R192,BB!$A$3:$C$62769, 2, 1)</f>
        <v>2.7968000000000002</v>
      </c>
      <c r="T192" s="1">
        <f t="shared" si="30"/>
        <v>1.3136000000000001</v>
      </c>
      <c r="U192" s="1">
        <f>VLOOKUP(R192,BB!$A$3:$D$6771, 4, 1)</f>
        <v>4.1104000000000003</v>
      </c>
      <c r="V192" s="1" t="str">
        <f t="shared" si="37"/>
        <v/>
      </c>
      <c r="W192" s="1" t="str">
        <f t="shared" si="38"/>
        <v/>
      </c>
      <c r="X192" s="1">
        <f t="shared" si="35"/>
        <v>2.5097999999999998</v>
      </c>
      <c r="Y192" s="1">
        <f t="shared" si="36"/>
        <v>1.1751</v>
      </c>
      <c r="Z192" s="1" t="str">
        <f t="shared" si="39"/>
        <v/>
      </c>
      <c r="AL192" s="1">
        <v>0</v>
      </c>
      <c r="AM192" s="1">
        <v>0</v>
      </c>
      <c r="AN192" s="1">
        <v>0</v>
      </c>
      <c r="AO192" s="1">
        <v>10</v>
      </c>
      <c r="AP192" s="1">
        <f t="shared" si="31"/>
        <v>0</v>
      </c>
      <c r="AQ192" s="1">
        <f t="shared" si="32"/>
        <v>0</v>
      </c>
      <c r="AR192" s="1">
        <f t="shared" si="33"/>
        <v>0</v>
      </c>
      <c r="AS192" s="1">
        <f t="shared" si="34"/>
        <v>6</v>
      </c>
    </row>
    <row r="193" spans="1:45" x14ac:dyDescent="0.2">
      <c r="A193" s="2">
        <v>40513</v>
      </c>
      <c r="B193" s="1">
        <v>-0.49742671153333096</v>
      </c>
      <c r="C193" s="1">
        <v>-1.3138657189629401</v>
      </c>
      <c r="D193" s="1">
        <v>1.3509235307753682</v>
      </c>
      <c r="E193" s="1">
        <v>-1.8799769767616068</v>
      </c>
      <c r="F193" s="1">
        <v>0.58947851167631138</v>
      </c>
      <c r="G193" s="1">
        <v>0.75979793515016081</v>
      </c>
      <c r="H193" s="1">
        <v>-1.0691438508620328</v>
      </c>
      <c r="I193" s="1">
        <v>-3.1851417346559869</v>
      </c>
      <c r="J193" s="1">
        <v>0.26318932066210293</v>
      </c>
      <c r="K193" s="1">
        <v>-5.1832929367844852E-2</v>
      </c>
      <c r="L193" s="1">
        <v>-0.50339986238797996</v>
      </c>
      <c r="M193" s="1">
        <v>0</v>
      </c>
      <c r="N193" s="1">
        <v>0</v>
      </c>
      <c r="O193" s="1">
        <v>0</v>
      </c>
      <c r="P193" s="1">
        <v>6</v>
      </c>
      <c r="Q193" s="1" t="str">
        <f t="shared" si="28"/>
        <v>Recovery</v>
      </c>
      <c r="R193" s="2">
        <f t="shared" si="29"/>
        <v>40543</v>
      </c>
      <c r="S193" s="1">
        <f>VLOOKUP(R193,BB!$A$3:$C$62769, 2, 1)</f>
        <v>3.2934999999999999</v>
      </c>
      <c r="T193" s="1">
        <f t="shared" si="30"/>
        <v>1.0406000000000004</v>
      </c>
      <c r="U193" s="1">
        <f>VLOOKUP(R193,BB!$A$3:$D$6771, 4, 1)</f>
        <v>4.3341000000000003</v>
      </c>
      <c r="V193" s="1" t="str">
        <f t="shared" si="37"/>
        <v/>
      </c>
      <c r="W193" s="1" t="str">
        <f t="shared" si="38"/>
        <v/>
      </c>
      <c r="X193" s="1">
        <f t="shared" si="35"/>
        <v>2.5097999999999998</v>
      </c>
      <c r="Y193" s="1">
        <f t="shared" si="36"/>
        <v>1.1751</v>
      </c>
      <c r="Z193" s="1" t="str">
        <f t="shared" si="39"/>
        <v/>
      </c>
      <c r="AL193" s="1">
        <v>0</v>
      </c>
      <c r="AM193" s="1">
        <v>0</v>
      </c>
      <c r="AN193" s="1">
        <v>0</v>
      </c>
      <c r="AO193" s="1">
        <v>10</v>
      </c>
      <c r="AP193" s="1">
        <f t="shared" si="31"/>
        <v>0</v>
      </c>
      <c r="AQ193" s="1">
        <f t="shared" si="32"/>
        <v>0</v>
      </c>
      <c r="AR193" s="1">
        <f t="shared" si="33"/>
        <v>0</v>
      </c>
      <c r="AS193" s="1">
        <f t="shared" si="34"/>
        <v>6</v>
      </c>
    </row>
    <row r="194" spans="1:45" x14ac:dyDescent="0.2">
      <c r="A194" s="2">
        <v>40544</v>
      </c>
      <c r="B194" s="1">
        <v>-0.37111410069294704</v>
      </c>
      <c r="C194" s="1">
        <v>-0.96306391013460901</v>
      </c>
      <c r="D194" s="1">
        <v>1.4458660693838701</v>
      </c>
      <c r="E194" s="1">
        <v>-1.6152247631539323</v>
      </c>
      <c r="F194" s="1">
        <v>0.71088962813450962</v>
      </c>
      <c r="G194" s="1">
        <v>1.3254640620110469</v>
      </c>
      <c r="H194" s="1">
        <v>-0.5738184182492353</v>
      </c>
      <c r="I194" s="1">
        <v>-2.9832392823585652</v>
      </c>
      <c r="J194" s="1">
        <v>0.19021374690586512</v>
      </c>
      <c r="K194" s="1">
        <v>0.33022559312273886</v>
      </c>
      <c r="L194" s="1">
        <v>-0.25038013750312582</v>
      </c>
      <c r="M194" s="1">
        <v>0</v>
      </c>
      <c r="N194" s="1">
        <v>0</v>
      </c>
      <c r="O194" s="1">
        <v>0</v>
      </c>
      <c r="P194" s="1">
        <v>6</v>
      </c>
      <c r="Q194" s="1" t="str">
        <f t="shared" si="28"/>
        <v>Recovery</v>
      </c>
      <c r="R194" s="2">
        <f t="shared" si="29"/>
        <v>40574</v>
      </c>
      <c r="S194" s="1">
        <f>VLOOKUP(R194,BB!$A$3:$C$62769, 2, 1)</f>
        <v>3.3704000000000001</v>
      </c>
      <c r="T194" s="1">
        <f t="shared" si="30"/>
        <v>1.2007000000000003</v>
      </c>
      <c r="U194" s="1">
        <f>VLOOKUP(R194,BB!$A$3:$D$6771, 4, 1)</f>
        <v>4.5711000000000004</v>
      </c>
      <c r="V194" s="1" t="str">
        <f t="shared" si="37"/>
        <v/>
      </c>
      <c r="W194" s="1" t="str">
        <f t="shared" si="38"/>
        <v/>
      </c>
      <c r="X194" s="1">
        <f t="shared" si="35"/>
        <v>2.5097999999999998</v>
      </c>
      <c r="Y194" s="1">
        <f t="shared" si="36"/>
        <v>1.1751</v>
      </c>
      <c r="Z194" s="1" t="str">
        <f t="shared" si="39"/>
        <v/>
      </c>
      <c r="AL194" s="1">
        <v>0</v>
      </c>
      <c r="AM194" s="1">
        <v>0</v>
      </c>
      <c r="AN194" s="1">
        <v>0</v>
      </c>
      <c r="AO194" s="1">
        <v>10</v>
      </c>
      <c r="AP194" s="1">
        <f t="shared" si="31"/>
        <v>0</v>
      </c>
      <c r="AQ194" s="1">
        <f t="shared" si="32"/>
        <v>0</v>
      </c>
      <c r="AR194" s="1">
        <f t="shared" si="33"/>
        <v>0</v>
      </c>
      <c r="AS194" s="1">
        <f t="shared" si="34"/>
        <v>6</v>
      </c>
    </row>
    <row r="195" spans="1:45" x14ac:dyDescent="0.2">
      <c r="A195" s="2">
        <v>40575</v>
      </c>
      <c r="B195" s="1">
        <v>-0.2453273501129308</v>
      </c>
      <c r="C195" s="1">
        <v>-0.54278410367897267</v>
      </c>
      <c r="D195" s="1">
        <v>1.3538416583565034</v>
      </c>
      <c r="E195" s="1">
        <v>-1.5280271842466628</v>
      </c>
      <c r="F195" s="1">
        <v>0.91957273484063828</v>
      </c>
      <c r="G195" s="1">
        <v>1.3983831218685547</v>
      </c>
      <c r="H195" s="1">
        <v>-4.9862088726231497E-2</v>
      </c>
      <c r="I195" s="1">
        <v>-2.9208864303995492</v>
      </c>
      <c r="J195" s="1">
        <v>3.2204821696704883E-2</v>
      </c>
      <c r="K195" s="1">
        <v>0.40134745313055753</v>
      </c>
      <c r="L195" s="1">
        <v>-0.11815373672713884</v>
      </c>
      <c r="M195" s="1">
        <v>0</v>
      </c>
      <c r="N195" s="1">
        <v>0</v>
      </c>
      <c r="O195" s="1">
        <v>0</v>
      </c>
      <c r="P195" s="1">
        <v>6</v>
      </c>
      <c r="Q195" s="1" t="str">
        <f t="shared" ref="Q195:Q258" si="40">IF(M195=6, $M$1, IF(N195=6, $N$1, IF(O195=6, $O$1, $P$1)))</f>
        <v>Recovery</v>
      </c>
      <c r="R195" s="2">
        <f t="shared" ref="R195:R258" si="41">EOMONTH(A195, 0)</f>
        <v>40602</v>
      </c>
      <c r="S195" s="1">
        <f>VLOOKUP(R195,BB!$A$3:$C$62769, 2, 1)</f>
        <v>3.4272</v>
      </c>
      <c r="T195" s="1">
        <f t="shared" ref="T195:T258" si="42">U195-S195</f>
        <v>1.0735000000000001</v>
      </c>
      <c r="U195" s="1">
        <f>VLOOKUP(R195,BB!$A$3:$D$6771, 4, 1)</f>
        <v>4.5007000000000001</v>
      </c>
      <c r="V195" s="1" t="str">
        <f t="shared" si="37"/>
        <v/>
      </c>
      <c r="W195" s="1" t="str">
        <f t="shared" si="38"/>
        <v/>
      </c>
      <c r="X195" s="1">
        <f t="shared" si="35"/>
        <v>2.5097999999999998</v>
      </c>
      <c r="Y195" s="1">
        <f t="shared" si="36"/>
        <v>1.1751</v>
      </c>
      <c r="Z195" s="1" t="str">
        <f t="shared" si="39"/>
        <v/>
      </c>
      <c r="AL195" s="1">
        <v>0</v>
      </c>
      <c r="AM195" s="1">
        <v>0</v>
      </c>
      <c r="AN195" s="1">
        <v>0</v>
      </c>
      <c r="AO195" s="1">
        <v>10</v>
      </c>
      <c r="AP195" s="1">
        <f t="shared" ref="AP195:AP258" si="43">IF(AL195&gt;0, AL195-4, AL195)</f>
        <v>0</v>
      </c>
      <c r="AQ195" s="1">
        <f t="shared" ref="AQ195:AQ258" si="44">IF(AM195&gt;0, AM195-4, AM195)</f>
        <v>0</v>
      </c>
      <c r="AR195" s="1">
        <f t="shared" ref="AR195:AR258" si="45">IF(AN195&gt;0, AN195-4, AN195)</f>
        <v>0</v>
      </c>
      <c r="AS195" s="1">
        <f t="shared" ref="AS195:AS258" si="46">IF(AO195&gt;0, AO195-4, AO195)</f>
        <v>6</v>
      </c>
    </row>
    <row r="196" spans="1:45" x14ac:dyDescent="0.2">
      <c r="A196" s="2">
        <v>40603</v>
      </c>
      <c r="B196" s="1">
        <v>-0.11492142641059826</v>
      </c>
      <c r="C196" s="1">
        <v>-0.82144608472527636</v>
      </c>
      <c r="D196" s="1">
        <v>1.2261304289619801</v>
      </c>
      <c r="E196" s="1">
        <v>-1.4440935283607443</v>
      </c>
      <c r="F196" s="1">
        <v>1.0453678143095468</v>
      </c>
      <c r="G196" s="1">
        <v>1.3464962304634709</v>
      </c>
      <c r="H196" s="1">
        <v>0.11118822227725994</v>
      </c>
      <c r="I196" s="1">
        <v>-2.7537267613841516</v>
      </c>
      <c r="J196" s="1">
        <v>-0.18378227586569973</v>
      </c>
      <c r="K196" s="1">
        <v>0.45116195733476322</v>
      </c>
      <c r="L196" s="1">
        <v>-0.11376254233994491</v>
      </c>
      <c r="M196" s="1">
        <v>0</v>
      </c>
      <c r="N196" s="1">
        <v>0</v>
      </c>
      <c r="O196" s="1">
        <v>0</v>
      </c>
      <c r="P196" s="1">
        <v>6</v>
      </c>
      <c r="Q196" s="1" t="str">
        <f t="shared" si="40"/>
        <v>Recovery</v>
      </c>
      <c r="R196" s="2">
        <f t="shared" si="41"/>
        <v>40633</v>
      </c>
      <c r="S196" s="1">
        <f>VLOOKUP(R196,BB!$A$3:$C$62769, 2, 1)</f>
        <v>3.4702999999999999</v>
      </c>
      <c r="T196" s="1">
        <f t="shared" si="42"/>
        <v>1.0373000000000001</v>
      </c>
      <c r="U196" s="1">
        <f>VLOOKUP(R196,BB!$A$3:$D$6771, 4, 1)</f>
        <v>4.5076000000000001</v>
      </c>
      <c r="V196" s="1" t="str">
        <f t="shared" si="37"/>
        <v/>
      </c>
      <c r="W196" s="1" t="str">
        <f t="shared" si="38"/>
        <v/>
      </c>
      <c r="X196" s="1">
        <f t="shared" si="35"/>
        <v>2.5097999999999998</v>
      </c>
      <c r="Y196" s="1">
        <f t="shared" si="36"/>
        <v>1.1751</v>
      </c>
      <c r="Z196" s="1" t="str">
        <f t="shared" si="39"/>
        <v/>
      </c>
      <c r="AL196" s="1">
        <v>0</v>
      </c>
      <c r="AM196" s="1">
        <v>0</v>
      </c>
      <c r="AN196" s="1">
        <v>0</v>
      </c>
      <c r="AO196" s="1">
        <v>10</v>
      </c>
      <c r="AP196" s="1">
        <f t="shared" si="43"/>
        <v>0</v>
      </c>
      <c r="AQ196" s="1">
        <f t="shared" si="44"/>
        <v>0</v>
      </c>
      <c r="AR196" s="1">
        <f t="shared" si="45"/>
        <v>0</v>
      </c>
      <c r="AS196" s="1">
        <f t="shared" si="46"/>
        <v>6</v>
      </c>
    </row>
    <row r="197" spans="1:45" x14ac:dyDescent="0.2">
      <c r="A197" s="2">
        <v>40634</v>
      </c>
      <c r="B197" s="1">
        <v>-1.5284921404583936E-2</v>
      </c>
      <c r="C197" s="1">
        <v>-0.72419752486089473</v>
      </c>
      <c r="D197" s="1">
        <v>1.2429237665137429</v>
      </c>
      <c r="E197" s="1">
        <v>-1.5277042839629875</v>
      </c>
      <c r="F197" s="1">
        <v>0.98758705898355292</v>
      </c>
      <c r="G197" s="1">
        <v>1.2020434270214178</v>
      </c>
      <c r="H197" s="1">
        <v>0.24271456136281286</v>
      </c>
      <c r="I197" s="1">
        <v>-2.5216731591333628</v>
      </c>
      <c r="J197" s="1">
        <v>0.38715523454729839</v>
      </c>
      <c r="K197" s="1">
        <v>0.47598852128481434</v>
      </c>
      <c r="L197" s="1">
        <v>-2.5044731964818996E-2</v>
      </c>
      <c r="M197" s="1">
        <v>0</v>
      </c>
      <c r="N197" s="1">
        <v>0</v>
      </c>
      <c r="O197" s="1">
        <v>0</v>
      </c>
      <c r="P197" s="1">
        <v>6</v>
      </c>
      <c r="Q197" s="1" t="str">
        <f t="shared" si="40"/>
        <v>Recovery</v>
      </c>
      <c r="R197" s="2">
        <f t="shared" si="41"/>
        <v>40663</v>
      </c>
      <c r="S197" s="1">
        <f>VLOOKUP(R197,BB!$A$3:$C$62769, 2, 1)</f>
        <v>3.2863000000000002</v>
      </c>
      <c r="T197" s="1">
        <f t="shared" si="42"/>
        <v>1.1104999999999996</v>
      </c>
      <c r="U197" s="1">
        <f>VLOOKUP(R197,BB!$A$3:$D$6771, 4, 1)</f>
        <v>4.3967999999999998</v>
      </c>
      <c r="V197" s="1">
        <f t="shared" si="37"/>
        <v>0.77650000000000041</v>
      </c>
      <c r="W197" s="1">
        <f t="shared" si="38"/>
        <v>-6.4600000000000435E-2</v>
      </c>
      <c r="X197" s="1">
        <f t="shared" si="35"/>
        <v>2.5097999999999998</v>
      </c>
      <c r="Y197" s="1">
        <f t="shared" si="36"/>
        <v>1.1751</v>
      </c>
      <c r="Z197" s="1" t="str">
        <f t="shared" si="39"/>
        <v>Recovery</v>
      </c>
      <c r="AL197" s="1">
        <v>0</v>
      </c>
      <c r="AM197" s="1">
        <v>0</v>
      </c>
      <c r="AN197" s="1">
        <v>0</v>
      </c>
      <c r="AO197" s="1">
        <v>10</v>
      </c>
      <c r="AP197" s="1">
        <f t="shared" si="43"/>
        <v>0</v>
      </c>
      <c r="AQ197" s="1">
        <f t="shared" si="44"/>
        <v>0</v>
      </c>
      <c r="AR197" s="1">
        <f t="shared" si="45"/>
        <v>0</v>
      </c>
      <c r="AS197" s="1">
        <f t="shared" si="46"/>
        <v>6</v>
      </c>
    </row>
    <row r="198" spans="1:45" x14ac:dyDescent="0.2">
      <c r="A198" s="2">
        <v>40664</v>
      </c>
      <c r="B198" s="1">
        <v>-0.15206195760741512</v>
      </c>
      <c r="C198" s="1">
        <v>-0.90317019883750405</v>
      </c>
      <c r="D198" s="1">
        <v>1.1243488999839977</v>
      </c>
      <c r="E198" s="1">
        <v>-1.5530484831079041</v>
      </c>
      <c r="F198" s="1">
        <v>0.78240735549949147</v>
      </c>
      <c r="G198" s="1">
        <v>0.11961798893555407</v>
      </c>
      <c r="H198" s="1">
        <v>0.36141131315264746</v>
      </c>
      <c r="I198" s="1">
        <v>-2.344870780120202</v>
      </c>
      <c r="J198" s="1">
        <v>0.18802560574572583</v>
      </c>
      <c r="K198" s="1">
        <v>0.68809416199703577</v>
      </c>
      <c r="L198" s="1">
        <v>-0.16892460943585733</v>
      </c>
      <c r="M198" s="1">
        <v>0</v>
      </c>
      <c r="N198" s="1">
        <v>0</v>
      </c>
      <c r="O198" s="1">
        <v>6</v>
      </c>
      <c r="P198" s="1">
        <v>0</v>
      </c>
      <c r="Q198" s="1" t="str">
        <f t="shared" si="40"/>
        <v>Repair</v>
      </c>
      <c r="R198" s="2">
        <f t="shared" si="41"/>
        <v>40694</v>
      </c>
      <c r="S198" s="1">
        <f>VLOOKUP(R198,BB!$A$3:$C$62769, 2, 1)</f>
        <v>3.0607000000000002</v>
      </c>
      <c r="T198" s="1">
        <f t="shared" si="42"/>
        <v>1.1634999999999995</v>
      </c>
      <c r="U198" s="1">
        <f>VLOOKUP(R198,BB!$A$3:$D$6771, 4, 1)</f>
        <v>4.2241999999999997</v>
      </c>
      <c r="V198" s="1" t="str">
        <f t="shared" si="37"/>
        <v/>
      </c>
      <c r="W198" s="1" t="str">
        <f t="shared" si="38"/>
        <v/>
      </c>
      <c r="X198" s="1">
        <f t="shared" si="35"/>
        <v>3.2863000000000002</v>
      </c>
      <c r="Y198" s="1">
        <f t="shared" si="36"/>
        <v>1.1104999999999996</v>
      </c>
      <c r="Z198" s="1" t="str">
        <f t="shared" si="39"/>
        <v/>
      </c>
      <c r="AL198" s="1">
        <v>0</v>
      </c>
      <c r="AM198" s="1">
        <v>0</v>
      </c>
      <c r="AN198" s="1">
        <v>10</v>
      </c>
      <c r="AO198" s="1">
        <v>0</v>
      </c>
      <c r="AP198" s="1">
        <f t="shared" si="43"/>
        <v>0</v>
      </c>
      <c r="AQ198" s="1">
        <f t="shared" si="44"/>
        <v>0</v>
      </c>
      <c r="AR198" s="1">
        <f t="shared" si="45"/>
        <v>6</v>
      </c>
      <c r="AS198" s="1">
        <f t="shared" si="46"/>
        <v>0</v>
      </c>
    </row>
    <row r="199" spans="1:45" x14ac:dyDescent="0.2">
      <c r="A199" s="2">
        <v>40695</v>
      </c>
      <c r="B199" s="1">
        <v>-0.30478570326807258</v>
      </c>
      <c r="C199" s="1">
        <v>-0.98486016412680677</v>
      </c>
      <c r="D199" s="1">
        <v>1.222256403045225</v>
      </c>
      <c r="E199" s="1">
        <v>-1.5775542244147114</v>
      </c>
      <c r="F199" s="1">
        <v>0.66815572238582488</v>
      </c>
      <c r="G199" s="1">
        <v>0.38690039749262217</v>
      </c>
      <c r="H199" s="1">
        <v>0.52893587955286647</v>
      </c>
      <c r="I199" s="1">
        <v>-2.2138538692951437</v>
      </c>
      <c r="J199" s="1">
        <v>0.18164027888925172</v>
      </c>
      <c r="K199" s="1">
        <v>0.60723708591665215</v>
      </c>
      <c r="L199" s="1">
        <v>-0.14859281938222918</v>
      </c>
      <c r="M199" s="1">
        <v>0</v>
      </c>
      <c r="N199" s="1">
        <v>0</v>
      </c>
      <c r="O199" s="1">
        <v>6</v>
      </c>
      <c r="P199" s="1">
        <v>0</v>
      </c>
      <c r="Q199" s="1" t="str">
        <f t="shared" si="40"/>
        <v>Repair</v>
      </c>
      <c r="R199" s="2">
        <f t="shared" si="41"/>
        <v>40724</v>
      </c>
      <c r="S199" s="1">
        <f>VLOOKUP(R199,BB!$A$3:$C$62769, 2, 1)</f>
        <v>3.16</v>
      </c>
      <c r="T199" s="1">
        <f t="shared" si="42"/>
        <v>1.2110000000000003</v>
      </c>
      <c r="U199" s="1">
        <f>VLOOKUP(R199,BB!$A$3:$D$6771, 4, 1)</f>
        <v>4.3710000000000004</v>
      </c>
      <c r="V199" s="1" t="str">
        <f t="shared" si="37"/>
        <v/>
      </c>
      <c r="W199" s="1" t="str">
        <f t="shared" si="38"/>
        <v/>
      </c>
      <c r="X199" s="1">
        <f t="shared" si="35"/>
        <v>3.2863000000000002</v>
      </c>
      <c r="Y199" s="1">
        <f t="shared" si="36"/>
        <v>1.1104999999999996</v>
      </c>
      <c r="Z199" s="1" t="str">
        <f t="shared" si="39"/>
        <v/>
      </c>
      <c r="AL199" s="1">
        <v>0</v>
      </c>
      <c r="AM199" s="1">
        <v>0</v>
      </c>
      <c r="AN199" s="1">
        <v>10</v>
      </c>
      <c r="AO199" s="1">
        <v>0</v>
      </c>
      <c r="AP199" s="1">
        <f t="shared" si="43"/>
        <v>0</v>
      </c>
      <c r="AQ199" s="1">
        <f t="shared" si="44"/>
        <v>0</v>
      </c>
      <c r="AR199" s="1">
        <f t="shared" si="45"/>
        <v>6</v>
      </c>
      <c r="AS199" s="1">
        <f t="shared" si="46"/>
        <v>0</v>
      </c>
    </row>
    <row r="200" spans="1:45" x14ac:dyDescent="0.2">
      <c r="A200" s="2">
        <v>40725</v>
      </c>
      <c r="B200" s="1">
        <v>-0.31974371667368795</v>
      </c>
      <c r="C200" s="1">
        <v>-0.92743322196250233</v>
      </c>
      <c r="D200" s="1">
        <v>0.92968032282804114</v>
      </c>
      <c r="E200" s="1">
        <v>-1.4926500979395074</v>
      </c>
      <c r="F200" s="1">
        <v>0.65425892473600278</v>
      </c>
      <c r="G200" s="1">
        <v>-0.31504175793523403</v>
      </c>
      <c r="H200" s="1">
        <v>0.73629963446059044</v>
      </c>
      <c r="I200" s="1">
        <v>-2.0981983969553331</v>
      </c>
      <c r="J200" s="1">
        <v>0.56302945667071447</v>
      </c>
      <c r="K200" s="1">
        <v>0.56752251657651809</v>
      </c>
      <c r="L200" s="1">
        <v>-0.17022763361943977</v>
      </c>
      <c r="M200" s="1">
        <v>0</v>
      </c>
      <c r="N200" s="1">
        <v>0</v>
      </c>
      <c r="O200" s="1">
        <v>6</v>
      </c>
      <c r="P200" s="1">
        <v>0</v>
      </c>
      <c r="Q200" s="1" t="str">
        <f t="shared" si="40"/>
        <v>Repair</v>
      </c>
      <c r="R200" s="2">
        <f t="shared" si="41"/>
        <v>40755</v>
      </c>
      <c r="S200" s="1">
        <f>VLOOKUP(R200,BB!$A$3:$C$62769, 2, 1)</f>
        <v>2.7961</v>
      </c>
      <c r="T200" s="1">
        <f t="shared" si="42"/>
        <v>1.3223000000000003</v>
      </c>
      <c r="U200" s="1">
        <f>VLOOKUP(R200,BB!$A$3:$D$6771, 4, 1)</f>
        <v>4.1184000000000003</v>
      </c>
      <c r="V200" s="1" t="str">
        <f t="shared" si="37"/>
        <v/>
      </c>
      <c r="W200" s="1" t="str">
        <f t="shared" si="38"/>
        <v/>
      </c>
      <c r="X200" s="1">
        <f t="shared" si="35"/>
        <v>3.2863000000000002</v>
      </c>
      <c r="Y200" s="1">
        <f t="shared" si="36"/>
        <v>1.1104999999999996</v>
      </c>
      <c r="Z200" s="1" t="str">
        <f t="shared" si="39"/>
        <v/>
      </c>
      <c r="AL200" s="1">
        <v>0</v>
      </c>
      <c r="AM200" s="1">
        <v>0</v>
      </c>
      <c r="AN200" s="1">
        <v>10</v>
      </c>
      <c r="AO200" s="1">
        <v>0</v>
      </c>
      <c r="AP200" s="1">
        <f t="shared" si="43"/>
        <v>0</v>
      </c>
      <c r="AQ200" s="1">
        <f t="shared" si="44"/>
        <v>0</v>
      </c>
      <c r="AR200" s="1">
        <f t="shared" si="45"/>
        <v>6</v>
      </c>
      <c r="AS200" s="1">
        <f t="shared" si="46"/>
        <v>0</v>
      </c>
    </row>
    <row r="201" spans="1:45" x14ac:dyDescent="0.2">
      <c r="A201" s="2">
        <v>40756</v>
      </c>
      <c r="B201" s="1">
        <v>-0.21508961149399364</v>
      </c>
      <c r="C201" s="1">
        <v>-1.5491601792159557</v>
      </c>
      <c r="D201" s="1">
        <v>0.48382787146951267</v>
      </c>
      <c r="E201" s="1">
        <v>-1.4646279401531181</v>
      </c>
      <c r="F201" s="1">
        <v>0.67196462100448595</v>
      </c>
      <c r="G201" s="1">
        <v>-0.37490377306561501</v>
      </c>
      <c r="H201" s="1">
        <v>0.85934564514611222</v>
      </c>
      <c r="I201" s="1">
        <v>-2.025305333650754</v>
      </c>
      <c r="J201" s="1">
        <v>-0.21935832562082033</v>
      </c>
      <c r="K201" s="1">
        <v>0.29985251239697547</v>
      </c>
      <c r="L201" s="1">
        <v>-0.35334545131831702</v>
      </c>
      <c r="M201" s="1">
        <v>0</v>
      </c>
      <c r="N201" s="1">
        <v>0</v>
      </c>
      <c r="O201" s="1">
        <v>6</v>
      </c>
      <c r="P201" s="1">
        <v>0</v>
      </c>
      <c r="Q201" s="1" t="str">
        <f t="shared" si="40"/>
        <v>Repair</v>
      </c>
      <c r="R201" s="2">
        <f t="shared" si="41"/>
        <v>40786</v>
      </c>
      <c r="S201" s="1">
        <f>VLOOKUP(R201,BB!$A$3:$C$62769, 2, 1)</f>
        <v>2.2233999999999998</v>
      </c>
      <c r="T201" s="1">
        <f t="shared" si="42"/>
        <v>1.3774000000000002</v>
      </c>
      <c r="U201" s="1">
        <f>VLOOKUP(R201,BB!$A$3:$D$6771, 4, 1)</f>
        <v>3.6008</v>
      </c>
      <c r="V201" s="1" t="str">
        <f t="shared" si="37"/>
        <v/>
      </c>
      <c r="W201" s="1" t="str">
        <f t="shared" si="38"/>
        <v/>
      </c>
      <c r="X201" s="1">
        <f t="shared" si="35"/>
        <v>3.2863000000000002</v>
      </c>
      <c r="Y201" s="1">
        <f t="shared" si="36"/>
        <v>1.1104999999999996</v>
      </c>
      <c r="Z201" s="1" t="str">
        <f t="shared" si="39"/>
        <v/>
      </c>
      <c r="AL201" s="1">
        <v>0</v>
      </c>
      <c r="AM201" s="1">
        <v>0</v>
      </c>
      <c r="AN201" s="1">
        <v>10</v>
      </c>
      <c r="AO201" s="1">
        <v>0</v>
      </c>
      <c r="AP201" s="1">
        <f t="shared" si="43"/>
        <v>0</v>
      </c>
      <c r="AQ201" s="1">
        <f t="shared" si="44"/>
        <v>0</v>
      </c>
      <c r="AR201" s="1">
        <f t="shared" si="45"/>
        <v>6</v>
      </c>
      <c r="AS201" s="1">
        <f t="shared" si="46"/>
        <v>0</v>
      </c>
    </row>
    <row r="202" spans="1:45" x14ac:dyDescent="0.2">
      <c r="A202" s="2">
        <v>40787</v>
      </c>
      <c r="B202" s="1">
        <v>-0.17260353387063401</v>
      </c>
      <c r="C202" s="1">
        <v>-1.484224743267593</v>
      </c>
      <c r="D202" s="1">
        <v>0.11180901589240171</v>
      </c>
      <c r="E202" s="1">
        <v>-1.4369441622895203</v>
      </c>
      <c r="F202" s="1">
        <v>0.62016062062558386</v>
      </c>
      <c r="G202" s="1">
        <v>-0.22063527015915707</v>
      </c>
      <c r="H202" s="1">
        <v>0.95882134495626103</v>
      </c>
      <c r="I202" s="1">
        <v>-1.9385682392574399</v>
      </c>
      <c r="J202" s="1">
        <v>-0.67323761880274124</v>
      </c>
      <c r="K202" s="1">
        <v>5.2272669122863713E-2</v>
      </c>
      <c r="L202" s="1">
        <v>-0.41831499170499747</v>
      </c>
      <c r="M202" s="1">
        <v>0</v>
      </c>
      <c r="N202" s="1">
        <v>0</v>
      </c>
      <c r="O202" s="1">
        <v>6</v>
      </c>
      <c r="P202" s="1">
        <v>0</v>
      </c>
      <c r="Q202" s="1" t="str">
        <f t="shared" si="40"/>
        <v>Repair</v>
      </c>
      <c r="R202" s="2">
        <f t="shared" si="41"/>
        <v>40816</v>
      </c>
      <c r="S202" s="1">
        <f>VLOOKUP(R202,BB!$A$3:$C$62769, 2, 1)</f>
        <v>1.9154</v>
      </c>
      <c r="T202" s="1">
        <f t="shared" si="42"/>
        <v>0.99800000000000022</v>
      </c>
      <c r="U202" s="1">
        <f>VLOOKUP(R202,BB!$A$3:$D$6771, 4, 1)</f>
        <v>2.9134000000000002</v>
      </c>
      <c r="V202" s="1" t="str">
        <f t="shared" si="37"/>
        <v/>
      </c>
      <c r="W202" s="1" t="str">
        <f t="shared" si="38"/>
        <v/>
      </c>
      <c r="X202" s="1">
        <f t="shared" si="35"/>
        <v>3.2863000000000002</v>
      </c>
      <c r="Y202" s="1">
        <f t="shared" si="36"/>
        <v>1.1104999999999996</v>
      </c>
      <c r="Z202" s="1" t="str">
        <f t="shared" si="39"/>
        <v/>
      </c>
      <c r="AL202" s="1">
        <v>0</v>
      </c>
      <c r="AM202" s="1">
        <v>0</v>
      </c>
      <c r="AN202" s="1">
        <v>10</v>
      </c>
      <c r="AO202" s="1">
        <v>0</v>
      </c>
      <c r="AP202" s="1">
        <f t="shared" si="43"/>
        <v>0</v>
      </c>
      <c r="AQ202" s="1">
        <f t="shared" si="44"/>
        <v>0</v>
      </c>
      <c r="AR202" s="1">
        <f t="shared" si="45"/>
        <v>6</v>
      </c>
      <c r="AS202" s="1">
        <f t="shared" si="46"/>
        <v>0</v>
      </c>
    </row>
    <row r="203" spans="1:45" x14ac:dyDescent="0.2">
      <c r="A203" s="2">
        <v>40817</v>
      </c>
      <c r="B203" s="1">
        <v>-0.14400274316458309</v>
      </c>
      <c r="C203" s="1">
        <v>-1.6915234270331714</v>
      </c>
      <c r="D203" s="1">
        <v>0.32272505299831467</v>
      </c>
      <c r="E203" s="1">
        <v>-1.3570123084272163</v>
      </c>
      <c r="F203" s="1">
        <v>0.51128982597265415</v>
      </c>
      <c r="G203" s="1">
        <v>-0.35490770875186989</v>
      </c>
      <c r="H203" s="1">
        <v>0.96790372900402688</v>
      </c>
      <c r="I203" s="1">
        <v>-1.9005981210146052</v>
      </c>
      <c r="J203" s="1">
        <v>-0.46710724823309002</v>
      </c>
      <c r="K203" s="1">
        <v>-0.156203535465745</v>
      </c>
      <c r="L203" s="1">
        <v>-0.42694364841152854</v>
      </c>
      <c r="M203" s="1">
        <v>0</v>
      </c>
      <c r="N203" s="1">
        <v>0</v>
      </c>
      <c r="O203" s="1">
        <v>6</v>
      </c>
      <c r="P203" s="1">
        <v>0</v>
      </c>
      <c r="Q203" s="1" t="str">
        <f t="shared" si="40"/>
        <v>Repair</v>
      </c>
      <c r="R203" s="2">
        <f t="shared" si="41"/>
        <v>40847</v>
      </c>
      <c r="S203" s="1">
        <f>VLOOKUP(R203,BB!$A$3:$C$62769, 2, 1)</f>
        <v>2.1133000000000002</v>
      </c>
      <c r="T203" s="1">
        <f t="shared" si="42"/>
        <v>1.0173999999999999</v>
      </c>
      <c r="U203" s="1">
        <f>VLOOKUP(R203,BB!$A$3:$D$6771, 4, 1)</f>
        <v>3.1307</v>
      </c>
      <c r="V203" s="1">
        <f t="shared" si="37"/>
        <v>-1.173</v>
      </c>
      <c r="W203" s="1">
        <f t="shared" si="38"/>
        <v>-9.3099999999999739E-2</v>
      </c>
      <c r="X203" s="1">
        <f t="shared" si="35"/>
        <v>3.2863000000000002</v>
      </c>
      <c r="Y203" s="1">
        <f t="shared" si="36"/>
        <v>1.1104999999999996</v>
      </c>
      <c r="Z203" s="1" t="str">
        <f t="shared" si="39"/>
        <v>Repair</v>
      </c>
      <c r="AL203" s="1">
        <v>0</v>
      </c>
      <c r="AM203" s="1">
        <v>0</v>
      </c>
      <c r="AN203" s="1">
        <v>10</v>
      </c>
      <c r="AO203" s="1">
        <v>0</v>
      </c>
      <c r="AP203" s="1">
        <f t="shared" si="43"/>
        <v>0</v>
      </c>
      <c r="AQ203" s="1">
        <f t="shared" si="44"/>
        <v>0</v>
      </c>
      <c r="AR203" s="1">
        <f t="shared" si="45"/>
        <v>6</v>
      </c>
      <c r="AS203" s="1">
        <f t="shared" si="46"/>
        <v>0</v>
      </c>
    </row>
    <row r="204" spans="1:45" x14ac:dyDescent="0.2">
      <c r="A204" s="2">
        <v>40848</v>
      </c>
      <c r="B204" s="1">
        <v>-9.7398122809846582E-2</v>
      </c>
      <c r="C204" s="1">
        <v>-0.98230132738067766</v>
      </c>
      <c r="D204" s="1">
        <v>0.25880881844994608</v>
      </c>
      <c r="E204" s="1">
        <v>-1.1214993729679399</v>
      </c>
      <c r="F204" s="1">
        <v>0.42465650512820319</v>
      </c>
      <c r="G204" s="1">
        <v>-6.8256273683772684E-2</v>
      </c>
      <c r="H204" s="1">
        <v>1.0688569162995296</v>
      </c>
      <c r="I204" s="1">
        <v>-1.863526035294637</v>
      </c>
      <c r="J204" s="1">
        <v>-0.45226761914169566</v>
      </c>
      <c r="K204" s="1">
        <v>-0.11159270260127781</v>
      </c>
      <c r="L204" s="1">
        <v>-0.29445192140021686</v>
      </c>
      <c r="M204" s="1">
        <v>0</v>
      </c>
      <c r="N204" s="1">
        <v>0</v>
      </c>
      <c r="O204" s="1">
        <v>0</v>
      </c>
      <c r="P204" s="1">
        <v>6</v>
      </c>
      <c r="Q204" s="1" t="str">
        <f t="shared" si="40"/>
        <v>Recovery</v>
      </c>
      <c r="R204" s="2">
        <f t="shared" si="41"/>
        <v>40877</v>
      </c>
      <c r="S204" s="1">
        <f>VLOOKUP(R204,BB!$A$3:$C$62769, 2, 1)</f>
        <v>2.0680000000000001</v>
      </c>
      <c r="T204" s="1">
        <f t="shared" si="42"/>
        <v>0.98740000000000006</v>
      </c>
      <c r="U204" s="1">
        <f>VLOOKUP(R204,BB!$A$3:$D$6771, 4, 1)</f>
        <v>3.0554000000000001</v>
      </c>
      <c r="V204" s="1" t="str">
        <f t="shared" si="37"/>
        <v/>
      </c>
      <c r="W204" s="1" t="str">
        <f t="shared" si="38"/>
        <v/>
      </c>
      <c r="X204" s="1">
        <f t="shared" si="35"/>
        <v>2.1133000000000002</v>
      </c>
      <c r="Y204" s="1">
        <f t="shared" si="36"/>
        <v>1.0173999999999999</v>
      </c>
      <c r="Z204" s="1" t="str">
        <f t="shared" si="39"/>
        <v/>
      </c>
      <c r="AL204" s="1">
        <v>0</v>
      </c>
      <c r="AM204" s="1">
        <v>0</v>
      </c>
      <c r="AN204" s="1">
        <v>0</v>
      </c>
      <c r="AO204" s="1">
        <v>10</v>
      </c>
      <c r="AP204" s="1">
        <f t="shared" si="43"/>
        <v>0</v>
      </c>
      <c r="AQ204" s="1">
        <f t="shared" si="44"/>
        <v>0</v>
      </c>
      <c r="AR204" s="1">
        <f t="shared" si="45"/>
        <v>0</v>
      </c>
      <c r="AS204" s="1">
        <f t="shared" si="46"/>
        <v>6</v>
      </c>
    </row>
    <row r="205" spans="1:45" x14ac:dyDescent="0.2">
      <c r="A205" s="2">
        <v>40878</v>
      </c>
      <c r="B205" s="1">
        <v>6.9715794227900169E-2</v>
      </c>
      <c r="C205" s="1">
        <v>-0.61714370960769138</v>
      </c>
      <c r="D205" s="1">
        <v>7.6018512961297635E-2</v>
      </c>
      <c r="E205" s="1">
        <v>-1.051225469264933</v>
      </c>
      <c r="F205" s="1">
        <v>0.38258429697569674</v>
      </c>
      <c r="G205" s="1">
        <v>0.11625619892435089</v>
      </c>
      <c r="H205" s="1">
        <v>0.72114282206297986</v>
      </c>
      <c r="I205" s="1">
        <v>-1.8033612429860171</v>
      </c>
      <c r="J205" s="1">
        <v>-0.45178593366297365</v>
      </c>
      <c r="K205" s="1">
        <v>-0.23742150284590846</v>
      </c>
      <c r="L205" s="1">
        <v>-0.27952202332152981</v>
      </c>
      <c r="M205" s="1">
        <v>0</v>
      </c>
      <c r="N205" s="1">
        <v>0</v>
      </c>
      <c r="O205" s="1">
        <v>0</v>
      </c>
      <c r="P205" s="1">
        <v>6</v>
      </c>
      <c r="Q205" s="1" t="str">
        <f t="shared" si="40"/>
        <v>Recovery</v>
      </c>
      <c r="R205" s="2">
        <f t="shared" si="41"/>
        <v>40908</v>
      </c>
      <c r="S205" s="1">
        <f>VLOOKUP(R205,BB!$A$3:$C$62769, 2, 1)</f>
        <v>1.8762000000000001</v>
      </c>
      <c r="T205" s="1">
        <f t="shared" si="42"/>
        <v>1.0178999999999998</v>
      </c>
      <c r="U205" s="1">
        <f>VLOOKUP(R205,BB!$A$3:$D$6771, 4, 1)</f>
        <v>2.8940999999999999</v>
      </c>
      <c r="V205" s="1">
        <f t="shared" si="37"/>
        <v>-0.23710000000000009</v>
      </c>
      <c r="W205" s="1">
        <f t="shared" si="38"/>
        <v>4.9999999999994493E-4</v>
      </c>
      <c r="X205" s="1">
        <f t="shared" si="35"/>
        <v>2.1133000000000002</v>
      </c>
      <c r="Y205" s="1">
        <f t="shared" si="36"/>
        <v>1.0173999999999999</v>
      </c>
      <c r="Z205" s="1" t="str">
        <f t="shared" si="39"/>
        <v>Recovery</v>
      </c>
      <c r="AL205" s="1">
        <v>0</v>
      </c>
      <c r="AM205" s="1">
        <v>0</v>
      </c>
      <c r="AN205" s="1">
        <v>0</v>
      </c>
      <c r="AO205" s="1">
        <v>10</v>
      </c>
      <c r="AP205" s="1">
        <f t="shared" si="43"/>
        <v>0</v>
      </c>
      <c r="AQ205" s="1">
        <f t="shared" si="44"/>
        <v>0</v>
      </c>
      <c r="AR205" s="1">
        <f t="shared" si="45"/>
        <v>0</v>
      </c>
      <c r="AS205" s="1">
        <f t="shared" si="46"/>
        <v>6</v>
      </c>
    </row>
    <row r="206" spans="1:45" x14ac:dyDescent="0.2">
      <c r="A206" s="2">
        <v>40909</v>
      </c>
      <c r="B206" s="1">
        <v>0.16506430057828075</v>
      </c>
      <c r="C206" s="1">
        <v>-0.74790182410793549</v>
      </c>
      <c r="D206" s="1">
        <v>2.2625318988679272E-2</v>
      </c>
      <c r="E206" s="1">
        <v>-0.9305582349966488</v>
      </c>
      <c r="F206" s="1">
        <v>0.27305844404005386</v>
      </c>
      <c r="G206" s="1">
        <v>0.14159036397328767</v>
      </c>
      <c r="H206" s="1">
        <v>0.38547720311827427</v>
      </c>
      <c r="I206" s="1">
        <v>-1.7639789440770226</v>
      </c>
      <c r="J206" s="1">
        <v>-0.73203204023790769</v>
      </c>
      <c r="K206" s="1">
        <v>-0.54262276256779707</v>
      </c>
      <c r="L206" s="1">
        <v>-0.37292781752887361</v>
      </c>
      <c r="M206" s="1">
        <v>0</v>
      </c>
      <c r="N206" s="1">
        <v>0</v>
      </c>
      <c r="O206" s="1">
        <v>6</v>
      </c>
      <c r="P206" s="1">
        <v>0</v>
      </c>
      <c r="Q206" s="1" t="str">
        <f t="shared" si="40"/>
        <v>Repair</v>
      </c>
      <c r="R206" s="2">
        <f t="shared" si="41"/>
        <v>40939</v>
      </c>
      <c r="S206" s="1">
        <f>VLOOKUP(R206,BB!$A$3:$C$62769, 2, 1)</f>
        <v>1.7970999999999999</v>
      </c>
      <c r="T206" s="1">
        <f t="shared" si="42"/>
        <v>1.1404000000000001</v>
      </c>
      <c r="U206" s="1">
        <f>VLOOKUP(R206,BB!$A$3:$D$6771, 4, 1)</f>
        <v>2.9375</v>
      </c>
      <c r="V206" s="1" t="str">
        <f t="shared" si="37"/>
        <v/>
      </c>
      <c r="W206" s="1" t="str">
        <f t="shared" si="38"/>
        <v/>
      </c>
      <c r="X206" s="1">
        <f t="shared" si="35"/>
        <v>1.8762000000000001</v>
      </c>
      <c r="Y206" s="1">
        <f t="shared" si="36"/>
        <v>1.0178999999999998</v>
      </c>
      <c r="Z206" s="1" t="str">
        <f t="shared" si="39"/>
        <v/>
      </c>
      <c r="AL206" s="1">
        <v>0</v>
      </c>
      <c r="AM206" s="1">
        <v>0</v>
      </c>
      <c r="AN206" s="1">
        <v>10</v>
      </c>
      <c r="AO206" s="1">
        <v>0</v>
      </c>
      <c r="AP206" s="1">
        <f t="shared" si="43"/>
        <v>0</v>
      </c>
      <c r="AQ206" s="1">
        <f t="shared" si="44"/>
        <v>0</v>
      </c>
      <c r="AR206" s="1">
        <f t="shared" si="45"/>
        <v>6</v>
      </c>
      <c r="AS206" s="1">
        <f t="shared" si="46"/>
        <v>0</v>
      </c>
    </row>
    <row r="207" spans="1:45" x14ac:dyDescent="0.2">
      <c r="A207" s="2">
        <v>40940</v>
      </c>
      <c r="B207" s="1">
        <v>0.30288068571514393</v>
      </c>
      <c r="C207" s="1">
        <v>-0.33349872167358691</v>
      </c>
      <c r="D207" s="1">
        <v>0.12378812742345421</v>
      </c>
      <c r="E207" s="1">
        <v>-0.91641000200459788</v>
      </c>
      <c r="F207" s="1">
        <v>0.21904619746901896</v>
      </c>
      <c r="G207" s="1">
        <v>-0.14312757640337642</v>
      </c>
      <c r="H207" s="1">
        <v>-1.8523073781901156E-2</v>
      </c>
      <c r="I207" s="1">
        <v>-1.5845113062840142</v>
      </c>
      <c r="J207" s="1">
        <v>-0.66624643522462212</v>
      </c>
      <c r="K207" s="1">
        <v>-0.46343747254040513</v>
      </c>
      <c r="L207" s="1">
        <v>-0.3480039577304887</v>
      </c>
      <c r="M207" s="1">
        <v>0</v>
      </c>
      <c r="N207" s="1">
        <v>0</v>
      </c>
      <c r="O207" s="1">
        <v>6</v>
      </c>
      <c r="P207" s="1">
        <v>0</v>
      </c>
      <c r="Q207" s="1" t="str">
        <f t="shared" si="40"/>
        <v>Repair</v>
      </c>
      <c r="R207" s="2">
        <f t="shared" si="41"/>
        <v>40968</v>
      </c>
      <c r="S207" s="1">
        <f>VLOOKUP(R207,BB!$A$3:$C$62769, 2, 1)</f>
        <v>1.9704999999999999</v>
      </c>
      <c r="T207" s="1">
        <f t="shared" si="42"/>
        <v>1.1143000000000001</v>
      </c>
      <c r="U207" s="1">
        <f>VLOOKUP(R207,BB!$A$3:$D$6771, 4, 1)</f>
        <v>3.0848</v>
      </c>
      <c r="V207" s="1" t="str">
        <f t="shared" si="37"/>
        <v/>
      </c>
      <c r="W207" s="1" t="str">
        <f t="shared" si="38"/>
        <v/>
      </c>
      <c r="X207" s="1">
        <f t="shared" si="35"/>
        <v>1.8762000000000001</v>
      </c>
      <c r="Y207" s="1">
        <f t="shared" si="36"/>
        <v>1.0178999999999998</v>
      </c>
      <c r="Z207" s="1" t="str">
        <f t="shared" si="39"/>
        <v/>
      </c>
      <c r="AL207" s="1">
        <v>0</v>
      </c>
      <c r="AM207" s="1">
        <v>0</v>
      </c>
      <c r="AN207" s="1">
        <v>10</v>
      </c>
      <c r="AO207" s="1">
        <v>0</v>
      </c>
      <c r="AP207" s="1">
        <f t="shared" si="43"/>
        <v>0</v>
      </c>
      <c r="AQ207" s="1">
        <f t="shared" si="44"/>
        <v>0</v>
      </c>
      <c r="AR207" s="1">
        <f t="shared" si="45"/>
        <v>6</v>
      </c>
      <c r="AS207" s="1">
        <f t="shared" si="46"/>
        <v>0</v>
      </c>
    </row>
    <row r="208" spans="1:45" x14ac:dyDescent="0.2">
      <c r="A208" s="2">
        <v>40969</v>
      </c>
      <c r="B208" s="1">
        <v>0.42274521882362154</v>
      </c>
      <c r="C208" s="1">
        <v>-0.35075359255176058</v>
      </c>
      <c r="D208" s="1">
        <v>0.33583439810921834</v>
      </c>
      <c r="E208" s="1">
        <v>-0.85013838979864254</v>
      </c>
      <c r="F208" s="1">
        <v>0.18648280418443577</v>
      </c>
      <c r="G208" s="1">
        <v>2.422311932154976E-2</v>
      </c>
      <c r="H208" s="1">
        <v>1.9994037941900064E-2</v>
      </c>
      <c r="I208" s="1">
        <v>-1.555610716000098</v>
      </c>
      <c r="J208" s="1">
        <v>-0.71254266947928069</v>
      </c>
      <c r="K208" s="1">
        <v>-0.43587886326834008</v>
      </c>
      <c r="L208" s="1">
        <v>-0.29156446527173963</v>
      </c>
      <c r="M208" s="1">
        <v>0</v>
      </c>
      <c r="N208" s="1">
        <v>0</v>
      </c>
      <c r="O208" s="1">
        <v>6</v>
      </c>
      <c r="P208" s="1">
        <v>0</v>
      </c>
      <c r="Q208" s="1" t="str">
        <f t="shared" si="40"/>
        <v>Repair</v>
      </c>
      <c r="R208" s="2">
        <f t="shared" si="41"/>
        <v>40999</v>
      </c>
      <c r="S208" s="1">
        <f>VLOOKUP(R208,BB!$A$3:$C$62769, 2, 1)</f>
        <v>2.2088000000000001</v>
      </c>
      <c r="T208" s="1">
        <f t="shared" si="42"/>
        <v>1.1269999999999998</v>
      </c>
      <c r="U208" s="1">
        <f>VLOOKUP(R208,BB!$A$3:$D$6771, 4, 1)</f>
        <v>3.3357999999999999</v>
      </c>
      <c r="V208" s="1">
        <f t="shared" si="37"/>
        <v>0.33260000000000001</v>
      </c>
      <c r="W208" s="1">
        <f t="shared" si="38"/>
        <v>0.10909999999999997</v>
      </c>
      <c r="X208" s="1">
        <f t="shared" si="35"/>
        <v>1.8762000000000001</v>
      </c>
      <c r="Y208" s="1">
        <f t="shared" si="36"/>
        <v>1.0178999999999998</v>
      </c>
      <c r="Z208" s="1" t="str">
        <f t="shared" si="39"/>
        <v>Repair</v>
      </c>
      <c r="AL208" s="1">
        <v>0</v>
      </c>
      <c r="AM208" s="1">
        <v>0</v>
      </c>
      <c r="AN208" s="1">
        <v>10</v>
      </c>
      <c r="AO208" s="1">
        <v>0</v>
      </c>
      <c r="AP208" s="1">
        <f t="shared" si="43"/>
        <v>0</v>
      </c>
      <c r="AQ208" s="1">
        <f t="shared" si="44"/>
        <v>0</v>
      </c>
      <c r="AR208" s="1">
        <f t="shared" si="45"/>
        <v>6</v>
      </c>
      <c r="AS208" s="1">
        <f t="shared" si="46"/>
        <v>0</v>
      </c>
    </row>
    <row r="209" spans="1:45" x14ac:dyDescent="0.2">
      <c r="A209" s="2">
        <v>41000</v>
      </c>
      <c r="B209" s="1">
        <v>0.41911824793847469</v>
      </c>
      <c r="C209" s="1">
        <v>-0.38100706640102666</v>
      </c>
      <c r="D209" s="1">
        <v>0.10301731803123625</v>
      </c>
      <c r="E209" s="1">
        <v>-0.78551985745386321</v>
      </c>
      <c r="F209" s="1">
        <v>0.28920263261716234</v>
      </c>
      <c r="G209" s="1">
        <v>0.25730952922812089</v>
      </c>
      <c r="H209" s="1">
        <v>6.737781735047671E-2</v>
      </c>
      <c r="I209" s="1">
        <v>-1.5244577006492714</v>
      </c>
      <c r="J209" s="1">
        <v>-0.25081337268494114</v>
      </c>
      <c r="K209" s="1">
        <v>-0.57348980411932404</v>
      </c>
      <c r="L209" s="1">
        <v>-0.23792622561429555</v>
      </c>
      <c r="M209" s="1">
        <v>0</v>
      </c>
      <c r="N209" s="1">
        <v>0</v>
      </c>
      <c r="O209" s="1">
        <v>0</v>
      </c>
      <c r="P209" s="1">
        <v>6</v>
      </c>
      <c r="Q209" s="1" t="str">
        <f t="shared" si="40"/>
        <v>Recovery</v>
      </c>
      <c r="R209" s="2">
        <f t="shared" si="41"/>
        <v>41029</v>
      </c>
      <c r="S209" s="1">
        <f>VLOOKUP(R209,BB!$A$3:$C$62769, 2, 1)</f>
        <v>1.9137</v>
      </c>
      <c r="T209" s="1">
        <f t="shared" si="42"/>
        <v>1.1974</v>
      </c>
      <c r="U209" s="1">
        <f>VLOOKUP(R209,BB!$A$3:$D$6771, 4, 1)</f>
        <v>3.1111</v>
      </c>
      <c r="V209" s="1">
        <f t="shared" si="37"/>
        <v>-0.29510000000000014</v>
      </c>
      <c r="W209" s="1">
        <f t="shared" si="38"/>
        <v>7.040000000000024E-2</v>
      </c>
      <c r="X209" s="1">
        <f t="shared" si="35"/>
        <v>2.2088000000000001</v>
      </c>
      <c r="Y209" s="1">
        <f t="shared" si="36"/>
        <v>1.1269999999999998</v>
      </c>
      <c r="Z209" s="1" t="str">
        <f t="shared" si="39"/>
        <v>Recovery</v>
      </c>
      <c r="AL209" s="1">
        <v>0</v>
      </c>
      <c r="AM209" s="1">
        <v>0</v>
      </c>
      <c r="AN209" s="1">
        <v>0</v>
      </c>
      <c r="AO209" s="1">
        <v>10</v>
      </c>
      <c r="AP209" s="1">
        <f t="shared" si="43"/>
        <v>0</v>
      </c>
      <c r="AQ209" s="1">
        <f t="shared" si="44"/>
        <v>0</v>
      </c>
      <c r="AR209" s="1">
        <f t="shared" si="45"/>
        <v>0</v>
      </c>
      <c r="AS209" s="1">
        <f t="shared" si="46"/>
        <v>6</v>
      </c>
    </row>
    <row r="210" spans="1:45" x14ac:dyDescent="0.2">
      <c r="A210" s="2">
        <v>41030</v>
      </c>
      <c r="B210" s="1">
        <v>0.34619534262401308</v>
      </c>
      <c r="C210" s="1">
        <v>-0.55033955220266095</v>
      </c>
      <c r="D210" s="1">
        <v>-0.27124452878588062</v>
      </c>
      <c r="E210" s="1">
        <v>-0.82663285275848275</v>
      </c>
      <c r="F210" s="1">
        <v>0.33526567967960796</v>
      </c>
      <c r="G210" s="1">
        <v>4.2441641225637317E-2</v>
      </c>
      <c r="H210" s="1">
        <v>0.15335660293719897</v>
      </c>
      <c r="I210" s="1">
        <v>-1.4927385292034119</v>
      </c>
      <c r="J210" s="1">
        <v>-1.7158986307520205E-2</v>
      </c>
      <c r="K210" s="1">
        <v>-0.81708834270878117</v>
      </c>
      <c r="L210" s="1">
        <v>-0.30979435255002807</v>
      </c>
      <c r="M210" s="1">
        <v>0</v>
      </c>
      <c r="N210" s="1">
        <v>0</v>
      </c>
      <c r="O210" s="1">
        <v>6</v>
      </c>
      <c r="P210" s="1">
        <v>0</v>
      </c>
      <c r="Q210" s="1" t="str">
        <f t="shared" si="40"/>
        <v>Repair</v>
      </c>
      <c r="R210" s="2">
        <f t="shared" si="41"/>
        <v>41060</v>
      </c>
      <c r="S210" s="1">
        <f>VLOOKUP(R210,BB!$A$3:$C$62769, 2, 1)</f>
        <v>1.5578000000000001</v>
      </c>
      <c r="T210" s="1">
        <f t="shared" si="42"/>
        <v>1.0843</v>
      </c>
      <c r="U210" s="1">
        <f>VLOOKUP(R210,BB!$A$3:$D$6771, 4, 1)</f>
        <v>2.6421000000000001</v>
      </c>
      <c r="V210" s="1" t="str">
        <f t="shared" si="37"/>
        <v/>
      </c>
      <c r="W210" s="1" t="str">
        <f t="shared" si="38"/>
        <v/>
      </c>
      <c r="X210" s="1">
        <f t="shared" ref="X210:X273" si="47">IF(Q210&lt;&gt;Q209,S209, X209)</f>
        <v>1.9137</v>
      </c>
      <c r="Y210" s="1">
        <f t="shared" ref="Y210:Y273" si="48">IF(Q210&lt;&gt;Q209,T209, Y209)</f>
        <v>1.1974</v>
      </c>
      <c r="Z210" s="1" t="str">
        <f t="shared" si="39"/>
        <v/>
      </c>
      <c r="AL210" s="1">
        <v>0</v>
      </c>
      <c r="AM210" s="1">
        <v>0</v>
      </c>
      <c r="AN210" s="1">
        <v>10</v>
      </c>
      <c r="AO210" s="1">
        <v>0</v>
      </c>
      <c r="AP210" s="1">
        <f t="shared" si="43"/>
        <v>0</v>
      </c>
      <c r="AQ210" s="1">
        <f t="shared" si="44"/>
        <v>0</v>
      </c>
      <c r="AR210" s="1">
        <f t="shared" si="45"/>
        <v>6</v>
      </c>
      <c r="AS210" s="1">
        <f t="shared" si="46"/>
        <v>0</v>
      </c>
    </row>
    <row r="211" spans="1:45" x14ac:dyDescent="0.2">
      <c r="A211" s="2">
        <v>41061</v>
      </c>
      <c r="B211" s="1">
        <v>0.20788049492227653</v>
      </c>
      <c r="C211" s="1">
        <v>-0.66075318703444752</v>
      </c>
      <c r="D211" s="1">
        <v>-0.21677790036515132</v>
      </c>
      <c r="E211" s="1">
        <v>-0.81456343643595952</v>
      </c>
      <c r="F211" s="1">
        <v>0.27846560106578594</v>
      </c>
      <c r="G211" s="1">
        <v>-0.57924462299830348</v>
      </c>
      <c r="H211" s="1">
        <v>0.229487200159533</v>
      </c>
      <c r="I211" s="1">
        <v>-1.4664542861565097</v>
      </c>
      <c r="J211" s="1">
        <v>-0.52702902898019333</v>
      </c>
      <c r="K211" s="1">
        <v>-0.69102074541435621</v>
      </c>
      <c r="L211" s="1">
        <v>-0.42400099112373252</v>
      </c>
      <c r="M211" s="1">
        <v>0</v>
      </c>
      <c r="N211" s="1">
        <v>0</v>
      </c>
      <c r="O211" s="1">
        <v>6</v>
      </c>
      <c r="P211" s="1">
        <v>0</v>
      </c>
      <c r="Q211" s="1" t="str">
        <f t="shared" si="40"/>
        <v>Repair</v>
      </c>
      <c r="R211" s="2">
        <f t="shared" si="41"/>
        <v>41090</v>
      </c>
      <c r="S211" s="1">
        <f>VLOOKUP(R211,BB!$A$3:$C$62769, 2, 1)</f>
        <v>1.6449</v>
      </c>
      <c r="T211" s="1">
        <f t="shared" si="42"/>
        <v>1.1083999999999998</v>
      </c>
      <c r="U211" s="1">
        <f>VLOOKUP(R211,BB!$A$3:$D$6771, 4, 1)</f>
        <v>2.7532999999999999</v>
      </c>
      <c r="V211" s="1" t="str">
        <f t="shared" si="37"/>
        <v/>
      </c>
      <c r="W211" s="1" t="str">
        <f t="shared" si="38"/>
        <v/>
      </c>
      <c r="X211" s="1">
        <f t="shared" si="47"/>
        <v>1.9137</v>
      </c>
      <c r="Y211" s="1">
        <f t="shared" si="48"/>
        <v>1.1974</v>
      </c>
      <c r="Z211" s="1" t="str">
        <f t="shared" si="39"/>
        <v/>
      </c>
      <c r="AL211" s="1">
        <v>0</v>
      </c>
      <c r="AM211" s="1">
        <v>0</v>
      </c>
      <c r="AN211" s="1">
        <v>10</v>
      </c>
      <c r="AO211" s="1">
        <v>0</v>
      </c>
      <c r="AP211" s="1">
        <f t="shared" si="43"/>
        <v>0</v>
      </c>
      <c r="AQ211" s="1">
        <f t="shared" si="44"/>
        <v>0</v>
      </c>
      <c r="AR211" s="1">
        <f t="shared" si="45"/>
        <v>6</v>
      </c>
      <c r="AS211" s="1">
        <f t="shared" si="46"/>
        <v>0</v>
      </c>
    </row>
    <row r="212" spans="1:45" x14ac:dyDescent="0.2">
      <c r="A212" s="2">
        <v>41091</v>
      </c>
      <c r="B212" s="1">
        <v>0.23228405162875565</v>
      </c>
      <c r="C212" s="1">
        <v>-0.48226224600333256</v>
      </c>
      <c r="D212" s="1">
        <v>-0.30207001164605335</v>
      </c>
      <c r="E212" s="1">
        <v>-0.8545835023530296</v>
      </c>
      <c r="F212" s="1">
        <v>4.9349131241579455E-2</v>
      </c>
      <c r="G212" s="1">
        <v>-0.55369798766222844</v>
      </c>
      <c r="H212" s="1">
        <v>0.22685534675327051</v>
      </c>
      <c r="I212" s="1">
        <v>-1.4771799959517029</v>
      </c>
      <c r="J212" s="1">
        <v>-0.10039136536049667</v>
      </c>
      <c r="K212" s="1">
        <v>-0.919421182957192</v>
      </c>
      <c r="L212" s="1">
        <v>-0.41811177623104295</v>
      </c>
      <c r="M212" s="1">
        <v>0</v>
      </c>
      <c r="N212" s="1">
        <v>0</v>
      </c>
      <c r="O212" s="1">
        <v>6</v>
      </c>
      <c r="P212" s="1">
        <v>0</v>
      </c>
      <c r="Q212" s="1" t="str">
        <f t="shared" si="40"/>
        <v>Repair</v>
      </c>
      <c r="R212" s="2">
        <f t="shared" si="41"/>
        <v>41121</v>
      </c>
      <c r="S212" s="1">
        <f>VLOOKUP(R212,BB!$A$3:$C$62769, 2, 1)</f>
        <v>1.4679</v>
      </c>
      <c r="T212" s="1">
        <f t="shared" si="42"/>
        <v>1.0788</v>
      </c>
      <c r="U212" s="1">
        <f>VLOOKUP(R212,BB!$A$3:$D$6771, 4, 1)</f>
        <v>2.5467</v>
      </c>
      <c r="V212" s="1">
        <f t="shared" si="37"/>
        <v>-0.44579999999999997</v>
      </c>
      <c r="W212" s="1">
        <f t="shared" si="38"/>
        <v>-0.11860000000000004</v>
      </c>
      <c r="X212" s="1">
        <f t="shared" si="47"/>
        <v>1.9137</v>
      </c>
      <c r="Y212" s="1">
        <f t="shared" si="48"/>
        <v>1.1974</v>
      </c>
      <c r="Z212" s="1" t="str">
        <f t="shared" si="39"/>
        <v>Repair</v>
      </c>
      <c r="AL212" s="1">
        <v>0</v>
      </c>
      <c r="AM212" s="1">
        <v>0</v>
      </c>
      <c r="AN212" s="1">
        <v>10</v>
      </c>
      <c r="AO212" s="1">
        <v>0</v>
      </c>
      <c r="AP212" s="1">
        <f t="shared" si="43"/>
        <v>0</v>
      </c>
      <c r="AQ212" s="1">
        <f t="shared" si="44"/>
        <v>0</v>
      </c>
      <c r="AR212" s="1">
        <f t="shared" si="45"/>
        <v>6</v>
      </c>
      <c r="AS212" s="1">
        <f t="shared" si="46"/>
        <v>0</v>
      </c>
    </row>
    <row r="213" spans="1:45" x14ac:dyDescent="0.2">
      <c r="A213" s="2">
        <v>41122</v>
      </c>
      <c r="B213" s="1">
        <v>0.26737241232578546</v>
      </c>
      <c r="C213" s="1">
        <v>-0.69794179499259124</v>
      </c>
      <c r="D213" s="1">
        <v>-0.21988544858580053</v>
      </c>
      <c r="E213" s="1">
        <v>-0.73916089978261601</v>
      </c>
      <c r="F213" s="1">
        <v>-0.15586446694968034</v>
      </c>
      <c r="G213" s="1">
        <v>-0.58532744091695066</v>
      </c>
      <c r="H213" s="1">
        <v>0.28407832747927508</v>
      </c>
      <c r="I213" s="1">
        <v>-1.4532965927639532</v>
      </c>
      <c r="J213" s="1">
        <v>-0.16495656854957472</v>
      </c>
      <c r="K213" s="1">
        <v>-0.86236520298739783</v>
      </c>
      <c r="L213" s="1">
        <v>-0.43273476757235035</v>
      </c>
      <c r="M213" s="1">
        <v>0</v>
      </c>
      <c r="N213" s="1">
        <v>0</v>
      </c>
      <c r="O213" s="1">
        <v>0</v>
      </c>
      <c r="P213" s="1">
        <v>6</v>
      </c>
      <c r="Q213" s="1" t="str">
        <f t="shared" si="40"/>
        <v>Recovery</v>
      </c>
      <c r="R213" s="2">
        <f t="shared" si="41"/>
        <v>41152</v>
      </c>
      <c r="S213" s="1">
        <f>VLOOKUP(R213,BB!$A$3:$C$62769, 2, 1)</f>
        <v>1.5484</v>
      </c>
      <c r="T213" s="1">
        <f t="shared" si="42"/>
        <v>1.1238999999999999</v>
      </c>
      <c r="U213" s="1">
        <f>VLOOKUP(R213,BB!$A$3:$D$6771, 4, 1)</f>
        <v>2.6722999999999999</v>
      </c>
      <c r="V213" s="1" t="str">
        <f t="shared" si="37"/>
        <v/>
      </c>
      <c r="W213" s="1" t="str">
        <f t="shared" si="38"/>
        <v/>
      </c>
      <c r="X213" s="1">
        <f t="shared" si="47"/>
        <v>1.4679</v>
      </c>
      <c r="Y213" s="1">
        <f t="shared" si="48"/>
        <v>1.0788</v>
      </c>
      <c r="Z213" s="1" t="str">
        <f t="shared" si="39"/>
        <v/>
      </c>
      <c r="AL213" s="1">
        <v>0</v>
      </c>
      <c r="AM213" s="1">
        <v>0</v>
      </c>
      <c r="AN213" s="1">
        <v>0</v>
      </c>
      <c r="AO213" s="1">
        <v>10</v>
      </c>
      <c r="AP213" s="1">
        <f t="shared" si="43"/>
        <v>0</v>
      </c>
      <c r="AQ213" s="1">
        <f t="shared" si="44"/>
        <v>0</v>
      </c>
      <c r="AR213" s="1">
        <f t="shared" si="45"/>
        <v>0</v>
      </c>
      <c r="AS213" s="1">
        <f t="shared" si="46"/>
        <v>6</v>
      </c>
    </row>
    <row r="214" spans="1:45" x14ac:dyDescent="0.2">
      <c r="A214" s="2">
        <v>41153</v>
      </c>
      <c r="B214" s="1">
        <v>0.29828803196221404</v>
      </c>
      <c r="C214" s="1">
        <v>-0.27312751490086973</v>
      </c>
      <c r="D214" s="1">
        <v>-0.13585360819347175</v>
      </c>
      <c r="E214" s="1">
        <v>-0.57354644847039526</v>
      </c>
      <c r="F214" s="1">
        <v>-0.17409735542555915</v>
      </c>
      <c r="G214" s="1">
        <v>-0.27182139564409102</v>
      </c>
      <c r="H214" s="1">
        <v>0.3218717093270283</v>
      </c>
      <c r="I214" s="1">
        <v>-1.4607653723770564</v>
      </c>
      <c r="J214" s="1">
        <v>-0.57699838419271954</v>
      </c>
      <c r="K214" s="1">
        <v>-0.62362843854505001</v>
      </c>
      <c r="L214" s="1">
        <v>-0.34696787764599707</v>
      </c>
      <c r="M214" s="1">
        <v>0</v>
      </c>
      <c r="N214" s="1">
        <v>0</v>
      </c>
      <c r="O214" s="1">
        <v>0</v>
      </c>
      <c r="P214" s="1">
        <v>6</v>
      </c>
      <c r="Q214" s="1" t="str">
        <f t="shared" si="40"/>
        <v>Recovery</v>
      </c>
      <c r="R214" s="2">
        <f t="shared" si="41"/>
        <v>41182</v>
      </c>
      <c r="S214" s="1">
        <f>VLOOKUP(R214,BB!$A$3:$C$62769, 2, 1)</f>
        <v>1.6335</v>
      </c>
      <c r="T214" s="1">
        <f t="shared" si="42"/>
        <v>1.1895</v>
      </c>
      <c r="U214" s="1">
        <f>VLOOKUP(R214,BB!$A$3:$D$6771, 4, 1)</f>
        <v>2.823</v>
      </c>
      <c r="V214" s="1" t="str">
        <f t="shared" si="37"/>
        <v/>
      </c>
      <c r="W214" s="1" t="str">
        <f t="shared" si="38"/>
        <v/>
      </c>
      <c r="X214" s="1">
        <f t="shared" si="47"/>
        <v>1.4679</v>
      </c>
      <c r="Y214" s="1">
        <f t="shared" si="48"/>
        <v>1.0788</v>
      </c>
      <c r="Z214" s="1" t="str">
        <f t="shared" si="39"/>
        <v/>
      </c>
      <c r="AL214" s="1">
        <v>0</v>
      </c>
      <c r="AM214" s="1">
        <v>0</v>
      </c>
      <c r="AN214" s="1">
        <v>0</v>
      </c>
      <c r="AO214" s="1">
        <v>10</v>
      </c>
      <c r="AP214" s="1">
        <f t="shared" si="43"/>
        <v>0</v>
      </c>
      <c r="AQ214" s="1">
        <f t="shared" si="44"/>
        <v>0</v>
      </c>
      <c r="AR214" s="1">
        <f t="shared" si="45"/>
        <v>0</v>
      </c>
      <c r="AS214" s="1">
        <f t="shared" si="46"/>
        <v>6</v>
      </c>
    </row>
    <row r="215" spans="1:45" x14ac:dyDescent="0.2">
      <c r="A215" s="2">
        <v>41183</v>
      </c>
      <c r="B215" s="1">
        <v>0.31014395258160921</v>
      </c>
      <c r="C215" s="1">
        <v>-0.18436112547286088</v>
      </c>
      <c r="D215" s="1">
        <v>-0.12567351417678135</v>
      </c>
      <c r="E215" s="1">
        <v>-0.61557142386891317</v>
      </c>
      <c r="F215" s="1">
        <v>6.5074631945740175E-2</v>
      </c>
      <c r="G215" s="1">
        <v>-0.2420176233130453</v>
      </c>
      <c r="H215" s="1">
        <v>0.45946908169153544</v>
      </c>
      <c r="I215" s="1">
        <v>-1.3458711271763197</v>
      </c>
      <c r="J215" s="1">
        <v>1.8796075496400784</v>
      </c>
      <c r="K215" s="1">
        <v>-0.34456045330647894</v>
      </c>
      <c r="L215" s="1">
        <v>-1.437600514554362E-2</v>
      </c>
      <c r="M215" s="1">
        <v>0</v>
      </c>
      <c r="N215" s="1">
        <v>0</v>
      </c>
      <c r="O215" s="1">
        <v>0</v>
      </c>
      <c r="P215" s="1">
        <v>6</v>
      </c>
      <c r="Q215" s="1" t="str">
        <f t="shared" si="40"/>
        <v>Recovery</v>
      </c>
      <c r="R215" s="2">
        <f t="shared" si="41"/>
        <v>41213</v>
      </c>
      <c r="S215" s="1">
        <f>VLOOKUP(R215,BB!$A$3:$C$62769, 2, 1)</f>
        <v>1.6900999999999999</v>
      </c>
      <c r="T215" s="1">
        <f t="shared" si="42"/>
        <v>1.1677999999999999</v>
      </c>
      <c r="U215" s="1">
        <f>VLOOKUP(R215,BB!$A$3:$D$6771, 4, 1)</f>
        <v>2.8578999999999999</v>
      </c>
      <c r="V215" s="1" t="str">
        <f t="shared" si="37"/>
        <v/>
      </c>
      <c r="W215" s="1" t="str">
        <f t="shared" si="38"/>
        <v/>
      </c>
      <c r="X215" s="1">
        <f t="shared" si="47"/>
        <v>1.4679</v>
      </c>
      <c r="Y215" s="1">
        <f t="shared" si="48"/>
        <v>1.0788</v>
      </c>
      <c r="Z215" s="1" t="str">
        <f t="shared" si="39"/>
        <v/>
      </c>
      <c r="AL215" s="1">
        <v>0</v>
      </c>
      <c r="AM215" s="1">
        <v>0</v>
      </c>
      <c r="AN215" s="1">
        <v>0</v>
      </c>
      <c r="AO215" s="1">
        <v>10</v>
      </c>
      <c r="AP215" s="1">
        <f t="shared" si="43"/>
        <v>0</v>
      </c>
      <c r="AQ215" s="1">
        <f t="shared" si="44"/>
        <v>0</v>
      </c>
      <c r="AR215" s="1">
        <f t="shared" si="45"/>
        <v>0</v>
      </c>
      <c r="AS215" s="1">
        <f t="shared" si="46"/>
        <v>6</v>
      </c>
    </row>
    <row r="216" spans="1:45" x14ac:dyDescent="0.2">
      <c r="A216" s="2">
        <v>41214</v>
      </c>
      <c r="B216" s="1">
        <v>0.1960099586657312</v>
      </c>
      <c r="C216" s="1">
        <v>-0.11777731990867556</v>
      </c>
      <c r="D216" s="1">
        <v>-0.15984549998099332</v>
      </c>
      <c r="E216" s="1">
        <v>-0.50296788306778284</v>
      </c>
      <c r="F216" s="1">
        <v>0.44441338179619644</v>
      </c>
      <c r="G216" s="1">
        <v>-0.60935628123741603</v>
      </c>
      <c r="H216" s="1">
        <v>0.48575443459844253</v>
      </c>
      <c r="I216" s="1">
        <v>-1.3150867444754029</v>
      </c>
      <c r="J216" s="1">
        <v>-0.61652253626774667</v>
      </c>
      <c r="K216" s="1">
        <v>-0.15699354364744553</v>
      </c>
      <c r="L216" s="1">
        <v>-0.23523720335250925</v>
      </c>
      <c r="M216" s="1">
        <v>0</v>
      </c>
      <c r="N216" s="1">
        <v>0</v>
      </c>
      <c r="O216" s="1">
        <v>0</v>
      </c>
      <c r="P216" s="1">
        <v>6</v>
      </c>
      <c r="Q216" s="1" t="str">
        <f t="shared" si="40"/>
        <v>Recovery</v>
      </c>
      <c r="R216" s="2">
        <f t="shared" si="41"/>
        <v>41243</v>
      </c>
      <c r="S216" s="1">
        <f>VLOOKUP(R216,BB!$A$3:$C$62769, 2, 1)</f>
        <v>1.6155999999999999</v>
      </c>
      <c r="T216" s="1">
        <f t="shared" si="42"/>
        <v>1.1933</v>
      </c>
      <c r="U216" s="1">
        <f>VLOOKUP(R216,BB!$A$3:$D$6771, 4, 1)</f>
        <v>2.8089</v>
      </c>
      <c r="V216" s="1" t="str">
        <f t="shared" si="37"/>
        <v/>
      </c>
      <c r="W216" s="1" t="str">
        <f t="shared" si="38"/>
        <v/>
      </c>
      <c r="X216" s="1">
        <f t="shared" si="47"/>
        <v>1.4679</v>
      </c>
      <c r="Y216" s="1">
        <f t="shared" si="48"/>
        <v>1.0788</v>
      </c>
      <c r="Z216" s="1" t="str">
        <f t="shared" si="39"/>
        <v/>
      </c>
      <c r="AL216" s="1">
        <v>0</v>
      </c>
      <c r="AM216" s="1">
        <v>0</v>
      </c>
      <c r="AN216" s="1">
        <v>0</v>
      </c>
      <c r="AO216" s="1">
        <v>10</v>
      </c>
      <c r="AP216" s="1">
        <f t="shared" si="43"/>
        <v>0</v>
      </c>
      <c r="AQ216" s="1">
        <f t="shared" si="44"/>
        <v>0</v>
      </c>
      <c r="AR216" s="1">
        <f t="shared" si="45"/>
        <v>0</v>
      </c>
      <c r="AS216" s="1">
        <f t="shared" si="46"/>
        <v>6</v>
      </c>
    </row>
    <row r="217" spans="1:45" x14ac:dyDescent="0.2">
      <c r="A217" s="2">
        <v>41244</v>
      </c>
      <c r="B217" s="1">
        <v>0.21832780230109808</v>
      </c>
      <c r="C217" s="1">
        <v>-0.48125653383222661</v>
      </c>
      <c r="D217" s="1">
        <v>-5.5041387082859607E-3</v>
      </c>
      <c r="E217" s="1">
        <v>-0.54688398969569874</v>
      </c>
      <c r="F217" s="1">
        <v>0.86865331424232728</v>
      </c>
      <c r="G217" s="1">
        <v>-0.41220310480413219</v>
      </c>
      <c r="H217" s="1">
        <v>0.51958212220893474</v>
      </c>
      <c r="I217" s="1">
        <v>-1.1526297299961781</v>
      </c>
      <c r="J217" s="1">
        <v>0.54839888730563802</v>
      </c>
      <c r="K217" s="1">
        <v>-8.9881667417836028E-2</v>
      </c>
      <c r="L217" s="1">
        <v>-5.3339703839635953E-2</v>
      </c>
      <c r="M217" s="1">
        <v>0</v>
      </c>
      <c r="N217" s="1">
        <v>0</v>
      </c>
      <c r="O217" s="1">
        <v>0</v>
      </c>
      <c r="P217" s="1">
        <v>6</v>
      </c>
      <c r="Q217" s="1" t="str">
        <f t="shared" si="40"/>
        <v>Recovery</v>
      </c>
      <c r="R217" s="2">
        <f t="shared" si="41"/>
        <v>41274</v>
      </c>
      <c r="S217" s="1">
        <f>VLOOKUP(R217,BB!$A$3:$C$62769, 2, 1)</f>
        <v>1.7574000000000001</v>
      </c>
      <c r="T217" s="1">
        <f t="shared" si="42"/>
        <v>1.1924999999999999</v>
      </c>
      <c r="U217" s="1">
        <f>VLOOKUP(R217,BB!$A$3:$D$6771, 4, 1)</f>
        <v>2.9499</v>
      </c>
      <c r="V217" s="1" t="str">
        <f t="shared" si="37"/>
        <v/>
      </c>
      <c r="W217" s="1" t="str">
        <f t="shared" si="38"/>
        <v/>
      </c>
      <c r="X217" s="1">
        <f t="shared" si="47"/>
        <v>1.4679</v>
      </c>
      <c r="Y217" s="1">
        <f t="shared" si="48"/>
        <v>1.0788</v>
      </c>
      <c r="Z217" s="1" t="str">
        <f t="shared" si="39"/>
        <v/>
      </c>
      <c r="AL217" s="1">
        <v>0</v>
      </c>
      <c r="AM217" s="1">
        <v>0</v>
      </c>
      <c r="AN217" s="1">
        <v>0</v>
      </c>
      <c r="AO217" s="1">
        <v>10</v>
      </c>
      <c r="AP217" s="1">
        <f t="shared" si="43"/>
        <v>0</v>
      </c>
      <c r="AQ217" s="1">
        <f t="shared" si="44"/>
        <v>0</v>
      </c>
      <c r="AR217" s="1">
        <f t="shared" si="45"/>
        <v>0</v>
      </c>
      <c r="AS217" s="1">
        <f t="shared" si="46"/>
        <v>6</v>
      </c>
    </row>
    <row r="218" spans="1:45" x14ac:dyDescent="0.2">
      <c r="A218" s="2">
        <v>41275</v>
      </c>
      <c r="B218" s="1">
        <v>0.25677789398536505</v>
      </c>
      <c r="C218" s="1">
        <v>-0.7527007105856337</v>
      </c>
      <c r="D218" s="1">
        <v>0.22379277778059878</v>
      </c>
      <c r="E218" s="1">
        <v>-0.59023252529598902</v>
      </c>
      <c r="F218" s="1">
        <v>0.48274259087951682</v>
      </c>
      <c r="G218" s="1">
        <v>-1.1254398437172148E-2</v>
      </c>
      <c r="H218" s="1">
        <v>0.52089013013457952</v>
      </c>
      <c r="I218" s="1">
        <v>-1.1662976103502145</v>
      </c>
      <c r="J218" s="1">
        <v>-0.54143992044830858</v>
      </c>
      <c r="K218" s="1">
        <v>0.11396093225125119</v>
      </c>
      <c r="L218" s="1">
        <v>-0.14637608400860064</v>
      </c>
      <c r="M218" s="1">
        <v>0</v>
      </c>
      <c r="N218" s="1">
        <v>0</v>
      </c>
      <c r="O218" s="1">
        <v>0</v>
      </c>
      <c r="P218" s="1">
        <v>6</v>
      </c>
      <c r="Q218" s="1" t="str">
        <f t="shared" si="40"/>
        <v>Recovery</v>
      </c>
      <c r="R218" s="2">
        <f t="shared" si="41"/>
        <v>41305</v>
      </c>
      <c r="S218" s="1">
        <f>VLOOKUP(R218,BB!$A$3:$C$62769, 2, 1)</f>
        <v>1.9849000000000001</v>
      </c>
      <c r="T218" s="1">
        <f t="shared" si="42"/>
        <v>1.1869999999999998</v>
      </c>
      <c r="U218" s="1">
        <f>VLOOKUP(R218,BB!$A$3:$D$6771, 4, 1)</f>
        <v>3.1718999999999999</v>
      </c>
      <c r="V218" s="1" t="str">
        <f t="shared" si="37"/>
        <v/>
      </c>
      <c r="W218" s="1" t="str">
        <f t="shared" si="38"/>
        <v/>
      </c>
      <c r="X218" s="1">
        <f t="shared" si="47"/>
        <v>1.4679</v>
      </c>
      <c r="Y218" s="1">
        <f t="shared" si="48"/>
        <v>1.0788</v>
      </c>
      <c r="Z218" s="1" t="str">
        <f t="shared" si="39"/>
        <v/>
      </c>
      <c r="AL218" s="1">
        <v>0</v>
      </c>
      <c r="AM218" s="1">
        <v>0</v>
      </c>
      <c r="AN218" s="1">
        <v>0</v>
      </c>
      <c r="AO218" s="1">
        <v>10</v>
      </c>
      <c r="AP218" s="1">
        <f t="shared" si="43"/>
        <v>0</v>
      </c>
      <c r="AQ218" s="1">
        <f t="shared" si="44"/>
        <v>0</v>
      </c>
      <c r="AR218" s="1">
        <f t="shared" si="45"/>
        <v>0</v>
      </c>
      <c r="AS218" s="1">
        <f t="shared" si="46"/>
        <v>6</v>
      </c>
    </row>
    <row r="219" spans="1:45" x14ac:dyDescent="0.2">
      <c r="A219" s="2">
        <v>41306</v>
      </c>
      <c r="B219" s="1">
        <v>0.42336726452419676</v>
      </c>
      <c r="C219" s="1">
        <v>-0.27562354647962783</v>
      </c>
      <c r="D219" s="1">
        <v>0.14307741393140716</v>
      </c>
      <c r="E219" s="1">
        <v>-0.47791983217090278</v>
      </c>
      <c r="F219" s="1">
        <v>-0.11925503333345612</v>
      </c>
      <c r="G219" s="1">
        <v>0.17102240474778027</v>
      </c>
      <c r="H219" s="1">
        <v>0.57147861314982418</v>
      </c>
      <c r="I219" s="1">
        <v>-1.2961175282125572</v>
      </c>
      <c r="J219" s="1">
        <v>9.3838957447557048E-3</v>
      </c>
      <c r="K219" s="1">
        <v>9.9141508760999086E-2</v>
      </c>
      <c r="L219" s="1">
        <v>-7.5144483933758083E-2</v>
      </c>
      <c r="M219" s="1">
        <v>0</v>
      </c>
      <c r="N219" s="1">
        <v>0</v>
      </c>
      <c r="O219" s="1">
        <v>0</v>
      </c>
      <c r="P219" s="1">
        <v>6</v>
      </c>
      <c r="Q219" s="1" t="str">
        <f t="shared" si="40"/>
        <v>Recovery</v>
      </c>
      <c r="R219" s="2">
        <f t="shared" si="41"/>
        <v>41333</v>
      </c>
      <c r="S219" s="1">
        <f>VLOOKUP(R219,BB!$A$3:$C$62769, 2, 1)</f>
        <v>1.8755999999999999</v>
      </c>
      <c r="T219" s="1">
        <f t="shared" si="42"/>
        <v>1.21</v>
      </c>
      <c r="U219" s="1">
        <f>VLOOKUP(R219,BB!$A$3:$D$6771, 4, 1)</f>
        <v>3.0855999999999999</v>
      </c>
      <c r="V219" s="1">
        <f t="shared" ref="V219:V282" si="49">IF(Q219&lt;&gt;Q220, S219-X219, "")</f>
        <v>0.40769999999999995</v>
      </c>
      <c r="W219" s="1">
        <f t="shared" ref="W219:W282" si="50">IF(Q219&lt;&gt;Q220, T219-Y219, "")</f>
        <v>0.13119999999999998</v>
      </c>
      <c r="X219" s="1">
        <f t="shared" si="47"/>
        <v>1.4679</v>
      </c>
      <c r="Y219" s="1">
        <f t="shared" si="48"/>
        <v>1.0788</v>
      </c>
      <c r="Z219" s="1" t="str">
        <f t="shared" si="39"/>
        <v>Recovery</v>
      </c>
      <c r="AL219" s="1">
        <v>0</v>
      </c>
      <c r="AM219" s="1">
        <v>0</v>
      </c>
      <c r="AN219" s="1">
        <v>0</v>
      </c>
      <c r="AO219" s="1">
        <v>10</v>
      </c>
      <c r="AP219" s="1">
        <f t="shared" si="43"/>
        <v>0</v>
      </c>
      <c r="AQ219" s="1">
        <f t="shared" si="44"/>
        <v>0</v>
      </c>
      <c r="AR219" s="1">
        <f t="shared" si="45"/>
        <v>0</v>
      </c>
      <c r="AS219" s="1">
        <f t="shared" si="46"/>
        <v>6</v>
      </c>
    </row>
    <row r="220" spans="1:45" x14ac:dyDescent="0.2">
      <c r="A220" s="2">
        <v>41334</v>
      </c>
      <c r="B220" s="1">
        <v>0.52195906427323036</v>
      </c>
      <c r="C220" s="1">
        <v>-0.69947238403856882</v>
      </c>
      <c r="D220" s="1">
        <v>0.11141570203390047</v>
      </c>
      <c r="E220" s="1">
        <v>-0.41844323290934643</v>
      </c>
      <c r="F220" s="1">
        <v>-0.93859473060535537</v>
      </c>
      <c r="G220" s="1">
        <v>-0.31192867251126971</v>
      </c>
      <c r="H220" s="1">
        <v>0.61160584169164967</v>
      </c>
      <c r="I220" s="1">
        <v>-1.2409452086410819</v>
      </c>
      <c r="J220" s="1">
        <v>-0.25607290790621057</v>
      </c>
      <c r="K220" s="1">
        <v>6.256725757810673E-2</v>
      </c>
      <c r="L220" s="1">
        <v>-0.25579092710349455</v>
      </c>
      <c r="M220" s="1">
        <v>0</v>
      </c>
      <c r="N220" s="1">
        <v>0</v>
      </c>
      <c r="O220" s="1">
        <v>6</v>
      </c>
      <c r="P220" s="1">
        <v>0</v>
      </c>
      <c r="Q220" s="1" t="str">
        <f t="shared" si="40"/>
        <v>Repair</v>
      </c>
      <c r="R220" s="2">
        <f t="shared" si="41"/>
        <v>41364</v>
      </c>
      <c r="S220" s="1">
        <f>VLOOKUP(R220,BB!$A$3:$C$62769, 2, 1)</f>
        <v>1.8486</v>
      </c>
      <c r="T220" s="1">
        <f t="shared" si="42"/>
        <v>1.2537</v>
      </c>
      <c r="U220" s="1">
        <f>VLOOKUP(R220,BB!$A$3:$D$6771, 4, 1)</f>
        <v>3.1023000000000001</v>
      </c>
      <c r="V220" s="1">
        <f t="shared" si="49"/>
        <v>-2.6999999999999913E-2</v>
      </c>
      <c r="W220" s="1">
        <f t="shared" si="50"/>
        <v>4.3700000000000072E-2</v>
      </c>
      <c r="X220" s="1">
        <f t="shared" si="47"/>
        <v>1.8755999999999999</v>
      </c>
      <c r="Y220" s="1">
        <f t="shared" si="48"/>
        <v>1.21</v>
      </c>
      <c r="Z220" s="1" t="str">
        <f t="shared" si="39"/>
        <v>Repair</v>
      </c>
      <c r="AL220" s="1">
        <v>0</v>
      </c>
      <c r="AM220" s="1">
        <v>0</v>
      </c>
      <c r="AN220" s="1">
        <v>10</v>
      </c>
      <c r="AO220" s="1">
        <v>0</v>
      </c>
      <c r="AP220" s="1">
        <f t="shared" si="43"/>
        <v>0</v>
      </c>
      <c r="AQ220" s="1">
        <f t="shared" si="44"/>
        <v>0</v>
      </c>
      <c r="AR220" s="1">
        <f t="shared" si="45"/>
        <v>6</v>
      </c>
      <c r="AS220" s="1">
        <f t="shared" si="46"/>
        <v>0</v>
      </c>
    </row>
    <row r="221" spans="1:45" x14ac:dyDescent="0.2">
      <c r="A221" s="2">
        <v>41365</v>
      </c>
      <c r="B221" s="1">
        <v>0.51417185029068591</v>
      </c>
      <c r="C221" s="1">
        <v>-0.34050318250477263</v>
      </c>
      <c r="D221" s="1">
        <v>-3.2452541006845054E-2</v>
      </c>
      <c r="E221" s="1">
        <v>-0.35947273907896177</v>
      </c>
      <c r="F221" s="1">
        <v>-1.0834921084451596</v>
      </c>
      <c r="G221" s="1">
        <v>-0.42001641215202523</v>
      </c>
      <c r="H221" s="1">
        <v>0.63120920311969875</v>
      </c>
      <c r="I221" s="1">
        <v>-1.2211681515195849</v>
      </c>
      <c r="J221" s="1">
        <v>-0.14590154345398512</v>
      </c>
      <c r="K221" s="1">
        <v>0.23263374161645461</v>
      </c>
      <c r="L221" s="1">
        <v>-0.2224991883134495</v>
      </c>
      <c r="M221" s="1">
        <v>0</v>
      </c>
      <c r="N221" s="1">
        <v>0</v>
      </c>
      <c r="O221" s="1">
        <v>0</v>
      </c>
      <c r="P221" s="1">
        <v>6</v>
      </c>
      <c r="Q221" s="1" t="str">
        <f t="shared" si="40"/>
        <v>Recovery</v>
      </c>
      <c r="R221" s="2">
        <f t="shared" si="41"/>
        <v>41394</v>
      </c>
      <c r="S221" s="1">
        <f>VLOOKUP(R221,BB!$A$3:$C$62769, 2, 1)</f>
        <v>1.6717</v>
      </c>
      <c r="T221" s="1">
        <f t="shared" si="42"/>
        <v>1.2044999999999999</v>
      </c>
      <c r="U221" s="1">
        <f>VLOOKUP(R221,BB!$A$3:$D$6771, 4, 1)</f>
        <v>2.8761999999999999</v>
      </c>
      <c r="V221" s="1" t="str">
        <f t="shared" si="49"/>
        <v/>
      </c>
      <c r="W221" s="1" t="str">
        <f t="shared" si="50"/>
        <v/>
      </c>
      <c r="X221" s="1">
        <f t="shared" si="47"/>
        <v>1.8486</v>
      </c>
      <c r="Y221" s="1">
        <f t="shared" si="48"/>
        <v>1.2537</v>
      </c>
      <c r="Z221" s="1" t="str">
        <f t="shared" si="39"/>
        <v/>
      </c>
      <c r="AL221" s="1">
        <v>0</v>
      </c>
      <c r="AM221" s="1">
        <v>0</v>
      </c>
      <c r="AN221" s="1">
        <v>0</v>
      </c>
      <c r="AO221" s="1">
        <v>10</v>
      </c>
      <c r="AP221" s="1">
        <f t="shared" si="43"/>
        <v>0</v>
      </c>
      <c r="AQ221" s="1">
        <f t="shared" si="44"/>
        <v>0</v>
      </c>
      <c r="AR221" s="1">
        <f t="shared" si="45"/>
        <v>0</v>
      </c>
      <c r="AS221" s="1">
        <f t="shared" si="46"/>
        <v>6</v>
      </c>
    </row>
    <row r="222" spans="1:45" x14ac:dyDescent="0.2">
      <c r="A222" s="2">
        <v>41395</v>
      </c>
      <c r="B222" s="1">
        <v>0.56205433074525779</v>
      </c>
      <c r="C222" s="1">
        <v>8.8292073127059292E-3</v>
      </c>
      <c r="D222" s="1">
        <v>0.36879487217729434</v>
      </c>
      <c r="E222" s="1">
        <v>-0.40453734092033289</v>
      </c>
      <c r="F222" s="1">
        <v>-1.074355764021881</v>
      </c>
      <c r="G222" s="1">
        <v>-0.71355948612950482</v>
      </c>
      <c r="H222" s="1">
        <v>0.59999040715658325</v>
      </c>
      <c r="I222" s="1">
        <v>-1.1583057772873107</v>
      </c>
      <c r="J222" s="1">
        <v>-1.1144931008082452E-2</v>
      </c>
      <c r="K222" s="1">
        <v>0.20310719362354215</v>
      </c>
      <c r="L222" s="1">
        <v>-0.1619127288351728</v>
      </c>
      <c r="M222" s="1">
        <v>0</v>
      </c>
      <c r="N222" s="1">
        <v>0</v>
      </c>
      <c r="O222" s="1">
        <v>0</v>
      </c>
      <c r="P222" s="1">
        <v>6</v>
      </c>
      <c r="Q222" s="1" t="str">
        <f t="shared" si="40"/>
        <v>Recovery</v>
      </c>
      <c r="R222" s="2">
        <f t="shared" si="41"/>
        <v>41425</v>
      </c>
      <c r="S222" s="1">
        <f>VLOOKUP(R222,BB!$A$3:$C$62769, 2, 1)</f>
        <v>2.1282000000000001</v>
      </c>
      <c r="T222" s="1">
        <f t="shared" si="42"/>
        <v>1.1509</v>
      </c>
      <c r="U222" s="1">
        <f>VLOOKUP(R222,BB!$A$3:$D$6771, 4, 1)</f>
        <v>3.2791000000000001</v>
      </c>
      <c r="V222" s="1" t="str">
        <f t="shared" si="49"/>
        <v/>
      </c>
      <c r="W222" s="1" t="str">
        <f t="shared" si="50"/>
        <v/>
      </c>
      <c r="X222" s="1">
        <f t="shared" si="47"/>
        <v>1.8486</v>
      </c>
      <c r="Y222" s="1">
        <f t="shared" si="48"/>
        <v>1.2537</v>
      </c>
      <c r="Z222" s="1" t="str">
        <f t="shared" si="39"/>
        <v/>
      </c>
      <c r="AL222" s="1">
        <v>0</v>
      </c>
      <c r="AM222" s="1">
        <v>0</v>
      </c>
      <c r="AN222" s="1">
        <v>0</v>
      </c>
      <c r="AO222" s="1">
        <v>10</v>
      </c>
      <c r="AP222" s="1">
        <f t="shared" si="43"/>
        <v>0</v>
      </c>
      <c r="AQ222" s="1">
        <f t="shared" si="44"/>
        <v>0</v>
      </c>
      <c r="AR222" s="1">
        <f t="shared" si="45"/>
        <v>0</v>
      </c>
      <c r="AS222" s="1">
        <f t="shared" si="46"/>
        <v>6</v>
      </c>
    </row>
    <row r="223" spans="1:45" x14ac:dyDescent="0.2">
      <c r="A223" s="2">
        <v>41426</v>
      </c>
      <c r="B223" s="1">
        <v>0.56156638582725571</v>
      </c>
      <c r="C223" s="1">
        <v>0.23289492810021029</v>
      </c>
      <c r="D223" s="1">
        <v>0.68495484361101866</v>
      </c>
      <c r="E223" s="1">
        <v>-0.39806895329612002</v>
      </c>
      <c r="F223" s="1">
        <v>-0.98411754934912576</v>
      </c>
      <c r="G223" s="1">
        <v>-0.39602399730124227</v>
      </c>
      <c r="H223" s="1">
        <v>0.58918458180110467</v>
      </c>
      <c r="I223" s="1">
        <v>-1.1027910122823319</v>
      </c>
      <c r="J223" s="1">
        <v>-0.74615072589480969</v>
      </c>
      <c r="K223" s="1">
        <v>6.1548320959105438E-2</v>
      </c>
      <c r="L223" s="1">
        <v>-0.14970031778249351</v>
      </c>
      <c r="M223" s="1">
        <v>0</v>
      </c>
      <c r="N223" s="1">
        <v>0</v>
      </c>
      <c r="O223" s="1">
        <v>0</v>
      </c>
      <c r="P223" s="1">
        <v>6</v>
      </c>
      <c r="Q223" s="1" t="str">
        <f t="shared" si="40"/>
        <v>Recovery</v>
      </c>
      <c r="R223" s="2">
        <f t="shared" si="41"/>
        <v>41455</v>
      </c>
      <c r="S223" s="1">
        <f>VLOOKUP(R223,BB!$A$3:$C$62769, 2, 1)</f>
        <v>2.4857</v>
      </c>
      <c r="T223" s="1">
        <f t="shared" si="42"/>
        <v>1.0137</v>
      </c>
      <c r="U223" s="1">
        <f>VLOOKUP(R223,BB!$A$3:$D$6771, 4, 1)</f>
        <v>3.4994000000000001</v>
      </c>
      <c r="V223" s="1">
        <f t="shared" si="49"/>
        <v>0.6371</v>
      </c>
      <c r="W223" s="1">
        <f t="shared" si="50"/>
        <v>-0.24</v>
      </c>
      <c r="X223" s="1">
        <f t="shared" si="47"/>
        <v>1.8486</v>
      </c>
      <c r="Y223" s="1">
        <f t="shared" si="48"/>
        <v>1.2537</v>
      </c>
      <c r="Z223" s="1" t="str">
        <f t="shared" si="39"/>
        <v>Recovery</v>
      </c>
      <c r="AL223" s="1">
        <v>0</v>
      </c>
      <c r="AM223" s="1">
        <v>0</v>
      </c>
      <c r="AN223" s="1">
        <v>0</v>
      </c>
      <c r="AO223" s="1">
        <v>10</v>
      </c>
      <c r="AP223" s="1">
        <f t="shared" si="43"/>
        <v>0</v>
      </c>
      <c r="AQ223" s="1">
        <f t="shared" si="44"/>
        <v>0</v>
      </c>
      <c r="AR223" s="1">
        <f t="shared" si="45"/>
        <v>0</v>
      </c>
      <c r="AS223" s="1">
        <f t="shared" si="46"/>
        <v>6</v>
      </c>
    </row>
    <row r="224" spans="1:45" x14ac:dyDescent="0.2">
      <c r="A224" s="2">
        <v>41456</v>
      </c>
      <c r="B224" s="1">
        <v>0.5608731245438614</v>
      </c>
      <c r="C224" s="1">
        <v>0.18685161811432138</v>
      </c>
      <c r="D224" s="1">
        <v>0.83173568842870449</v>
      </c>
      <c r="E224" s="1">
        <v>-0.28995825263069175</v>
      </c>
      <c r="F224" s="1">
        <v>-0.815134771754779</v>
      </c>
      <c r="G224" s="1">
        <v>0.35281173042920999</v>
      </c>
      <c r="H224" s="1">
        <v>0.598426216064185</v>
      </c>
      <c r="I224" s="1">
        <v>-0.99860993122250541</v>
      </c>
      <c r="J224" s="1">
        <v>-0.11687228424457094</v>
      </c>
      <c r="K224" s="1">
        <v>0.33647012374765117</v>
      </c>
      <c r="L224" s="1">
        <v>6.4659326147538596E-2</v>
      </c>
      <c r="M224" s="1">
        <v>6</v>
      </c>
      <c r="N224" s="1">
        <v>0</v>
      </c>
      <c r="O224" s="1">
        <v>0</v>
      </c>
      <c r="P224" s="1">
        <v>0</v>
      </c>
      <c r="Q224" s="1" t="str">
        <f t="shared" si="40"/>
        <v>Expansion</v>
      </c>
      <c r="R224" s="2">
        <f t="shared" si="41"/>
        <v>41486</v>
      </c>
      <c r="S224" s="1">
        <f>VLOOKUP(R224,BB!$A$3:$C$62769, 2, 1)</f>
        <v>2.5762</v>
      </c>
      <c r="T224" s="1">
        <f t="shared" si="42"/>
        <v>1.0590999999999999</v>
      </c>
      <c r="U224" s="1">
        <f>VLOOKUP(R224,BB!$A$3:$D$6771, 4, 1)</f>
        <v>3.6353</v>
      </c>
      <c r="V224" s="1" t="str">
        <f t="shared" si="49"/>
        <v/>
      </c>
      <c r="W224" s="1" t="str">
        <f t="shared" si="50"/>
        <v/>
      </c>
      <c r="X224" s="1">
        <f t="shared" si="47"/>
        <v>2.4857</v>
      </c>
      <c r="Y224" s="1">
        <f t="shared" si="48"/>
        <v>1.0137</v>
      </c>
      <c r="Z224" s="1" t="str">
        <f t="shared" si="39"/>
        <v/>
      </c>
      <c r="AL224" s="1">
        <v>10</v>
      </c>
      <c r="AM224" s="1">
        <v>0</v>
      </c>
      <c r="AN224" s="1">
        <v>0</v>
      </c>
      <c r="AO224" s="1">
        <v>0</v>
      </c>
      <c r="AP224" s="1">
        <f t="shared" si="43"/>
        <v>6</v>
      </c>
      <c r="AQ224" s="1">
        <f t="shared" si="44"/>
        <v>0</v>
      </c>
      <c r="AR224" s="1">
        <f t="shared" si="45"/>
        <v>0</v>
      </c>
      <c r="AS224" s="1">
        <f t="shared" si="46"/>
        <v>0</v>
      </c>
    </row>
    <row r="225" spans="1:45" x14ac:dyDescent="0.2">
      <c r="A225" s="2">
        <v>41487</v>
      </c>
      <c r="B225" s="1">
        <v>0.61473789632293019</v>
      </c>
      <c r="C225" s="1">
        <v>0.23660012537305886</v>
      </c>
      <c r="D225" s="1">
        <v>0.96422478819354307</v>
      </c>
      <c r="E225" s="1">
        <v>-0.23344821116348549</v>
      </c>
      <c r="F225" s="1">
        <v>-0.69424210147669263</v>
      </c>
      <c r="G225" s="1">
        <v>0.39775108767050188</v>
      </c>
      <c r="H225" s="1">
        <v>0.60689835224675692</v>
      </c>
      <c r="I225" s="1">
        <v>-0.97256050617887135</v>
      </c>
      <c r="J225" s="1">
        <v>-0.83146918171184647</v>
      </c>
      <c r="K225" s="1">
        <v>0.43177515251918741</v>
      </c>
      <c r="L225" s="1">
        <v>5.2026740179508271E-2</v>
      </c>
      <c r="M225" s="1">
        <v>6</v>
      </c>
      <c r="N225" s="1">
        <v>0</v>
      </c>
      <c r="O225" s="1">
        <v>0</v>
      </c>
      <c r="P225" s="1">
        <v>0</v>
      </c>
      <c r="Q225" s="1" t="str">
        <f t="shared" si="40"/>
        <v>Expansion</v>
      </c>
      <c r="R225" s="2">
        <f t="shared" si="41"/>
        <v>41517</v>
      </c>
      <c r="S225" s="1">
        <f>VLOOKUP(R225,BB!$A$3:$C$62769, 2, 1)</f>
        <v>2.7839</v>
      </c>
      <c r="T225" s="1">
        <f t="shared" si="42"/>
        <v>0.91559999999999997</v>
      </c>
      <c r="U225" s="1">
        <f>VLOOKUP(R225,BB!$A$3:$D$6771, 4, 1)</f>
        <v>3.6995</v>
      </c>
      <c r="V225" s="1" t="str">
        <f t="shared" si="49"/>
        <v/>
      </c>
      <c r="W225" s="1" t="str">
        <f t="shared" si="50"/>
        <v/>
      </c>
      <c r="X225" s="1">
        <f t="shared" si="47"/>
        <v>2.4857</v>
      </c>
      <c r="Y225" s="1">
        <f t="shared" si="48"/>
        <v>1.0137</v>
      </c>
      <c r="Z225" s="1" t="str">
        <f t="shared" si="39"/>
        <v/>
      </c>
      <c r="AL225" s="1">
        <v>10</v>
      </c>
      <c r="AM225" s="1">
        <v>0</v>
      </c>
      <c r="AN225" s="1">
        <v>0</v>
      </c>
      <c r="AO225" s="1">
        <v>0</v>
      </c>
      <c r="AP225" s="1">
        <f t="shared" si="43"/>
        <v>6</v>
      </c>
      <c r="AQ225" s="1">
        <f t="shared" si="44"/>
        <v>0</v>
      </c>
      <c r="AR225" s="1">
        <f t="shared" si="45"/>
        <v>0</v>
      </c>
      <c r="AS225" s="1">
        <f t="shared" si="46"/>
        <v>0</v>
      </c>
    </row>
    <row r="226" spans="1:45" x14ac:dyDescent="0.2">
      <c r="A226" s="2">
        <v>41518</v>
      </c>
      <c r="B226" s="1">
        <v>0.75368683855897178</v>
      </c>
      <c r="C226" s="1">
        <v>0.15989489287606304</v>
      </c>
      <c r="D226" s="1">
        <v>0.86789800368518955</v>
      </c>
      <c r="E226" s="1">
        <v>-0.1769777618695999</v>
      </c>
      <c r="F226" s="1">
        <v>-0.68885896006920022</v>
      </c>
      <c r="G226" s="1">
        <v>0.47953653982546796</v>
      </c>
      <c r="H226" s="1">
        <v>0.63451692546255123</v>
      </c>
      <c r="I226" s="1">
        <v>-0.85531309635165376</v>
      </c>
      <c r="J226" s="1">
        <v>2.2910767473523896</v>
      </c>
      <c r="K226" s="1">
        <v>0.3151590745983579</v>
      </c>
      <c r="L226" s="1">
        <v>0.37806192040685377</v>
      </c>
      <c r="M226" s="1">
        <v>6</v>
      </c>
      <c r="N226" s="1">
        <v>0</v>
      </c>
      <c r="O226" s="1">
        <v>0</v>
      </c>
      <c r="P226" s="1">
        <v>0</v>
      </c>
      <c r="Q226" s="1" t="str">
        <f t="shared" si="40"/>
        <v>Expansion</v>
      </c>
      <c r="R226" s="2">
        <f t="shared" si="41"/>
        <v>41547</v>
      </c>
      <c r="S226" s="1">
        <f>VLOOKUP(R226,BB!$A$3:$C$62769, 2, 1)</f>
        <v>2.61</v>
      </c>
      <c r="T226" s="1">
        <f t="shared" si="42"/>
        <v>1.0747</v>
      </c>
      <c r="U226" s="1">
        <f>VLOOKUP(R226,BB!$A$3:$D$6771, 4, 1)</f>
        <v>3.6846999999999999</v>
      </c>
      <c r="V226" s="1">
        <f t="shared" si="49"/>
        <v>0.12429999999999986</v>
      </c>
      <c r="W226" s="1">
        <f t="shared" si="50"/>
        <v>6.0999999999999943E-2</v>
      </c>
      <c r="X226" s="1">
        <f t="shared" si="47"/>
        <v>2.4857</v>
      </c>
      <c r="Y226" s="1">
        <f t="shared" si="48"/>
        <v>1.0137</v>
      </c>
      <c r="Z226" s="1" t="str">
        <f t="shared" si="39"/>
        <v>Expansion</v>
      </c>
      <c r="AL226" s="1">
        <v>10</v>
      </c>
      <c r="AM226" s="1">
        <v>0</v>
      </c>
      <c r="AN226" s="1">
        <v>0</v>
      </c>
      <c r="AO226" s="1">
        <v>0</v>
      </c>
      <c r="AP226" s="1">
        <f t="shared" si="43"/>
        <v>6</v>
      </c>
      <c r="AQ226" s="1">
        <f t="shared" si="44"/>
        <v>0</v>
      </c>
      <c r="AR226" s="1">
        <f t="shared" si="45"/>
        <v>0</v>
      </c>
      <c r="AS226" s="1">
        <f t="shared" si="46"/>
        <v>0</v>
      </c>
    </row>
    <row r="227" spans="1:45" x14ac:dyDescent="0.2">
      <c r="A227" s="2">
        <v>41548</v>
      </c>
      <c r="B227" s="1">
        <v>0.74662086932282423</v>
      </c>
      <c r="C227" s="1">
        <v>-0.20297889958469012</v>
      </c>
      <c r="D227" s="1">
        <v>0.82389032991971423</v>
      </c>
      <c r="E227" s="1">
        <v>-0.22380131148726493</v>
      </c>
      <c r="F227" s="1">
        <v>-0.85394326869558623</v>
      </c>
      <c r="G227" s="1">
        <v>0.50892341742982516</v>
      </c>
      <c r="H227" s="1">
        <v>0.64175056590741386</v>
      </c>
      <c r="I227" s="1">
        <v>-0.72301543546900493</v>
      </c>
      <c r="J227" s="1">
        <v>-0.11985855460632988</v>
      </c>
      <c r="K227" s="1">
        <v>0.30583120630313843</v>
      </c>
      <c r="L227" s="1">
        <v>9.0341891904003963E-2</v>
      </c>
      <c r="M227" s="1">
        <v>0</v>
      </c>
      <c r="N227" s="1">
        <v>6</v>
      </c>
      <c r="O227" s="1">
        <v>0</v>
      </c>
      <c r="P227" s="1">
        <v>0</v>
      </c>
      <c r="Q227" s="1" t="str">
        <f t="shared" si="40"/>
        <v>Downturn</v>
      </c>
      <c r="R227" s="2">
        <f t="shared" si="41"/>
        <v>41578</v>
      </c>
      <c r="S227" s="1">
        <f>VLOOKUP(R227,BB!$A$3:$C$62769, 2, 1)</f>
        <v>2.5541999999999998</v>
      </c>
      <c r="T227" s="1">
        <f t="shared" si="42"/>
        <v>1.0844</v>
      </c>
      <c r="U227" s="1">
        <f>VLOOKUP(R227,BB!$A$3:$D$6771, 4, 1)</f>
        <v>3.6385999999999998</v>
      </c>
      <c r="V227" s="1">
        <f t="shared" si="49"/>
        <v>-5.5800000000000072E-2</v>
      </c>
      <c r="W227" s="1">
        <f t="shared" si="50"/>
        <v>9.7000000000000419E-3</v>
      </c>
      <c r="X227" s="1">
        <f t="shared" si="47"/>
        <v>2.61</v>
      </c>
      <c r="Y227" s="1">
        <f t="shared" si="48"/>
        <v>1.0747</v>
      </c>
      <c r="Z227" s="1" t="str">
        <f t="shared" si="39"/>
        <v>Downturn</v>
      </c>
      <c r="AL227" s="1">
        <v>0</v>
      </c>
      <c r="AM227" s="1">
        <v>10</v>
      </c>
      <c r="AN227" s="1">
        <v>0</v>
      </c>
      <c r="AO227" s="1">
        <v>0</v>
      </c>
      <c r="AP227" s="1">
        <f t="shared" si="43"/>
        <v>0</v>
      </c>
      <c r="AQ227" s="1">
        <f t="shared" si="44"/>
        <v>6</v>
      </c>
      <c r="AR227" s="1">
        <f t="shared" si="45"/>
        <v>0</v>
      </c>
      <c r="AS227" s="1">
        <f t="shared" si="46"/>
        <v>0</v>
      </c>
    </row>
    <row r="228" spans="1:45" x14ac:dyDescent="0.2">
      <c r="A228" s="2">
        <v>41579</v>
      </c>
      <c r="B228" s="1">
        <v>0.70511652011118608</v>
      </c>
      <c r="C228" s="1">
        <v>-0.2335293605555791</v>
      </c>
      <c r="D228" s="1">
        <v>1.056835935761659</v>
      </c>
      <c r="E228" s="1">
        <v>-6.3922738594534997E-2</v>
      </c>
      <c r="F228" s="1">
        <v>-1.1293541888932752</v>
      </c>
      <c r="G228" s="1">
        <v>0.65995359821479993</v>
      </c>
      <c r="H228" s="1">
        <v>0.63918654775673656</v>
      </c>
      <c r="I228" s="1">
        <v>-0.65394177705349954</v>
      </c>
      <c r="J228" s="1">
        <v>-0.6235685801594989</v>
      </c>
      <c r="K228" s="1">
        <v>0.28529299272451497</v>
      </c>
      <c r="L228" s="1">
        <v>6.4206894931250869E-2</v>
      </c>
      <c r="M228" s="1">
        <v>6</v>
      </c>
      <c r="N228" s="1">
        <v>0</v>
      </c>
      <c r="O228" s="1">
        <v>0</v>
      </c>
      <c r="P228" s="1">
        <v>0</v>
      </c>
      <c r="Q228" s="1" t="str">
        <f t="shared" si="40"/>
        <v>Expansion</v>
      </c>
      <c r="R228" s="2">
        <f t="shared" si="41"/>
        <v>41608</v>
      </c>
      <c r="S228" s="1">
        <f>VLOOKUP(R228,BB!$A$3:$C$62769, 2, 1)</f>
        <v>2.7444999999999999</v>
      </c>
      <c r="T228" s="1">
        <f t="shared" si="42"/>
        <v>1.0661</v>
      </c>
      <c r="U228" s="1">
        <f>VLOOKUP(R228,BB!$A$3:$D$6771, 4, 1)</f>
        <v>3.8106</v>
      </c>
      <c r="V228" s="1">
        <f t="shared" si="49"/>
        <v>0.19030000000000014</v>
      </c>
      <c r="W228" s="1">
        <f t="shared" si="50"/>
        <v>-1.8299999999999983E-2</v>
      </c>
      <c r="X228" s="1">
        <f t="shared" si="47"/>
        <v>2.5541999999999998</v>
      </c>
      <c r="Y228" s="1">
        <f t="shared" si="48"/>
        <v>1.0844</v>
      </c>
      <c r="Z228" s="1" t="str">
        <f t="shared" si="39"/>
        <v>Expansion</v>
      </c>
      <c r="AL228" s="1">
        <v>10</v>
      </c>
      <c r="AM228" s="1">
        <v>0</v>
      </c>
      <c r="AN228" s="1">
        <v>0</v>
      </c>
      <c r="AO228" s="1">
        <v>0</v>
      </c>
      <c r="AP228" s="1">
        <f t="shared" si="43"/>
        <v>6</v>
      </c>
      <c r="AQ228" s="1">
        <f t="shared" si="44"/>
        <v>0</v>
      </c>
      <c r="AR228" s="1">
        <f t="shared" si="45"/>
        <v>0</v>
      </c>
      <c r="AS228" s="1">
        <f t="shared" si="46"/>
        <v>0</v>
      </c>
    </row>
    <row r="229" spans="1:45" x14ac:dyDescent="0.2">
      <c r="A229" s="2">
        <v>41609</v>
      </c>
      <c r="B229" s="1">
        <v>0.57515440238607551</v>
      </c>
      <c r="C229" s="1">
        <v>0.10198604901831509</v>
      </c>
      <c r="D229" s="1">
        <v>1.2519372987932831</v>
      </c>
      <c r="E229" s="1">
        <v>9.534117815825402E-2</v>
      </c>
      <c r="F229" s="1">
        <v>-1.5330693982096293</v>
      </c>
      <c r="G229" s="1">
        <v>0.62301080546432752</v>
      </c>
      <c r="H229" s="1">
        <v>0.61668667225983009</v>
      </c>
      <c r="I229" s="1">
        <v>-0.68948143140125762</v>
      </c>
      <c r="J229" s="1">
        <v>-7.3409134311317389E-2</v>
      </c>
      <c r="K229" s="1">
        <v>0.24723974138944288</v>
      </c>
      <c r="L229" s="1">
        <v>0.12153961835473237</v>
      </c>
      <c r="M229" s="1">
        <v>0</v>
      </c>
      <c r="N229" s="1">
        <v>6</v>
      </c>
      <c r="O229" s="1">
        <v>0</v>
      </c>
      <c r="P229" s="1">
        <v>0</v>
      </c>
      <c r="Q229" s="1" t="str">
        <f t="shared" si="40"/>
        <v>Downturn</v>
      </c>
      <c r="R229" s="2">
        <f t="shared" si="41"/>
        <v>41639</v>
      </c>
      <c r="S229" s="1">
        <f>VLOOKUP(R229,BB!$A$3:$C$62769, 2, 1)</f>
        <v>3.0282</v>
      </c>
      <c r="T229" s="1">
        <f t="shared" si="42"/>
        <v>0.9397000000000002</v>
      </c>
      <c r="U229" s="1">
        <f>VLOOKUP(R229,BB!$A$3:$D$6771, 4, 1)</f>
        <v>3.9679000000000002</v>
      </c>
      <c r="V229" s="1" t="str">
        <f t="shared" si="49"/>
        <v/>
      </c>
      <c r="W229" s="1" t="str">
        <f t="shared" si="50"/>
        <v/>
      </c>
      <c r="X229" s="1">
        <f t="shared" si="47"/>
        <v>2.7444999999999999</v>
      </c>
      <c r="Y229" s="1">
        <f t="shared" si="48"/>
        <v>1.0661</v>
      </c>
      <c r="Z229" s="1" t="str">
        <f t="shared" si="39"/>
        <v/>
      </c>
      <c r="AL229" s="1">
        <v>0</v>
      </c>
      <c r="AM229" s="1">
        <v>10</v>
      </c>
      <c r="AN229" s="1">
        <v>0</v>
      </c>
      <c r="AO229" s="1">
        <v>0</v>
      </c>
      <c r="AP229" s="1">
        <f t="shared" si="43"/>
        <v>0</v>
      </c>
      <c r="AQ229" s="1">
        <f t="shared" si="44"/>
        <v>6</v>
      </c>
      <c r="AR229" s="1">
        <f t="shared" si="45"/>
        <v>0</v>
      </c>
      <c r="AS229" s="1">
        <f t="shared" si="46"/>
        <v>0</v>
      </c>
    </row>
    <row r="230" spans="1:45" x14ac:dyDescent="0.2">
      <c r="A230" s="2">
        <v>41640</v>
      </c>
      <c r="B230" s="1">
        <v>0.624113544514597</v>
      </c>
      <c r="C230" s="1">
        <v>0.21794459872883251</v>
      </c>
      <c r="D230" s="1">
        <v>0.89252368432363827</v>
      </c>
      <c r="E230" s="1">
        <v>0.15140465820673019</v>
      </c>
      <c r="F230" s="1">
        <v>-1.1791753366281443</v>
      </c>
      <c r="G230" s="1">
        <v>-0.32818744145226925</v>
      </c>
      <c r="H230" s="1">
        <v>0.60422012074490739</v>
      </c>
      <c r="I230" s="1">
        <v>-0.60460361344563895</v>
      </c>
      <c r="J230" s="1">
        <v>-0.10767502309858357</v>
      </c>
      <c r="K230" s="1">
        <v>9.7445172872336464E-2</v>
      </c>
      <c r="L230" s="1">
        <v>3.6801036476640556E-2</v>
      </c>
      <c r="M230" s="1">
        <v>0</v>
      </c>
      <c r="N230" s="1">
        <v>6</v>
      </c>
      <c r="O230" s="1">
        <v>0</v>
      </c>
      <c r="P230" s="1">
        <v>0</v>
      </c>
      <c r="Q230" s="1" t="str">
        <f t="shared" si="40"/>
        <v>Downturn</v>
      </c>
      <c r="R230" s="2">
        <f t="shared" si="41"/>
        <v>41670</v>
      </c>
      <c r="S230" s="1">
        <f>VLOOKUP(R230,BB!$A$3:$C$62769, 2, 1)</f>
        <v>2.6440000000000001</v>
      </c>
      <c r="T230" s="1">
        <f t="shared" si="42"/>
        <v>0.9544999999999999</v>
      </c>
      <c r="U230" s="1">
        <f>VLOOKUP(R230,BB!$A$3:$D$6771, 4, 1)</f>
        <v>3.5985</v>
      </c>
      <c r="V230" s="1" t="str">
        <f t="shared" si="49"/>
        <v/>
      </c>
      <c r="W230" s="1" t="str">
        <f t="shared" si="50"/>
        <v/>
      </c>
      <c r="X230" s="1">
        <f t="shared" si="47"/>
        <v>2.7444999999999999</v>
      </c>
      <c r="Y230" s="1">
        <f t="shared" si="48"/>
        <v>1.0661</v>
      </c>
      <c r="Z230" s="1" t="str">
        <f t="shared" si="39"/>
        <v/>
      </c>
      <c r="AL230" s="1">
        <v>0</v>
      </c>
      <c r="AM230" s="1">
        <v>10</v>
      </c>
      <c r="AN230" s="1">
        <v>0</v>
      </c>
      <c r="AO230" s="1">
        <v>0</v>
      </c>
      <c r="AP230" s="1">
        <f t="shared" si="43"/>
        <v>0</v>
      </c>
      <c r="AQ230" s="1">
        <f t="shared" si="44"/>
        <v>6</v>
      </c>
      <c r="AR230" s="1">
        <f t="shared" si="45"/>
        <v>0</v>
      </c>
      <c r="AS230" s="1">
        <f t="shared" si="46"/>
        <v>0</v>
      </c>
    </row>
    <row r="231" spans="1:45" x14ac:dyDescent="0.2">
      <c r="A231" s="2">
        <v>41671</v>
      </c>
      <c r="B231" s="1">
        <v>0.57925122479360036</v>
      </c>
      <c r="C231" s="1">
        <v>0.11297285895234192</v>
      </c>
      <c r="D231" s="1">
        <v>0.90785157599706301</v>
      </c>
      <c r="E231" s="1">
        <v>0.10427704690240602</v>
      </c>
      <c r="F231" s="1">
        <v>-0.69228212622629826</v>
      </c>
      <c r="G231" s="1">
        <v>1.4891719728907928E-2</v>
      </c>
      <c r="H231" s="1">
        <v>0.60164323858458479</v>
      </c>
      <c r="I231" s="1">
        <v>-0.55670877455214229</v>
      </c>
      <c r="J231" s="1">
        <v>1.305940694928126</v>
      </c>
      <c r="K231" s="1">
        <v>5.7764782858594828E-2</v>
      </c>
      <c r="L231" s="1">
        <v>0.24356022419671838</v>
      </c>
      <c r="M231" s="1">
        <v>0</v>
      </c>
      <c r="N231" s="1">
        <v>6</v>
      </c>
      <c r="O231" s="1">
        <v>0</v>
      </c>
      <c r="P231" s="1">
        <v>0</v>
      </c>
      <c r="Q231" s="1" t="str">
        <f t="shared" si="40"/>
        <v>Downturn</v>
      </c>
      <c r="R231" s="2">
        <f t="shared" si="41"/>
        <v>41698</v>
      </c>
      <c r="S231" s="1">
        <f>VLOOKUP(R231,BB!$A$3:$C$62769, 2, 1)</f>
        <v>2.6476000000000002</v>
      </c>
      <c r="T231" s="1">
        <f t="shared" si="42"/>
        <v>0.93459999999999965</v>
      </c>
      <c r="U231" s="1">
        <f>VLOOKUP(R231,BB!$A$3:$D$6771, 4, 1)</f>
        <v>3.5821999999999998</v>
      </c>
      <c r="V231" s="1" t="str">
        <f t="shared" si="49"/>
        <v/>
      </c>
      <c r="W231" s="1" t="str">
        <f t="shared" si="50"/>
        <v/>
      </c>
      <c r="X231" s="1">
        <f t="shared" si="47"/>
        <v>2.7444999999999999</v>
      </c>
      <c r="Y231" s="1">
        <f t="shared" si="48"/>
        <v>1.0661</v>
      </c>
      <c r="Z231" s="1" t="str">
        <f t="shared" si="39"/>
        <v/>
      </c>
      <c r="AL231" s="1">
        <v>0</v>
      </c>
      <c r="AM231" s="1">
        <v>10</v>
      </c>
      <c r="AN231" s="1">
        <v>0</v>
      </c>
      <c r="AO231" s="1">
        <v>0</v>
      </c>
      <c r="AP231" s="1">
        <f t="shared" si="43"/>
        <v>0</v>
      </c>
      <c r="AQ231" s="1">
        <f t="shared" si="44"/>
        <v>6</v>
      </c>
      <c r="AR231" s="1">
        <f t="shared" si="45"/>
        <v>0</v>
      </c>
      <c r="AS231" s="1">
        <f t="shared" si="46"/>
        <v>0</v>
      </c>
    </row>
    <row r="232" spans="1:45" x14ac:dyDescent="0.2">
      <c r="A232" s="2">
        <v>41699</v>
      </c>
      <c r="B232" s="1">
        <v>0.6762889779234762</v>
      </c>
      <c r="C232" s="1">
        <v>0.29657903346931236</v>
      </c>
      <c r="D232" s="1">
        <v>0.87473048859969982</v>
      </c>
      <c r="E232" s="1">
        <v>0.10922124348415582</v>
      </c>
      <c r="F232" s="1">
        <v>5.2483091691246847E-2</v>
      </c>
      <c r="G232" s="1">
        <v>0.11450180528713329</v>
      </c>
      <c r="H232" s="1">
        <v>0.60891650403127873</v>
      </c>
      <c r="I232" s="1">
        <v>-0.75345703897400929</v>
      </c>
      <c r="J232" s="1">
        <v>-0.39380733320937877</v>
      </c>
      <c r="K232" s="1">
        <v>-0.1131003134705383</v>
      </c>
      <c r="L232" s="1">
        <v>0.14723564588323762</v>
      </c>
      <c r="M232" s="1">
        <v>0</v>
      </c>
      <c r="N232" s="1">
        <v>6</v>
      </c>
      <c r="O232" s="1">
        <v>0</v>
      </c>
      <c r="P232" s="1">
        <v>0</v>
      </c>
      <c r="Q232" s="1" t="str">
        <f t="shared" si="40"/>
        <v>Downturn</v>
      </c>
      <c r="R232" s="2">
        <f t="shared" si="41"/>
        <v>41729</v>
      </c>
      <c r="S232" s="1">
        <f>VLOOKUP(R232,BB!$A$3:$C$62769, 2, 1)</f>
        <v>2.718</v>
      </c>
      <c r="T232" s="1">
        <f t="shared" si="42"/>
        <v>0.84030000000000005</v>
      </c>
      <c r="U232" s="1">
        <f>VLOOKUP(R232,BB!$A$3:$D$6771, 4, 1)</f>
        <v>3.5583</v>
      </c>
      <c r="V232" s="1">
        <f t="shared" si="49"/>
        <v>-2.6499999999999968E-2</v>
      </c>
      <c r="W232" s="1">
        <f t="shared" si="50"/>
        <v>-0.2258</v>
      </c>
      <c r="X232" s="1">
        <f t="shared" si="47"/>
        <v>2.7444999999999999</v>
      </c>
      <c r="Y232" s="1">
        <f t="shared" si="48"/>
        <v>1.0661</v>
      </c>
      <c r="Z232" s="1" t="str">
        <f t="shared" si="39"/>
        <v>Downturn</v>
      </c>
      <c r="AL232" s="1">
        <v>0</v>
      </c>
      <c r="AM232" s="1">
        <v>10</v>
      </c>
      <c r="AN232" s="1">
        <v>0</v>
      </c>
      <c r="AO232" s="1">
        <v>0</v>
      </c>
      <c r="AP232" s="1">
        <f t="shared" si="43"/>
        <v>0</v>
      </c>
      <c r="AQ232" s="1">
        <f t="shared" si="44"/>
        <v>6</v>
      </c>
      <c r="AR232" s="1">
        <f t="shared" si="45"/>
        <v>0</v>
      </c>
      <c r="AS232" s="1">
        <f t="shared" si="46"/>
        <v>0</v>
      </c>
    </row>
    <row r="233" spans="1:45" x14ac:dyDescent="0.2">
      <c r="A233" s="2">
        <v>41730</v>
      </c>
      <c r="B233" s="1">
        <v>0.74605832198338484</v>
      </c>
      <c r="C233" s="1">
        <v>0.29900017835336817</v>
      </c>
      <c r="D233" s="1">
        <v>0.80560451863744176</v>
      </c>
      <c r="E233" s="1">
        <v>0.32127492638751398</v>
      </c>
      <c r="F233" s="1">
        <v>0.18865284279675992</v>
      </c>
      <c r="G233" s="1">
        <v>0.34133911147389029</v>
      </c>
      <c r="H233" s="1">
        <v>0.65589709118243922</v>
      </c>
      <c r="I233" s="1">
        <v>-0.71572928161943872</v>
      </c>
      <c r="J233" s="1">
        <v>1.4305174364721838</v>
      </c>
      <c r="K233" s="1">
        <v>-6.4836156300793091E-2</v>
      </c>
      <c r="L233" s="1">
        <v>0.40077789893667493</v>
      </c>
      <c r="M233" s="1">
        <v>6</v>
      </c>
      <c r="N233" s="1">
        <v>0</v>
      </c>
      <c r="O233" s="1">
        <v>0</v>
      </c>
      <c r="P233" s="1">
        <v>0</v>
      </c>
      <c r="Q233" s="1" t="str">
        <f t="shared" si="40"/>
        <v>Expansion</v>
      </c>
      <c r="R233" s="2">
        <f t="shared" si="41"/>
        <v>41759</v>
      </c>
      <c r="S233" s="1">
        <f>VLOOKUP(R233,BB!$A$3:$C$62769, 2, 1)</f>
        <v>2.6459000000000001</v>
      </c>
      <c r="T233" s="1">
        <f t="shared" si="42"/>
        <v>0.81339999999999968</v>
      </c>
      <c r="U233" s="1">
        <f>VLOOKUP(R233,BB!$A$3:$D$6771, 4, 1)</f>
        <v>3.4592999999999998</v>
      </c>
      <c r="V233" s="1" t="str">
        <f t="shared" si="49"/>
        <v/>
      </c>
      <c r="W233" s="1" t="str">
        <f t="shared" si="50"/>
        <v/>
      </c>
      <c r="X233" s="1">
        <f t="shared" si="47"/>
        <v>2.718</v>
      </c>
      <c r="Y233" s="1">
        <f t="shared" si="48"/>
        <v>0.84030000000000005</v>
      </c>
      <c r="Z233" s="1" t="str">
        <f t="shared" si="39"/>
        <v/>
      </c>
      <c r="AL233" s="1">
        <v>10</v>
      </c>
      <c r="AM233" s="1">
        <v>0</v>
      </c>
      <c r="AN233" s="1">
        <v>0</v>
      </c>
      <c r="AO233" s="1">
        <v>0</v>
      </c>
      <c r="AP233" s="1">
        <f t="shared" si="43"/>
        <v>6</v>
      </c>
      <c r="AQ233" s="1">
        <f t="shared" si="44"/>
        <v>0</v>
      </c>
      <c r="AR233" s="1">
        <f t="shared" si="45"/>
        <v>0</v>
      </c>
      <c r="AS233" s="1">
        <f t="shared" si="46"/>
        <v>0</v>
      </c>
    </row>
    <row r="234" spans="1:45" x14ac:dyDescent="0.2">
      <c r="A234" s="2">
        <v>41760</v>
      </c>
      <c r="B234" s="1">
        <v>0.83828474828489585</v>
      </c>
      <c r="C234" s="1">
        <v>0.3335296291919555</v>
      </c>
      <c r="D234" s="1">
        <v>0.66340774464008423</v>
      </c>
      <c r="E234" s="1">
        <v>0.32480217656399579</v>
      </c>
      <c r="F234" s="1">
        <v>0.26862316844531181</v>
      </c>
      <c r="G234" s="1">
        <v>0.44601293654005458</v>
      </c>
      <c r="H234" s="1">
        <v>0.72161867032642912</v>
      </c>
      <c r="I234" s="1">
        <v>-0.71659973547311095</v>
      </c>
      <c r="J234" s="1">
        <v>1.4943176311686759</v>
      </c>
      <c r="K234" s="1">
        <v>0.33669928978371177</v>
      </c>
      <c r="L234" s="1">
        <v>0.47106962594720037</v>
      </c>
      <c r="M234" s="1">
        <v>6</v>
      </c>
      <c r="N234" s="1">
        <v>0</v>
      </c>
      <c r="O234" s="1">
        <v>0</v>
      </c>
      <c r="P234" s="1">
        <v>0</v>
      </c>
      <c r="Q234" s="1" t="str">
        <f t="shared" si="40"/>
        <v>Expansion</v>
      </c>
      <c r="R234" s="2">
        <f t="shared" si="41"/>
        <v>41790</v>
      </c>
      <c r="S234" s="1">
        <f>VLOOKUP(R234,BB!$A$3:$C$62769, 2, 1)</f>
        <v>2.4759000000000002</v>
      </c>
      <c r="T234" s="1">
        <f t="shared" si="42"/>
        <v>0.85179999999999989</v>
      </c>
      <c r="U234" s="1">
        <f>VLOOKUP(R234,BB!$A$3:$D$6771, 4, 1)</f>
        <v>3.3277000000000001</v>
      </c>
      <c r="V234" s="1" t="str">
        <f t="shared" si="49"/>
        <v/>
      </c>
      <c r="W234" s="1" t="str">
        <f t="shared" si="50"/>
        <v/>
      </c>
      <c r="X234" s="1">
        <f t="shared" si="47"/>
        <v>2.718</v>
      </c>
      <c r="Y234" s="1">
        <f t="shared" si="48"/>
        <v>0.84030000000000005</v>
      </c>
      <c r="Z234" s="1" t="str">
        <f t="shared" si="39"/>
        <v/>
      </c>
      <c r="AL234" s="1">
        <v>10</v>
      </c>
      <c r="AM234" s="1">
        <v>0</v>
      </c>
      <c r="AN234" s="1">
        <v>0</v>
      </c>
      <c r="AO234" s="1">
        <v>0</v>
      </c>
      <c r="AP234" s="1">
        <f t="shared" si="43"/>
        <v>6</v>
      </c>
      <c r="AQ234" s="1">
        <f t="shared" si="44"/>
        <v>0</v>
      </c>
      <c r="AR234" s="1">
        <f t="shared" si="45"/>
        <v>0</v>
      </c>
      <c r="AS234" s="1">
        <f t="shared" si="46"/>
        <v>0</v>
      </c>
    </row>
    <row r="235" spans="1:45" x14ac:dyDescent="0.2">
      <c r="A235" s="2">
        <v>41791</v>
      </c>
      <c r="B235" s="1">
        <v>0.85996072808331003</v>
      </c>
      <c r="C235" s="1">
        <v>0.43274297498786451</v>
      </c>
      <c r="D235" s="1">
        <v>0.63238483240572518</v>
      </c>
      <c r="E235" s="1">
        <v>0.43244271263800216</v>
      </c>
      <c r="F235" s="1">
        <v>0.32618211112040213</v>
      </c>
      <c r="G235" s="1">
        <v>0.4447007613798698</v>
      </c>
      <c r="H235" s="1">
        <v>0.77587024428579776</v>
      </c>
      <c r="I235" s="1">
        <v>-0.69494815369721719</v>
      </c>
      <c r="J235" s="1">
        <v>1.4664650061256581</v>
      </c>
      <c r="K235" s="1">
        <v>0.45461968307007966</v>
      </c>
      <c r="L235" s="1">
        <v>0.51304209003994916</v>
      </c>
      <c r="M235" s="1">
        <v>6</v>
      </c>
      <c r="N235" s="1">
        <v>0</v>
      </c>
      <c r="O235" s="1">
        <v>0</v>
      </c>
      <c r="P235" s="1">
        <v>0</v>
      </c>
      <c r="Q235" s="1" t="str">
        <f t="shared" si="40"/>
        <v>Expansion</v>
      </c>
      <c r="R235" s="2">
        <f t="shared" si="41"/>
        <v>41820</v>
      </c>
      <c r="S235" s="1">
        <f>VLOOKUP(R235,BB!$A$3:$C$62769, 2, 1)</f>
        <v>2.5304000000000002</v>
      </c>
      <c r="T235" s="1">
        <f t="shared" si="42"/>
        <v>0.8294999999999999</v>
      </c>
      <c r="U235" s="1">
        <f>VLOOKUP(R235,BB!$A$3:$D$6771, 4, 1)</f>
        <v>3.3599000000000001</v>
      </c>
      <c r="V235" s="1" t="str">
        <f t="shared" si="49"/>
        <v/>
      </c>
      <c r="W235" s="1" t="str">
        <f t="shared" si="50"/>
        <v/>
      </c>
      <c r="X235" s="1">
        <f t="shared" si="47"/>
        <v>2.718</v>
      </c>
      <c r="Y235" s="1">
        <f t="shared" si="48"/>
        <v>0.84030000000000005</v>
      </c>
      <c r="Z235" s="1" t="str">
        <f t="shared" si="39"/>
        <v/>
      </c>
      <c r="AL235" s="1">
        <v>10</v>
      </c>
      <c r="AM235" s="1">
        <v>0</v>
      </c>
      <c r="AN235" s="1">
        <v>0</v>
      </c>
      <c r="AO235" s="1">
        <v>0</v>
      </c>
      <c r="AP235" s="1">
        <f t="shared" si="43"/>
        <v>6</v>
      </c>
      <c r="AQ235" s="1">
        <f t="shared" si="44"/>
        <v>0</v>
      </c>
      <c r="AR235" s="1">
        <f t="shared" si="45"/>
        <v>0</v>
      </c>
      <c r="AS235" s="1">
        <f t="shared" si="46"/>
        <v>0</v>
      </c>
    </row>
    <row r="236" spans="1:45" x14ac:dyDescent="0.2">
      <c r="A236" s="2">
        <v>41821</v>
      </c>
      <c r="B236" s="1">
        <v>0.90670029943236352</v>
      </c>
      <c r="C236" s="1">
        <v>0.68784696628485864</v>
      </c>
      <c r="D236" s="1">
        <v>0.58394936025931177</v>
      </c>
      <c r="E236" s="1">
        <v>0.38303460630532521</v>
      </c>
      <c r="F236" s="1">
        <v>0.42841667103410136</v>
      </c>
      <c r="G236" s="1">
        <v>0.786776636879849</v>
      </c>
      <c r="H236" s="1">
        <v>0.80869594133965206</v>
      </c>
      <c r="I236" s="1">
        <v>-0.67028571287682293</v>
      </c>
      <c r="J236" s="1">
        <v>1.7803221636219186</v>
      </c>
      <c r="K236" s="1">
        <v>0.38508957686229212</v>
      </c>
      <c r="L236" s="1">
        <v>0.6080546509142849</v>
      </c>
      <c r="M236" s="1">
        <v>6</v>
      </c>
      <c r="N236" s="1">
        <v>0</v>
      </c>
      <c r="O236" s="1">
        <v>0</v>
      </c>
      <c r="P236" s="1">
        <v>0</v>
      </c>
      <c r="Q236" s="1" t="str">
        <f t="shared" si="40"/>
        <v>Expansion</v>
      </c>
      <c r="R236" s="2">
        <f t="shared" si="41"/>
        <v>41851</v>
      </c>
      <c r="S236" s="1">
        <f>VLOOKUP(R236,BB!$A$3:$C$62769, 2, 1)</f>
        <v>2.5577999999999999</v>
      </c>
      <c r="T236" s="1">
        <f t="shared" si="42"/>
        <v>0.75890000000000013</v>
      </c>
      <c r="U236" s="1">
        <f>VLOOKUP(R236,BB!$A$3:$D$6771, 4, 1)</f>
        <v>3.3167</v>
      </c>
      <c r="V236" s="1" t="str">
        <f t="shared" si="49"/>
        <v/>
      </c>
      <c r="W236" s="1" t="str">
        <f t="shared" si="50"/>
        <v/>
      </c>
      <c r="X236" s="1">
        <f t="shared" si="47"/>
        <v>2.718</v>
      </c>
      <c r="Y236" s="1">
        <f t="shared" si="48"/>
        <v>0.84030000000000005</v>
      </c>
      <c r="Z236" s="1" t="str">
        <f t="shared" si="39"/>
        <v/>
      </c>
      <c r="AL236" s="1">
        <v>10</v>
      </c>
      <c r="AM236" s="1">
        <v>0</v>
      </c>
      <c r="AN236" s="1">
        <v>0</v>
      </c>
      <c r="AO236" s="1">
        <v>0</v>
      </c>
      <c r="AP236" s="1">
        <f t="shared" si="43"/>
        <v>6</v>
      </c>
      <c r="AQ236" s="1">
        <f t="shared" si="44"/>
        <v>0</v>
      </c>
      <c r="AR236" s="1">
        <f t="shared" si="45"/>
        <v>0</v>
      </c>
      <c r="AS236" s="1">
        <f t="shared" si="46"/>
        <v>0</v>
      </c>
    </row>
    <row r="237" spans="1:45" x14ac:dyDescent="0.2">
      <c r="A237" s="2">
        <v>41852</v>
      </c>
      <c r="B237" s="1">
        <v>0.98806819114038913</v>
      </c>
      <c r="C237" s="1">
        <v>0.76264571539412629</v>
      </c>
      <c r="D237" s="1">
        <v>0.3945181640611965</v>
      </c>
      <c r="E237" s="1">
        <v>0.43895167448192646</v>
      </c>
      <c r="F237" s="1">
        <v>0.55248260275462924</v>
      </c>
      <c r="G237" s="1">
        <v>1.152702537283014</v>
      </c>
      <c r="H237" s="1">
        <v>0.8308997750894872</v>
      </c>
      <c r="I237" s="1">
        <v>-0.64204296781941261</v>
      </c>
      <c r="J237" s="1">
        <v>1.3006658683152372</v>
      </c>
      <c r="K237" s="1">
        <v>0.43477511938776936</v>
      </c>
      <c r="L237" s="1">
        <v>0.62136666800883622</v>
      </c>
      <c r="M237" s="1">
        <v>6</v>
      </c>
      <c r="N237" s="1">
        <v>0</v>
      </c>
      <c r="O237" s="1">
        <v>0</v>
      </c>
      <c r="P237" s="1">
        <v>0</v>
      </c>
      <c r="Q237" s="1" t="str">
        <f t="shared" si="40"/>
        <v>Expansion</v>
      </c>
      <c r="R237" s="2">
        <f t="shared" si="41"/>
        <v>41882</v>
      </c>
      <c r="S237" s="1">
        <f>VLOOKUP(R237,BB!$A$3:$C$62769, 2, 1)</f>
        <v>2.3431000000000002</v>
      </c>
      <c r="T237" s="1">
        <f t="shared" si="42"/>
        <v>0.73609999999999998</v>
      </c>
      <c r="U237" s="1">
        <f>VLOOKUP(R237,BB!$A$3:$D$6771, 4, 1)</f>
        <v>3.0792000000000002</v>
      </c>
      <c r="V237" s="1" t="str">
        <f t="shared" si="49"/>
        <v/>
      </c>
      <c r="W237" s="1" t="str">
        <f t="shared" si="50"/>
        <v/>
      </c>
      <c r="X237" s="1">
        <f t="shared" si="47"/>
        <v>2.718</v>
      </c>
      <c r="Y237" s="1">
        <f t="shared" si="48"/>
        <v>0.84030000000000005</v>
      </c>
      <c r="Z237" s="1" t="str">
        <f t="shared" si="39"/>
        <v/>
      </c>
      <c r="AL237" s="1">
        <v>10</v>
      </c>
      <c r="AM237" s="1">
        <v>0</v>
      </c>
      <c r="AN237" s="1">
        <v>0</v>
      </c>
      <c r="AO237" s="1">
        <v>0</v>
      </c>
      <c r="AP237" s="1">
        <f t="shared" si="43"/>
        <v>6</v>
      </c>
      <c r="AQ237" s="1">
        <f t="shared" si="44"/>
        <v>0</v>
      </c>
      <c r="AR237" s="1">
        <f t="shared" si="45"/>
        <v>0</v>
      </c>
      <c r="AS237" s="1">
        <f t="shared" si="46"/>
        <v>0</v>
      </c>
    </row>
    <row r="238" spans="1:45" x14ac:dyDescent="0.2">
      <c r="A238" s="2">
        <v>41883</v>
      </c>
      <c r="B238" s="1">
        <v>1.0374549001395028</v>
      </c>
      <c r="C238" s="1">
        <v>0.48668007283041043</v>
      </c>
      <c r="D238" s="1">
        <v>0.46448686731886529</v>
      </c>
      <c r="E238" s="1">
        <v>0.54745433012779721</v>
      </c>
      <c r="F238" s="1">
        <v>0.63059129981071926</v>
      </c>
      <c r="G238" s="1">
        <v>0.70941460733575457</v>
      </c>
      <c r="H238" s="1">
        <v>0.84277716506941536</v>
      </c>
      <c r="I238" s="1">
        <v>-0.63657957874998772</v>
      </c>
      <c r="J238" s="1">
        <v>0.61073329842770141</v>
      </c>
      <c r="K238" s="1">
        <v>0.50481289706399801</v>
      </c>
      <c r="L238" s="1">
        <v>0.51978258593741766</v>
      </c>
      <c r="M238" s="1">
        <v>6</v>
      </c>
      <c r="N238" s="1">
        <v>0</v>
      </c>
      <c r="O238" s="1">
        <v>0</v>
      </c>
      <c r="P238" s="1">
        <v>0</v>
      </c>
      <c r="Q238" s="1" t="str">
        <f t="shared" si="40"/>
        <v>Expansion</v>
      </c>
      <c r="R238" s="2">
        <f t="shared" si="41"/>
        <v>41912</v>
      </c>
      <c r="S238" s="1">
        <f>VLOOKUP(R238,BB!$A$3:$C$62769, 2, 1)</f>
        <v>2.4887999999999999</v>
      </c>
      <c r="T238" s="1">
        <f t="shared" si="42"/>
        <v>0.70789999999999997</v>
      </c>
      <c r="U238" s="1">
        <f>VLOOKUP(R238,BB!$A$3:$D$6771, 4, 1)</f>
        <v>3.1966999999999999</v>
      </c>
      <c r="V238" s="1">
        <f t="shared" si="49"/>
        <v>-0.22920000000000007</v>
      </c>
      <c r="W238" s="1">
        <f t="shared" si="50"/>
        <v>-0.13240000000000007</v>
      </c>
      <c r="X238" s="1">
        <f t="shared" si="47"/>
        <v>2.718</v>
      </c>
      <c r="Y238" s="1">
        <f t="shared" si="48"/>
        <v>0.84030000000000005</v>
      </c>
      <c r="Z238" s="1" t="str">
        <f t="shared" si="39"/>
        <v>Expansion</v>
      </c>
      <c r="AL238" s="1">
        <v>10</v>
      </c>
      <c r="AM238" s="1">
        <v>0</v>
      </c>
      <c r="AN238" s="1">
        <v>0</v>
      </c>
      <c r="AO238" s="1">
        <v>0</v>
      </c>
      <c r="AP238" s="1">
        <f t="shared" si="43"/>
        <v>6</v>
      </c>
      <c r="AQ238" s="1">
        <f t="shared" si="44"/>
        <v>0</v>
      </c>
      <c r="AR238" s="1">
        <f t="shared" si="45"/>
        <v>0</v>
      </c>
      <c r="AS238" s="1">
        <f t="shared" si="46"/>
        <v>0</v>
      </c>
    </row>
    <row r="239" spans="1:45" x14ac:dyDescent="0.2">
      <c r="A239" s="2">
        <v>41913</v>
      </c>
      <c r="B239" s="1">
        <v>1.1213762164995997</v>
      </c>
      <c r="C239" s="1">
        <v>0.86415988401525978</v>
      </c>
      <c r="D239" s="1">
        <v>0.37754962332881636</v>
      </c>
      <c r="E239" s="1">
        <v>0.60283888488000681</v>
      </c>
      <c r="F239" s="1">
        <v>0.7076365713971603</v>
      </c>
      <c r="G239" s="1">
        <v>1.158659561042517</v>
      </c>
      <c r="H239" s="1">
        <v>0.80563884566333277</v>
      </c>
      <c r="I239" s="1">
        <v>-0.75268685084108111</v>
      </c>
      <c r="J239" s="1">
        <v>0.68505905252527899</v>
      </c>
      <c r="K239" s="1">
        <v>0.35550553777146415</v>
      </c>
      <c r="L239" s="1">
        <v>0.59257373262823543</v>
      </c>
      <c r="M239" s="1">
        <v>0</v>
      </c>
      <c r="N239" s="1">
        <v>6</v>
      </c>
      <c r="O239" s="1">
        <v>0</v>
      </c>
      <c r="P239" s="1">
        <v>0</v>
      </c>
      <c r="Q239" s="1" t="str">
        <f t="shared" si="40"/>
        <v>Downturn</v>
      </c>
      <c r="R239" s="2">
        <f t="shared" si="41"/>
        <v>41943</v>
      </c>
      <c r="S239" s="1">
        <f>VLOOKUP(R239,BB!$A$3:$C$62769, 2, 1)</f>
        <v>2.3353000000000002</v>
      </c>
      <c r="T239" s="1">
        <f t="shared" si="42"/>
        <v>0.73089999999999966</v>
      </c>
      <c r="U239" s="1">
        <f>VLOOKUP(R239,BB!$A$3:$D$6771, 4, 1)</f>
        <v>3.0661999999999998</v>
      </c>
      <c r="V239" s="1" t="str">
        <f t="shared" si="49"/>
        <v/>
      </c>
      <c r="W239" s="1" t="str">
        <f t="shared" si="50"/>
        <v/>
      </c>
      <c r="X239" s="1">
        <f t="shared" si="47"/>
        <v>2.4887999999999999</v>
      </c>
      <c r="Y239" s="1">
        <f t="shared" si="48"/>
        <v>0.70789999999999997</v>
      </c>
      <c r="Z239" s="1" t="str">
        <f t="shared" si="39"/>
        <v/>
      </c>
      <c r="AL239" s="1">
        <v>0</v>
      </c>
      <c r="AM239" s="1">
        <v>10</v>
      </c>
      <c r="AN239" s="1">
        <v>0</v>
      </c>
      <c r="AO239" s="1">
        <v>0</v>
      </c>
      <c r="AP239" s="1">
        <f t="shared" si="43"/>
        <v>0</v>
      </c>
      <c r="AQ239" s="1">
        <f t="shared" si="44"/>
        <v>6</v>
      </c>
      <c r="AR239" s="1">
        <f t="shared" si="45"/>
        <v>0</v>
      </c>
      <c r="AS239" s="1">
        <f t="shared" si="46"/>
        <v>0</v>
      </c>
    </row>
    <row r="240" spans="1:45" x14ac:dyDescent="0.2">
      <c r="A240" s="2">
        <v>41944</v>
      </c>
      <c r="B240" s="1">
        <v>1.1547563815171842</v>
      </c>
      <c r="C240" s="1">
        <v>0.60929612572120617</v>
      </c>
      <c r="D240" s="1">
        <v>0.21620967316825374</v>
      </c>
      <c r="E240" s="1">
        <v>0.60469336130133144</v>
      </c>
      <c r="F240" s="1">
        <v>0.76116259834458866</v>
      </c>
      <c r="G240" s="1">
        <v>1.0961365097651115</v>
      </c>
      <c r="H240" s="1">
        <v>0.76970361504367324</v>
      </c>
      <c r="I240" s="1">
        <v>-0.75457471381780594</v>
      </c>
      <c r="J240" s="1">
        <v>1.5242443179051672</v>
      </c>
      <c r="K240" s="1">
        <v>0.10305328764100267</v>
      </c>
      <c r="L240" s="1">
        <v>0.6084681156589713</v>
      </c>
      <c r="M240" s="1">
        <v>0</v>
      </c>
      <c r="N240" s="1">
        <v>6</v>
      </c>
      <c r="O240" s="1">
        <v>0</v>
      </c>
      <c r="P240" s="1">
        <v>0</v>
      </c>
      <c r="Q240" s="1" t="str">
        <f t="shared" si="40"/>
        <v>Downturn</v>
      </c>
      <c r="R240" s="2">
        <f t="shared" si="41"/>
        <v>41973</v>
      </c>
      <c r="S240" s="1">
        <f>VLOOKUP(R240,BB!$A$3:$C$62769, 2, 1)</f>
        <v>2.1640000000000001</v>
      </c>
      <c r="T240" s="1">
        <f t="shared" si="42"/>
        <v>0.72479999999999967</v>
      </c>
      <c r="U240" s="1">
        <f>VLOOKUP(R240,BB!$A$3:$D$6771, 4, 1)</f>
        <v>2.8887999999999998</v>
      </c>
      <c r="V240" s="1" t="str">
        <f t="shared" si="49"/>
        <v/>
      </c>
      <c r="W240" s="1" t="str">
        <f t="shared" si="50"/>
        <v/>
      </c>
      <c r="X240" s="1">
        <f t="shared" si="47"/>
        <v>2.4887999999999999</v>
      </c>
      <c r="Y240" s="1">
        <f t="shared" si="48"/>
        <v>0.70789999999999997</v>
      </c>
      <c r="Z240" s="1" t="str">
        <f t="shared" si="39"/>
        <v/>
      </c>
      <c r="AL240" s="1">
        <v>0</v>
      </c>
      <c r="AM240" s="1">
        <v>10</v>
      </c>
      <c r="AN240" s="1">
        <v>0</v>
      </c>
      <c r="AO240" s="1">
        <v>0</v>
      </c>
      <c r="AP240" s="1">
        <f t="shared" si="43"/>
        <v>0</v>
      </c>
      <c r="AQ240" s="1">
        <f t="shared" si="44"/>
        <v>6</v>
      </c>
      <c r="AR240" s="1">
        <f t="shared" si="45"/>
        <v>0</v>
      </c>
      <c r="AS240" s="1">
        <f t="shared" si="46"/>
        <v>0</v>
      </c>
    </row>
    <row r="241" spans="1:45" x14ac:dyDescent="0.2">
      <c r="A241" s="2">
        <v>41974</v>
      </c>
      <c r="B241" s="1">
        <v>1.1439052063105755</v>
      </c>
      <c r="C241" s="1">
        <v>0.78094492453673159</v>
      </c>
      <c r="D241" s="1">
        <v>1.2348779615173654E-2</v>
      </c>
      <c r="E241" s="1">
        <v>0.71219339334826715</v>
      </c>
      <c r="F241" s="1">
        <v>0.82433735609663195</v>
      </c>
      <c r="G241" s="1">
        <v>0.50336421447408641</v>
      </c>
      <c r="H241" s="1">
        <v>0.77445048879077383</v>
      </c>
      <c r="I241" s="1">
        <v>-0.71496642622257078</v>
      </c>
      <c r="J241" s="1">
        <v>0.22304848137484656</v>
      </c>
      <c r="K241" s="1">
        <v>3.2816624055060563E-2</v>
      </c>
      <c r="L241" s="1">
        <v>0.42924430423795756</v>
      </c>
      <c r="M241" s="1">
        <v>0</v>
      </c>
      <c r="N241" s="1">
        <v>6</v>
      </c>
      <c r="O241" s="1">
        <v>0</v>
      </c>
      <c r="P241" s="1">
        <v>0</v>
      </c>
      <c r="Q241" s="1" t="str">
        <f t="shared" si="40"/>
        <v>Downturn</v>
      </c>
      <c r="R241" s="2">
        <f t="shared" si="41"/>
        <v>42004</v>
      </c>
      <c r="S241" s="1">
        <f>VLOOKUP(R241,BB!$A$3:$C$62769, 2, 1)</f>
        <v>2.1711999999999998</v>
      </c>
      <c r="T241" s="1">
        <f t="shared" si="42"/>
        <v>0.5806</v>
      </c>
      <c r="U241" s="1">
        <f>VLOOKUP(R241,BB!$A$3:$D$6771, 4, 1)</f>
        <v>2.7517999999999998</v>
      </c>
      <c r="V241" s="1" t="str">
        <f t="shared" si="49"/>
        <v/>
      </c>
      <c r="W241" s="1" t="str">
        <f t="shared" si="50"/>
        <v/>
      </c>
      <c r="X241" s="1">
        <f t="shared" si="47"/>
        <v>2.4887999999999999</v>
      </c>
      <c r="Y241" s="1">
        <f t="shared" si="48"/>
        <v>0.70789999999999997</v>
      </c>
      <c r="Z241" s="1" t="str">
        <f t="shared" si="39"/>
        <v/>
      </c>
      <c r="AL241" s="1">
        <v>0</v>
      </c>
      <c r="AM241" s="1">
        <v>10</v>
      </c>
      <c r="AN241" s="1">
        <v>0</v>
      </c>
      <c r="AO241" s="1">
        <v>0</v>
      </c>
      <c r="AP241" s="1">
        <f t="shared" si="43"/>
        <v>0</v>
      </c>
      <c r="AQ241" s="1">
        <f t="shared" si="44"/>
        <v>6</v>
      </c>
      <c r="AR241" s="1">
        <f t="shared" si="45"/>
        <v>0</v>
      </c>
      <c r="AS241" s="1">
        <f t="shared" si="46"/>
        <v>0</v>
      </c>
    </row>
    <row r="242" spans="1:45" x14ac:dyDescent="0.2">
      <c r="A242" s="2">
        <v>42005</v>
      </c>
      <c r="B242" s="1">
        <v>1.0620636475275245</v>
      </c>
      <c r="C242" s="1">
        <v>1.239796432478832</v>
      </c>
      <c r="D242" s="1">
        <v>-0.32577536014204267</v>
      </c>
      <c r="E242" s="1">
        <v>0.66101887316574726</v>
      </c>
      <c r="F242" s="1">
        <v>0.79030202964083551</v>
      </c>
      <c r="G242" s="1">
        <v>0.14000660609110735</v>
      </c>
      <c r="H242" s="1">
        <v>0.76011228324504254</v>
      </c>
      <c r="I242" s="1">
        <v>-0.68926956977625131</v>
      </c>
      <c r="J242" s="1">
        <v>-0.16187922035385874</v>
      </c>
      <c r="K242" s="1">
        <v>4.0306332580478683E-3</v>
      </c>
      <c r="L242" s="1">
        <v>0.34804063551349851</v>
      </c>
      <c r="M242" s="1">
        <v>0</v>
      </c>
      <c r="N242" s="1">
        <v>6</v>
      </c>
      <c r="O242" s="1">
        <v>0</v>
      </c>
      <c r="P242" s="1">
        <v>0</v>
      </c>
      <c r="Q242" s="1" t="str">
        <f t="shared" si="40"/>
        <v>Downturn</v>
      </c>
      <c r="R242" s="2">
        <f t="shared" si="41"/>
        <v>42035</v>
      </c>
      <c r="S242" s="1">
        <f>VLOOKUP(R242,BB!$A$3:$C$62769, 2, 1)</f>
        <v>1.6407</v>
      </c>
      <c r="T242" s="1">
        <f t="shared" si="42"/>
        <v>0.58149999999999991</v>
      </c>
      <c r="U242" s="1">
        <f>VLOOKUP(R242,BB!$A$3:$D$6771, 4, 1)</f>
        <v>2.2222</v>
      </c>
      <c r="V242" s="1" t="str">
        <f t="shared" si="49"/>
        <v/>
      </c>
      <c r="W242" s="1" t="str">
        <f t="shared" si="50"/>
        <v/>
      </c>
      <c r="X242" s="1">
        <f t="shared" si="47"/>
        <v>2.4887999999999999</v>
      </c>
      <c r="Y242" s="1">
        <f t="shared" si="48"/>
        <v>0.70789999999999997</v>
      </c>
      <c r="Z242" s="1" t="str">
        <f t="shared" si="39"/>
        <v/>
      </c>
      <c r="AL242" s="1">
        <v>0</v>
      </c>
      <c r="AM242" s="1">
        <v>10</v>
      </c>
      <c r="AN242" s="1">
        <v>0</v>
      </c>
      <c r="AO242" s="1">
        <v>0</v>
      </c>
      <c r="AP242" s="1">
        <f t="shared" si="43"/>
        <v>0</v>
      </c>
      <c r="AQ242" s="1">
        <f t="shared" si="44"/>
        <v>6</v>
      </c>
      <c r="AR242" s="1">
        <f t="shared" si="45"/>
        <v>0</v>
      </c>
      <c r="AS242" s="1">
        <f t="shared" si="46"/>
        <v>0</v>
      </c>
    </row>
    <row r="243" spans="1:45" x14ac:dyDescent="0.2">
      <c r="A243" s="2">
        <v>42036</v>
      </c>
      <c r="B243" s="1">
        <v>1.0595158188277076</v>
      </c>
      <c r="C243" s="1">
        <v>0.95463378863108117</v>
      </c>
      <c r="D243" s="1">
        <v>-0.13453410485767492</v>
      </c>
      <c r="E243" s="1">
        <v>0.76961928255245682</v>
      </c>
      <c r="F243" s="1">
        <v>0.74545223214794132</v>
      </c>
      <c r="G243" s="1">
        <v>3.3521840854366811E-2</v>
      </c>
      <c r="H243" s="1">
        <v>0.74575677223808245</v>
      </c>
      <c r="I243" s="1">
        <v>-0.62252364110499003</v>
      </c>
      <c r="J243" s="1">
        <v>0.28964442911691607</v>
      </c>
      <c r="K243" s="1">
        <v>9.6912319732519639E-2</v>
      </c>
      <c r="L243" s="1">
        <v>0.39379987381384068</v>
      </c>
      <c r="M243" s="1">
        <v>0</v>
      </c>
      <c r="N243" s="1">
        <v>6</v>
      </c>
      <c r="O243" s="1">
        <v>0</v>
      </c>
      <c r="P243" s="1">
        <v>0</v>
      </c>
      <c r="Q243" s="1" t="str">
        <f t="shared" si="40"/>
        <v>Downturn</v>
      </c>
      <c r="R243" s="2">
        <f t="shared" si="41"/>
        <v>42063</v>
      </c>
      <c r="S243" s="1">
        <f>VLOOKUP(R243,BB!$A$3:$C$62769, 2, 1)</f>
        <v>1.9930000000000001</v>
      </c>
      <c r="T243" s="1">
        <f t="shared" si="42"/>
        <v>0.59729999999999994</v>
      </c>
      <c r="U243" s="1">
        <f>VLOOKUP(R243,BB!$A$3:$D$6771, 4, 1)</f>
        <v>2.5903</v>
      </c>
      <c r="V243" s="1">
        <f t="shared" si="49"/>
        <v>-0.4957999999999998</v>
      </c>
      <c r="W243" s="1">
        <f t="shared" si="50"/>
        <v>-0.11060000000000003</v>
      </c>
      <c r="X243" s="1">
        <f t="shared" si="47"/>
        <v>2.4887999999999999</v>
      </c>
      <c r="Y243" s="1">
        <f t="shared" si="48"/>
        <v>0.70789999999999997</v>
      </c>
      <c r="Z243" s="1" t="str">
        <f t="shared" si="39"/>
        <v>Downturn</v>
      </c>
      <c r="AL243" s="1">
        <v>0</v>
      </c>
      <c r="AM243" s="1">
        <v>10</v>
      </c>
      <c r="AN243" s="1">
        <v>0</v>
      </c>
      <c r="AO243" s="1">
        <v>0</v>
      </c>
      <c r="AP243" s="1">
        <f t="shared" si="43"/>
        <v>0</v>
      </c>
      <c r="AQ243" s="1">
        <f t="shared" si="44"/>
        <v>6</v>
      </c>
      <c r="AR243" s="1">
        <f t="shared" si="45"/>
        <v>0</v>
      </c>
      <c r="AS243" s="1">
        <f t="shared" si="46"/>
        <v>0</v>
      </c>
    </row>
    <row r="244" spans="1:45" x14ac:dyDescent="0.2">
      <c r="A244" s="2">
        <v>42064</v>
      </c>
      <c r="B244" s="1">
        <v>1.0391770125285567</v>
      </c>
      <c r="C244" s="1">
        <v>1.1764532223632826</v>
      </c>
      <c r="D244" s="1">
        <v>-0.14719750059529366</v>
      </c>
      <c r="E244" s="1">
        <v>0.77032906904585274</v>
      </c>
      <c r="F244" s="1">
        <v>0.61263037639917606</v>
      </c>
      <c r="G244" s="1">
        <v>-0.22250918674248282</v>
      </c>
      <c r="H244" s="1">
        <v>0.71198555048149459</v>
      </c>
      <c r="I244" s="1">
        <v>-0.39450344414450195</v>
      </c>
      <c r="J244" s="1">
        <v>2.4910859968506389</v>
      </c>
      <c r="K244" s="1">
        <v>0.26015864170057035</v>
      </c>
      <c r="L244" s="1">
        <v>0.62976097378872942</v>
      </c>
      <c r="M244" s="1">
        <v>6</v>
      </c>
      <c r="N244" s="1">
        <v>0</v>
      </c>
      <c r="O244" s="1">
        <v>0</v>
      </c>
      <c r="P244" s="1">
        <v>0</v>
      </c>
      <c r="Q244" s="1" t="str">
        <f t="shared" si="40"/>
        <v>Expansion</v>
      </c>
      <c r="R244" s="2">
        <f t="shared" si="41"/>
        <v>42094</v>
      </c>
      <c r="S244" s="1">
        <f>VLOOKUP(R244,BB!$A$3:$C$62769, 2, 1)</f>
        <v>1.9231</v>
      </c>
      <c r="T244" s="1">
        <f t="shared" si="42"/>
        <v>0.61279999999999979</v>
      </c>
      <c r="U244" s="1">
        <f>VLOOKUP(R244,BB!$A$3:$D$6771, 4, 1)</f>
        <v>2.5358999999999998</v>
      </c>
      <c r="V244" s="1">
        <f t="shared" si="49"/>
        <v>-6.9900000000000073E-2</v>
      </c>
      <c r="W244" s="1">
        <f t="shared" si="50"/>
        <v>1.5499999999999847E-2</v>
      </c>
      <c r="X244" s="1">
        <f t="shared" si="47"/>
        <v>1.9930000000000001</v>
      </c>
      <c r="Y244" s="1">
        <f t="shared" si="48"/>
        <v>0.59729999999999994</v>
      </c>
      <c r="Z244" s="1" t="str">
        <f t="shared" si="39"/>
        <v>Expansion</v>
      </c>
      <c r="AL244" s="1">
        <v>10</v>
      </c>
      <c r="AM244" s="1">
        <v>0</v>
      </c>
      <c r="AN244" s="1">
        <v>0</v>
      </c>
      <c r="AO244" s="1">
        <v>0</v>
      </c>
      <c r="AP244" s="1">
        <f t="shared" si="43"/>
        <v>6</v>
      </c>
      <c r="AQ244" s="1">
        <f t="shared" si="44"/>
        <v>0</v>
      </c>
      <c r="AR244" s="1">
        <f t="shared" si="45"/>
        <v>0</v>
      </c>
      <c r="AS244" s="1">
        <f t="shared" si="46"/>
        <v>0</v>
      </c>
    </row>
    <row r="245" spans="1:45" x14ac:dyDescent="0.2">
      <c r="A245" s="2">
        <v>42095</v>
      </c>
      <c r="B245" s="1">
        <v>1.0916020923534426</v>
      </c>
      <c r="C245" s="1">
        <v>0.90839835232159183</v>
      </c>
      <c r="D245" s="1">
        <v>-4.9922032373961894E-2</v>
      </c>
      <c r="E245" s="1">
        <v>0.82521855290817137</v>
      </c>
      <c r="F245" s="1">
        <v>0.50013678022955177</v>
      </c>
      <c r="G245" s="1">
        <v>-0.2169427487364162</v>
      </c>
      <c r="H245" s="1">
        <v>0.70746306819139371</v>
      </c>
      <c r="I245" s="1">
        <v>-0.42633074155447725</v>
      </c>
      <c r="J245" s="1">
        <v>0.62555296953273609</v>
      </c>
      <c r="K245" s="1">
        <v>0.21267494542686818</v>
      </c>
      <c r="L245" s="1">
        <v>0.41778512382989003</v>
      </c>
      <c r="M245" s="1">
        <v>0</v>
      </c>
      <c r="N245" s="1">
        <v>6</v>
      </c>
      <c r="O245" s="1">
        <v>0</v>
      </c>
      <c r="P245" s="1">
        <v>0</v>
      </c>
      <c r="Q245" s="1" t="str">
        <f t="shared" si="40"/>
        <v>Downturn</v>
      </c>
      <c r="R245" s="2">
        <f t="shared" si="41"/>
        <v>42124</v>
      </c>
      <c r="S245" s="1">
        <f>VLOOKUP(R245,BB!$A$3:$C$62769, 2, 1)</f>
        <v>2.0316999999999998</v>
      </c>
      <c r="T245" s="1">
        <f t="shared" si="42"/>
        <v>0.70870000000000033</v>
      </c>
      <c r="U245" s="1">
        <f>VLOOKUP(R245,BB!$A$3:$D$6771, 4, 1)</f>
        <v>2.7404000000000002</v>
      </c>
      <c r="V245" s="1">
        <f t="shared" si="49"/>
        <v>0.10859999999999981</v>
      </c>
      <c r="W245" s="1">
        <f t="shared" si="50"/>
        <v>9.590000000000054E-2</v>
      </c>
      <c r="X245" s="1">
        <f t="shared" si="47"/>
        <v>1.9231</v>
      </c>
      <c r="Y245" s="1">
        <f t="shared" si="48"/>
        <v>0.61279999999999979</v>
      </c>
      <c r="Z245" s="1" t="str">
        <f t="shared" si="39"/>
        <v>Downturn</v>
      </c>
      <c r="AL245" s="1">
        <v>0</v>
      </c>
      <c r="AM245" s="1">
        <v>10</v>
      </c>
      <c r="AN245" s="1">
        <v>0</v>
      </c>
      <c r="AO245" s="1">
        <v>0</v>
      </c>
      <c r="AP245" s="1">
        <f t="shared" si="43"/>
        <v>0</v>
      </c>
      <c r="AQ245" s="1">
        <f t="shared" si="44"/>
        <v>6</v>
      </c>
      <c r="AR245" s="1">
        <f t="shared" si="45"/>
        <v>0</v>
      </c>
      <c r="AS245" s="1">
        <f t="shared" si="46"/>
        <v>0</v>
      </c>
    </row>
    <row r="246" spans="1:45" x14ac:dyDescent="0.2">
      <c r="A246" s="2">
        <v>42125</v>
      </c>
      <c r="B246" s="1">
        <v>1.1940302126769999</v>
      </c>
      <c r="C246" s="1">
        <v>0.91895918988043068</v>
      </c>
      <c r="D246" s="1">
        <v>-3.0426534102948209E-3</v>
      </c>
      <c r="E246" s="1">
        <v>0.77399775821480021</v>
      </c>
      <c r="F246" s="1">
        <v>0.38921579062611511</v>
      </c>
      <c r="G246" s="1">
        <v>2.7230193168618941E-2</v>
      </c>
      <c r="H246" s="1">
        <v>0.69379464133862645</v>
      </c>
      <c r="I246" s="1">
        <v>-0.35369408920310103</v>
      </c>
      <c r="J246" s="1">
        <v>2.3500882797284302</v>
      </c>
      <c r="K246" s="1">
        <v>0.26400002601935735</v>
      </c>
      <c r="L246" s="1">
        <v>0.62545793490399837</v>
      </c>
      <c r="M246" s="1">
        <v>6</v>
      </c>
      <c r="N246" s="1">
        <v>0</v>
      </c>
      <c r="O246" s="1">
        <v>0</v>
      </c>
      <c r="P246" s="1">
        <v>0</v>
      </c>
      <c r="Q246" s="1" t="str">
        <f t="shared" si="40"/>
        <v>Expansion</v>
      </c>
      <c r="R246" s="2">
        <f t="shared" si="41"/>
        <v>42155</v>
      </c>
      <c r="S246" s="1">
        <f>VLOOKUP(R246,BB!$A$3:$C$62769, 2, 1)</f>
        <v>2.1214</v>
      </c>
      <c r="T246" s="1">
        <f t="shared" si="42"/>
        <v>0.76040000000000019</v>
      </c>
      <c r="U246" s="1">
        <f>VLOOKUP(R246,BB!$A$3:$D$6771, 4, 1)</f>
        <v>2.8818000000000001</v>
      </c>
      <c r="V246" s="1" t="str">
        <f t="shared" si="49"/>
        <v/>
      </c>
      <c r="W246" s="1" t="str">
        <f t="shared" si="50"/>
        <v/>
      </c>
      <c r="X246" s="1">
        <f t="shared" si="47"/>
        <v>2.0316999999999998</v>
      </c>
      <c r="Y246" s="1">
        <f t="shared" si="48"/>
        <v>0.70870000000000033</v>
      </c>
      <c r="Z246" s="1" t="str">
        <f t="shared" si="39"/>
        <v/>
      </c>
      <c r="AL246" s="1">
        <v>10</v>
      </c>
      <c r="AM246" s="1">
        <v>0</v>
      </c>
      <c r="AN246" s="1">
        <v>0</v>
      </c>
      <c r="AO246" s="1">
        <v>0</v>
      </c>
      <c r="AP246" s="1">
        <f t="shared" si="43"/>
        <v>6</v>
      </c>
      <c r="AQ246" s="1">
        <f t="shared" si="44"/>
        <v>0</v>
      </c>
      <c r="AR246" s="1">
        <f t="shared" si="45"/>
        <v>0</v>
      </c>
      <c r="AS246" s="1">
        <f t="shared" si="46"/>
        <v>0</v>
      </c>
    </row>
    <row r="247" spans="1:45" x14ac:dyDescent="0.2">
      <c r="A247" s="2">
        <v>42156</v>
      </c>
      <c r="B247" s="1">
        <v>1.2438946788172187</v>
      </c>
      <c r="C247" s="1">
        <v>1.1895380839331446</v>
      </c>
      <c r="D247" s="1">
        <v>0.19735930859794593</v>
      </c>
      <c r="E247" s="1">
        <v>0.882619692735371</v>
      </c>
      <c r="F247" s="1">
        <v>0.33491586748960345</v>
      </c>
      <c r="G247" s="1">
        <v>0.15506160596515048</v>
      </c>
      <c r="H247" s="1">
        <v>0.68009613034207106</v>
      </c>
      <c r="I247" s="1">
        <v>-0.32044524157388682</v>
      </c>
      <c r="J247" s="1">
        <v>0.72782029837274087</v>
      </c>
      <c r="K247" s="1">
        <v>0.27928345521321185</v>
      </c>
      <c r="L247" s="1">
        <v>0.53701438798925705</v>
      </c>
      <c r="M247" s="1">
        <v>6</v>
      </c>
      <c r="N247" s="1">
        <v>0</v>
      </c>
      <c r="O247" s="1">
        <v>0</v>
      </c>
      <c r="P247" s="1">
        <v>0</v>
      </c>
      <c r="Q247" s="1" t="str">
        <f t="shared" si="40"/>
        <v>Expansion</v>
      </c>
      <c r="R247" s="2">
        <f t="shared" si="41"/>
        <v>42185</v>
      </c>
      <c r="S247" s="1">
        <f>VLOOKUP(R247,BB!$A$3:$C$62769, 2, 1)</f>
        <v>2.3531</v>
      </c>
      <c r="T247" s="1">
        <f t="shared" si="42"/>
        <v>0.77050000000000018</v>
      </c>
      <c r="U247" s="1">
        <f>VLOOKUP(R247,BB!$A$3:$D$6771, 4, 1)</f>
        <v>3.1236000000000002</v>
      </c>
      <c r="V247" s="1" t="str">
        <f t="shared" si="49"/>
        <v/>
      </c>
      <c r="W247" s="1" t="str">
        <f t="shared" si="50"/>
        <v/>
      </c>
      <c r="X247" s="1">
        <f t="shared" si="47"/>
        <v>2.0316999999999998</v>
      </c>
      <c r="Y247" s="1">
        <f t="shared" si="48"/>
        <v>0.70870000000000033</v>
      </c>
      <c r="Z247" s="1" t="str">
        <f t="shared" si="39"/>
        <v/>
      </c>
      <c r="AL247" s="1">
        <v>10</v>
      </c>
      <c r="AM247" s="1">
        <v>0</v>
      </c>
      <c r="AN247" s="1">
        <v>0</v>
      </c>
      <c r="AO247" s="1">
        <v>0</v>
      </c>
      <c r="AP247" s="1">
        <f t="shared" si="43"/>
        <v>6</v>
      </c>
      <c r="AQ247" s="1">
        <f t="shared" si="44"/>
        <v>0</v>
      </c>
      <c r="AR247" s="1">
        <f t="shared" si="45"/>
        <v>0</v>
      </c>
      <c r="AS247" s="1">
        <f t="shared" si="46"/>
        <v>0</v>
      </c>
    </row>
    <row r="248" spans="1:45" x14ac:dyDescent="0.2">
      <c r="A248" s="2">
        <v>42186</v>
      </c>
      <c r="B248" s="1">
        <v>1.248545389175518</v>
      </c>
      <c r="C248" s="1">
        <v>0.72793265444185373</v>
      </c>
      <c r="D248" s="1">
        <v>-2.2466708807257388E-2</v>
      </c>
      <c r="E248" s="1">
        <v>0.88507554700678193</v>
      </c>
      <c r="F248" s="1">
        <v>0.26959612601952088</v>
      </c>
      <c r="G248" s="1">
        <v>6.9644417545857325E-3</v>
      </c>
      <c r="H248" s="1">
        <v>0.67660148824722965</v>
      </c>
      <c r="I248" s="1">
        <v>-0.27318139869345626</v>
      </c>
      <c r="J248" s="1">
        <v>4.0240336504789225</v>
      </c>
      <c r="K248" s="1">
        <v>0.37755790483331025</v>
      </c>
      <c r="L248" s="1">
        <v>0.79206590944570077</v>
      </c>
      <c r="M248" s="1">
        <v>6</v>
      </c>
      <c r="N248" s="1">
        <v>0</v>
      </c>
      <c r="O248" s="1">
        <v>0</v>
      </c>
      <c r="P248" s="1">
        <v>0</v>
      </c>
      <c r="Q248" s="1" t="str">
        <f t="shared" si="40"/>
        <v>Expansion</v>
      </c>
      <c r="R248" s="2">
        <f t="shared" si="41"/>
        <v>42216</v>
      </c>
      <c r="S248" s="1">
        <f>VLOOKUP(R248,BB!$A$3:$C$62769, 2, 1)</f>
        <v>2.1800999999999999</v>
      </c>
      <c r="T248" s="1">
        <f t="shared" si="42"/>
        <v>0.72599999999999998</v>
      </c>
      <c r="U248" s="1">
        <f>VLOOKUP(R248,BB!$A$3:$D$6771, 4, 1)</f>
        <v>2.9060999999999999</v>
      </c>
      <c r="V248" s="1">
        <f t="shared" si="49"/>
        <v>0.14840000000000009</v>
      </c>
      <c r="W248" s="1">
        <f t="shared" si="50"/>
        <v>1.7299999999999649E-2</v>
      </c>
      <c r="X248" s="1">
        <f t="shared" si="47"/>
        <v>2.0316999999999998</v>
      </c>
      <c r="Y248" s="1">
        <f t="shared" si="48"/>
        <v>0.70870000000000033</v>
      </c>
      <c r="Z248" s="1" t="str">
        <f t="shared" si="39"/>
        <v>Expansion</v>
      </c>
      <c r="AL248" s="1">
        <v>10</v>
      </c>
      <c r="AM248" s="1">
        <v>0</v>
      </c>
      <c r="AN248" s="1">
        <v>0</v>
      </c>
      <c r="AO248" s="1">
        <v>0</v>
      </c>
      <c r="AP248" s="1">
        <f t="shared" si="43"/>
        <v>6</v>
      </c>
      <c r="AQ248" s="1">
        <f t="shared" si="44"/>
        <v>0</v>
      </c>
      <c r="AR248" s="1">
        <f t="shared" si="45"/>
        <v>0</v>
      </c>
      <c r="AS248" s="1">
        <f t="shared" si="46"/>
        <v>0</v>
      </c>
    </row>
    <row r="249" spans="1:45" x14ac:dyDescent="0.2">
      <c r="A249" s="2">
        <v>42217</v>
      </c>
      <c r="B249" s="1">
        <v>1.2395345840592313</v>
      </c>
      <c r="C249" s="1">
        <v>1.2082306288838458</v>
      </c>
      <c r="D249" s="1">
        <v>-7.721946260876833E-2</v>
      </c>
      <c r="E249" s="1">
        <v>0.99346307175959825</v>
      </c>
      <c r="F249" s="1">
        <v>0.17100919361001005</v>
      </c>
      <c r="G249" s="1">
        <v>-0.28479502105637566</v>
      </c>
      <c r="H249" s="1">
        <v>0.67302219921441375</v>
      </c>
      <c r="I249" s="1">
        <v>-0.21216489573722117</v>
      </c>
      <c r="J249" s="1">
        <v>1.203516894408811</v>
      </c>
      <c r="K249" s="1">
        <v>0.3701339798103695</v>
      </c>
      <c r="L249" s="1">
        <v>0.5284731172343915</v>
      </c>
      <c r="M249" s="1">
        <v>0</v>
      </c>
      <c r="N249" s="1">
        <v>6</v>
      </c>
      <c r="O249" s="1">
        <v>0</v>
      </c>
      <c r="P249" s="1">
        <v>0</v>
      </c>
      <c r="Q249" s="1" t="str">
        <f t="shared" si="40"/>
        <v>Downturn</v>
      </c>
      <c r="R249" s="2">
        <f t="shared" si="41"/>
        <v>42247</v>
      </c>
      <c r="S249" s="1">
        <f>VLOOKUP(R249,BB!$A$3:$C$62769, 2, 1)</f>
        <v>2.2179000000000002</v>
      </c>
      <c r="T249" s="1">
        <f t="shared" si="42"/>
        <v>0.74399999999999977</v>
      </c>
      <c r="U249" s="1">
        <f>VLOOKUP(R249,BB!$A$3:$D$6771, 4, 1)</f>
        <v>2.9619</v>
      </c>
      <c r="V249" s="1" t="str">
        <f t="shared" si="49"/>
        <v/>
      </c>
      <c r="W249" s="1" t="str">
        <f t="shared" si="50"/>
        <v/>
      </c>
      <c r="X249" s="1">
        <f t="shared" si="47"/>
        <v>2.1800999999999999</v>
      </c>
      <c r="Y249" s="1">
        <f t="shared" si="48"/>
        <v>0.72599999999999998</v>
      </c>
      <c r="Z249" s="1" t="str">
        <f t="shared" si="39"/>
        <v/>
      </c>
      <c r="AL249" s="1">
        <v>0</v>
      </c>
      <c r="AM249" s="1">
        <v>10</v>
      </c>
      <c r="AN249" s="1">
        <v>0</v>
      </c>
      <c r="AO249" s="1">
        <v>0</v>
      </c>
      <c r="AP249" s="1">
        <f t="shared" si="43"/>
        <v>0</v>
      </c>
      <c r="AQ249" s="1">
        <f t="shared" si="44"/>
        <v>6</v>
      </c>
      <c r="AR249" s="1">
        <f t="shared" si="45"/>
        <v>0</v>
      </c>
      <c r="AS249" s="1">
        <f t="shared" si="46"/>
        <v>0</v>
      </c>
    </row>
    <row r="250" spans="1:45" x14ac:dyDescent="0.2">
      <c r="A250" s="2">
        <v>42248</v>
      </c>
      <c r="B250" s="1">
        <v>1.2404705445113526</v>
      </c>
      <c r="C250" s="1">
        <v>1.2791528600590714</v>
      </c>
      <c r="D250" s="1">
        <v>-0.17031188912644837</v>
      </c>
      <c r="E250" s="1">
        <v>0.99527360481341409</v>
      </c>
      <c r="F250" s="1">
        <v>8.4512040031060692E-2</v>
      </c>
      <c r="G250" s="1">
        <v>-0.44835560346680026</v>
      </c>
      <c r="H250" s="1">
        <v>0.67957672576096673</v>
      </c>
      <c r="I250" s="1">
        <v>-0.10854506487310149</v>
      </c>
      <c r="J250" s="1">
        <v>1.455256640761325</v>
      </c>
      <c r="K250" s="1">
        <v>0.20357899260183016</v>
      </c>
      <c r="L250" s="1">
        <v>0.52106088510726711</v>
      </c>
      <c r="M250" s="1">
        <v>0</v>
      </c>
      <c r="N250" s="1">
        <v>6</v>
      </c>
      <c r="O250" s="1">
        <v>0</v>
      </c>
      <c r="P250" s="1">
        <v>0</v>
      </c>
      <c r="Q250" s="1" t="str">
        <f t="shared" si="40"/>
        <v>Downturn</v>
      </c>
      <c r="R250" s="2">
        <f t="shared" si="41"/>
        <v>42277</v>
      </c>
      <c r="S250" s="1">
        <f>VLOOKUP(R250,BB!$A$3:$C$62769, 2, 1)</f>
        <v>2.0367999999999999</v>
      </c>
      <c r="T250" s="1">
        <f t="shared" si="42"/>
        <v>0.81700000000000017</v>
      </c>
      <c r="U250" s="1">
        <f>VLOOKUP(R250,BB!$A$3:$D$6771, 4, 1)</f>
        <v>2.8538000000000001</v>
      </c>
      <c r="V250" s="1" t="str">
        <f t="shared" si="49"/>
        <v/>
      </c>
      <c r="W250" s="1" t="str">
        <f t="shared" si="50"/>
        <v/>
      </c>
      <c r="X250" s="1">
        <f t="shared" si="47"/>
        <v>2.1800999999999999</v>
      </c>
      <c r="Y250" s="1">
        <f t="shared" si="48"/>
        <v>0.72599999999999998</v>
      </c>
      <c r="Z250" s="1" t="str">
        <f t="shared" si="39"/>
        <v/>
      </c>
      <c r="AL250" s="1">
        <v>0</v>
      </c>
      <c r="AM250" s="1">
        <v>10</v>
      </c>
      <c r="AN250" s="1">
        <v>0</v>
      </c>
      <c r="AO250" s="1">
        <v>0</v>
      </c>
      <c r="AP250" s="1">
        <f t="shared" si="43"/>
        <v>0</v>
      </c>
      <c r="AQ250" s="1">
        <f t="shared" si="44"/>
        <v>6</v>
      </c>
      <c r="AR250" s="1">
        <f t="shared" si="45"/>
        <v>0</v>
      </c>
      <c r="AS250" s="1">
        <f t="shared" si="46"/>
        <v>0</v>
      </c>
    </row>
    <row r="251" spans="1:45" x14ac:dyDescent="0.2">
      <c r="A251" s="2">
        <v>42278</v>
      </c>
      <c r="B251" s="1">
        <v>1.2788532420554872</v>
      </c>
      <c r="C251" s="1">
        <v>1.0262022855121513</v>
      </c>
      <c r="D251" s="1">
        <v>-0.1722971187000272</v>
      </c>
      <c r="E251" s="1">
        <v>1.048284182965926</v>
      </c>
      <c r="F251" s="1">
        <v>-9.319293892493996E-4</v>
      </c>
      <c r="G251" s="1">
        <v>-0.45542457994136587</v>
      </c>
      <c r="H251" s="1">
        <v>0.7048031803289907</v>
      </c>
      <c r="I251" s="1">
        <v>-6.6371226290400459E-2</v>
      </c>
      <c r="J251" s="1">
        <v>1.6756096292802554</v>
      </c>
      <c r="K251" s="1">
        <v>0.35176208636195516</v>
      </c>
      <c r="L251" s="1">
        <v>0.53904897521837225</v>
      </c>
      <c r="M251" s="1">
        <v>0</v>
      </c>
      <c r="N251" s="1">
        <v>6</v>
      </c>
      <c r="O251" s="1">
        <v>0</v>
      </c>
      <c r="P251" s="1">
        <v>0</v>
      </c>
      <c r="Q251" s="1" t="str">
        <f t="shared" si="40"/>
        <v>Downturn</v>
      </c>
      <c r="R251" s="2">
        <f t="shared" si="41"/>
        <v>42308</v>
      </c>
      <c r="S251" s="1">
        <f>VLOOKUP(R251,BB!$A$3:$C$62769, 2, 1)</f>
        <v>2.1421000000000001</v>
      </c>
      <c r="T251" s="1">
        <f t="shared" si="42"/>
        <v>0.78010000000000002</v>
      </c>
      <c r="U251" s="1">
        <f>VLOOKUP(R251,BB!$A$3:$D$6771, 4, 1)</f>
        <v>2.9222000000000001</v>
      </c>
      <c r="V251" s="1">
        <f t="shared" si="49"/>
        <v>-3.7999999999999812E-2</v>
      </c>
      <c r="W251" s="1">
        <f t="shared" si="50"/>
        <v>5.4100000000000037E-2</v>
      </c>
      <c r="X251" s="1">
        <f t="shared" si="47"/>
        <v>2.1800999999999999</v>
      </c>
      <c r="Y251" s="1">
        <f t="shared" si="48"/>
        <v>0.72599999999999998</v>
      </c>
      <c r="Z251" s="1" t="str">
        <f t="shared" si="39"/>
        <v>Downturn</v>
      </c>
      <c r="AL251" s="1">
        <v>0</v>
      </c>
      <c r="AM251" s="1">
        <v>10</v>
      </c>
      <c r="AN251" s="1">
        <v>0</v>
      </c>
      <c r="AO251" s="1">
        <v>0</v>
      </c>
      <c r="AP251" s="1">
        <f t="shared" si="43"/>
        <v>0</v>
      </c>
      <c r="AQ251" s="1">
        <f t="shared" si="44"/>
        <v>6</v>
      </c>
      <c r="AR251" s="1">
        <f t="shared" si="45"/>
        <v>0</v>
      </c>
      <c r="AS251" s="1">
        <f t="shared" si="46"/>
        <v>0</v>
      </c>
    </row>
    <row r="252" spans="1:45" x14ac:dyDescent="0.2">
      <c r="A252" s="2">
        <v>42309</v>
      </c>
      <c r="B252" s="1">
        <v>1.2811743725562796</v>
      </c>
      <c r="C252" s="1">
        <v>0.69939199380460082</v>
      </c>
      <c r="D252" s="1">
        <v>-0.3474007684258556</v>
      </c>
      <c r="E252" s="1">
        <v>1.048284182965926</v>
      </c>
      <c r="F252" s="1">
        <v>-9.6521540275513268E-2</v>
      </c>
      <c r="G252" s="1">
        <v>-0.72628448843250804</v>
      </c>
      <c r="H252" s="1">
        <v>0.74779646179323822</v>
      </c>
      <c r="I252" s="1">
        <v>2.2087008302797778E-2</v>
      </c>
      <c r="J252" s="1">
        <v>4.333358440111839</v>
      </c>
      <c r="K252" s="1">
        <v>0.39099822501462672</v>
      </c>
      <c r="L252" s="1">
        <v>0.73528838874154323</v>
      </c>
      <c r="M252" s="1">
        <v>6</v>
      </c>
      <c r="N252" s="1">
        <v>0</v>
      </c>
      <c r="O252" s="1">
        <v>0</v>
      </c>
      <c r="P252" s="1">
        <v>0</v>
      </c>
      <c r="Q252" s="1" t="str">
        <f t="shared" si="40"/>
        <v>Expansion</v>
      </c>
      <c r="R252" s="2">
        <f t="shared" si="41"/>
        <v>42338</v>
      </c>
      <c r="S252" s="1">
        <f>VLOOKUP(R252,BB!$A$3:$C$62769, 2, 1)</f>
        <v>2.206</v>
      </c>
      <c r="T252" s="1">
        <f t="shared" si="42"/>
        <v>0.7663000000000002</v>
      </c>
      <c r="U252" s="1">
        <f>VLOOKUP(R252,BB!$A$3:$D$6771, 4, 1)</f>
        <v>2.9723000000000002</v>
      </c>
      <c r="V252" s="1">
        <f t="shared" si="49"/>
        <v>6.3899999999999846E-2</v>
      </c>
      <c r="W252" s="1">
        <f t="shared" si="50"/>
        <v>-1.3799999999999812E-2</v>
      </c>
      <c r="X252" s="1">
        <f t="shared" si="47"/>
        <v>2.1421000000000001</v>
      </c>
      <c r="Y252" s="1">
        <f t="shared" si="48"/>
        <v>0.78010000000000002</v>
      </c>
      <c r="Z252" s="1" t="str">
        <f t="shared" si="39"/>
        <v>Expansion</v>
      </c>
      <c r="AL252" s="1">
        <v>10</v>
      </c>
      <c r="AM252" s="1">
        <v>0</v>
      </c>
      <c r="AN252" s="1">
        <v>0</v>
      </c>
      <c r="AO252" s="1">
        <v>0</v>
      </c>
      <c r="AP252" s="1">
        <f t="shared" si="43"/>
        <v>6</v>
      </c>
      <c r="AQ252" s="1">
        <f t="shared" si="44"/>
        <v>0</v>
      </c>
      <c r="AR252" s="1">
        <f t="shared" si="45"/>
        <v>0</v>
      </c>
      <c r="AS252" s="1">
        <f t="shared" si="46"/>
        <v>0</v>
      </c>
    </row>
    <row r="253" spans="1:45" x14ac:dyDescent="0.2">
      <c r="A253" s="2">
        <v>42339</v>
      </c>
      <c r="B253" s="1">
        <v>1.2584876414876078</v>
      </c>
      <c r="C253" s="1">
        <v>0.97518908109156643</v>
      </c>
      <c r="D253" s="1">
        <v>-0.42488209165653468</v>
      </c>
      <c r="E253" s="1">
        <v>1.048284182965926</v>
      </c>
      <c r="F253" s="1">
        <v>-0.17971131198590318</v>
      </c>
      <c r="G253" s="1">
        <v>-0.78877385848161086</v>
      </c>
      <c r="H253" s="1">
        <v>0.34899149796911266</v>
      </c>
      <c r="I253" s="1">
        <v>5.3526641065183567E-2</v>
      </c>
      <c r="J253" s="1">
        <v>1.0204618086450046</v>
      </c>
      <c r="K253" s="1">
        <v>4.9682962409605132E-2</v>
      </c>
      <c r="L253" s="1">
        <v>0.33612565535099581</v>
      </c>
      <c r="M253" s="1">
        <v>0</v>
      </c>
      <c r="N253" s="1">
        <v>6</v>
      </c>
      <c r="O253" s="1">
        <v>0</v>
      </c>
      <c r="P253" s="1">
        <v>0</v>
      </c>
      <c r="Q253" s="1" t="str">
        <f t="shared" si="40"/>
        <v>Downturn</v>
      </c>
      <c r="R253" s="2">
        <f t="shared" si="41"/>
        <v>42369</v>
      </c>
      <c r="S253" s="1">
        <f>VLOOKUP(R253,BB!$A$3:$C$62769, 2, 1)</f>
        <v>2.2694000000000001</v>
      </c>
      <c r="T253" s="1">
        <f t="shared" si="42"/>
        <v>0.74639999999999995</v>
      </c>
      <c r="U253" s="1">
        <f>VLOOKUP(R253,BB!$A$3:$D$6771, 4, 1)</f>
        <v>3.0158</v>
      </c>
      <c r="V253" s="1" t="str">
        <f t="shared" si="49"/>
        <v/>
      </c>
      <c r="W253" s="1" t="str">
        <f t="shared" si="50"/>
        <v/>
      </c>
      <c r="X253" s="1">
        <f t="shared" si="47"/>
        <v>2.206</v>
      </c>
      <c r="Y253" s="1">
        <f t="shared" si="48"/>
        <v>0.7663000000000002</v>
      </c>
      <c r="Z253" s="1" t="str">
        <f t="shared" si="39"/>
        <v/>
      </c>
      <c r="AL253" s="1">
        <v>0</v>
      </c>
      <c r="AM253" s="1">
        <v>10</v>
      </c>
      <c r="AN253" s="1">
        <v>0</v>
      </c>
      <c r="AO253" s="1">
        <v>0</v>
      </c>
      <c r="AP253" s="1">
        <f t="shared" si="43"/>
        <v>0</v>
      </c>
      <c r="AQ253" s="1">
        <f t="shared" si="44"/>
        <v>6</v>
      </c>
      <c r="AR253" s="1">
        <f t="shared" si="45"/>
        <v>0</v>
      </c>
      <c r="AS253" s="1">
        <f t="shared" si="46"/>
        <v>0</v>
      </c>
    </row>
    <row r="254" spans="1:45" x14ac:dyDescent="0.2">
      <c r="A254" s="2">
        <v>42370</v>
      </c>
      <c r="B254" s="1">
        <v>1.1612277791304153</v>
      </c>
      <c r="C254" s="1">
        <v>1.0519758407105821</v>
      </c>
      <c r="D254" s="1">
        <v>-0.52932248730134979</v>
      </c>
      <c r="E254" s="1">
        <v>1.1022644966628521</v>
      </c>
      <c r="F254" s="1">
        <v>-0.27587157027425063</v>
      </c>
      <c r="G254" s="1">
        <v>-0.77772496818201431</v>
      </c>
      <c r="H254" s="1">
        <v>-1.6728137470789127E-2</v>
      </c>
      <c r="I254" s="1">
        <v>6.6848014017250323E-2</v>
      </c>
      <c r="J254" s="1">
        <v>0.35938845435247163</v>
      </c>
      <c r="K254" s="1">
        <v>-9.8175680870832366E-2</v>
      </c>
      <c r="L254" s="1">
        <v>0.20438817407743351</v>
      </c>
      <c r="M254" s="1">
        <v>0</v>
      </c>
      <c r="N254" s="1">
        <v>6</v>
      </c>
      <c r="O254" s="1">
        <v>0</v>
      </c>
      <c r="P254" s="1">
        <v>0</v>
      </c>
      <c r="Q254" s="1" t="str">
        <f t="shared" si="40"/>
        <v>Downturn</v>
      </c>
      <c r="R254" s="2">
        <f t="shared" si="41"/>
        <v>42400</v>
      </c>
      <c r="S254" s="1">
        <f>VLOOKUP(R254,BB!$A$3:$C$62769, 2, 1)</f>
        <v>1.9209000000000001</v>
      </c>
      <c r="T254" s="1">
        <f t="shared" si="42"/>
        <v>0.82289999999999974</v>
      </c>
      <c r="U254" s="1">
        <f>VLOOKUP(R254,BB!$A$3:$D$6771, 4, 1)</f>
        <v>2.7437999999999998</v>
      </c>
      <c r="V254" s="1" t="str">
        <f t="shared" si="49"/>
        <v/>
      </c>
      <c r="W254" s="1" t="str">
        <f t="shared" si="50"/>
        <v/>
      </c>
      <c r="X254" s="1">
        <f t="shared" si="47"/>
        <v>2.206</v>
      </c>
      <c r="Y254" s="1">
        <f t="shared" si="48"/>
        <v>0.7663000000000002</v>
      </c>
      <c r="Z254" s="1" t="str">
        <f t="shared" si="39"/>
        <v/>
      </c>
      <c r="AL254" s="1">
        <v>0</v>
      </c>
      <c r="AM254" s="1">
        <v>10</v>
      </c>
      <c r="AN254" s="1">
        <v>0</v>
      </c>
      <c r="AO254" s="1">
        <v>0</v>
      </c>
      <c r="AP254" s="1">
        <f t="shared" si="43"/>
        <v>0</v>
      </c>
      <c r="AQ254" s="1">
        <f t="shared" si="44"/>
        <v>6</v>
      </c>
      <c r="AR254" s="1">
        <f t="shared" si="45"/>
        <v>0</v>
      </c>
      <c r="AS254" s="1">
        <f t="shared" si="46"/>
        <v>0</v>
      </c>
    </row>
    <row r="255" spans="1:45" x14ac:dyDescent="0.2">
      <c r="A255" s="2">
        <v>42401</v>
      </c>
      <c r="B255" s="1">
        <v>1.1387155365809301</v>
      </c>
      <c r="C255" s="1">
        <v>0.79544292628112634</v>
      </c>
      <c r="D255" s="1">
        <v>-0.7674782837077847</v>
      </c>
      <c r="E255" s="1">
        <v>1.104286634476866</v>
      </c>
      <c r="F255" s="1">
        <v>-0.36997799923734598</v>
      </c>
      <c r="G255" s="1">
        <v>-0.5216387568221873</v>
      </c>
      <c r="H255" s="1">
        <v>-0.38649094461516997</v>
      </c>
      <c r="I255" s="1">
        <v>6.7694633609529195E-2</v>
      </c>
      <c r="J255" s="1">
        <v>0.16549944024747978</v>
      </c>
      <c r="K255" s="1">
        <v>-0.16337934418633548</v>
      </c>
      <c r="L255" s="1">
        <v>0.10626738426271079</v>
      </c>
      <c r="M255" s="1">
        <v>0</v>
      </c>
      <c r="N255" s="1">
        <v>6</v>
      </c>
      <c r="O255" s="1">
        <v>0</v>
      </c>
      <c r="P255" s="1">
        <v>0</v>
      </c>
      <c r="Q255" s="1" t="str">
        <f t="shared" si="40"/>
        <v>Downturn</v>
      </c>
      <c r="R255" s="2">
        <f t="shared" si="41"/>
        <v>42429</v>
      </c>
      <c r="S255" s="1">
        <f>VLOOKUP(R255,BB!$A$3:$C$62769, 2, 1)</f>
        <v>1.7346999999999999</v>
      </c>
      <c r="T255" s="1">
        <f t="shared" si="42"/>
        <v>0.88090000000000024</v>
      </c>
      <c r="U255" s="1">
        <f>VLOOKUP(R255,BB!$A$3:$D$6771, 4, 1)</f>
        <v>2.6156000000000001</v>
      </c>
      <c r="V255" s="1" t="str">
        <f t="shared" si="49"/>
        <v/>
      </c>
      <c r="W255" s="1" t="str">
        <f t="shared" si="50"/>
        <v/>
      </c>
      <c r="X255" s="1">
        <f t="shared" si="47"/>
        <v>2.206</v>
      </c>
      <c r="Y255" s="1">
        <f t="shared" si="48"/>
        <v>0.7663000000000002</v>
      </c>
      <c r="Z255" s="1" t="str">
        <f t="shared" ref="Z255:Z318" si="51">IF(ISNUMBER(V255)=TRUE, Q255, "")</f>
        <v/>
      </c>
      <c r="AL255" s="1">
        <v>0</v>
      </c>
      <c r="AM255" s="1">
        <v>10</v>
      </c>
      <c r="AN255" s="1">
        <v>0</v>
      </c>
      <c r="AO255" s="1">
        <v>0</v>
      </c>
      <c r="AP255" s="1">
        <f t="shared" si="43"/>
        <v>0</v>
      </c>
      <c r="AQ255" s="1">
        <f t="shared" si="44"/>
        <v>6</v>
      </c>
      <c r="AR255" s="1">
        <f t="shared" si="45"/>
        <v>0</v>
      </c>
      <c r="AS255" s="1">
        <f t="shared" si="46"/>
        <v>0</v>
      </c>
    </row>
    <row r="256" spans="1:45" x14ac:dyDescent="0.2">
      <c r="A256" s="2">
        <v>42430</v>
      </c>
      <c r="B256" s="1">
        <v>1.1583402551385105</v>
      </c>
      <c r="C256" s="1">
        <v>0.9812283768176816</v>
      </c>
      <c r="D256" s="1">
        <v>-0.68650970342612172</v>
      </c>
      <c r="E256" s="1">
        <v>1.0521694210709693</v>
      </c>
      <c r="F256" s="1">
        <v>-0.42852586130087139</v>
      </c>
      <c r="G256" s="1">
        <v>-7.7887192268089253E-2</v>
      </c>
      <c r="H256" s="1">
        <v>-0.33044506518688094</v>
      </c>
      <c r="I256" s="1">
        <v>0.15004998202909647</v>
      </c>
      <c r="J256" s="1">
        <v>-0.15208374400804453</v>
      </c>
      <c r="K256" s="1">
        <v>-8.2175257452360137E-2</v>
      </c>
      <c r="L256" s="1">
        <v>0.15841612114138898</v>
      </c>
      <c r="M256" s="1">
        <v>0</v>
      </c>
      <c r="N256" s="1">
        <v>6</v>
      </c>
      <c r="O256" s="1">
        <v>0</v>
      </c>
      <c r="P256" s="1">
        <v>0</v>
      </c>
      <c r="Q256" s="1" t="str">
        <f t="shared" si="40"/>
        <v>Downturn</v>
      </c>
      <c r="R256" s="2">
        <f t="shared" si="41"/>
        <v>42460</v>
      </c>
      <c r="S256" s="1">
        <f>VLOOKUP(R256,BB!$A$3:$C$62769, 2, 1)</f>
        <v>1.7686999999999999</v>
      </c>
      <c r="T256" s="1">
        <f t="shared" si="42"/>
        <v>0.84319999999999995</v>
      </c>
      <c r="U256" s="1">
        <f>VLOOKUP(R256,BB!$A$3:$D$6771, 4, 1)</f>
        <v>2.6118999999999999</v>
      </c>
      <c r="V256" s="1" t="str">
        <f t="shared" si="49"/>
        <v/>
      </c>
      <c r="W256" s="1" t="str">
        <f t="shared" si="50"/>
        <v/>
      </c>
      <c r="X256" s="1">
        <f t="shared" si="47"/>
        <v>2.206</v>
      </c>
      <c r="Y256" s="1">
        <f t="shared" si="48"/>
        <v>0.7663000000000002</v>
      </c>
      <c r="Z256" s="1" t="str">
        <f t="shared" si="51"/>
        <v/>
      </c>
      <c r="AL256" s="1">
        <v>0</v>
      </c>
      <c r="AM256" s="1">
        <v>10</v>
      </c>
      <c r="AN256" s="1">
        <v>0</v>
      </c>
      <c r="AO256" s="1">
        <v>0</v>
      </c>
      <c r="AP256" s="1">
        <f t="shared" si="43"/>
        <v>0</v>
      </c>
      <c r="AQ256" s="1">
        <f t="shared" si="44"/>
        <v>6</v>
      </c>
      <c r="AR256" s="1">
        <f t="shared" si="45"/>
        <v>0</v>
      </c>
      <c r="AS256" s="1">
        <f t="shared" si="46"/>
        <v>0</v>
      </c>
    </row>
    <row r="257" spans="1:45" x14ac:dyDescent="0.2">
      <c r="A257" s="2">
        <v>42461</v>
      </c>
      <c r="B257" s="1">
        <v>1.2538391373203575</v>
      </c>
      <c r="C257" s="1">
        <v>0.90026147121911604</v>
      </c>
      <c r="D257" s="1">
        <v>-0.70113411737531106</v>
      </c>
      <c r="E257" s="1">
        <v>1.0550986737042991</v>
      </c>
      <c r="F257" s="1">
        <v>-0.47329827828661031</v>
      </c>
      <c r="G257" s="1">
        <v>-0.26133001910311549</v>
      </c>
      <c r="H257" s="1">
        <v>-0.32090402249604405</v>
      </c>
      <c r="I257" s="1">
        <v>0.18049863642918729</v>
      </c>
      <c r="J257" s="1">
        <v>0.19818486900405829</v>
      </c>
      <c r="K257" s="1">
        <v>5.0628125296002628E-2</v>
      </c>
      <c r="L257" s="1">
        <v>0.18818444757119401</v>
      </c>
      <c r="M257" s="1">
        <v>0</v>
      </c>
      <c r="N257" s="1">
        <v>6</v>
      </c>
      <c r="O257" s="1">
        <v>0</v>
      </c>
      <c r="P257" s="1">
        <v>0</v>
      </c>
      <c r="Q257" s="1" t="str">
        <f t="shared" si="40"/>
        <v>Downturn</v>
      </c>
      <c r="R257" s="2">
        <f t="shared" si="41"/>
        <v>42490</v>
      </c>
      <c r="S257" s="1">
        <f>VLOOKUP(R257,BB!$A$3:$C$62769, 2, 1)</f>
        <v>1.8332999999999999</v>
      </c>
      <c r="T257" s="1">
        <f t="shared" si="42"/>
        <v>0.84480000000000022</v>
      </c>
      <c r="U257" s="1">
        <f>VLOOKUP(R257,BB!$A$3:$D$6771, 4, 1)</f>
        <v>2.6781000000000001</v>
      </c>
      <c r="V257" s="1">
        <f t="shared" si="49"/>
        <v>-0.37270000000000003</v>
      </c>
      <c r="W257" s="1">
        <f t="shared" si="50"/>
        <v>7.8500000000000014E-2</v>
      </c>
      <c r="X257" s="1">
        <f t="shared" si="47"/>
        <v>2.206</v>
      </c>
      <c r="Y257" s="1">
        <f t="shared" si="48"/>
        <v>0.7663000000000002</v>
      </c>
      <c r="Z257" s="1" t="str">
        <f t="shared" si="51"/>
        <v>Downturn</v>
      </c>
      <c r="AL257" s="1">
        <v>0</v>
      </c>
      <c r="AM257" s="1">
        <v>10</v>
      </c>
      <c r="AN257" s="1">
        <v>0</v>
      </c>
      <c r="AO257" s="1">
        <v>0</v>
      </c>
      <c r="AP257" s="1">
        <f t="shared" si="43"/>
        <v>0</v>
      </c>
      <c r="AQ257" s="1">
        <f t="shared" si="44"/>
        <v>6</v>
      </c>
      <c r="AR257" s="1">
        <f t="shared" si="45"/>
        <v>0</v>
      </c>
      <c r="AS257" s="1">
        <f t="shared" si="46"/>
        <v>0</v>
      </c>
    </row>
    <row r="258" spans="1:45" x14ac:dyDescent="0.2">
      <c r="A258" s="2">
        <v>42491</v>
      </c>
      <c r="B258" s="1">
        <v>1.2322526567634482</v>
      </c>
      <c r="C258" s="1">
        <v>0.84008247949640269</v>
      </c>
      <c r="D258" s="1">
        <v>-0.81932522944091224</v>
      </c>
      <c r="E258" s="1">
        <v>1.2178795565750826</v>
      </c>
      <c r="F258" s="1">
        <v>-0.49539746590873085</v>
      </c>
      <c r="G258" s="1">
        <v>-0.15734658549497549</v>
      </c>
      <c r="H258" s="1">
        <v>-0.31156348156939317</v>
      </c>
      <c r="I258" s="1">
        <v>0.19751663304511849</v>
      </c>
      <c r="J258" s="1">
        <v>1.1731443990052108</v>
      </c>
      <c r="K258" s="1">
        <v>-4.3354092276121504E-2</v>
      </c>
      <c r="L258" s="1">
        <v>0.28338888701951298</v>
      </c>
      <c r="M258" s="1">
        <v>6</v>
      </c>
      <c r="N258" s="1">
        <v>0</v>
      </c>
      <c r="O258" s="1">
        <v>0</v>
      </c>
      <c r="P258" s="1">
        <v>0</v>
      </c>
      <c r="Q258" s="1" t="str">
        <f t="shared" si="40"/>
        <v>Expansion</v>
      </c>
      <c r="R258" s="2">
        <f t="shared" si="41"/>
        <v>42521</v>
      </c>
      <c r="S258" s="1">
        <f>VLOOKUP(R258,BB!$A$3:$C$62769, 2, 1)</f>
        <v>1.8458000000000001</v>
      </c>
      <c r="T258" s="1">
        <f t="shared" si="42"/>
        <v>0.80209999999999981</v>
      </c>
      <c r="U258" s="1">
        <f>VLOOKUP(R258,BB!$A$3:$D$6771, 4, 1)</f>
        <v>2.6478999999999999</v>
      </c>
      <c r="V258" s="1" t="str">
        <f t="shared" si="49"/>
        <v/>
      </c>
      <c r="W258" s="1" t="str">
        <f t="shared" si="50"/>
        <v/>
      </c>
      <c r="X258" s="1">
        <f t="shared" si="47"/>
        <v>1.8332999999999999</v>
      </c>
      <c r="Y258" s="1">
        <f t="shared" si="48"/>
        <v>0.84480000000000022</v>
      </c>
      <c r="Z258" s="1" t="str">
        <f t="shared" si="51"/>
        <v/>
      </c>
      <c r="AL258" s="1">
        <v>10</v>
      </c>
      <c r="AM258" s="1">
        <v>0</v>
      </c>
      <c r="AN258" s="1">
        <v>0</v>
      </c>
      <c r="AO258" s="1">
        <v>0</v>
      </c>
      <c r="AP258" s="1">
        <f t="shared" si="43"/>
        <v>6</v>
      </c>
      <c r="AQ258" s="1">
        <f t="shared" si="44"/>
        <v>0</v>
      </c>
      <c r="AR258" s="1">
        <f t="shared" si="45"/>
        <v>0</v>
      </c>
      <c r="AS258" s="1">
        <f t="shared" si="46"/>
        <v>0</v>
      </c>
    </row>
    <row r="259" spans="1:45" x14ac:dyDescent="0.2">
      <c r="A259" s="2">
        <v>42522</v>
      </c>
      <c r="B259" s="1">
        <v>1.2207472560582537</v>
      </c>
      <c r="C259" s="1">
        <v>1.0940631653098885</v>
      </c>
      <c r="D259" s="1">
        <v>-0.9392714377296103</v>
      </c>
      <c r="E259" s="1">
        <v>1.1123847497388186</v>
      </c>
      <c r="F259" s="1">
        <v>-0.54083186587851984</v>
      </c>
      <c r="G259" s="1">
        <v>0.20751753248303598</v>
      </c>
      <c r="H259" s="1">
        <v>-0.33099193773396873</v>
      </c>
      <c r="I259" s="1">
        <v>0.25299676711669233</v>
      </c>
      <c r="J259" s="1">
        <v>0.57648046626159655</v>
      </c>
      <c r="K259" s="1">
        <v>9.8063354851235952E-4</v>
      </c>
      <c r="L259" s="1">
        <v>0.26540753291746993</v>
      </c>
      <c r="M259" s="1">
        <v>6</v>
      </c>
      <c r="N259" s="1">
        <v>0</v>
      </c>
      <c r="O259" s="1">
        <v>0</v>
      </c>
      <c r="P259" s="1">
        <v>0</v>
      </c>
      <c r="Q259" s="1" t="str">
        <f t="shared" ref="Q259:Q322" si="52">IF(M259=6, $M$1, IF(N259=6, $N$1, IF(O259=6, $O$1, $P$1)))</f>
        <v>Expansion</v>
      </c>
      <c r="R259" s="2">
        <f t="shared" ref="R259:R322" si="53">EOMONTH(A259, 0)</f>
        <v>42551</v>
      </c>
      <c r="S259" s="1">
        <f>VLOOKUP(R259,BB!$A$3:$C$62769, 2, 1)</f>
        <v>1.4697</v>
      </c>
      <c r="T259" s="1">
        <f t="shared" ref="T259:T322" si="54">U259-S259</f>
        <v>0.81499999999999995</v>
      </c>
      <c r="U259" s="1">
        <f>VLOOKUP(R259,BB!$A$3:$D$6771, 4, 1)</f>
        <v>2.2847</v>
      </c>
      <c r="V259" s="1">
        <f t="shared" si="49"/>
        <v>-0.36359999999999992</v>
      </c>
      <c r="W259" s="1">
        <f t="shared" si="50"/>
        <v>-2.9800000000000271E-2</v>
      </c>
      <c r="X259" s="1">
        <f t="shared" si="47"/>
        <v>1.8332999999999999</v>
      </c>
      <c r="Y259" s="1">
        <f t="shared" si="48"/>
        <v>0.84480000000000022</v>
      </c>
      <c r="Z259" s="1" t="str">
        <f t="shared" si="51"/>
        <v>Expansion</v>
      </c>
      <c r="AL259" s="1">
        <v>10</v>
      </c>
      <c r="AM259" s="1">
        <v>0</v>
      </c>
      <c r="AN259" s="1">
        <v>0</v>
      </c>
      <c r="AO259" s="1">
        <v>0</v>
      </c>
      <c r="AP259" s="1">
        <f t="shared" ref="AP259:AP322" si="55">IF(AL259&gt;0, AL259-4, AL259)</f>
        <v>6</v>
      </c>
      <c r="AQ259" s="1">
        <f t="shared" ref="AQ259:AQ322" si="56">IF(AM259&gt;0, AM259-4, AM259)</f>
        <v>0</v>
      </c>
      <c r="AR259" s="1">
        <f t="shared" ref="AR259:AR322" si="57">IF(AN259&gt;0, AN259-4, AN259)</f>
        <v>0</v>
      </c>
      <c r="AS259" s="1">
        <f t="shared" ref="AS259:AS322" si="58">IF(AO259&gt;0, AO259-4, AO259)</f>
        <v>0</v>
      </c>
    </row>
    <row r="260" spans="1:45" x14ac:dyDescent="0.2">
      <c r="A260" s="2">
        <v>42552</v>
      </c>
      <c r="B260" s="1">
        <v>1.2199299522354767</v>
      </c>
      <c r="C260" s="1">
        <v>1.0690853023819984</v>
      </c>
      <c r="D260" s="1">
        <v>-1.076172282541678</v>
      </c>
      <c r="E260" s="1">
        <v>1.1155074383361345</v>
      </c>
      <c r="F260" s="1">
        <v>-0.5401335713666966</v>
      </c>
      <c r="G260" s="1">
        <v>9.478085319663837E-2</v>
      </c>
      <c r="H260" s="1">
        <v>-0.34111817679350653</v>
      </c>
      <c r="I260" s="1">
        <v>0.21649163599028093</v>
      </c>
      <c r="J260" s="1">
        <v>0.2132548440113278</v>
      </c>
      <c r="K260" s="1">
        <v>0.20115954403719394</v>
      </c>
      <c r="L260" s="1">
        <v>0.21727855394871692</v>
      </c>
      <c r="M260" s="1">
        <v>0</v>
      </c>
      <c r="N260" s="1">
        <v>6</v>
      </c>
      <c r="O260" s="1">
        <v>0</v>
      </c>
      <c r="P260" s="1">
        <v>0</v>
      </c>
      <c r="Q260" s="1" t="str">
        <f t="shared" si="52"/>
        <v>Downturn</v>
      </c>
      <c r="R260" s="2">
        <f t="shared" si="53"/>
        <v>42582</v>
      </c>
      <c r="S260" s="1">
        <f>VLOOKUP(R260,BB!$A$3:$C$62769, 2, 1)</f>
        <v>1.4531000000000001</v>
      </c>
      <c r="T260" s="1">
        <f t="shared" si="54"/>
        <v>0.72960000000000003</v>
      </c>
      <c r="U260" s="1">
        <f>VLOOKUP(R260,BB!$A$3:$D$6771, 4, 1)</f>
        <v>2.1827000000000001</v>
      </c>
      <c r="V260" s="1" t="str">
        <f t="shared" si="49"/>
        <v/>
      </c>
      <c r="W260" s="1" t="str">
        <f t="shared" si="50"/>
        <v/>
      </c>
      <c r="X260" s="1">
        <f t="shared" si="47"/>
        <v>1.4697</v>
      </c>
      <c r="Y260" s="1">
        <f t="shared" si="48"/>
        <v>0.81499999999999995</v>
      </c>
      <c r="Z260" s="1" t="str">
        <f t="shared" si="51"/>
        <v/>
      </c>
      <c r="AL260" s="1">
        <v>0</v>
      </c>
      <c r="AM260" s="1">
        <v>10</v>
      </c>
      <c r="AN260" s="1">
        <v>0</v>
      </c>
      <c r="AO260" s="1">
        <v>0</v>
      </c>
      <c r="AP260" s="1">
        <f t="shared" si="55"/>
        <v>0</v>
      </c>
      <c r="AQ260" s="1">
        <f t="shared" si="56"/>
        <v>6</v>
      </c>
      <c r="AR260" s="1">
        <f t="shared" si="57"/>
        <v>0</v>
      </c>
      <c r="AS260" s="1">
        <f t="shared" si="58"/>
        <v>0</v>
      </c>
    </row>
    <row r="261" spans="1:45" x14ac:dyDescent="0.2">
      <c r="A261" s="2">
        <v>42583</v>
      </c>
      <c r="B261" s="1">
        <v>1.2497582398394873</v>
      </c>
      <c r="C261" s="1">
        <v>1.2522264006083106</v>
      </c>
      <c r="D261" s="1">
        <v>-1.1276938208472567</v>
      </c>
      <c r="E261" s="1">
        <v>1.1165248760219899</v>
      </c>
      <c r="F261" s="1">
        <v>-0.50456664785805128</v>
      </c>
      <c r="G261" s="1">
        <v>-0.50900264453117749</v>
      </c>
      <c r="H261" s="1">
        <v>-0.33221597558090132</v>
      </c>
      <c r="I261" s="1">
        <v>0.28489531733165768</v>
      </c>
      <c r="J261" s="1">
        <v>0.15328694723776617</v>
      </c>
      <c r="K261" s="1">
        <v>0.25259157065917726</v>
      </c>
      <c r="L261" s="1">
        <v>0.18358042628810028</v>
      </c>
      <c r="M261" s="1">
        <v>0</v>
      </c>
      <c r="N261" s="1">
        <v>6</v>
      </c>
      <c r="O261" s="1">
        <v>0</v>
      </c>
      <c r="P261" s="1">
        <v>0</v>
      </c>
      <c r="Q261" s="1" t="str">
        <f t="shared" si="52"/>
        <v>Downturn</v>
      </c>
      <c r="R261" s="2">
        <f t="shared" si="53"/>
        <v>42613</v>
      </c>
      <c r="S261" s="1">
        <f>VLOOKUP(R261,BB!$A$3:$C$62769, 2, 1)</f>
        <v>1.58</v>
      </c>
      <c r="T261" s="1">
        <f t="shared" si="54"/>
        <v>0.65200000000000014</v>
      </c>
      <c r="U261" s="1">
        <f>VLOOKUP(R261,BB!$A$3:$D$6771, 4, 1)</f>
        <v>2.2320000000000002</v>
      </c>
      <c r="V261" s="1">
        <f t="shared" si="49"/>
        <v>0.11030000000000006</v>
      </c>
      <c r="W261" s="1">
        <f t="shared" si="50"/>
        <v>-0.16299999999999981</v>
      </c>
      <c r="X261" s="1">
        <f t="shared" si="47"/>
        <v>1.4697</v>
      </c>
      <c r="Y261" s="1">
        <f t="shared" si="48"/>
        <v>0.81499999999999995</v>
      </c>
      <c r="Z261" s="1" t="str">
        <f t="shared" si="51"/>
        <v>Downturn</v>
      </c>
      <c r="AL261" s="1">
        <v>0</v>
      </c>
      <c r="AM261" s="1">
        <v>10</v>
      </c>
      <c r="AN261" s="1">
        <v>0</v>
      </c>
      <c r="AO261" s="1">
        <v>0</v>
      </c>
      <c r="AP261" s="1">
        <f t="shared" si="55"/>
        <v>0</v>
      </c>
      <c r="AQ261" s="1">
        <f t="shared" si="56"/>
        <v>6</v>
      </c>
      <c r="AR261" s="1">
        <f t="shared" si="57"/>
        <v>0</v>
      </c>
      <c r="AS261" s="1">
        <f t="shared" si="58"/>
        <v>0</v>
      </c>
    </row>
    <row r="262" spans="1:45" x14ac:dyDescent="0.2">
      <c r="A262" s="2">
        <v>42614</v>
      </c>
      <c r="B262" s="1">
        <v>1.2724291096663434</v>
      </c>
      <c r="C262" s="1">
        <v>1.3886204543218101</v>
      </c>
      <c r="D262" s="1">
        <v>-1.078592414997199</v>
      </c>
      <c r="E262" s="1">
        <v>1.0651128557947429</v>
      </c>
      <c r="F262" s="1">
        <v>-0.43393872798955763</v>
      </c>
      <c r="G262" s="1">
        <v>-0.10244706649724365</v>
      </c>
      <c r="H262" s="1">
        <v>-0.32402772673556113</v>
      </c>
      <c r="I262" s="1">
        <v>0.18999270349949157</v>
      </c>
      <c r="J262" s="1">
        <v>0.40599543093035162</v>
      </c>
      <c r="K262" s="1">
        <v>0.26400136355476</v>
      </c>
      <c r="L262" s="1">
        <v>0.26471459815479381</v>
      </c>
      <c r="M262" s="1">
        <v>6</v>
      </c>
      <c r="N262" s="1">
        <v>0</v>
      </c>
      <c r="O262" s="1">
        <v>0</v>
      </c>
      <c r="P262" s="1">
        <v>0</v>
      </c>
      <c r="Q262" s="1" t="str">
        <f t="shared" si="52"/>
        <v>Expansion</v>
      </c>
      <c r="R262" s="2">
        <f t="shared" si="53"/>
        <v>42643</v>
      </c>
      <c r="S262" s="1">
        <f>VLOOKUP(R262,BB!$A$3:$C$62769, 2, 1)</f>
        <v>1.5944</v>
      </c>
      <c r="T262" s="1">
        <f t="shared" si="54"/>
        <v>0.72099999999999986</v>
      </c>
      <c r="U262" s="1">
        <f>VLOOKUP(R262,BB!$A$3:$D$6771, 4, 1)</f>
        <v>2.3153999999999999</v>
      </c>
      <c r="V262" s="1" t="str">
        <f t="shared" si="49"/>
        <v/>
      </c>
      <c r="W262" s="1" t="str">
        <f t="shared" si="50"/>
        <v/>
      </c>
      <c r="X262" s="1">
        <f t="shared" si="47"/>
        <v>1.58</v>
      </c>
      <c r="Y262" s="1">
        <f t="shared" si="48"/>
        <v>0.65200000000000014</v>
      </c>
      <c r="Z262" s="1" t="str">
        <f t="shared" si="51"/>
        <v/>
      </c>
      <c r="AL262" s="1">
        <v>10</v>
      </c>
      <c r="AM262" s="1">
        <v>0</v>
      </c>
      <c r="AN262" s="1">
        <v>0</v>
      </c>
      <c r="AO262" s="1">
        <v>0</v>
      </c>
      <c r="AP262" s="1">
        <f t="shared" si="55"/>
        <v>6</v>
      </c>
      <c r="AQ262" s="1">
        <f t="shared" si="56"/>
        <v>0</v>
      </c>
      <c r="AR262" s="1">
        <f t="shared" si="57"/>
        <v>0</v>
      </c>
      <c r="AS262" s="1">
        <f t="shared" si="58"/>
        <v>0</v>
      </c>
    </row>
    <row r="263" spans="1:45" x14ac:dyDescent="0.2">
      <c r="A263" s="2">
        <v>42644</v>
      </c>
      <c r="B263" s="1">
        <v>1.2845080105436153</v>
      </c>
      <c r="C263" s="1">
        <v>1.1362919016878643</v>
      </c>
      <c r="D263" s="1">
        <v>-0.90567025706231474</v>
      </c>
      <c r="E263" s="1">
        <v>1.1227437583847606</v>
      </c>
      <c r="F263" s="1">
        <v>-0.37550465483512224</v>
      </c>
      <c r="G263" s="1">
        <v>-2.4348697865405732E-2</v>
      </c>
      <c r="H263" s="1">
        <v>-0.32547422605339998</v>
      </c>
      <c r="I263" s="1">
        <v>0.219583109773519</v>
      </c>
      <c r="J263" s="1">
        <v>3.7788187670383402</v>
      </c>
      <c r="K263" s="1">
        <v>0.14125628537772242</v>
      </c>
      <c r="L263" s="1">
        <v>0.6052203996989578</v>
      </c>
      <c r="M263" s="1">
        <v>6</v>
      </c>
      <c r="N263" s="1">
        <v>0</v>
      </c>
      <c r="O263" s="1">
        <v>0</v>
      </c>
      <c r="P263" s="1">
        <v>0</v>
      </c>
      <c r="Q263" s="1" t="str">
        <f t="shared" si="52"/>
        <v>Expansion</v>
      </c>
      <c r="R263" s="2">
        <f t="shared" si="53"/>
        <v>42674</v>
      </c>
      <c r="S263" s="1">
        <f>VLOOKUP(R263,BB!$A$3:$C$62769, 2, 1)</f>
        <v>1.8254999999999999</v>
      </c>
      <c r="T263" s="1">
        <f t="shared" si="54"/>
        <v>0.75430000000000019</v>
      </c>
      <c r="U263" s="1">
        <f>VLOOKUP(R263,BB!$A$3:$D$6771, 4, 1)</f>
        <v>2.5798000000000001</v>
      </c>
      <c r="V263" s="1" t="str">
        <f t="shared" si="49"/>
        <v/>
      </c>
      <c r="W263" s="1" t="str">
        <f t="shared" si="50"/>
        <v/>
      </c>
      <c r="X263" s="1">
        <f t="shared" si="47"/>
        <v>1.58</v>
      </c>
      <c r="Y263" s="1">
        <f t="shared" si="48"/>
        <v>0.65200000000000014</v>
      </c>
      <c r="Z263" s="1" t="str">
        <f t="shared" si="51"/>
        <v/>
      </c>
      <c r="AL263" s="1">
        <v>10</v>
      </c>
      <c r="AM263" s="1">
        <v>0</v>
      </c>
      <c r="AN263" s="1">
        <v>0</v>
      </c>
      <c r="AO263" s="1">
        <v>0</v>
      </c>
      <c r="AP263" s="1">
        <f t="shared" si="55"/>
        <v>6</v>
      </c>
      <c r="AQ263" s="1">
        <f t="shared" si="56"/>
        <v>0</v>
      </c>
      <c r="AR263" s="1">
        <f t="shared" si="57"/>
        <v>0</v>
      </c>
      <c r="AS263" s="1">
        <f t="shared" si="58"/>
        <v>0</v>
      </c>
    </row>
    <row r="264" spans="1:45" x14ac:dyDescent="0.2">
      <c r="A264" s="2">
        <v>42675</v>
      </c>
      <c r="B264" s="1">
        <v>1.309034288755329</v>
      </c>
      <c r="C264" s="1">
        <v>1.5347830837381458</v>
      </c>
      <c r="D264" s="1">
        <v>-0.55512261862277523</v>
      </c>
      <c r="E264" s="1">
        <v>1.2894087293029612</v>
      </c>
      <c r="F264" s="1">
        <v>-0.2939677177435514</v>
      </c>
      <c r="G264" s="1">
        <v>0.22121623447865679</v>
      </c>
      <c r="H264" s="1">
        <v>-0.32674303820647682</v>
      </c>
      <c r="I264" s="1">
        <v>0.20683032986757047</v>
      </c>
      <c r="J264" s="1">
        <v>0.57573181902639137</v>
      </c>
      <c r="K264" s="1">
        <v>0.25047318799113977</v>
      </c>
      <c r="L264" s="1">
        <v>0.42116442985873909</v>
      </c>
      <c r="M264" s="1">
        <v>6</v>
      </c>
      <c r="N264" s="1">
        <v>0</v>
      </c>
      <c r="O264" s="1">
        <v>0</v>
      </c>
      <c r="P264" s="1">
        <v>0</v>
      </c>
      <c r="Q264" s="1" t="str">
        <f t="shared" si="52"/>
        <v>Expansion</v>
      </c>
      <c r="R264" s="2">
        <f t="shared" si="53"/>
        <v>42704</v>
      </c>
      <c r="S264" s="1">
        <f>VLOOKUP(R264,BB!$A$3:$C$62769, 2, 1)</f>
        <v>2.3809</v>
      </c>
      <c r="T264" s="1">
        <f t="shared" si="54"/>
        <v>0.65280000000000005</v>
      </c>
      <c r="U264" s="1">
        <f>VLOOKUP(R264,BB!$A$3:$D$6771, 4, 1)</f>
        <v>3.0337000000000001</v>
      </c>
      <c r="V264" s="1" t="str">
        <f t="shared" si="49"/>
        <v/>
      </c>
      <c r="W264" s="1" t="str">
        <f t="shared" si="50"/>
        <v/>
      </c>
      <c r="X264" s="1">
        <f t="shared" si="47"/>
        <v>1.58</v>
      </c>
      <c r="Y264" s="1">
        <f t="shared" si="48"/>
        <v>0.65200000000000014</v>
      </c>
      <c r="Z264" s="1" t="str">
        <f t="shared" si="51"/>
        <v/>
      </c>
      <c r="AL264" s="1">
        <v>10</v>
      </c>
      <c r="AM264" s="1">
        <v>0</v>
      </c>
      <c r="AN264" s="1">
        <v>0</v>
      </c>
      <c r="AO264" s="1">
        <v>0</v>
      </c>
      <c r="AP264" s="1">
        <f t="shared" si="55"/>
        <v>6</v>
      </c>
      <c r="AQ264" s="1">
        <f t="shared" si="56"/>
        <v>0</v>
      </c>
      <c r="AR264" s="1">
        <f t="shared" si="57"/>
        <v>0</v>
      </c>
      <c r="AS264" s="1">
        <f t="shared" si="58"/>
        <v>0</v>
      </c>
    </row>
    <row r="265" spans="1:45" x14ac:dyDescent="0.2">
      <c r="A265" s="2">
        <v>42705</v>
      </c>
      <c r="B265" s="1">
        <v>1.2832293925104394</v>
      </c>
      <c r="C265" s="1">
        <v>1.833259723640795</v>
      </c>
      <c r="D265" s="1">
        <v>-0.6017898951898123</v>
      </c>
      <c r="E265" s="1">
        <v>1.2368481873856285</v>
      </c>
      <c r="F265" s="1">
        <v>-0.23668825761165521</v>
      </c>
      <c r="G265" s="1">
        <v>0.50038183922698198</v>
      </c>
      <c r="H265" s="1">
        <v>7.4283208099904227E-2</v>
      </c>
      <c r="I265" s="1">
        <v>0.17419531054470416</v>
      </c>
      <c r="J265" s="1">
        <v>0.10841629937968444</v>
      </c>
      <c r="K265" s="1">
        <v>0.68098504112054514</v>
      </c>
      <c r="L265" s="1">
        <v>0.50531208491072144</v>
      </c>
      <c r="M265" s="1">
        <v>6</v>
      </c>
      <c r="N265" s="1">
        <v>0</v>
      </c>
      <c r="O265" s="1">
        <v>0</v>
      </c>
      <c r="P265" s="1">
        <v>0</v>
      </c>
      <c r="Q265" s="1" t="str">
        <f t="shared" si="52"/>
        <v>Expansion</v>
      </c>
      <c r="R265" s="2">
        <f t="shared" si="53"/>
        <v>42735</v>
      </c>
      <c r="S265" s="1">
        <f>VLOOKUP(R265,BB!$A$3:$C$62769, 2, 1)</f>
        <v>2.4443000000000001</v>
      </c>
      <c r="T265" s="1">
        <f t="shared" si="54"/>
        <v>0.62080000000000002</v>
      </c>
      <c r="U265" s="1">
        <f>VLOOKUP(R265,BB!$A$3:$D$6771, 4, 1)</f>
        <v>3.0651000000000002</v>
      </c>
      <c r="V265" s="1" t="str">
        <f t="shared" si="49"/>
        <v/>
      </c>
      <c r="W265" s="1" t="str">
        <f t="shared" si="50"/>
        <v/>
      </c>
      <c r="X265" s="1">
        <f t="shared" si="47"/>
        <v>1.58</v>
      </c>
      <c r="Y265" s="1">
        <f t="shared" si="48"/>
        <v>0.65200000000000014</v>
      </c>
      <c r="Z265" s="1" t="str">
        <f t="shared" si="51"/>
        <v/>
      </c>
      <c r="AL265" s="1">
        <v>10</v>
      </c>
      <c r="AM265" s="1">
        <v>0</v>
      </c>
      <c r="AN265" s="1">
        <v>0</v>
      </c>
      <c r="AO265" s="1">
        <v>0</v>
      </c>
      <c r="AP265" s="1">
        <f t="shared" si="55"/>
        <v>6</v>
      </c>
      <c r="AQ265" s="1">
        <f t="shared" si="56"/>
        <v>0</v>
      </c>
      <c r="AR265" s="1">
        <f t="shared" si="57"/>
        <v>0</v>
      </c>
      <c r="AS265" s="1">
        <f t="shared" si="58"/>
        <v>0</v>
      </c>
    </row>
    <row r="266" spans="1:45" x14ac:dyDescent="0.2">
      <c r="A266" s="2">
        <v>42736</v>
      </c>
      <c r="B266" s="1">
        <v>1.2991134425754813</v>
      </c>
      <c r="C266" s="1">
        <v>1.7386000956139551</v>
      </c>
      <c r="D266" s="1">
        <v>-0.6433780620113021</v>
      </c>
      <c r="E266" s="1">
        <v>1.1853524051485433</v>
      </c>
      <c r="F266" s="1">
        <v>-0.13132908637376464</v>
      </c>
      <c r="G266" s="1">
        <v>0.74130767805812647</v>
      </c>
      <c r="H266" s="1">
        <v>0.47466363116491522</v>
      </c>
      <c r="I266" s="1">
        <v>0.2643152031201626</v>
      </c>
      <c r="J266" s="1">
        <v>0.80962311341152593</v>
      </c>
      <c r="K266" s="1">
        <v>0.7995167325478757</v>
      </c>
      <c r="L266" s="1">
        <v>0.65377851532555176</v>
      </c>
      <c r="M266" s="1">
        <v>6</v>
      </c>
      <c r="N266" s="1">
        <v>0</v>
      </c>
      <c r="O266" s="1">
        <v>0</v>
      </c>
      <c r="P266" s="1">
        <v>0</v>
      </c>
      <c r="Q266" s="1" t="str">
        <f t="shared" si="52"/>
        <v>Expansion</v>
      </c>
      <c r="R266" s="2">
        <f t="shared" si="53"/>
        <v>42766</v>
      </c>
      <c r="S266" s="1">
        <f>VLOOKUP(R266,BB!$A$3:$C$62769, 2, 1)</f>
        <v>2.4531000000000001</v>
      </c>
      <c r="T266" s="1">
        <f t="shared" si="54"/>
        <v>0.60809999999999986</v>
      </c>
      <c r="U266" s="1">
        <f>VLOOKUP(R266,BB!$A$3:$D$6771, 4, 1)</f>
        <v>3.0611999999999999</v>
      </c>
      <c r="V266" s="1" t="str">
        <f t="shared" si="49"/>
        <v/>
      </c>
      <c r="W266" s="1" t="str">
        <f t="shared" si="50"/>
        <v/>
      </c>
      <c r="X266" s="1">
        <f t="shared" si="47"/>
        <v>1.58</v>
      </c>
      <c r="Y266" s="1">
        <f t="shared" si="48"/>
        <v>0.65200000000000014</v>
      </c>
      <c r="Z266" s="1" t="str">
        <f t="shared" si="51"/>
        <v/>
      </c>
      <c r="AL266" s="1">
        <v>10</v>
      </c>
      <c r="AM266" s="1">
        <v>0</v>
      </c>
      <c r="AN266" s="1">
        <v>0</v>
      </c>
      <c r="AO266" s="1">
        <v>0</v>
      </c>
      <c r="AP266" s="1">
        <f t="shared" si="55"/>
        <v>6</v>
      </c>
      <c r="AQ266" s="1">
        <f t="shared" si="56"/>
        <v>0</v>
      </c>
      <c r="AR266" s="1">
        <f t="shared" si="57"/>
        <v>0</v>
      </c>
      <c r="AS266" s="1">
        <f t="shared" si="58"/>
        <v>0</v>
      </c>
    </row>
    <row r="267" spans="1:45" x14ac:dyDescent="0.2">
      <c r="A267" s="2">
        <v>42767</v>
      </c>
      <c r="B267" s="1">
        <v>1.3274128455636236</v>
      </c>
      <c r="C267" s="1">
        <v>1.8737806736603086</v>
      </c>
      <c r="D267" s="1">
        <v>-0.84964887860568028</v>
      </c>
      <c r="E267" s="1">
        <v>1.2414819324570403</v>
      </c>
      <c r="F267" s="1">
        <v>9.504262619320596E-3</v>
      </c>
      <c r="G267" s="1">
        <v>1.0521007482430009</v>
      </c>
      <c r="H267" s="1">
        <v>0.84992625543552647</v>
      </c>
      <c r="I267" s="1">
        <v>0.32228940005406581</v>
      </c>
      <c r="J267" s="1">
        <v>-3.0136081240535545E-2</v>
      </c>
      <c r="K267" s="1">
        <v>0.65762008889782952</v>
      </c>
      <c r="L267" s="1">
        <v>0.64543312470844993</v>
      </c>
      <c r="M267" s="1">
        <v>6</v>
      </c>
      <c r="N267" s="1">
        <v>0</v>
      </c>
      <c r="O267" s="1">
        <v>0</v>
      </c>
      <c r="P267" s="1">
        <v>0</v>
      </c>
      <c r="Q267" s="1" t="str">
        <f t="shared" si="52"/>
        <v>Expansion</v>
      </c>
      <c r="R267" s="2">
        <f t="shared" si="53"/>
        <v>42794</v>
      </c>
      <c r="S267" s="1">
        <f>VLOOKUP(R267,BB!$A$3:$C$62769, 2, 1)</f>
        <v>2.3898999999999999</v>
      </c>
      <c r="T267" s="1">
        <f t="shared" si="54"/>
        <v>0.60530000000000017</v>
      </c>
      <c r="U267" s="1">
        <f>VLOOKUP(R267,BB!$A$3:$D$6771, 4, 1)</f>
        <v>2.9952000000000001</v>
      </c>
      <c r="V267" s="1" t="str">
        <f t="shared" si="49"/>
        <v/>
      </c>
      <c r="W267" s="1" t="str">
        <f t="shared" si="50"/>
        <v/>
      </c>
      <c r="X267" s="1">
        <f t="shared" si="47"/>
        <v>1.58</v>
      </c>
      <c r="Y267" s="1">
        <f t="shared" si="48"/>
        <v>0.65200000000000014</v>
      </c>
      <c r="Z267" s="1" t="str">
        <f t="shared" si="51"/>
        <v/>
      </c>
      <c r="AL267" s="1">
        <v>10</v>
      </c>
      <c r="AM267" s="1">
        <v>0</v>
      </c>
      <c r="AN267" s="1">
        <v>0</v>
      </c>
      <c r="AO267" s="1">
        <v>0</v>
      </c>
      <c r="AP267" s="1">
        <f t="shared" si="55"/>
        <v>6</v>
      </c>
      <c r="AQ267" s="1">
        <f t="shared" si="56"/>
        <v>0</v>
      </c>
      <c r="AR267" s="1">
        <f t="shared" si="57"/>
        <v>0</v>
      </c>
      <c r="AS267" s="1">
        <f t="shared" si="58"/>
        <v>0</v>
      </c>
    </row>
    <row r="268" spans="1:45" x14ac:dyDescent="0.2">
      <c r="A268" s="2">
        <v>42795</v>
      </c>
      <c r="B268" s="1">
        <v>1.3858064897562665</v>
      </c>
      <c r="C268" s="1">
        <v>2.363962562049466</v>
      </c>
      <c r="D268" s="1">
        <v>-0.88176699692200655</v>
      </c>
      <c r="E268" s="1">
        <v>1.3517666876168146</v>
      </c>
      <c r="F268" s="1">
        <v>0.1497068008155234</v>
      </c>
      <c r="G268" s="1">
        <v>0.9444726161408048</v>
      </c>
      <c r="H268" s="1">
        <v>0.79411922178434724</v>
      </c>
      <c r="I268" s="1">
        <v>0.32884996818395557</v>
      </c>
      <c r="J268" s="1">
        <v>1.4773322145459946</v>
      </c>
      <c r="K268" s="1">
        <v>1.5276116794692115E-2</v>
      </c>
      <c r="L268" s="1">
        <v>0.79295256807658587</v>
      </c>
      <c r="M268" s="1">
        <v>6</v>
      </c>
      <c r="N268" s="1">
        <v>0</v>
      </c>
      <c r="O268" s="1">
        <v>0</v>
      </c>
      <c r="P268" s="1">
        <v>0</v>
      </c>
      <c r="Q268" s="1" t="str">
        <f t="shared" si="52"/>
        <v>Expansion</v>
      </c>
      <c r="R268" s="2">
        <f t="shared" si="53"/>
        <v>42825</v>
      </c>
      <c r="S268" s="1">
        <f>VLOOKUP(R268,BB!$A$3:$C$62769, 2, 1)</f>
        <v>2.3874</v>
      </c>
      <c r="T268" s="1">
        <f t="shared" si="54"/>
        <v>0.6221000000000001</v>
      </c>
      <c r="U268" s="1">
        <f>VLOOKUP(R268,BB!$A$3:$D$6771, 4, 1)</f>
        <v>3.0095000000000001</v>
      </c>
      <c r="V268" s="1" t="str">
        <f t="shared" si="49"/>
        <v/>
      </c>
      <c r="W268" s="1" t="str">
        <f t="shared" si="50"/>
        <v/>
      </c>
      <c r="X268" s="1">
        <f t="shared" si="47"/>
        <v>1.58</v>
      </c>
      <c r="Y268" s="1">
        <f t="shared" si="48"/>
        <v>0.65200000000000014</v>
      </c>
      <c r="Z268" s="1" t="str">
        <f t="shared" si="51"/>
        <v/>
      </c>
      <c r="AL268" s="1">
        <v>10</v>
      </c>
      <c r="AM268" s="1">
        <v>0</v>
      </c>
      <c r="AN268" s="1">
        <v>0</v>
      </c>
      <c r="AO268" s="1">
        <v>0</v>
      </c>
      <c r="AP268" s="1">
        <f t="shared" si="55"/>
        <v>6</v>
      </c>
      <c r="AQ268" s="1">
        <f t="shared" si="56"/>
        <v>0</v>
      </c>
      <c r="AR268" s="1">
        <f t="shared" si="57"/>
        <v>0</v>
      </c>
      <c r="AS268" s="1">
        <f t="shared" si="58"/>
        <v>0</v>
      </c>
    </row>
    <row r="269" spans="1:45" x14ac:dyDescent="0.2">
      <c r="A269" s="2">
        <v>42826</v>
      </c>
      <c r="B269" s="1">
        <v>1.3732262019985439</v>
      </c>
      <c r="C269" s="1">
        <v>2.0860598598675493</v>
      </c>
      <c r="D269" s="1">
        <v>-1.0910486082264848</v>
      </c>
      <c r="E269" s="1">
        <v>1.4070592576543259</v>
      </c>
      <c r="F269" s="1">
        <v>0.24009860612035544</v>
      </c>
      <c r="G269" s="1">
        <v>0.48017265060599473</v>
      </c>
      <c r="H269" s="1">
        <v>0.71689200772895134</v>
      </c>
      <c r="I269" s="1">
        <v>0.3909563604885587</v>
      </c>
      <c r="J269" s="1">
        <v>0.22862021520730505</v>
      </c>
      <c r="K269" s="1">
        <v>-0.29263328682634765</v>
      </c>
      <c r="L269" s="1">
        <v>0.55394032646187508</v>
      </c>
      <c r="M269" s="1">
        <v>6</v>
      </c>
      <c r="N269" s="1">
        <v>0</v>
      </c>
      <c r="O269" s="1">
        <v>0</v>
      </c>
      <c r="P269" s="1">
        <v>0</v>
      </c>
      <c r="Q269" s="1" t="str">
        <f t="shared" si="52"/>
        <v>Expansion</v>
      </c>
      <c r="R269" s="2">
        <f t="shared" si="53"/>
        <v>42855</v>
      </c>
      <c r="S269" s="1">
        <f>VLOOKUP(R269,BB!$A$3:$C$62769, 2, 1)</f>
        <v>2.2801999999999998</v>
      </c>
      <c r="T269" s="1">
        <f t="shared" si="54"/>
        <v>0.67060000000000031</v>
      </c>
      <c r="U269" s="1">
        <f>VLOOKUP(R269,BB!$A$3:$D$6771, 4, 1)</f>
        <v>2.9508000000000001</v>
      </c>
      <c r="V269" s="1">
        <f t="shared" si="49"/>
        <v>0.70019999999999971</v>
      </c>
      <c r="W269" s="1">
        <f t="shared" si="50"/>
        <v>1.8600000000000172E-2</v>
      </c>
      <c r="X269" s="1">
        <f t="shared" si="47"/>
        <v>1.58</v>
      </c>
      <c r="Y269" s="1">
        <f t="shared" si="48"/>
        <v>0.65200000000000014</v>
      </c>
      <c r="Z269" s="1" t="str">
        <f t="shared" si="51"/>
        <v>Expansion</v>
      </c>
      <c r="AL269" s="1">
        <v>10</v>
      </c>
      <c r="AM269" s="1">
        <v>0</v>
      </c>
      <c r="AN269" s="1">
        <v>0</v>
      </c>
      <c r="AO269" s="1">
        <v>0</v>
      </c>
      <c r="AP269" s="1">
        <f t="shared" si="55"/>
        <v>6</v>
      </c>
      <c r="AQ269" s="1">
        <f t="shared" si="56"/>
        <v>0</v>
      </c>
      <c r="AR269" s="1">
        <f t="shared" si="57"/>
        <v>0</v>
      </c>
      <c r="AS269" s="1">
        <f t="shared" si="58"/>
        <v>0</v>
      </c>
    </row>
    <row r="270" spans="1:45" x14ac:dyDescent="0.2">
      <c r="A270" s="2">
        <v>42856</v>
      </c>
      <c r="B270" s="1">
        <v>1.3568576312487242</v>
      </c>
      <c r="C270" s="1">
        <v>1.9510328675633002</v>
      </c>
      <c r="D270" s="1">
        <v>-1.2821601825112767</v>
      </c>
      <c r="E270" s="1">
        <v>1.4596921716580773</v>
      </c>
      <c r="F270" s="1">
        <v>0.33035201938487291</v>
      </c>
      <c r="G270" s="1">
        <v>0.49877848130373936</v>
      </c>
      <c r="H270" s="1">
        <v>0.63133567207321084</v>
      </c>
      <c r="I270" s="1">
        <v>0.35564680211655197</v>
      </c>
      <c r="J270" s="1">
        <v>9.4261068761507943E-2</v>
      </c>
      <c r="K270" s="1">
        <v>-0.32315987057734502</v>
      </c>
      <c r="L270" s="1">
        <v>0.50726366610213636</v>
      </c>
      <c r="M270" s="1">
        <v>0</v>
      </c>
      <c r="N270" s="1">
        <v>6</v>
      </c>
      <c r="O270" s="1">
        <v>0</v>
      </c>
      <c r="P270" s="1">
        <v>0</v>
      </c>
      <c r="Q270" s="1" t="str">
        <f t="shared" si="52"/>
        <v>Downturn</v>
      </c>
      <c r="R270" s="2">
        <f t="shared" si="53"/>
        <v>42886</v>
      </c>
      <c r="S270" s="1">
        <f>VLOOKUP(R270,BB!$A$3:$C$62769, 2, 1)</f>
        <v>2.2027999999999999</v>
      </c>
      <c r="T270" s="1">
        <f t="shared" si="54"/>
        <v>0.66060000000000008</v>
      </c>
      <c r="U270" s="1">
        <f>VLOOKUP(R270,BB!$A$3:$D$6771, 4, 1)</f>
        <v>2.8633999999999999</v>
      </c>
      <c r="V270" s="1" t="str">
        <f t="shared" si="49"/>
        <v/>
      </c>
      <c r="W270" s="1" t="str">
        <f t="shared" si="50"/>
        <v/>
      </c>
      <c r="X270" s="1">
        <f t="shared" si="47"/>
        <v>2.2801999999999998</v>
      </c>
      <c r="Y270" s="1">
        <f t="shared" si="48"/>
        <v>0.67060000000000031</v>
      </c>
      <c r="Z270" s="1" t="str">
        <f t="shared" si="51"/>
        <v/>
      </c>
      <c r="AL270" s="1">
        <v>0</v>
      </c>
      <c r="AM270" s="1">
        <v>10</v>
      </c>
      <c r="AN270" s="1">
        <v>0</v>
      </c>
      <c r="AO270" s="1">
        <v>0</v>
      </c>
      <c r="AP270" s="1">
        <f t="shared" si="55"/>
        <v>0</v>
      </c>
      <c r="AQ270" s="1">
        <f t="shared" si="56"/>
        <v>6</v>
      </c>
      <c r="AR270" s="1">
        <f t="shared" si="57"/>
        <v>0</v>
      </c>
      <c r="AS270" s="1">
        <f t="shared" si="58"/>
        <v>0</v>
      </c>
    </row>
    <row r="271" spans="1:45" x14ac:dyDescent="0.2">
      <c r="A271" s="2">
        <v>42887</v>
      </c>
      <c r="B271" s="1">
        <v>1.3573860642263347</v>
      </c>
      <c r="C271" s="1">
        <v>1.9793411530602274</v>
      </c>
      <c r="D271" s="1">
        <v>-1.3263777782845145</v>
      </c>
      <c r="E271" s="1">
        <v>1.4030430103987916</v>
      </c>
      <c r="F271" s="1">
        <v>0.39614566962584186</v>
      </c>
      <c r="G271" s="1">
        <v>1.0441663054595811</v>
      </c>
      <c r="H271" s="1">
        <v>0.5765620294188698</v>
      </c>
      <c r="I271" s="1">
        <v>0.33788127759799641</v>
      </c>
      <c r="J271" s="1">
        <v>0.2993598334735752</v>
      </c>
      <c r="K271" s="1">
        <v>-0.3452889589708521</v>
      </c>
      <c r="L271" s="1">
        <v>0.57222186060058511</v>
      </c>
      <c r="M271" s="1">
        <v>0</v>
      </c>
      <c r="N271" s="1">
        <v>6</v>
      </c>
      <c r="O271" s="1">
        <v>0</v>
      </c>
      <c r="P271" s="1">
        <v>0</v>
      </c>
      <c r="Q271" s="1" t="str">
        <f t="shared" si="52"/>
        <v>Downturn</v>
      </c>
      <c r="R271" s="2">
        <f t="shared" si="53"/>
        <v>42916</v>
      </c>
      <c r="S271" s="1">
        <f>VLOOKUP(R271,BB!$A$3:$C$62769, 2, 1)</f>
        <v>2.3037000000000001</v>
      </c>
      <c r="T271" s="1">
        <f t="shared" si="54"/>
        <v>0.53109999999999991</v>
      </c>
      <c r="U271" s="1">
        <f>VLOOKUP(R271,BB!$A$3:$D$6771, 4, 1)</f>
        <v>2.8348</v>
      </c>
      <c r="V271" s="1" t="str">
        <f t="shared" si="49"/>
        <v/>
      </c>
      <c r="W271" s="1" t="str">
        <f t="shared" si="50"/>
        <v/>
      </c>
      <c r="X271" s="1">
        <f t="shared" si="47"/>
        <v>2.2801999999999998</v>
      </c>
      <c r="Y271" s="1">
        <f t="shared" si="48"/>
        <v>0.67060000000000031</v>
      </c>
      <c r="Z271" s="1" t="str">
        <f t="shared" si="51"/>
        <v/>
      </c>
      <c r="AL271" s="1">
        <v>0</v>
      </c>
      <c r="AM271" s="1">
        <v>10</v>
      </c>
      <c r="AN271" s="1">
        <v>0</v>
      </c>
      <c r="AO271" s="1">
        <v>0</v>
      </c>
      <c r="AP271" s="1">
        <f t="shared" si="55"/>
        <v>0</v>
      </c>
      <c r="AQ271" s="1">
        <f t="shared" si="56"/>
        <v>6</v>
      </c>
      <c r="AR271" s="1">
        <f t="shared" si="57"/>
        <v>0</v>
      </c>
      <c r="AS271" s="1">
        <f t="shared" si="58"/>
        <v>0</v>
      </c>
    </row>
    <row r="272" spans="1:45" x14ac:dyDescent="0.2">
      <c r="A272" s="2">
        <v>42917</v>
      </c>
      <c r="B272" s="1">
        <v>1.3424101019091299</v>
      </c>
      <c r="C272" s="1">
        <v>2.0526367460426167</v>
      </c>
      <c r="D272" s="1">
        <v>-1.3258472590888932</v>
      </c>
      <c r="E272" s="1">
        <v>1.4555812704077269</v>
      </c>
      <c r="F272" s="1">
        <v>0.43706821617174896</v>
      </c>
      <c r="G272" s="1">
        <v>0.75747164816438295</v>
      </c>
      <c r="H272" s="1">
        <v>0.54284326788812143</v>
      </c>
      <c r="I272" s="1">
        <v>0.37400161656606867</v>
      </c>
      <c r="J272" s="1">
        <v>7.1568792529133202E-2</v>
      </c>
      <c r="K272" s="1">
        <v>-0.55439859633864463</v>
      </c>
      <c r="L272" s="1">
        <v>0.5153335804251391</v>
      </c>
      <c r="M272" s="1">
        <v>0</v>
      </c>
      <c r="N272" s="1">
        <v>6</v>
      </c>
      <c r="O272" s="1">
        <v>0</v>
      </c>
      <c r="P272" s="1">
        <v>0</v>
      </c>
      <c r="Q272" s="1" t="str">
        <f t="shared" si="52"/>
        <v>Downturn</v>
      </c>
      <c r="R272" s="2">
        <f t="shared" si="53"/>
        <v>42947</v>
      </c>
      <c r="S272" s="1">
        <f>VLOOKUP(R272,BB!$A$3:$C$62769, 2, 1)</f>
        <v>2.2942</v>
      </c>
      <c r="T272" s="1">
        <f t="shared" si="54"/>
        <v>0.60570000000000013</v>
      </c>
      <c r="U272" s="1">
        <f>VLOOKUP(R272,BB!$A$3:$D$6771, 4, 1)</f>
        <v>2.8999000000000001</v>
      </c>
      <c r="V272" s="1" t="str">
        <f t="shared" si="49"/>
        <v/>
      </c>
      <c r="W272" s="1" t="str">
        <f t="shared" si="50"/>
        <v/>
      </c>
      <c r="X272" s="1">
        <f t="shared" si="47"/>
        <v>2.2801999999999998</v>
      </c>
      <c r="Y272" s="1">
        <f t="shared" si="48"/>
        <v>0.67060000000000031</v>
      </c>
      <c r="Z272" s="1" t="str">
        <f t="shared" si="51"/>
        <v/>
      </c>
      <c r="AL272" s="1">
        <v>0</v>
      </c>
      <c r="AM272" s="1">
        <v>10</v>
      </c>
      <c r="AN272" s="1">
        <v>0</v>
      </c>
      <c r="AO272" s="1">
        <v>0</v>
      </c>
      <c r="AP272" s="1">
        <f t="shared" si="55"/>
        <v>0</v>
      </c>
      <c r="AQ272" s="1">
        <f t="shared" si="56"/>
        <v>6</v>
      </c>
      <c r="AR272" s="1">
        <f t="shared" si="57"/>
        <v>0</v>
      </c>
      <c r="AS272" s="1">
        <f t="shared" si="58"/>
        <v>0</v>
      </c>
    </row>
    <row r="273" spans="1:45" x14ac:dyDescent="0.2">
      <c r="A273" s="2">
        <v>42948</v>
      </c>
      <c r="B273" s="1">
        <v>1.3276869338767154</v>
      </c>
      <c r="C273" s="1">
        <v>2.1163205215122018</v>
      </c>
      <c r="D273" s="1">
        <v>-1.6177994517978571</v>
      </c>
      <c r="E273" s="1">
        <v>1.3977686594832217</v>
      </c>
      <c r="F273" s="1">
        <v>0.44108982113857592</v>
      </c>
      <c r="G273" s="1">
        <v>1.2198920109050011</v>
      </c>
      <c r="H273" s="1">
        <v>0.49131493408430427</v>
      </c>
      <c r="I273" s="1">
        <v>0.33146789592656067</v>
      </c>
      <c r="J273" s="1">
        <v>0.25374166963751332</v>
      </c>
      <c r="K273" s="1">
        <v>-0.66130581520113885</v>
      </c>
      <c r="L273" s="1">
        <v>0.53001771795650976</v>
      </c>
      <c r="M273" s="1">
        <v>0</v>
      </c>
      <c r="N273" s="1">
        <v>6</v>
      </c>
      <c r="O273" s="1">
        <v>0</v>
      </c>
      <c r="P273" s="1">
        <v>0</v>
      </c>
      <c r="Q273" s="1" t="str">
        <f t="shared" si="52"/>
        <v>Downturn</v>
      </c>
      <c r="R273" s="2">
        <f t="shared" si="53"/>
        <v>42978</v>
      </c>
      <c r="S273" s="1">
        <f>VLOOKUP(R273,BB!$A$3:$C$62769, 2, 1)</f>
        <v>2.117</v>
      </c>
      <c r="T273" s="1">
        <f t="shared" si="54"/>
        <v>0.60919999999999996</v>
      </c>
      <c r="U273" s="1">
        <f>VLOOKUP(R273,BB!$A$3:$D$6771, 4, 1)</f>
        <v>2.7262</v>
      </c>
      <c r="V273" s="1" t="str">
        <f t="shared" si="49"/>
        <v/>
      </c>
      <c r="W273" s="1" t="str">
        <f t="shared" si="50"/>
        <v/>
      </c>
      <c r="X273" s="1">
        <f t="shared" si="47"/>
        <v>2.2801999999999998</v>
      </c>
      <c r="Y273" s="1">
        <f t="shared" si="48"/>
        <v>0.67060000000000031</v>
      </c>
      <c r="Z273" s="1" t="str">
        <f t="shared" si="51"/>
        <v/>
      </c>
      <c r="AL273" s="1">
        <v>0</v>
      </c>
      <c r="AM273" s="1">
        <v>10</v>
      </c>
      <c r="AN273" s="1">
        <v>0</v>
      </c>
      <c r="AO273" s="1">
        <v>0</v>
      </c>
      <c r="AP273" s="1">
        <f t="shared" si="55"/>
        <v>0</v>
      </c>
      <c r="AQ273" s="1">
        <f t="shared" si="56"/>
        <v>6</v>
      </c>
      <c r="AR273" s="1">
        <f t="shared" si="57"/>
        <v>0</v>
      </c>
      <c r="AS273" s="1">
        <f t="shared" si="58"/>
        <v>0</v>
      </c>
    </row>
    <row r="274" spans="1:45" x14ac:dyDescent="0.2">
      <c r="A274" s="2">
        <v>42979</v>
      </c>
      <c r="B274" s="1">
        <v>1.2137028097327391</v>
      </c>
      <c r="C274" s="1">
        <v>1.9522864536696196</v>
      </c>
      <c r="D274" s="1">
        <v>-1.540998130218221</v>
      </c>
      <c r="E274" s="1">
        <v>1.5025703748604593</v>
      </c>
      <c r="F274" s="1">
        <v>0.48108213378431552</v>
      </c>
      <c r="G274" s="1">
        <v>1.5753218126028983</v>
      </c>
      <c r="H274" s="1">
        <v>0.43195438898338118</v>
      </c>
      <c r="I274" s="1">
        <v>0.39074450754984824</v>
      </c>
      <c r="J274" s="1">
        <v>0.37434762073473282</v>
      </c>
      <c r="K274" s="1">
        <v>-0.59020119989281217</v>
      </c>
      <c r="L274" s="1">
        <v>0.57908107718069612</v>
      </c>
      <c r="M274" s="1">
        <v>0</v>
      </c>
      <c r="N274" s="1">
        <v>6</v>
      </c>
      <c r="O274" s="1">
        <v>0</v>
      </c>
      <c r="P274" s="1">
        <v>0</v>
      </c>
      <c r="Q274" s="1" t="str">
        <f t="shared" si="52"/>
        <v>Downturn</v>
      </c>
      <c r="R274" s="2">
        <f t="shared" si="53"/>
        <v>43008</v>
      </c>
      <c r="S274" s="1">
        <f>VLOOKUP(R274,BB!$A$3:$C$62769, 2, 1)</f>
        <v>2.3336000000000001</v>
      </c>
      <c r="T274" s="1">
        <f t="shared" si="54"/>
        <v>0.52649999999999997</v>
      </c>
      <c r="U274" s="1">
        <f>VLOOKUP(R274,BB!$A$3:$D$6771, 4, 1)</f>
        <v>2.8601000000000001</v>
      </c>
      <c r="V274" s="1" t="str">
        <f t="shared" si="49"/>
        <v/>
      </c>
      <c r="W274" s="1" t="str">
        <f t="shared" si="50"/>
        <v/>
      </c>
      <c r="X274" s="1">
        <f t="shared" ref="X274:X337" si="59">IF(Q274&lt;&gt;Q273,S273, X273)</f>
        <v>2.2801999999999998</v>
      </c>
      <c r="Y274" s="1">
        <f t="shared" ref="Y274:Y337" si="60">IF(Q274&lt;&gt;Q273,T273, Y273)</f>
        <v>0.67060000000000031</v>
      </c>
      <c r="Z274" s="1" t="str">
        <f t="shared" si="51"/>
        <v/>
      </c>
      <c r="AL274" s="1">
        <v>0</v>
      </c>
      <c r="AM274" s="1">
        <v>10</v>
      </c>
      <c r="AN274" s="1">
        <v>0</v>
      </c>
      <c r="AO274" s="1">
        <v>0</v>
      </c>
      <c r="AP274" s="1">
        <f t="shared" si="55"/>
        <v>0</v>
      </c>
      <c r="AQ274" s="1">
        <f t="shared" si="56"/>
        <v>6</v>
      </c>
      <c r="AR274" s="1">
        <f t="shared" si="57"/>
        <v>0</v>
      </c>
      <c r="AS274" s="1">
        <f t="shared" si="58"/>
        <v>0</v>
      </c>
    </row>
    <row r="275" spans="1:45" x14ac:dyDescent="0.2">
      <c r="A275" s="2">
        <v>43009</v>
      </c>
      <c r="B275" s="1">
        <v>1.1924015789538676</v>
      </c>
      <c r="C275" s="1">
        <v>2.1848599034865699</v>
      </c>
      <c r="D275" s="1">
        <v>-1.6748578531482385</v>
      </c>
      <c r="E275" s="1">
        <v>1.5492568186472739</v>
      </c>
      <c r="F275" s="1">
        <v>0.55737431360343459</v>
      </c>
      <c r="G275" s="1">
        <v>1.1591687740735765</v>
      </c>
      <c r="H275" s="1">
        <v>0.4030556566210392</v>
      </c>
      <c r="I275" s="1">
        <v>0.41328943542321661</v>
      </c>
      <c r="J275" s="1">
        <v>-0.20123934898548257</v>
      </c>
      <c r="K275" s="1">
        <v>-0.30588326987436543</v>
      </c>
      <c r="L275" s="1">
        <v>0.52774260088008929</v>
      </c>
      <c r="M275" s="1">
        <v>0</v>
      </c>
      <c r="N275" s="1">
        <v>6</v>
      </c>
      <c r="O275" s="1">
        <v>0</v>
      </c>
      <c r="P275" s="1">
        <v>0</v>
      </c>
      <c r="Q275" s="1" t="str">
        <f t="shared" si="52"/>
        <v>Downturn</v>
      </c>
      <c r="R275" s="2">
        <f t="shared" si="53"/>
        <v>43039</v>
      </c>
      <c r="S275" s="1">
        <f>VLOOKUP(R275,BB!$A$3:$C$62769, 2, 1)</f>
        <v>2.3793000000000002</v>
      </c>
      <c r="T275" s="1">
        <f t="shared" si="54"/>
        <v>0.50009999999999977</v>
      </c>
      <c r="U275" s="1">
        <f>VLOOKUP(R275,BB!$A$3:$D$6771, 4, 1)</f>
        <v>2.8794</v>
      </c>
      <c r="V275" s="1">
        <f t="shared" si="49"/>
        <v>9.910000000000041E-2</v>
      </c>
      <c r="W275" s="1">
        <f t="shared" si="50"/>
        <v>-0.17050000000000054</v>
      </c>
      <c r="X275" s="1">
        <f t="shared" si="59"/>
        <v>2.2801999999999998</v>
      </c>
      <c r="Y275" s="1">
        <f t="shared" si="60"/>
        <v>0.67060000000000031</v>
      </c>
      <c r="Z275" s="1" t="str">
        <f t="shared" si="51"/>
        <v>Downturn</v>
      </c>
      <c r="AL275" s="1">
        <v>0</v>
      </c>
      <c r="AM275" s="1">
        <v>10</v>
      </c>
      <c r="AN275" s="1">
        <v>0</v>
      </c>
      <c r="AO275" s="1">
        <v>0</v>
      </c>
      <c r="AP275" s="1">
        <f t="shared" si="55"/>
        <v>0</v>
      </c>
      <c r="AQ275" s="1">
        <f t="shared" si="56"/>
        <v>6</v>
      </c>
      <c r="AR275" s="1">
        <f t="shared" si="57"/>
        <v>0</v>
      </c>
      <c r="AS275" s="1">
        <f t="shared" si="58"/>
        <v>0</v>
      </c>
    </row>
    <row r="276" spans="1:45" x14ac:dyDescent="0.2">
      <c r="A276" s="2">
        <v>43040</v>
      </c>
      <c r="B276" s="1">
        <v>1.1942363624961925</v>
      </c>
      <c r="C276" s="1">
        <v>2.2901339481831573</v>
      </c>
      <c r="D276" s="1">
        <v>-1.9491905209043532</v>
      </c>
      <c r="E276" s="1">
        <v>1.5408215987034721</v>
      </c>
      <c r="F276" s="1">
        <v>0.62067428147496839</v>
      </c>
      <c r="G276" s="1">
        <v>1.0496452613969482</v>
      </c>
      <c r="H276" s="1">
        <v>0.40450840925064474</v>
      </c>
      <c r="I276" s="1">
        <v>0.43642629541086148</v>
      </c>
      <c r="J276" s="1">
        <v>0.9564283960506561</v>
      </c>
      <c r="K276" s="1">
        <v>-0.29003726463926871</v>
      </c>
      <c r="L276" s="1">
        <v>0.62536467674232787</v>
      </c>
      <c r="M276" s="1">
        <v>6</v>
      </c>
      <c r="N276" s="1">
        <v>0</v>
      </c>
      <c r="O276" s="1">
        <v>0</v>
      </c>
      <c r="P276" s="1">
        <v>0</v>
      </c>
      <c r="Q276" s="1" t="str">
        <f t="shared" si="52"/>
        <v>Expansion</v>
      </c>
      <c r="R276" s="2">
        <f t="shared" si="53"/>
        <v>43069</v>
      </c>
      <c r="S276" s="1">
        <f>VLOOKUP(R276,BB!$A$3:$C$62769, 2, 1)</f>
        <v>2.4097</v>
      </c>
      <c r="T276" s="1">
        <f t="shared" si="54"/>
        <v>0.41720000000000024</v>
      </c>
      <c r="U276" s="1">
        <f>VLOOKUP(R276,BB!$A$3:$D$6771, 4, 1)</f>
        <v>2.8269000000000002</v>
      </c>
      <c r="V276" s="1" t="str">
        <f t="shared" si="49"/>
        <v/>
      </c>
      <c r="W276" s="1" t="str">
        <f t="shared" si="50"/>
        <v/>
      </c>
      <c r="X276" s="1">
        <f t="shared" si="59"/>
        <v>2.3793000000000002</v>
      </c>
      <c r="Y276" s="1">
        <f t="shared" si="60"/>
        <v>0.50009999999999977</v>
      </c>
      <c r="Z276" s="1" t="str">
        <f t="shared" si="51"/>
        <v/>
      </c>
      <c r="AL276" s="1">
        <v>10</v>
      </c>
      <c r="AM276" s="1">
        <v>0</v>
      </c>
      <c r="AN276" s="1">
        <v>0</v>
      </c>
      <c r="AO276" s="1">
        <v>0</v>
      </c>
      <c r="AP276" s="1">
        <f t="shared" si="55"/>
        <v>6</v>
      </c>
      <c r="AQ276" s="1">
        <f t="shared" si="56"/>
        <v>0</v>
      </c>
      <c r="AR276" s="1">
        <f t="shared" si="57"/>
        <v>0</v>
      </c>
      <c r="AS276" s="1">
        <f t="shared" si="58"/>
        <v>0</v>
      </c>
    </row>
    <row r="277" spans="1:45" x14ac:dyDescent="0.2">
      <c r="A277" s="2">
        <v>43070</v>
      </c>
      <c r="B277" s="1">
        <v>1.3071559563744777</v>
      </c>
      <c r="C277" s="1">
        <v>1.9243905758798796</v>
      </c>
      <c r="D277" s="1">
        <v>-2.1084082868729599</v>
      </c>
      <c r="E277" s="1">
        <v>1.532480959907871</v>
      </c>
      <c r="F277" s="1">
        <v>0.65888345160571338</v>
      </c>
      <c r="G277" s="1">
        <v>1.3076424363432284</v>
      </c>
      <c r="H277" s="1">
        <v>0.40666852722805574</v>
      </c>
      <c r="I277" s="1">
        <v>0.50282436600340663</v>
      </c>
      <c r="J277" s="1">
        <v>1.0475150306680086</v>
      </c>
      <c r="K277" s="1">
        <v>-0.33294225751366552</v>
      </c>
      <c r="L277" s="1">
        <v>0.62462107596240157</v>
      </c>
      <c r="M277" s="1">
        <v>6</v>
      </c>
      <c r="N277" s="1">
        <v>0</v>
      </c>
      <c r="O277" s="1">
        <v>0</v>
      </c>
      <c r="P277" s="1">
        <v>0</v>
      </c>
      <c r="Q277" s="1" t="str">
        <f t="shared" si="52"/>
        <v>Expansion</v>
      </c>
      <c r="R277" s="2">
        <f t="shared" si="53"/>
        <v>43100</v>
      </c>
      <c r="S277" s="1">
        <f>VLOOKUP(R277,BB!$A$3:$C$62769, 2, 1)</f>
        <v>2.4054000000000002</v>
      </c>
      <c r="T277" s="1">
        <f t="shared" si="54"/>
        <v>0.3344999999999998</v>
      </c>
      <c r="U277" s="1">
        <f>VLOOKUP(R277,BB!$A$3:$D$6771, 4, 1)</f>
        <v>2.7399</v>
      </c>
      <c r="V277" s="1">
        <f t="shared" si="49"/>
        <v>2.6100000000000012E-2</v>
      </c>
      <c r="W277" s="1">
        <f t="shared" si="50"/>
        <v>-0.16559999999999997</v>
      </c>
      <c r="X277" s="1">
        <f t="shared" si="59"/>
        <v>2.3793000000000002</v>
      </c>
      <c r="Y277" s="1">
        <f t="shared" si="60"/>
        <v>0.50009999999999977</v>
      </c>
      <c r="Z277" s="1" t="str">
        <f t="shared" si="51"/>
        <v>Expansion</v>
      </c>
      <c r="AL277" s="1">
        <v>10</v>
      </c>
      <c r="AM277" s="1">
        <v>0</v>
      </c>
      <c r="AN277" s="1">
        <v>0</v>
      </c>
      <c r="AO277" s="1">
        <v>0</v>
      </c>
      <c r="AP277" s="1">
        <f t="shared" si="55"/>
        <v>6</v>
      </c>
      <c r="AQ277" s="1">
        <f t="shared" si="56"/>
        <v>0</v>
      </c>
      <c r="AR277" s="1">
        <f t="shared" si="57"/>
        <v>0</v>
      </c>
      <c r="AS277" s="1">
        <f t="shared" si="58"/>
        <v>0</v>
      </c>
    </row>
    <row r="278" spans="1:45" x14ac:dyDescent="0.2">
      <c r="A278" s="2">
        <v>43101</v>
      </c>
      <c r="B278" s="1">
        <v>1.2738621569340123</v>
      </c>
      <c r="C278" s="1">
        <v>2.0203161305234199</v>
      </c>
      <c r="D278" s="1">
        <v>-2.008670529367715</v>
      </c>
      <c r="E278" s="1">
        <v>1.5206249723064822</v>
      </c>
      <c r="F278" s="1">
        <v>0.65917873709184405</v>
      </c>
      <c r="G278" s="1">
        <v>1.1755582037462018</v>
      </c>
      <c r="H278" s="1">
        <v>0.38973459679176481</v>
      </c>
      <c r="I278" s="1">
        <v>0.49036316856924694</v>
      </c>
      <c r="J278" s="1">
        <v>0.59362900178522804</v>
      </c>
      <c r="K278" s="1">
        <v>-0.16252638129315128</v>
      </c>
      <c r="L278" s="1">
        <v>0.59520700570873342</v>
      </c>
      <c r="M278" s="1">
        <v>0</v>
      </c>
      <c r="N278" s="1">
        <v>6</v>
      </c>
      <c r="O278" s="1">
        <v>0</v>
      </c>
      <c r="P278" s="1">
        <v>0</v>
      </c>
      <c r="Q278" s="1" t="str">
        <f t="shared" si="52"/>
        <v>Downturn</v>
      </c>
      <c r="R278" s="2">
        <f t="shared" si="53"/>
        <v>43131</v>
      </c>
      <c r="S278" s="1">
        <f>VLOOKUP(R278,BB!$A$3:$C$62769, 2, 1)</f>
        <v>2.7050000000000001</v>
      </c>
      <c r="T278" s="1">
        <f t="shared" si="54"/>
        <v>0.2298</v>
      </c>
      <c r="U278" s="1">
        <f>VLOOKUP(R278,BB!$A$3:$D$6771, 4, 1)</f>
        <v>2.9348000000000001</v>
      </c>
      <c r="V278" s="1" t="str">
        <f t="shared" si="49"/>
        <v/>
      </c>
      <c r="W278" s="1" t="str">
        <f t="shared" si="50"/>
        <v/>
      </c>
      <c r="X278" s="1">
        <f t="shared" si="59"/>
        <v>2.4054000000000002</v>
      </c>
      <c r="Y278" s="1">
        <f t="shared" si="60"/>
        <v>0.3344999999999998</v>
      </c>
      <c r="Z278" s="1" t="str">
        <f t="shared" si="51"/>
        <v/>
      </c>
      <c r="AL278" s="1">
        <v>0</v>
      </c>
      <c r="AM278" s="1">
        <v>10</v>
      </c>
      <c r="AN278" s="1">
        <v>0</v>
      </c>
      <c r="AO278" s="1">
        <v>0</v>
      </c>
      <c r="AP278" s="1">
        <f t="shared" si="55"/>
        <v>0</v>
      </c>
      <c r="AQ278" s="1">
        <f t="shared" si="56"/>
        <v>6</v>
      </c>
      <c r="AR278" s="1">
        <f t="shared" si="57"/>
        <v>0</v>
      </c>
      <c r="AS278" s="1">
        <f t="shared" si="58"/>
        <v>0</v>
      </c>
    </row>
    <row r="279" spans="1:45" x14ac:dyDescent="0.2">
      <c r="A279" s="2">
        <v>43132</v>
      </c>
      <c r="B279" s="1">
        <v>1.3059304253486121</v>
      </c>
      <c r="C279" s="1">
        <v>2.1922198116047942</v>
      </c>
      <c r="D279" s="1">
        <v>-1.8881780248158497</v>
      </c>
      <c r="E279" s="1">
        <v>1.5101010347091002</v>
      </c>
      <c r="F279" s="1">
        <v>0.63395841488392091</v>
      </c>
      <c r="G279" s="1">
        <v>1.4641520757167914</v>
      </c>
      <c r="H279" s="1">
        <v>0.3732583476356896</v>
      </c>
      <c r="I279" s="1">
        <v>0.44086014117768046</v>
      </c>
      <c r="J279" s="1">
        <v>-0.17978781804416336</v>
      </c>
      <c r="K279" s="1">
        <v>-0.15059492918823103</v>
      </c>
      <c r="L279" s="1">
        <v>0.57019194790283456</v>
      </c>
      <c r="M279" s="1">
        <v>0</v>
      </c>
      <c r="N279" s="1">
        <v>6</v>
      </c>
      <c r="O279" s="1">
        <v>0</v>
      </c>
      <c r="P279" s="1">
        <v>0</v>
      </c>
      <c r="Q279" s="1" t="str">
        <f t="shared" si="52"/>
        <v>Downturn</v>
      </c>
      <c r="R279" s="2">
        <f t="shared" si="53"/>
        <v>43159</v>
      </c>
      <c r="S279" s="1">
        <f>VLOOKUP(R279,BB!$A$3:$C$62769, 2, 1)</f>
        <v>2.8605999999999998</v>
      </c>
      <c r="T279" s="1">
        <f t="shared" si="54"/>
        <v>0.26360000000000028</v>
      </c>
      <c r="U279" s="1">
        <f>VLOOKUP(R279,BB!$A$3:$D$6771, 4, 1)</f>
        <v>3.1242000000000001</v>
      </c>
      <c r="V279" s="1" t="str">
        <f t="shared" si="49"/>
        <v/>
      </c>
      <c r="W279" s="1" t="str">
        <f t="shared" si="50"/>
        <v/>
      </c>
      <c r="X279" s="1">
        <f t="shared" si="59"/>
        <v>2.4054000000000002</v>
      </c>
      <c r="Y279" s="1">
        <f t="shared" si="60"/>
        <v>0.3344999999999998</v>
      </c>
      <c r="Z279" s="1" t="str">
        <f t="shared" si="51"/>
        <v/>
      </c>
      <c r="AL279" s="1">
        <v>0</v>
      </c>
      <c r="AM279" s="1">
        <v>10</v>
      </c>
      <c r="AN279" s="1">
        <v>0</v>
      </c>
      <c r="AO279" s="1">
        <v>0</v>
      </c>
      <c r="AP279" s="1">
        <f t="shared" si="55"/>
        <v>0</v>
      </c>
      <c r="AQ279" s="1">
        <f t="shared" si="56"/>
        <v>6</v>
      </c>
      <c r="AR279" s="1">
        <f t="shared" si="57"/>
        <v>0</v>
      </c>
      <c r="AS279" s="1">
        <f t="shared" si="58"/>
        <v>0</v>
      </c>
    </row>
    <row r="280" spans="1:45" x14ac:dyDescent="0.2">
      <c r="A280" s="2">
        <v>43160</v>
      </c>
      <c r="B280" s="1">
        <v>1.3523148145802695</v>
      </c>
      <c r="C280" s="1">
        <v>2.0097690369780725</v>
      </c>
      <c r="D280" s="1">
        <v>-2.0677248506758064</v>
      </c>
      <c r="E280" s="1">
        <v>1.5008918577075545</v>
      </c>
      <c r="F280" s="1">
        <v>0.61979220697108239</v>
      </c>
      <c r="G280" s="1">
        <v>1.1669767062388594</v>
      </c>
      <c r="H280" s="1">
        <v>0.36701769104765009</v>
      </c>
      <c r="I280" s="1">
        <v>0.46087999628264747</v>
      </c>
      <c r="J280" s="1">
        <v>1.8449183664802955</v>
      </c>
      <c r="K280" s="1">
        <v>0.22938651382461483</v>
      </c>
      <c r="L280" s="1">
        <v>0.74842223394352403</v>
      </c>
      <c r="M280" s="1">
        <v>0</v>
      </c>
      <c r="N280" s="1">
        <v>6</v>
      </c>
      <c r="O280" s="1">
        <v>0</v>
      </c>
      <c r="P280" s="1">
        <v>0</v>
      </c>
      <c r="Q280" s="1" t="str">
        <f t="shared" si="52"/>
        <v>Downturn</v>
      </c>
      <c r="R280" s="2">
        <f t="shared" si="53"/>
        <v>43190</v>
      </c>
      <c r="S280" s="1">
        <f>VLOOKUP(R280,BB!$A$3:$C$62769, 2, 1)</f>
        <v>2.7389000000000001</v>
      </c>
      <c r="T280" s="1">
        <f t="shared" si="54"/>
        <v>0.2347999999999999</v>
      </c>
      <c r="U280" s="1">
        <f>VLOOKUP(R280,BB!$A$3:$D$6771, 4, 1)</f>
        <v>2.9737</v>
      </c>
      <c r="V280" s="1" t="str">
        <f t="shared" si="49"/>
        <v/>
      </c>
      <c r="W280" s="1" t="str">
        <f t="shared" si="50"/>
        <v/>
      </c>
      <c r="X280" s="1">
        <f t="shared" si="59"/>
        <v>2.4054000000000002</v>
      </c>
      <c r="Y280" s="1">
        <f t="shared" si="60"/>
        <v>0.3344999999999998</v>
      </c>
      <c r="Z280" s="1" t="str">
        <f t="shared" si="51"/>
        <v/>
      </c>
      <c r="AL280" s="1">
        <v>0</v>
      </c>
      <c r="AM280" s="1">
        <v>10</v>
      </c>
      <c r="AN280" s="1">
        <v>0</v>
      </c>
      <c r="AO280" s="1">
        <v>0</v>
      </c>
      <c r="AP280" s="1">
        <f t="shared" si="55"/>
        <v>0</v>
      </c>
      <c r="AQ280" s="1">
        <f t="shared" si="56"/>
        <v>6</v>
      </c>
      <c r="AR280" s="1">
        <f t="shared" si="57"/>
        <v>0</v>
      </c>
      <c r="AS280" s="1">
        <f t="shared" si="58"/>
        <v>0</v>
      </c>
    </row>
    <row r="281" spans="1:45" x14ac:dyDescent="0.2">
      <c r="A281" s="2">
        <v>43191</v>
      </c>
      <c r="B281" s="1">
        <v>1.3625376809580587</v>
      </c>
      <c r="C281" s="1">
        <v>1.9969731764669718</v>
      </c>
      <c r="D281" s="1">
        <v>-2.0261431760409816</v>
      </c>
      <c r="E281" s="1">
        <v>1.5926797394483385</v>
      </c>
      <c r="F281" s="1">
        <v>0.6165049677584471</v>
      </c>
      <c r="G281" s="1">
        <v>0.78909318321853661</v>
      </c>
      <c r="H281" s="1">
        <v>0.33175585950715364</v>
      </c>
      <c r="I281" s="1">
        <v>0.44783476791590227</v>
      </c>
      <c r="J281" s="1">
        <v>0.89173325711683826</v>
      </c>
      <c r="K281" s="1">
        <v>0.49751529630801528</v>
      </c>
      <c r="L281" s="1">
        <v>0.65004847526572818</v>
      </c>
      <c r="M281" s="1">
        <v>0</v>
      </c>
      <c r="N281" s="1">
        <v>6</v>
      </c>
      <c r="O281" s="1">
        <v>0</v>
      </c>
      <c r="P281" s="1">
        <v>0</v>
      </c>
      <c r="Q281" s="1" t="str">
        <f t="shared" si="52"/>
        <v>Downturn</v>
      </c>
      <c r="R281" s="2">
        <f t="shared" si="53"/>
        <v>43220</v>
      </c>
      <c r="S281" s="1">
        <f>VLOOKUP(R281,BB!$A$3:$C$62769, 2, 1)</f>
        <v>2.9531000000000001</v>
      </c>
      <c r="T281" s="1">
        <f t="shared" si="54"/>
        <v>0.17059999999999986</v>
      </c>
      <c r="U281" s="1">
        <f>VLOOKUP(R281,BB!$A$3:$D$6771, 4, 1)</f>
        <v>3.1236999999999999</v>
      </c>
      <c r="V281" s="1" t="str">
        <f t="shared" si="49"/>
        <v/>
      </c>
      <c r="W281" s="1" t="str">
        <f t="shared" si="50"/>
        <v/>
      </c>
      <c r="X281" s="1">
        <f t="shared" si="59"/>
        <v>2.4054000000000002</v>
      </c>
      <c r="Y281" s="1">
        <f t="shared" si="60"/>
        <v>0.3344999999999998</v>
      </c>
      <c r="Z281" s="1" t="str">
        <f t="shared" si="51"/>
        <v/>
      </c>
      <c r="AL281" s="1">
        <v>0</v>
      </c>
      <c r="AM281" s="1">
        <v>10</v>
      </c>
      <c r="AN281" s="1">
        <v>0</v>
      </c>
      <c r="AO281" s="1">
        <v>0</v>
      </c>
      <c r="AP281" s="1">
        <f t="shared" si="55"/>
        <v>0</v>
      </c>
      <c r="AQ281" s="1">
        <f t="shared" si="56"/>
        <v>6</v>
      </c>
      <c r="AR281" s="1">
        <f t="shared" si="57"/>
        <v>0</v>
      </c>
      <c r="AS281" s="1">
        <f t="shared" si="58"/>
        <v>0</v>
      </c>
    </row>
    <row r="282" spans="1:45" x14ac:dyDescent="0.2">
      <c r="A282" s="2">
        <v>43221</v>
      </c>
      <c r="B282" s="1">
        <v>1.3635756975054953</v>
      </c>
      <c r="C282" s="1">
        <v>1.9196578980416736</v>
      </c>
      <c r="D282" s="1">
        <v>-2.0338533771946383</v>
      </c>
      <c r="E282" s="1">
        <v>1.6298171923097695</v>
      </c>
      <c r="F282" s="1">
        <v>0.59940537438662855</v>
      </c>
      <c r="G282" s="1">
        <v>1.0268038182004806</v>
      </c>
      <c r="H282" s="1">
        <v>0.31617116921503335</v>
      </c>
      <c r="I282" s="1">
        <v>0.48994208250772087</v>
      </c>
      <c r="J282" s="1">
        <v>2.3766319312332693</v>
      </c>
      <c r="K282" s="1">
        <v>0.3743240046589108</v>
      </c>
      <c r="L282" s="1">
        <v>0.80624757908643441</v>
      </c>
      <c r="M282" s="1">
        <v>0</v>
      </c>
      <c r="N282" s="1">
        <v>6</v>
      </c>
      <c r="O282" s="1">
        <v>0</v>
      </c>
      <c r="P282" s="1">
        <v>0</v>
      </c>
      <c r="Q282" s="1" t="str">
        <f t="shared" si="52"/>
        <v>Downturn</v>
      </c>
      <c r="R282" s="2">
        <f t="shared" si="53"/>
        <v>43251</v>
      </c>
      <c r="S282" s="1">
        <f>VLOOKUP(R282,BB!$A$3:$C$62769, 2, 1)</f>
        <v>2.8586</v>
      </c>
      <c r="T282" s="1">
        <f t="shared" si="54"/>
        <v>0.16670000000000007</v>
      </c>
      <c r="U282" s="1">
        <f>VLOOKUP(R282,BB!$A$3:$D$6771, 4, 1)</f>
        <v>3.0253000000000001</v>
      </c>
      <c r="V282" s="1" t="str">
        <f t="shared" si="49"/>
        <v/>
      </c>
      <c r="W282" s="1" t="str">
        <f t="shared" si="50"/>
        <v/>
      </c>
      <c r="X282" s="1">
        <f t="shared" si="59"/>
        <v>2.4054000000000002</v>
      </c>
      <c r="Y282" s="1">
        <f t="shared" si="60"/>
        <v>0.3344999999999998</v>
      </c>
      <c r="Z282" s="1" t="str">
        <f t="shared" si="51"/>
        <v/>
      </c>
      <c r="AL282" s="1">
        <v>0</v>
      </c>
      <c r="AM282" s="1">
        <v>10</v>
      </c>
      <c r="AN282" s="1">
        <v>0</v>
      </c>
      <c r="AO282" s="1">
        <v>0</v>
      </c>
      <c r="AP282" s="1">
        <f t="shared" si="55"/>
        <v>0</v>
      </c>
      <c r="AQ282" s="1">
        <f t="shared" si="56"/>
        <v>6</v>
      </c>
      <c r="AR282" s="1">
        <f t="shared" si="57"/>
        <v>0</v>
      </c>
      <c r="AS282" s="1">
        <f t="shared" si="58"/>
        <v>0</v>
      </c>
    </row>
    <row r="283" spans="1:45" x14ac:dyDescent="0.2">
      <c r="A283" s="2">
        <v>43252</v>
      </c>
      <c r="B283" s="1">
        <v>1.3545802194309169</v>
      </c>
      <c r="C283" s="1">
        <v>1.8134226234401134</v>
      </c>
      <c r="D283" s="1">
        <v>-2.1422746073913852</v>
      </c>
      <c r="E283" s="1">
        <v>1.5057345078926561</v>
      </c>
      <c r="F283" s="1">
        <v>0.6111967584239234</v>
      </c>
      <c r="G283" s="1">
        <v>1.2782768794168917</v>
      </c>
      <c r="H283" s="1">
        <v>0.27050469351789053</v>
      </c>
      <c r="I283" s="1">
        <v>0.57191616715664384</v>
      </c>
      <c r="J283" s="1">
        <v>0.60695379512900116</v>
      </c>
      <c r="K283" s="1">
        <v>0.41733227823633373</v>
      </c>
      <c r="L283" s="1">
        <v>0.62876433152529854</v>
      </c>
      <c r="M283" s="1">
        <v>0</v>
      </c>
      <c r="N283" s="1">
        <v>6</v>
      </c>
      <c r="O283" s="1">
        <v>0</v>
      </c>
      <c r="P283" s="1">
        <v>0</v>
      </c>
      <c r="Q283" s="1" t="str">
        <f t="shared" si="52"/>
        <v>Downturn</v>
      </c>
      <c r="R283" s="2">
        <f t="shared" si="53"/>
        <v>43281</v>
      </c>
      <c r="S283" s="1">
        <f>VLOOKUP(R283,BB!$A$3:$C$62769, 2, 1)</f>
        <v>2.8601000000000001</v>
      </c>
      <c r="T283" s="1">
        <f t="shared" si="54"/>
        <v>0.12889999999999979</v>
      </c>
      <c r="U283" s="1">
        <f>VLOOKUP(R283,BB!$A$3:$D$6771, 4, 1)</f>
        <v>2.9889999999999999</v>
      </c>
      <c r="V283" s="1" t="str">
        <f t="shared" ref="V283:V346" si="61">IF(Q283&lt;&gt;Q284, S283-X283, "")</f>
        <v/>
      </c>
      <c r="W283" s="1" t="str">
        <f t="shared" ref="W283:W346" si="62">IF(Q283&lt;&gt;Q284, T283-Y283, "")</f>
        <v/>
      </c>
      <c r="X283" s="1">
        <f t="shared" si="59"/>
        <v>2.4054000000000002</v>
      </c>
      <c r="Y283" s="1">
        <f t="shared" si="60"/>
        <v>0.3344999999999998</v>
      </c>
      <c r="Z283" s="1" t="str">
        <f t="shared" si="51"/>
        <v/>
      </c>
      <c r="AL283" s="1">
        <v>0</v>
      </c>
      <c r="AM283" s="1">
        <v>10</v>
      </c>
      <c r="AN283" s="1">
        <v>0</v>
      </c>
      <c r="AO283" s="1">
        <v>0</v>
      </c>
      <c r="AP283" s="1">
        <f t="shared" si="55"/>
        <v>0</v>
      </c>
      <c r="AQ283" s="1">
        <f t="shared" si="56"/>
        <v>6</v>
      </c>
      <c r="AR283" s="1">
        <f t="shared" si="57"/>
        <v>0</v>
      </c>
      <c r="AS283" s="1">
        <f t="shared" si="58"/>
        <v>0</v>
      </c>
    </row>
    <row r="284" spans="1:45" x14ac:dyDescent="0.2">
      <c r="A284" s="2">
        <v>43282</v>
      </c>
      <c r="B284" s="1">
        <v>1.3509442094495434</v>
      </c>
      <c r="C284" s="1">
        <v>1.8110340796341893</v>
      </c>
      <c r="D284" s="1">
        <v>-2.1551393626515667</v>
      </c>
      <c r="E284" s="1">
        <v>1.5395680710157025</v>
      </c>
      <c r="F284" s="1">
        <v>0.63781999097297359</v>
      </c>
      <c r="G284" s="1">
        <v>0.8833541973945036</v>
      </c>
      <c r="H284" s="1">
        <v>0.27362961134952168</v>
      </c>
      <c r="I284" s="1">
        <v>0.58920941296609652</v>
      </c>
      <c r="J284" s="1">
        <v>0.70757919694194271</v>
      </c>
      <c r="K284" s="1">
        <v>0.39183148051175237</v>
      </c>
      <c r="L284" s="1">
        <v>0.60298308875846585</v>
      </c>
      <c r="M284" s="1">
        <v>0</v>
      </c>
      <c r="N284" s="1">
        <v>6</v>
      </c>
      <c r="O284" s="1">
        <v>0</v>
      </c>
      <c r="P284" s="1">
        <v>0</v>
      </c>
      <c r="Q284" s="1" t="str">
        <f t="shared" si="52"/>
        <v>Downturn</v>
      </c>
      <c r="R284" s="2">
        <f t="shared" si="53"/>
        <v>43312</v>
      </c>
      <c r="S284" s="1">
        <f>VLOOKUP(R284,BB!$A$3:$C$62769, 2, 1)</f>
        <v>2.9598</v>
      </c>
      <c r="T284" s="1">
        <f t="shared" si="54"/>
        <v>0.12239999999999984</v>
      </c>
      <c r="U284" s="1">
        <f>VLOOKUP(R284,BB!$A$3:$D$6771, 4, 1)</f>
        <v>3.0821999999999998</v>
      </c>
      <c r="V284" s="1">
        <f t="shared" si="61"/>
        <v>0.55439999999999978</v>
      </c>
      <c r="W284" s="1">
        <f t="shared" si="62"/>
        <v>-0.21209999999999996</v>
      </c>
      <c r="X284" s="1">
        <f t="shared" si="59"/>
        <v>2.4054000000000002</v>
      </c>
      <c r="Y284" s="1">
        <f t="shared" si="60"/>
        <v>0.3344999999999998</v>
      </c>
      <c r="Z284" s="1" t="str">
        <f t="shared" si="51"/>
        <v>Downturn</v>
      </c>
      <c r="AL284" s="1">
        <v>0</v>
      </c>
      <c r="AM284" s="1">
        <v>10</v>
      </c>
      <c r="AN284" s="1">
        <v>0</v>
      </c>
      <c r="AO284" s="1">
        <v>0</v>
      </c>
      <c r="AP284" s="1">
        <f t="shared" si="55"/>
        <v>0</v>
      </c>
      <c r="AQ284" s="1">
        <f t="shared" si="56"/>
        <v>6</v>
      </c>
      <c r="AR284" s="1">
        <f t="shared" si="57"/>
        <v>0</v>
      </c>
      <c r="AS284" s="1">
        <f t="shared" si="58"/>
        <v>0</v>
      </c>
    </row>
    <row r="285" spans="1:45" x14ac:dyDescent="0.2">
      <c r="A285" s="2">
        <v>43313</v>
      </c>
      <c r="B285" s="1">
        <v>1.3603025575691414</v>
      </c>
      <c r="C285" s="1">
        <v>1.9926270955983991</v>
      </c>
      <c r="D285" s="1">
        <v>-2.186544239799463</v>
      </c>
      <c r="E285" s="1">
        <v>1.5193558901022199</v>
      </c>
      <c r="F285" s="1">
        <v>0.69013348453507073</v>
      </c>
      <c r="G285" s="1">
        <v>1.4369058581301168</v>
      </c>
      <c r="H285" s="1">
        <v>0.26577184721188235</v>
      </c>
      <c r="I285" s="1">
        <v>0.56370923142484175</v>
      </c>
      <c r="J285" s="1">
        <v>1.2808540072903696</v>
      </c>
      <c r="K285" s="1">
        <v>0.47145941483962339</v>
      </c>
      <c r="L285" s="1">
        <v>0.73945751469022014</v>
      </c>
      <c r="M285" s="1">
        <v>6</v>
      </c>
      <c r="N285" s="1">
        <v>0</v>
      </c>
      <c r="O285" s="1">
        <v>0</v>
      </c>
      <c r="P285" s="1">
        <v>0</v>
      </c>
      <c r="Q285" s="1" t="str">
        <f t="shared" si="52"/>
        <v>Expansion</v>
      </c>
      <c r="R285" s="2">
        <f t="shared" si="53"/>
        <v>43343</v>
      </c>
      <c r="S285" s="1">
        <f>VLOOKUP(R285,BB!$A$3:$C$62769, 2, 1)</f>
        <v>2.8603999999999998</v>
      </c>
      <c r="T285" s="1">
        <f t="shared" si="54"/>
        <v>0.15870000000000006</v>
      </c>
      <c r="U285" s="1">
        <f>VLOOKUP(R285,BB!$A$3:$D$6771, 4, 1)</f>
        <v>3.0190999999999999</v>
      </c>
      <c r="V285" s="1" t="str">
        <f t="shared" si="61"/>
        <v/>
      </c>
      <c r="W285" s="1" t="str">
        <f t="shared" si="62"/>
        <v/>
      </c>
      <c r="X285" s="1">
        <f t="shared" si="59"/>
        <v>2.9598</v>
      </c>
      <c r="Y285" s="1">
        <f t="shared" si="60"/>
        <v>0.12239999999999984</v>
      </c>
      <c r="Z285" s="1" t="str">
        <f t="shared" si="51"/>
        <v/>
      </c>
      <c r="AL285" s="1">
        <v>10</v>
      </c>
      <c r="AM285" s="1">
        <v>0</v>
      </c>
      <c r="AN285" s="1">
        <v>0</v>
      </c>
      <c r="AO285" s="1">
        <v>0</v>
      </c>
      <c r="AP285" s="1">
        <f t="shared" si="55"/>
        <v>6</v>
      </c>
      <c r="AQ285" s="1">
        <f t="shared" si="56"/>
        <v>0</v>
      </c>
      <c r="AR285" s="1">
        <f t="shared" si="57"/>
        <v>0</v>
      </c>
      <c r="AS285" s="1">
        <f t="shared" si="58"/>
        <v>0</v>
      </c>
    </row>
    <row r="286" spans="1:45" x14ac:dyDescent="0.2">
      <c r="A286" s="2">
        <v>43344</v>
      </c>
      <c r="B286" s="1">
        <v>1.3856200390137665</v>
      </c>
      <c r="C286" s="1">
        <v>2.125101104969584</v>
      </c>
      <c r="D286" s="1">
        <v>-2.117589559356992</v>
      </c>
      <c r="E286" s="1">
        <v>1.5969630565158945</v>
      </c>
      <c r="F286" s="1">
        <v>0.63775290765978743</v>
      </c>
      <c r="G286" s="1">
        <v>1.1460831990198004</v>
      </c>
      <c r="H286" s="1">
        <v>0.29587479486792373</v>
      </c>
      <c r="I286" s="1">
        <v>0.62081338326752933</v>
      </c>
      <c r="J286" s="1">
        <v>-4.5078111417778517E-2</v>
      </c>
      <c r="K286" s="1">
        <v>0.6501539928741904</v>
      </c>
      <c r="L286" s="1">
        <v>0.62956948074137054</v>
      </c>
      <c r="M286" s="1">
        <v>6</v>
      </c>
      <c r="N286" s="1">
        <v>0</v>
      </c>
      <c r="O286" s="1">
        <v>0</v>
      </c>
      <c r="P286" s="1">
        <v>0</v>
      </c>
      <c r="Q286" s="1" t="str">
        <f t="shared" si="52"/>
        <v>Expansion</v>
      </c>
      <c r="R286" s="2">
        <f t="shared" si="53"/>
        <v>43373</v>
      </c>
      <c r="S286" s="1">
        <f>VLOOKUP(R286,BB!$A$3:$C$62769, 2, 1)</f>
        <v>3.0611999999999999</v>
      </c>
      <c r="T286" s="1">
        <f t="shared" si="54"/>
        <v>0.14450000000000029</v>
      </c>
      <c r="U286" s="1">
        <f>VLOOKUP(R286,BB!$A$3:$D$6771, 4, 1)</f>
        <v>3.2057000000000002</v>
      </c>
      <c r="V286" s="1" t="str">
        <f t="shared" si="61"/>
        <v/>
      </c>
      <c r="W286" s="1" t="str">
        <f t="shared" si="62"/>
        <v/>
      </c>
      <c r="X286" s="1">
        <f t="shared" si="59"/>
        <v>2.9598</v>
      </c>
      <c r="Y286" s="1">
        <f t="shared" si="60"/>
        <v>0.12239999999999984</v>
      </c>
      <c r="Z286" s="1" t="str">
        <f t="shared" si="51"/>
        <v/>
      </c>
      <c r="AL286" s="1">
        <v>10</v>
      </c>
      <c r="AM286" s="1">
        <v>0</v>
      </c>
      <c r="AN286" s="1">
        <v>0</v>
      </c>
      <c r="AO286" s="1">
        <v>0</v>
      </c>
      <c r="AP286" s="1">
        <f t="shared" si="55"/>
        <v>6</v>
      </c>
      <c r="AQ286" s="1">
        <f t="shared" si="56"/>
        <v>0</v>
      </c>
      <c r="AR286" s="1">
        <f t="shared" si="57"/>
        <v>0</v>
      </c>
      <c r="AS286" s="1">
        <f t="shared" si="58"/>
        <v>0</v>
      </c>
    </row>
    <row r="287" spans="1:45" x14ac:dyDescent="0.2">
      <c r="A287" s="2">
        <v>43374</v>
      </c>
      <c r="B287" s="1">
        <v>1.3758904311479134</v>
      </c>
      <c r="C287" s="1">
        <v>2.049687770697068</v>
      </c>
      <c r="D287" s="1">
        <v>-2.0111500570777072</v>
      </c>
      <c r="E287" s="1">
        <v>1.5712867657912699</v>
      </c>
      <c r="F287" s="1">
        <v>0.546394218521704</v>
      </c>
      <c r="G287" s="1">
        <v>0.7580746588654188</v>
      </c>
      <c r="H287" s="1">
        <v>0.28436693969512983</v>
      </c>
      <c r="I287" s="1">
        <v>0.65757675430021389</v>
      </c>
      <c r="J287" s="1">
        <v>0.44511868799598198</v>
      </c>
      <c r="K287" s="1">
        <v>0.17790025339978102</v>
      </c>
      <c r="L287" s="1">
        <v>0.58551464233367745</v>
      </c>
      <c r="M287" s="1">
        <v>6</v>
      </c>
      <c r="N287" s="1">
        <v>0</v>
      </c>
      <c r="O287" s="1">
        <v>0</v>
      </c>
      <c r="P287" s="1">
        <v>0</v>
      </c>
      <c r="Q287" s="1" t="str">
        <f t="shared" si="52"/>
        <v>Expansion</v>
      </c>
      <c r="R287" s="2">
        <f t="shared" si="53"/>
        <v>43404</v>
      </c>
      <c r="S287" s="1">
        <f>VLOOKUP(R287,BB!$A$3:$C$62769, 2, 1)</f>
        <v>3.1435</v>
      </c>
      <c r="T287" s="1">
        <f t="shared" si="54"/>
        <v>0.24739999999999984</v>
      </c>
      <c r="U287" s="1">
        <f>VLOOKUP(R287,BB!$A$3:$D$6771, 4, 1)</f>
        <v>3.3908999999999998</v>
      </c>
      <c r="V287" s="1">
        <f t="shared" si="61"/>
        <v>0.18369999999999997</v>
      </c>
      <c r="W287" s="1">
        <f t="shared" si="62"/>
        <v>0.125</v>
      </c>
      <c r="X287" s="1">
        <f t="shared" si="59"/>
        <v>2.9598</v>
      </c>
      <c r="Y287" s="1">
        <f t="shared" si="60"/>
        <v>0.12239999999999984</v>
      </c>
      <c r="Z287" s="1" t="str">
        <f t="shared" si="51"/>
        <v>Expansion</v>
      </c>
      <c r="AL287" s="1">
        <v>10</v>
      </c>
      <c r="AM287" s="1">
        <v>0</v>
      </c>
      <c r="AN287" s="1">
        <v>0</v>
      </c>
      <c r="AO287" s="1">
        <v>0</v>
      </c>
      <c r="AP287" s="1">
        <f t="shared" si="55"/>
        <v>6</v>
      </c>
      <c r="AQ287" s="1">
        <f t="shared" si="56"/>
        <v>0</v>
      </c>
      <c r="AR287" s="1">
        <f t="shared" si="57"/>
        <v>0</v>
      </c>
      <c r="AS287" s="1">
        <f t="shared" si="58"/>
        <v>0</v>
      </c>
    </row>
    <row r="288" spans="1:45" x14ac:dyDescent="0.2">
      <c r="A288" s="2">
        <v>43405</v>
      </c>
      <c r="B288" s="1">
        <v>1.3229741192057964</v>
      </c>
      <c r="C288" s="1">
        <v>1.9268812576245853</v>
      </c>
      <c r="D288" s="1">
        <v>-2.0689662908133752</v>
      </c>
      <c r="E288" s="1">
        <v>1.5440890570370842</v>
      </c>
      <c r="F288" s="1">
        <v>0.43048980391431507</v>
      </c>
      <c r="G288" s="1">
        <v>1.0412239163781567</v>
      </c>
      <c r="H288" s="1">
        <v>0.24159820771405682</v>
      </c>
      <c r="I288" s="1">
        <v>0.61020051524123808</v>
      </c>
      <c r="J288" s="1">
        <v>0.58921226532480309</v>
      </c>
      <c r="K288" s="1">
        <v>0.16007208217108104</v>
      </c>
      <c r="L288" s="1">
        <v>0.57977749337977413</v>
      </c>
      <c r="M288" s="1">
        <v>0</v>
      </c>
      <c r="N288" s="1">
        <v>6</v>
      </c>
      <c r="O288" s="1">
        <v>0</v>
      </c>
      <c r="P288" s="1">
        <v>0</v>
      </c>
      <c r="Q288" s="1" t="str">
        <f t="shared" si="52"/>
        <v>Downturn</v>
      </c>
      <c r="R288" s="2">
        <f t="shared" si="53"/>
        <v>43434</v>
      </c>
      <c r="S288" s="1">
        <f>VLOOKUP(R288,BB!$A$3:$C$62769, 2, 1)</f>
        <v>2.9878999999999998</v>
      </c>
      <c r="T288" s="1">
        <f t="shared" si="54"/>
        <v>0.30210000000000026</v>
      </c>
      <c r="U288" s="1">
        <f>VLOOKUP(R288,BB!$A$3:$D$6771, 4, 1)</f>
        <v>3.29</v>
      </c>
      <c r="V288" s="1" t="str">
        <f t="shared" si="61"/>
        <v/>
      </c>
      <c r="W288" s="1" t="str">
        <f t="shared" si="62"/>
        <v/>
      </c>
      <c r="X288" s="1">
        <f t="shared" si="59"/>
        <v>3.1435</v>
      </c>
      <c r="Y288" s="1">
        <f t="shared" si="60"/>
        <v>0.24739999999999984</v>
      </c>
      <c r="Z288" s="1" t="str">
        <f t="shared" si="51"/>
        <v/>
      </c>
      <c r="AL288" s="1">
        <v>0</v>
      </c>
      <c r="AM288" s="1">
        <v>10</v>
      </c>
      <c r="AN288" s="1">
        <v>0</v>
      </c>
      <c r="AO288" s="1">
        <v>0</v>
      </c>
      <c r="AP288" s="1">
        <f t="shared" si="55"/>
        <v>0</v>
      </c>
      <c r="AQ288" s="1">
        <f t="shared" si="56"/>
        <v>6</v>
      </c>
      <c r="AR288" s="1">
        <f t="shared" si="57"/>
        <v>0</v>
      </c>
      <c r="AS288" s="1">
        <f t="shared" si="58"/>
        <v>0</v>
      </c>
    </row>
    <row r="289" spans="1:45" x14ac:dyDescent="0.2">
      <c r="A289" s="2">
        <v>43435</v>
      </c>
      <c r="B289" s="1">
        <v>1.2596274325822914</v>
      </c>
      <c r="C289" s="1">
        <v>1.6165926703913471</v>
      </c>
      <c r="D289" s="1">
        <v>-2.0212216578960898</v>
      </c>
      <c r="E289" s="1">
        <v>1.4195491421438087</v>
      </c>
      <c r="F289" s="1">
        <v>0.46060815126568011</v>
      </c>
      <c r="G289" s="1">
        <v>6.1879085698703588E-2</v>
      </c>
      <c r="H289" s="1">
        <v>0.19747650683803775</v>
      </c>
      <c r="I289" s="1">
        <v>0.62272463534765399</v>
      </c>
      <c r="J289" s="1">
        <v>-0.12969784685423874</v>
      </c>
      <c r="K289" s="1">
        <v>7.9674831614142447E-2</v>
      </c>
      <c r="L289" s="1">
        <v>0.35672129511313361</v>
      </c>
      <c r="M289" s="1">
        <v>0</v>
      </c>
      <c r="N289" s="1">
        <v>6</v>
      </c>
      <c r="O289" s="1">
        <v>0</v>
      </c>
      <c r="P289" s="1">
        <v>0</v>
      </c>
      <c r="Q289" s="1" t="str">
        <f t="shared" si="52"/>
        <v>Downturn</v>
      </c>
      <c r="R289" s="2">
        <f t="shared" si="53"/>
        <v>43465</v>
      </c>
      <c r="S289" s="1">
        <f>VLOOKUP(R289,BB!$A$3:$C$62769, 2, 1)</f>
        <v>2.6842000000000001</v>
      </c>
      <c r="T289" s="1">
        <f t="shared" si="54"/>
        <v>0.33029999999999982</v>
      </c>
      <c r="U289" s="1">
        <f>VLOOKUP(R289,BB!$A$3:$D$6771, 4, 1)</f>
        <v>3.0145</v>
      </c>
      <c r="V289" s="1" t="str">
        <f t="shared" si="61"/>
        <v/>
      </c>
      <c r="W289" s="1" t="str">
        <f t="shared" si="62"/>
        <v/>
      </c>
      <c r="X289" s="1">
        <f t="shared" si="59"/>
        <v>3.1435</v>
      </c>
      <c r="Y289" s="1">
        <f t="shared" si="60"/>
        <v>0.24739999999999984</v>
      </c>
      <c r="Z289" s="1" t="str">
        <f t="shared" si="51"/>
        <v/>
      </c>
      <c r="AL289" s="1">
        <v>0</v>
      </c>
      <c r="AM289" s="1">
        <v>10</v>
      </c>
      <c r="AN289" s="1">
        <v>0</v>
      </c>
      <c r="AO289" s="1">
        <v>0</v>
      </c>
      <c r="AP289" s="1">
        <f t="shared" si="55"/>
        <v>0</v>
      </c>
      <c r="AQ289" s="1">
        <f t="shared" si="56"/>
        <v>6</v>
      </c>
      <c r="AR289" s="1">
        <f t="shared" si="57"/>
        <v>0</v>
      </c>
      <c r="AS289" s="1">
        <f t="shared" si="58"/>
        <v>0</v>
      </c>
    </row>
    <row r="290" spans="1:45" x14ac:dyDescent="0.2">
      <c r="A290" s="2">
        <v>43466</v>
      </c>
      <c r="B290" s="1">
        <v>1.2215662286542057</v>
      </c>
      <c r="C290" s="1">
        <v>1.3108692627307941</v>
      </c>
      <c r="D290" s="1">
        <v>-2.0078090810817733</v>
      </c>
      <c r="E290" s="1">
        <v>1.3464911385031428</v>
      </c>
      <c r="F290" s="1">
        <v>0.46363303208490869</v>
      </c>
      <c r="G290" s="1">
        <v>0.5400994671414634</v>
      </c>
      <c r="H290" s="1">
        <v>0.17172418928079214</v>
      </c>
      <c r="I290" s="1">
        <v>0.6172699003816835</v>
      </c>
      <c r="J290" s="1">
        <v>1.2460913276386256</v>
      </c>
      <c r="K290" s="1">
        <v>-0.53688336212875443</v>
      </c>
      <c r="L290" s="1">
        <v>0.43730521032050884</v>
      </c>
      <c r="M290" s="1">
        <v>0</v>
      </c>
      <c r="N290" s="1">
        <v>6</v>
      </c>
      <c r="O290" s="1">
        <v>0</v>
      </c>
      <c r="P290" s="1">
        <v>0</v>
      </c>
      <c r="Q290" s="1" t="str">
        <f t="shared" si="52"/>
        <v>Downturn</v>
      </c>
      <c r="R290" s="2">
        <f t="shared" si="53"/>
        <v>43496</v>
      </c>
      <c r="S290" s="1">
        <f>VLOOKUP(R290,BB!$A$3:$C$62769, 2, 1)</f>
        <v>2.6293000000000002</v>
      </c>
      <c r="T290" s="1">
        <f t="shared" si="54"/>
        <v>0.36629999999999985</v>
      </c>
      <c r="U290" s="1">
        <f>VLOOKUP(R290,BB!$A$3:$D$6771, 4, 1)</f>
        <v>2.9956</v>
      </c>
      <c r="V290" s="1" t="str">
        <f t="shared" si="61"/>
        <v/>
      </c>
      <c r="W290" s="1" t="str">
        <f t="shared" si="62"/>
        <v/>
      </c>
      <c r="X290" s="1">
        <f t="shared" si="59"/>
        <v>3.1435</v>
      </c>
      <c r="Y290" s="1">
        <f t="shared" si="60"/>
        <v>0.24739999999999984</v>
      </c>
      <c r="Z290" s="1" t="str">
        <f t="shared" si="51"/>
        <v/>
      </c>
      <c r="AL290" s="1">
        <v>0</v>
      </c>
      <c r="AM290" s="1">
        <v>10</v>
      </c>
      <c r="AN290" s="1">
        <v>0</v>
      </c>
      <c r="AO290" s="1">
        <v>0</v>
      </c>
      <c r="AP290" s="1">
        <f t="shared" si="55"/>
        <v>0</v>
      </c>
      <c r="AQ290" s="1">
        <f t="shared" si="56"/>
        <v>6</v>
      </c>
      <c r="AR290" s="1">
        <f t="shared" si="57"/>
        <v>0</v>
      </c>
      <c r="AS290" s="1">
        <f t="shared" si="58"/>
        <v>0</v>
      </c>
    </row>
    <row r="291" spans="1:45" x14ac:dyDescent="0.2">
      <c r="A291" s="2">
        <v>43497</v>
      </c>
      <c r="B291" s="1">
        <v>1.1735092853399613</v>
      </c>
      <c r="C291" s="1">
        <v>1.688122652257652</v>
      </c>
      <c r="D291" s="1">
        <v>-1.9171575387124828</v>
      </c>
      <c r="E291" s="1">
        <v>1.418794504687618</v>
      </c>
      <c r="F291" s="1">
        <v>0.4888698239140819</v>
      </c>
      <c r="G291" s="1">
        <v>1.5385761508005701E-2</v>
      </c>
      <c r="H291" s="1">
        <v>0.15456162169976195</v>
      </c>
      <c r="I291" s="1">
        <v>0.63495148388850764</v>
      </c>
      <c r="J291" s="1">
        <v>0.40934813190069358</v>
      </c>
      <c r="K291" s="1">
        <v>-0.31883875288892999</v>
      </c>
      <c r="L291" s="1">
        <v>0.37475469735948697</v>
      </c>
      <c r="M291" s="1">
        <v>0</v>
      </c>
      <c r="N291" s="1">
        <v>6</v>
      </c>
      <c r="O291" s="1">
        <v>0</v>
      </c>
      <c r="P291" s="1">
        <v>0</v>
      </c>
      <c r="Q291" s="1" t="str">
        <f t="shared" si="52"/>
        <v>Downturn</v>
      </c>
      <c r="R291" s="2">
        <f t="shared" si="53"/>
        <v>43524</v>
      </c>
      <c r="S291" s="1">
        <f>VLOOKUP(R291,BB!$A$3:$C$62769, 2, 1)</f>
        <v>2.7149999999999999</v>
      </c>
      <c r="T291" s="1">
        <f t="shared" si="54"/>
        <v>0.36520000000000019</v>
      </c>
      <c r="U291" s="1">
        <f>VLOOKUP(R291,BB!$A$3:$D$6771, 4, 1)</f>
        <v>3.0802</v>
      </c>
      <c r="V291" s="1" t="str">
        <f t="shared" si="61"/>
        <v/>
      </c>
      <c r="W291" s="1" t="str">
        <f t="shared" si="62"/>
        <v/>
      </c>
      <c r="X291" s="1">
        <f t="shared" si="59"/>
        <v>3.1435</v>
      </c>
      <c r="Y291" s="1">
        <f t="shared" si="60"/>
        <v>0.24739999999999984</v>
      </c>
      <c r="Z291" s="1" t="str">
        <f t="shared" si="51"/>
        <v/>
      </c>
      <c r="AL291" s="1">
        <v>0</v>
      </c>
      <c r="AM291" s="1">
        <v>10</v>
      </c>
      <c r="AN291" s="1">
        <v>0</v>
      </c>
      <c r="AO291" s="1">
        <v>0</v>
      </c>
      <c r="AP291" s="1">
        <f t="shared" si="55"/>
        <v>0</v>
      </c>
      <c r="AQ291" s="1">
        <f t="shared" si="56"/>
        <v>6</v>
      </c>
      <c r="AR291" s="1">
        <f t="shared" si="57"/>
        <v>0</v>
      </c>
      <c r="AS291" s="1">
        <f t="shared" si="58"/>
        <v>0</v>
      </c>
    </row>
    <row r="292" spans="1:45" x14ac:dyDescent="0.2">
      <c r="A292" s="2">
        <v>43525</v>
      </c>
      <c r="B292" s="1">
        <v>1.1518584470388722</v>
      </c>
      <c r="C292" s="1">
        <v>1.4077017421974973</v>
      </c>
      <c r="D292" s="1">
        <v>-1.9452422419415862</v>
      </c>
      <c r="E292" s="1">
        <v>1.3924923443268147</v>
      </c>
      <c r="F292" s="1">
        <v>0.42628128725039249</v>
      </c>
      <c r="G292" s="1">
        <v>0.23753956113762428</v>
      </c>
      <c r="H292" s="1">
        <v>0.13603089086642045</v>
      </c>
      <c r="I292" s="1">
        <v>0.56185435704511844</v>
      </c>
      <c r="J292" s="1">
        <v>0.79583806737213814</v>
      </c>
      <c r="K292" s="1">
        <v>-0.27742392750513589</v>
      </c>
      <c r="L292" s="1">
        <v>0.38869305277881555</v>
      </c>
      <c r="M292" s="1">
        <v>0</v>
      </c>
      <c r="N292" s="1">
        <v>6</v>
      </c>
      <c r="O292" s="1">
        <v>0</v>
      </c>
      <c r="P292" s="1">
        <v>0</v>
      </c>
      <c r="Q292" s="1" t="str">
        <f t="shared" si="52"/>
        <v>Downturn</v>
      </c>
      <c r="R292" s="2">
        <f t="shared" si="53"/>
        <v>43555</v>
      </c>
      <c r="S292" s="1">
        <f>VLOOKUP(R292,BB!$A$3:$C$62769, 2, 1)</f>
        <v>2.4049999999999998</v>
      </c>
      <c r="T292" s="1">
        <f t="shared" si="54"/>
        <v>0.4093</v>
      </c>
      <c r="U292" s="1">
        <f>VLOOKUP(R292,BB!$A$3:$D$6771, 4, 1)</f>
        <v>2.8142999999999998</v>
      </c>
      <c r="V292" s="1" t="str">
        <f t="shared" si="61"/>
        <v/>
      </c>
      <c r="W292" s="1" t="str">
        <f t="shared" si="62"/>
        <v/>
      </c>
      <c r="X292" s="1">
        <f t="shared" si="59"/>
        <v>3.1435</v>
      </c>
      <c r="Y292" s="1">
        <f t="shared" si="60"/>
        <v>0.24739999999999984</v>
      </c>
      <c r="Z292" s="1" t="str">
        <f t="shared" si="51"/>
        <v/>
      </c>
      <c r="AL292" s="1">
        <v>0</v>
      </c>
      <c r="AM292" s="1">
        <v>10</v>
      </c>
      <c r="AN292" s="1">
        <v>0</v>
      </c>
      <c r="AO292" s="1">
        <v>0</v>
      </c>
      <c r="AP292" s="1">
        <f t="shared" si="55"/>
        <v>0</v>
      </c>
      <c r="AQ292" s="1">
        <f t="shared" si="56"/>
        <v>6</v>
      </c>
      <c r="AR292" s="1">
        <f t="shared" si="57"/>
        <v>0</v>
      </c>
      <c r="AS292" s="1">
        <f t="shared" si="58"/>
        <v>0</v>
      </c>
    </row>
    <row r="293" spans="1:45" x14ac:dyDescent="0.2">
      <c r="A293" s="2">
        <v>43556</v>
      </c>
      <c r="B293" s="1">
        <v>1.190872490387773</v>
      </c>
      <c r="C293" s="1">
        <v>1.5769088515088101</v>
      </c>
      <c r="D293" s="1">
        <v>-1.7783049389799201</v>
      </c>
      <c r="E293" s="1">
        <v>1.4618099042858181</v>
      </c>
      <c r="F293" s="1">
        <v>0.38730314066351984</v>
      </c>
      <c r="G293" s="1">
        <v>-0.41524293325208905</v>
      </c>
      <c r="H293" s="1">
        <v>0.15578679643782206</v>
      </c>
      <c r="I293" s="1">
        <v>0.59056020799356923</v>
      </c>
      <c r="J293" s="1">
        <v>0.77879047770279919</v>
      </c>
      <c r="K293" s="1">
        <v>-0.39246385376658405</v>
      </c>
      <c r="L293" s="1">
        <v>0.35560201429815186</v>
      </c>
      <c r="M293" s="1">
        <v>0</v>
      </c>
      <c r="N293" s="1">
        <v>6</v>
      </c>
      <c r="O293" s="1">
        <v>0</v>
      </c>
      <c r="P293" s="1">
        <v>0</v>
      </c>
      <c r="Q293" s="1" t="str">
        <f t="shared" si="52"/>
        <v>Downturn</v>
      </c>
      <c r="R293" s="2">
        <f t="shared" si="53"/>
        <v>43585</v>
      </c>
      <c r="S293" s="1">
        <f>VLOOKUP(R293,BB!$A$3:$C$62769, 2, 1)</f>
        <v>2.5017999999999998</v>
      </c>
      <c r="T293" s="1">
        <f t="shared" si="54"/>
        <v>0.42700000000000005</v>
      </c>
      <c r="U293" s="1">
        <f>VLOOKUP(R293,BB!$A$3:$D$6771, 4, 1)</f>
        <v>2.9287999999999998</v>
      </c>
      <c r="V293" s="1">
        <f t="shared" si="61"/>
        <v>-0.64170000000000016</v>
      </c>
      <c r="W293" s="1">
        <f t="shared" si="62"/>
        <v>0.1796000000000002</v>
      </c>
      <c r="X293" s="1">
        <f t="shared" si="59"/>
        <v>3.1435</v>
      </c>
      <c r="Y293" s="1">
        <f t="shared" si="60"/>
        <v>0.24739999999999984</v>
      </c>
      <c r="Z293" s="1" t="str">
        <f t="shared" si="51"/>
        <v>Downturn</v>
      </c>
      <c r="AL293" s="1">
        <v>0</v>
      </c>
      <c r="AM293" s="1">
        <v>10</v>
      </c>
      <c r="AN293" s="1">
        <v>0</v>
      </c>
      <c r="AO293" s="1">
        <v>0</v>
      </c>
      <c r="AP293" s="1">
        <f t="shared" si="55"/>
        <v>0</v>
      </c>
      <c r="AQ293" s="1">
        <f t="shared" si="56"/>
        <v>6</v>
      </c>
      <c r="AR293" s="1">
        <f t="shared" si="57"/>
        <v>0</v>
      </c>
      <c r="AS293" s="1">
        <f t="shared" si="58"/>
        <v>0</v>
      </c>
    </row>
    <row r="294" spans="1:45" x14ac:dyDescent="0.2">
      <c r="A294" s="2">
        <v>43586</v>
      </c>
      <c r="B294" s="1">
        <v>1.2357738179429554</v>
      </c>
      <c r="C294" s="1">
        <v>1.7291305757582047</v>
      </c>
      <c r="D294" s="1">
        <v>-1.7821841351912047</v>
      </c>
      <c r="E294" s="1">
        <v>1.4349656787647047</v>
      </c>
      <c r="F294" s="1">
        <v>0.29501576766393245</v>
      </c>
      <c r="G294" s="1">
        <v>-0.65630689544212906</v>
      </c>
      <c r="H294" s="1">
        <v>0.16387510364261726</v>
      </c>
      <c r="I294" s="1">
        <v>0.64971297069877221</v>
      </c>
      <c r="J294" s="1">
        <v>0.85268036164572203</v>
      </c>
      <c r="K294" s="1">
        <v>-0.36894441589351207</v>
      </c>
      <c r="L294" s="1">
        <v>0.35537188295900635</v>
      </c>
      <c r="M294" s="1">
        <v>6</v>
      </c>
      <c r="N294" s="1">
        <v>0</v>
      </c>
      <c r="O294" s="1">
        <v>0</v>
      </c>
      <c r="P294" s="1">
        <v>0</v>
      </c>
      <c r="Q294" s="1" t="str">
        <f t="shared" si="52"/>
        <v>Expansion</v>
      </c>
      <c r="R294" s="2">
        <f t="shared" si="53"/>
        <v>43616</v>
      </c>
      <c r="S294" s="1">
        <f>VLOOKUP(R294,BB!$A$3:$C$62769, 2, 1)</f>
        <v>2.1246</v>
      </c>
      <c r="T294" s="1">
        <f t="shared" si="54"/>
        <v>0.44389999999999974</v>
      </c>
      <c r="U294" s="1">
        <f>VLOOKUP(R294,BB!$A$3:$D$6771, 4, 1)</f>
        <v>2.5684999999999998</v>
      </c>
      <c r="V294" s="1">
        <f t="shared" si="61"/>
        <v>-0.37719999999999976</v>
      </c>
      <c r="W294" s="1">
        <f t="shared" si="62"/>
        <v>1.6899999999999693E-2</v>
      </c>
      <c r="X294" s="1">
        <f t="shared" si="59"/>
        <v>2.5017999999999998</v>
      </c>
      <c r="Y294" s="1">
        <f t="shared" si="60"/>
        <v>0.42700000000000005</v>
      </c>
      <c r="Z294" s="1" t="str">
        <f t="shared" si="51"/>
        <v>Expansion</v>
      </c>
      <c r="AL294" s="1">
        <v>10</v>
      </c>
      <c r="AM294" s="1">
        <v>0</v>
      </c>
      <c r="AN294" s="1">
        <v>0</v>
      </c>
      <c r="AO294" s="1">
        <v>0</v>
      </c>
      <c r="AP294" s="1">
        <f t="shared" si="55"/>
        <v>6</v>
      </c>
      <c r="AQ294" s="1">
        <f t="shared" si="56"/>
        <v>0</v>
      </c>
      <c r="AR294" s="1">
        <f t="shared" si="57"/>
        <v>0</v>
      </c>
      <c r="AS294" s="1">
        <f t="shared" si="58"/>
        <v>0</v>
      </c>
    </row>
    <row r="295" spans="1:45" x14ac:dyDescent="0.2">
      <c r="A295" s="2">
        <v>43617</v>
      </c>
      <c r="B295" s="1">
        <v>1.2360937444347848</v>
      </c>
      <c r="C295" s="1">
        <v>1.2421210330367245</v>
      </c>
      <c r="D295" s="1">
        <v>-1.6841668649553456</v>
      </c>
      <c r="E295" s="1">
        <v>1.3632500190006254</v>
      </c>
      <c r="F295" s="1">
        <v>0.15656298110086256</v>
      </c>
      <c r="G295" s="1">
        <v>-0.81789882964402583</v>
      </c>
      <c r="H295" s="1">
        <v>0.20126412439386612</v>
      </c>
      <c r="I295" s="1">
        <v>0.53018514831822117</v>
      </c>
      <c r="J295" s="1">
        <v>2.0996672758148955</v>
      </c>
      <c r="K295" s="1">
        <v>-0.52614273079012075</v>
      </c>
      <c r="L295" s="1">
        <v>0.38009359007104876</v>
      </c>
      <c r="M295" s="1">
        <v>0</v>
      </c>
      <c r="N295" s="1">
        <v>6</v>
      </c>
      <c r="O295" s="1">
        <v>0</v>
      </c>
      <c r="P295" s="1">
        <v>0</v>
      </c>
      <c r="Q295" s="1" t="str">
        <f t="shared" si="52"/>
        <v>Downturn</v>
      </c>
      <c r="R295" s="2">
        <f t="shared" si="53"/>
        <v>43646</v>
      </c>
      <c r="S295" s="1">
        <f>VLOOKUP(R295,BB!$A$3:$C$62769, 2, 1)</f>
        <v>2.0051000000000001</v>
      </c>
      <c r="T295" s="1">
        <f t="shared" si="54"/>
        <v>0.52400000000000002</v>
      </c>
      <c r="U295" s="1">
        <f>VLOOKUP(R295,BB!$A$3:$D$6771, 4, 1)</f>
        <v>2.5291000000000001</v>
      </c>
      <c r="V295" s="1" t="str">
        <f t="shared" si="61"/>
        <v/>
      </c>
      <c r="W295" s="1" t="str">
        <f t="shared" si="62"/>
        <v/>
      </c>
      <c r="X295" s="1">
        <f t="shared" si="59"/>
        <v>2.1246</v>
      </c>
      <c r="Y295" s="1">
        <f t="shared" si="60"/>
        <v>0.44389999999999974</v>
      </c>
      <c r="Z295" s="1" t="str">
        <f t="shared" si="51"/>
        <v/>
      </c>
      <c r="AL295" s="1">
        <v>0</v>
      </c>
      <c r="AM295" s="1">
        <v>10</v>
      </c>
      <c r="AN295" s="1">
        <v>0</v>
      </c>
      <c r="AO295" s="1">
        <v>0</v>
      </c>
      <c r="AP295" s="1">
        <f t="shared" si="55"/>
        <v>0</v>
      </c>
      <c r="AQ295" s="1">
        <f t="shared" si="56"/>
        <v>6</v>
      </c>
      <c r="AR295" s="1">
        <f t="shared" si="57"/>
        <v>0</v>
      </c>
      <c r="AS295" s="1">
        <f t="shared" si="58"/>
        <v>0</v>
      </c>
    </row>
    <row r="296" spans="1:45" x14ac:dyDescent="0.2">
      <c r="A296" s="2">
        <v>43647</v>
      </c>
      <c r="B296" s="1">
        <v>1.2219626033948647</v>
      </c>
      <c r="C296" s="1">
        <v>1.7317475520126229</v>
      </c>
      <c r="D296" s="1">
        <v>-1.7889700892726812</v>
      </c>
      <c r="E296" s="1">
        <v>1.3409242706264739</v>
      </c>
      <c r="F296" s="1">
        <v>-2.315124015816945E-2</v>
      </c>
      <c r="G296" s="1">
        <v>-1.0034137757007078</v>
      </c>
      <c r="H296" s="1">
        <v>0.19696183534016654</v>
      </c>
      <c r="I296" s="1">
        <v>0.57120028449838534</v>
      </c>
      <c r="J296" s="1">
        <v>0.44429144952802002</v>
      </c>
      <c r="K296" s="1">
        <v>-0.6509377518866255</v>
      </c>
      <c r="L296" s="1">
        <v>0.20406151383823498</v>
      </c>
      <c r="M296" s="1">
        <v>0</v>
      </c>
      <c r="N296" s="1">
        <v>6</v>
      </c>
      <c r="O296" s="1">
        <v>0</v>
      </c>
      <c r="P296" s="1">
        <v>0</v>
      </c>
      <c r="Q296" s="1" t="str">
        <f t="shared" si="52"/>
        <v>Downturn</v>
      </c>
      <c r="R296" s="2">
        <f t="shared" si="53"/>
        <v>43677</v>
      </c>
      <c r="S296" s="1">
        <f>VLOOKUP(R296,BB!$A$3:$C$62769, 2, 1)</f>
        <v>2.0144000000000002</v>
      </c>
      <c r="T296" s="1">
        <f t="shared" si="54"/>
        <v>0.51049999999999995</v>
      </c>
      <c r="U296" s="1">
        <f>VLOOKUP(R296,BB!$A$3:$D$6771, 4, 1)</f>
        <v>2.5249000000000001</v>
      </c>
      <c r="V296" s="1" t="str">
        <f t="shared" si="61"/>
        <v/>
      </c>
      <c r="W296" s="1" t="str">
        <f t="shared" si="62"/>
        <v/>
      </c>
      <c r="X296" s="1">
        <f t="shared" si="59"/>
        <v>2.1246</v>
      </c>
      <c r="Y296" s="1">
        <f t="shared" si="60"/>
        <v>0.44389999999999974</v>
      </c>
      <c r="Z296" s="1" t="str">
        <f t="shared" si="51"/>
        <v/>
      </c>
      <c r="AL296" s="1">
        <v>0</v>
      </c>
      <c r="AM296" s="1">
        <v>10</v>
      </c>
      <c r="AN296" s="1">
        <v>0</v>
      </c>
      <c r="AO296" s="1">
        <v>0</v>
      </c>
      <c r="AP296" s="1">
        <f t="shared" si="55"/>
        <v>0</v>
      </c>
      <c r="AQ296" s="1">
        <f t="shared" si="56"/>
        <v>6</v>
      </c>
      <c r="AR296" s="1">
        <f t="shared" si="57"/>
        <v>0</v>
      </c>
      <c r="AS296" s="1">
        <f t="shared" si="58"/>
        <v>0</v>
      </c>
    </row>
    <row r="297" spans="1:45" x14ac:dyDescent="0.2">
      <c r="A297" s="2">
        <v>43678</v>
      </c>
      <c r="B297" s="1">
        <v>1.2508680026750771</v>
      </c>
      <c r="C297" s="1">
        <v>1.6781797796361069</v>
      </c>
      <c r="D297" s="1">
        <v>-1.9419570477789625</v>
      </c>
      <c r="E297" s="1">
        <v>1.3189398090711641</v>
      </c>
      <c r="F297" s="1">
        <v>-0.15056363395400138</v>
      </c>
      <c r="G297" s="1">
        <v>-1.6263188731496054</v>
      </c>
      <c r="H297" s="1">
        <v>0.19180925313862529</v>
      </c>
      <c r="I297" s="1">
        <v>0.48364448614856775</v>
      </c>
      <c r="J297" s="1">
        <v>0.96934533618531171</v>
      </c>
      <c r="K297" s="1">
        <v>-0.88501760957276232</v>
      </c>
      <c r="L297" s="1">
        <v>0.12889295023995215</v>
      </c>
      <c r="M297" s="1">
        <v>0</v>
      </c>
      <c r="N297" s="1">
        <v>6</v>
      </c>
      <c r="O297" s="1">
        <v>0</v>
      </c>
      <c r="P297" s="1">
        <v>0</v>
      </c>
      <c r="Q297" s="1" t="str">
        <f t="shared" si="52"/>
        <v>Downturn</v>
      </c>
      <c r="R297" s="2">
        <f t="shared" si="53"/>
        <v>43708</v>
      </c>
      <c r="S297" s="1">
        <f>VLOOKUP(R297,BB!$A$3:$C$62769, 2, 1)</f>
        <v>1.4961</v>
      </c>
      <c r="T297" s="1">
        <f t="shared" si="54"/>
        <v>0.46649999999999991</v>
      </c>
      <c r="U297" s="1">
        <f>VLOOKUP(R297,BB!$A$3:$D$6771, 4, 1)</f>
        <v>1.9625999999999999</v>
      </c>
      <c r="V297" s="1">
        <f t="shared" si="61"/>
        <v>-0.62850000000000006</v>
      </c>
      <c r="W297" s="1">
        <f t="shared" si="62"/>
        <v>2.2600000000000176E-2</v>
      </c>
      <c r="X297" s="1">
        <f t="shared" si="59"/>
        <v>2.1246</v>
      </c>
      <c r="Y297" s="1">
        <f t="shared" si="60"/>
        <v>0.44389999999999974</v>
      </c>
      <c r="Z297" s="1" t="str">
        <f t="shared" si="51"/>
        <v>Downturn</v>
      </c>
      <c r="AL297" s="1">
        <v>0</v>
      </c>
      <c r="AM297" s="1">
        <v>10</v>
      </c>
      <c r="AN297" s="1">
        <v>0</v>
      </c>
      <c r="AO297" s="1">
        <v>0</v>
      </c>
      <c r="AP297" s="1">
        <f t="shared" si="55"/>
        <v>0</v>
      </c>
      <c r="AQ297" s="1">
        <f t="shared" si="56"/>
        <v>6</v>
      </c>
      <c r="AR297" s="1">
        <f t="shared" si="57"/>
        <v>0</v>
      </c>
      <c r="AS297" s="1">
        <f t="shared" si="58"/>
        <v>0</v>
      </c>
    </row>
    <row r="298" spans="1:45" x14ac:dyDescent="0.2">
      <c r="A298" s="2">
        <v>43709</v>
      </c>
      <c r="B298" s="1">
        <v>1.2864296544509266</v>
      </c>
      <c r="C298" s="1">
        <v>1.2895507608484651</v>
      </c>
      <c r="D298" s="1">
        <v>-1.8334352040673283</v>
      </c>
      <c r="E298" s="1">
        <v>1.3932173209113148</v>
      </c>
      <c r="F298" s="1">
        <v>-0.22639039986401874</v>
      </c>
      <c r="G298" s="1">
        <v>-1.9751060465756782</v>
      </c>
      <c r="H298" s="1">
        <v>0.15360523967747469</v>
      </c>
      <c r="I298" s="1">
        <v>0.56073444878854839</v>
      </c>
      <c r="J298" s="1">
        <v>-0.63547187305729225</v>
      </c>
      <c r="K298" s="1">
        <v>-0.99651218308470557</v>
      </c>
      <c r="L298" s="1">
        <v>-9.833782819722936E-2</v>
      </c>
      <c r="M298" s="1">
        <v>0</v>
      </c>
      <c r="N298" s="1">
        <v>0</v>
      </c>
      <c r="O298" s="1">
        <v>6</v>
      </c>
      <c r="P298" s="1">
        <v>0</v>
      </c>
      <c r="Q298" s="1" t="str">
        <f t="shared" si="52"/>
        <v>Repair</v>
      </c>
      <c r="R298" s="2">
        <f t="shared" si="53"/>
        <v>43738</v>
      </c>
      <c r="S298" s="1">
        <f>VLOOKUP(R298,BB!$A$3:$C$62769, 2, 1)</f>
        <v>1.6646000000000001</v>
      </c>
      <c r="T298" s="1">
        <f t="shared" si="54"/>
        <v>0.44589999999999996</v>
      </c>
      <c r="U298" s="1">
        <f>VLOOKUP(R298,BB!$A$3:$D$6771, 4, 1)</f>
        <v>2.1105</v>
      </c>
      <c r="V298" s="1" t="str">
        <f t="shared" si="61"/>
        <v/>
      </c>
      <c r="W298" s="1" t="str">
        <f t="shared" si="62"/>
        <v/>
      </c>
      <c r="X298" s="1">
        <f t="shared" si="59"/>
        <v>1.4961</v>
      </c>
      <c r="Y298" s="1">
        <f t="shared" si="60"/>
        <v>0.46649999999999991</v>
      </c>
      <c r="Z298" s="1" t="str">
        <f t="shared" si="51"/>
        <v/>
      </c>
      <c r="AL298" s="1">
        <v>0</v>
      </c>
      <c r="AM298" s="1">
        <v>0</v>
      </c>
      <c r="AN298" s="1">
        <v>10</v>
      </c>
      <c r="AO298" s="1">
        <v>0</v>
      </c>
      <c r="AP298" s="1">
        <f t="shared" si="55"/>
        <v>0</v>
      </c>
      <c r="AQ298" s="1">
        <f t="shared" si="56"/>
        <v>0</v>
      </c>
      <c r="AR298" s="1">
        <f t="shared" si="57"/>
        <v>6</v>
      </c>
      <c r="AS298" s="1">
        <f t="shared" si="58"/>
        <v>0</v>
      </c>
    </row>
    <row r="299" spans="1:45" x14ac:dyDescent="0.2">
      <c r="A299" s="2">
        <v>43739</v>
      </c>
      <c r="B299" s="1">
        <v>1.2868952487838659</v>
      </c>
      <c r="C299" s="1">
        <v>1.2967221231471588</v>
      </c>
      <c r="D299" s="1">
        <v>-1.6379692350288133</v>
      </c>
      <c r="E299" s="1">
        <v>1.3247231903611112</v>
      </c>
      <c r="F299" s="1">
        <v>-0.22166580614158438</v>
      </c>
      <c r="G299" s="1">
        <v>-1.7934242159630853</v>
      </c>
      <c r="H299" s="1">
        <v>0.10271136141287177</v>
      </c>
      <c r="I299" s="1">
        <v>0.51896817403129458</v>
      </c>
      <c r="J299" s="1">
        <v>0.17596021511381602</v>
      </c>
      <c r="K299" s="1">
        <v>-1.1484121169698185</v>
      </c>
      <c r="L299" s="1">
        <v>-9.5491061253182748E-3</v>
      </c>
      <c r="M299" s="1">
        <v>0</v>
      </c>
      <c r="N299" s="1">
        <v>0</v>
      </c>
      <c r="O299" s="1">
        <v>6</v>
      </c>
      <c r="P299" s="1">
        <v>0</v>
      </c>
      <c r="Q299" s="1" t="str">
        <f t="shared" si="52"/>
        <v>Repair</v>
      </c>
      <c r="R299" s="2">
        <f t="shared" si="53"/>
        <v>43769</v>
      </c>
      <c r="S299" s="1">
        <f>VLOOKUP(R299,BB!$A$3:$C$62769, 2, 1)</f>
        <v>1.6910000000000001</v>
      </c>
      <c r="T299" s="1">
        <f t="shared" si="54"/>
        <v>0.48809999999999998</v>
      </c>
      <c r="U299" s="1">
        <f>VLOOKUP(R299,BB!$A$3:$D$6771, 4, 1)</f>
        <v>2.1791</v>
      </c>
      <c r="V299" s="1" t="str">
        <f t="shared" si="61"/>
        <v/>
      </c>
      <c r="W299" s="1" t="str">
        <f t="shared" si="62"/>
        <v/>
      </c>
      <c r="X299" s="1">
        <f t="shared" si="59"/>
        <v>1.4961</v>
      </c>
      <c r="Y299" s="1">
        <f t="shared" si="60"/>
        <v>0.46649999999999991</v>
      </c>
      <c r="Z299" s="1" t="str">
        <f t="shared" si="51"/>
        <v/>
      </c>
      <c r="AL299" s="1">
        <v>0</v>
      </c>
      <c r="AM299" s="1">
        <v>0</v>
      </c>
      <c r="AN299" s="1">
        <v>10</v>
      </c>
      <c r="AO299" s="1">
        <v>0</v>
      </c>
      <c r="AP299" s="1">
        <f t="shared" si="55"/>
        <v>0</v>
      </c>
      <c r="AQ299" s="1">
        <f t="shared" si="56"/>
        <v>0</v>
      </c>
      <c r="AR299" s="1">
        <f t="shared" si="57"/>
        <v>6</v>
      </c>
      <c r="AS299" s="1">
        <f t="shared" si="58"/>
        <v>0</v>
      </c>
    </row>
    <row r="300" spans="1:45" x14ac:dyDescent="0.2">
      <c r="A300" s="2">
        <v>43770</v>
      </c>
      <c r="B300" s="1">
        <v>1.2638944568714288</v>
      </c>
      <c r="C300" s="1">
        <v>1.2624382046930933</v>
      </c>
      <c r="D300" s="1">
        <v>-1.6110049303945515</v>
      </c>
      <c r="E300" s="1">
        <v>1.3550716123186888</v>
      </c>
      <c r="F300" s="1">
        <v>-0.17749249198437914</v>
      </c>
      <c r="G300" s="1">
        <v>-1.8092997753558075</v>
      </c>
      <c r="H300" s="1">
        <v>2.6129882554283033E-2</v>
      </c>
      <c r="I300" s="1">
        <v>0.56460579066383443</v>
      </c>
      <c r="J300" s="1">
        <v>0.43527893301064141</v>
      </c>
      <c r="K300" s="1">
        <v>-1.5424130616750225</v>
      </c>
      <c r="L300" s="1">
        <v>-2.3279137929779047E-2</v>
      </c>
      <c r="M300" s="1">
        <v>0</v>
      </c>
      <c r="N300" s="1">
        <v>0</v>
      </c>
      <c r="O300" s="1">
        <v>6</v>
      </c>
      <c r="P300" s="1">
        <v>0</v>
      </c>
      <c r="Q300" s="1" t="str">
        <f t="shared" si="52"/>
        <v>Repair</v>
      </c>
      <c r="R300" s="2">
        <f t="shared" si="53"/>
        <v>43799</v>
      </c>
      <c r="S300" s="1">
        <f>VLOOKUP(R300,BB!$A$3:$C$62769, 2, 1)</f>
        <v>1.7758</v>
      </c>
      <c r="T300" s="1">
        <f t="shared" si="54"/>
        <v>0.42959999999999998</v>
      </c>
      <c r="U300" s="1">
        <f>VLOOKUP(R300,BB!$A$3:$D$6771, 4, 1)</f>
        <v>2.2054</v>
      </c>
      <c r="V300" s="1" t="str">
        <f t="shared" si="61"/>
        <v/>
      </c>
      <c r="W300" s="1" t="str">
        <f t="shared" si="62"/>
        <v/>
      </c>
      <c r="X300" s="1">
        <f t="shared" si="59"/>
        <v>1.4961</v>
      </c>
      <c r="Y300" s="1">
        <f t="shared" si="60"/>
        <v>0.46649999999999991</v>
      </c>
      <c r="Z300" s="1" t="str">
        <f t="shared" si="51"/>
        <v/>
      </c>
      <c r="AL300" s="1">
        <v>0</v>
      </c>
      <c r="AM300" s="1">
        <v>0</v>
      </c>
      <c r="AN300" s="1">
        <v>10</v>
      </c>
      <c r="AO300" s="1">
        <v>0</v>
      </c>
      <c r="AP300" s="1">
        <f t="shared" si="55"/>
        <v>0</v>
      </c>
      <c r="AQ300" s="1">
        <f t="shared" si="56"/>
        <v>0</v>
      </c>
      <c r="AR300" s="1">
        <f t="shared" si="57"/>
        <v>6</v>
      </c>
      <c r="AS300" s="1">
        <f t="shared" si="58"/>
        <v>0</v>
      </c>
    </row>
    <row r="301" spans="1:45" x14ac:dyDescent="0.2">
      <c r="A301" s="2">
        <v>43800</v>
      </c>
      <c r="B301" s="1">
        <v>1.1915833538940255</v>
      </c>
      <c r="C301" s="1">
        <v>1.2785586914849647</v>
      </c>
      <c r="D301" s="1">
        <v>-1.3524966053843763</v>
      </c>
      <c r="E301" s="1">
        <v>1.3365107448381466</v>
      </c>
      <c r="F301" s="1">
        <v>-0.36573108913906166</v>
      </c>
      <c r="G301" s="1">
        <v>-2.0214194218055357</v>
      </c>
      <c r="H301" s="1">
        <v>-2.0249477689085166E-2</v>
      </c>
      <c r="I301" s="1">
        <v>0.60240037596491081</v>
      </c>
      <c r="J301" s="1">
        <v>-7.654574011717985E-2</v>
      </c>
      <c r="K301" s="1">
        <v>-1.6221751483148601</v>
      </c>
      <c r="L301" s="1">
        <v>-0.10495643162680508</v>
      </c>
      <c r="M301" s="1">
        <v>0</v>
      </c>
      <c r="N301" s="1">
        <v>0</v>
      </c>
      <c r="O301" s="1">
        <v>6</v>
      </c>
      <c r="P301" s="1">
        <v>0</v>
      </c>
      <c r="Q301" s="1" t="str">
        <f t="shared" si="52"/>
        <v>Repair</v>
      </c>
      <c r="R301" s="2">
        <f t="shared" si="53"/>
        <v>43830</v>
      </c>
      <c r="S301" s="1">
        <f>VLOOKUP(R301,BB!$A$3:$C$62769, 2, 1)</f>
        <v>1.9175</v>
      </c>
      <c r="T301" s="1">
        <f t="shared" si="54"/>
        <v>0.47210000000000019</v>
      </c>
      <c r="U301" s="1">
        <f>VLOOKUP(R301,BB!$A$3:$D$6771, 4, 1)</f>
        <v>2.3896000000000002</v>
      </c>
      <c r="V301" s="1">
        <f t="shared" si="61"/>
        <v>0.4214</v>
      </c>
      <c r="W301" s="1">
        <f t="shared" si="62"/>
        <v>5.6000000000002714E-3</v>
      </c>
      <c r="X301" s="1">
        <f t="shared" si="59"/>
        <v>1.4961</v>
      </c>
      <c r="Y301" s="1">
        <f t="shared" si="60"/>
        <v>0.46649999999999991</v>
      </c>
      <c r="Z301" s="1" t="str">
        <f t="shared" si="51"/>
        <v>Repair</v>
      </c>
      <c r="AL301" s="1">
        <v>0</v>
      </c>
      <c r="AM301" s="1">
        <v>0</v>
      </c>
      <c r="AN301" s="1">
        <v>10</v>
      </c>
      <c r="AO301" s="1">
        <v>0</v>
      </c>
      <c r="AP301" s="1">
        <f t="shared" si="55"/>
        <v>0</v>
      </c>
      <c r="AQ301" s="1">
        <f t="shared" si="56"/>
        <v>0</v>
      </c>
      <c r="AR301" s="1">
        <f t="shared" si="57"/>
        <v>6</v>
      </c>
      <c r="AS301" s="1">
        <f t="shared" si="58"/>
        <v>0</v>
      </c>
    </row>
    <row r="302" spans="1:45" x14ac:dyDescent="0.2">
      <c r="A302" s="2">
        <v>43831</v>
      </c>
      <c r="B302" s="1">
        <v>1.1832481206784855</v>
      </c>
      <c r="C302" s="1">
        <v>1.4405137537367403</v>
      </c>
      <c r="D302" s="1">
        <v>-1.5248993121471472</v>
      </c>
      <c r="E302" s="1">
        <v>1.2704193102248982</v>
      </c>
      <c r="F302" s="1">
        <v>-0.39871662779862593</v>
      </c>
      <c r="G302" s="1">
        <v>-0.96423378940506965</v>
      </c>
      <c r="H302" s="1">
        <v>-8.2415154939888977E-2</v>
      </c>
      <c r="I302" s="1">
        <v>0.62632856315728769</v>
      </c>
      <c r="J302" s="1">
        <v>-0.23031254238963006</v>
      </c>
      <c r="K302" s="1">
        <v>-1.1615573264952248</v>
      </c>
      <c r="L302" s="1">
        <v>1.5837499462182471E-2</v>
      </c>
      <c r="M302" s="1">
        <v>0</v>
      </c>
      <c r="N302" s="1">
        <v>6</v>
      </c>
      <c r="O302" s="1">
        <v>0</v>
      </c>
      <c r="P302" s="1">
        <v>0</v>
      </c>
      <c r="Q302" s="1" t="str">
        <f t="shared" si="52"/>
        <v>Downturn</v>
      </c>
      <c r="R302" s="2">
        <f t="shared" si="53"/>
        <v>43861</v>
      </c>
      <c r="S302" s="1">
        <f>VLOOKUP(R302,BB!$A$3:$C$62769, 2, 1)</f>
        <v>1.5067999999999999</v>
      </c>
      <c r="T302" s="1">
        <f t="shared" si="54"/>
        <v>0.49280000000000013</v>
      </c>
      <c r="U302" s="1">
        <f>VLOOKUP(R302,BB!$A$3:$D$6771, 4, 1)</f>
        <v>1.9996</v>
      </c>
      <c r="V302" s="1">
        <f t="shared" si="61"/>
        <v>-0.41070000000000007</v>
      </c>
      <c r="W302" s="1">
        <f t="shared" si="62"/>
        <v>2.0699999999999941E-2</v>
      </c>
      <c r="X302" s="1">
        <f t="shared" si="59"/>
        <v>1.9175</v>
      </c>
      <c r="Y302" s="1">
        <f t="shared" si="60"/>
        <v>0.47210000000000019</v>
      </c>
      <c r="Z302" s="1" t="str">
        <f t="shared" si="51"/>
        <v>Downturn</v>
      </c>
      <c r="AL302" s="1">
        <v>0</v>
      </c>
      <c r="AM302" s="1">
        <v>10</v>
      </c>
      <c r="AN302" s="1">
        <v>0</v>
      </c>
      <c r="AO302" s="1">
        <v>0</v>
      </c>
      <c r="AP302" s="1">
        <f t="shared" si="55"/>
        <v>0</v>
      </c>
      <c r="AQ302" s="1">
        <f t="shared" si="56"/>
        <v>6</v>
      </c>
      <c r="AR302" s="1">
        <f t="shared" si="57"/>
        <v>0</v>
      </c>
      <c r="AS302" s="1">
        <f t="shared" si="58"/>
        <v>0</v>
      </c>
    </row>
    <row r="303" spans="1:45" x14ac:dyDescent="0.2">
      <c r="A303" s="2">
        <v>43862</v>
      </c>
      <c r="B303" s="1">
        <v>1.2147733813794062</v>
      </c>
      <c r="C303" s="1">
        <v>1.3833773389331536</v>
      </c>
      <c r="D303" s="1">
        <v>-1.4495250685958148</v>
      </c>
      <c r="E303" s="1">
        <v>1.3010694674491214</v>
      </c>
      <c r="F303" s="1">
        <v>-0.41672979086325224</v>
      </c>
      <c r="G303" s="1">
        <v>-1.1658563573968781</v>
      </c>
      <c r="H303" s="1">
        <v>-9.8988667305212316E-2</v>
      </c>
      <c r="I303" s="1">
        <v>0.15847140017407643</v>
      </c>
      <c r="J303" s="1">
        <v>0.34009869697037654</v>
      </c>
      <c r="K303" s="1">
        <v>-1.2240982618065768</v>
      </c>
      <c r="L303" s="1">
        <v>4.2592138938400085E-3</v>
      </c>
      <c r="M303" s="1">
        <v>6</v>
      </c>
      <c r="N303" s="1">
        <v>0</v>
      </c>
      <c r="O303" s="1">
        <v>0</v>
      </c>
      <c r="P303" s="1">
        <v>0</v>
      </c>
      <c r="Q303" s="1" t="str">
        <f t="shared" si="52"/>
        <v>Expansion</v>
      </c>
      <c r="R303" s="2">
        <f t="shared" si="53"/>
        <v>43890</v>
      </c>
      <c r="S303" s="1">
        <f>VLOOKUP(R303,BB!$A$3:$C$62769, 2, 1)</f>
        <v>1.1486000000000001</v>
      </c>
      <c r="T303" s="1">
        <f t="shared" si="54"/>
        <v>0.52659999999999996</v>
      </c>
      <c r="U303" s="1">
        <f>VLOOKUP(R303,BB!$A$3:$D$6771, 4, 1)</f>
        <v>1.6752</v>
      </c>
      <c r="V303" s="1">
        <f t="shared" si="61"/>
        <v>-0.35819999999999985</v>
      </c>
      <c r="W303" s="1">
        <f t="shared" si="62"/>
        <v>3.379999999999983E-2</v>
      </c>
      <c r="X303" s="1">
        <f t="shared" si="59"/>
        <v>1.5067999999999999</v>
      </c>
      <c r="Y303" s="1">
        <f t="shared" si="60"/>
        <v>0.49280000000000013</v>
      </c>
      <c r="Z303" s="1" t="str">
        <f t="shared" si="51"/>
        <v>Expansion</v>
      </c>
      <c r="AL303" s="1">
        <v>10</v>
      </c>
      <c r="AM303" s="1">
        <v>0</v>
      </c>
      <c r="AN303" s="1">
        <v>0</v>
      </c>
      <c r="AO303" s="1">
        <v>0</v>
      </c>
      <c r="AP303" s="1">
        <f t="shared" si="55"/>
        <v>6</v>
      </c>
      <c r="AQ303" s="1">
        <f t="shared" si="56"/>
        <v>0</v>
      </c>
      <c r="AR303" s="1">
        <f t="shared" si="57"/>
        <v>0</v>
      </c>
      <c r="AS303" s="1">
        <f t="shared" si="58"/>
        <v>0</v>
      </c>
    </row>
    <row r="304" spans="1:45" x14ac:dyDescent="0.2">
      <c r="A304" s="2">
        <v>43891</v>
      </c>
      <c r="B304" s="1">
        <v>-2.2087496756571974</v>
      </c>
      <c r="C304" s="1">
        <v>0.97937613866928208</v>
      </c>
      <c r="D304" s="1">
        <v>-1.1928939755477701</v>
      </c>
      <c r="E304" s="1">
        <v>0.84382467493295066</v>
      </c>
      <c r="F304" s="1">
        <v>-0.69170871987620863</v>
      </c>
      <c r="G304" s="1">
        <v>-1.4173595947180222</v>
      </c>
      <c r="H304" s="1">
        <v>-0.23758333799760145</v>
      </c>
      <c r="I304" s="1">
        <v>0.30415719026002447</v>
      </c>
      <c r="J304" s="1">
        <v>1.5790247955211299E-2</v>
      </c>
      <c r="K304" s="1">
        <v>-0.45037644370928825</v>
      </c>
      <c r="L304" s="1">
        <v>-0.40555234956886188</v>
      </c>
      <c r="M304" s="1">
        <v>0</v>
      </c>
      <c r="N304" s="1">
        <v>0</v>
      </c>
      <c r="O304" s="1">
        <v>6</v>
      </c>
      <c r="P304" s="1">
        <v>0</v>
      </c>
      <c r="Q304" s="1" t="str">
        <f t="shared" si="52"/>
        <v>Repair</v>
      </c>
      <c r="R304" s="2">
        <f t="shared" si="53"/>
        <v>43921</v>
      </c>
      <c r="S304" s="1">
        <f>VLOOKUP(R304,BB!$A$3:$C$62769, 2, 1)</f>
        <v>0.66949999999999998</v>
      </c>
      <c r="T304" s="1">
        <f t="shared" si="54"/>
        <v>0.65189999999999992</v>
      </c>
      <c r="U304" s="1">
        <f>VLOOKUP(R304,BB!$A$3:$D$6771, 4, 1)</f>
        <v>1.3213999999999999</v>
      </c>
      <c r="V304" s="1" t="str">
        <f t="shared" si="61"/>
        <v/>
      </c>
      <c r="W304" s="1" t="str">
        <f t="shared" si="62"/>
        <v/>
      </c>
      <c r="X304" s="1">
        <f t="shared" si="59"/>
        <v>1.1486000000000001</v>
      </c>
      <c r="Y304" s="1">
        <f t="shared" si="60"/>
        <v>0.52659999999999996</v>
      </c>
      <c r="Z304" s="1" t="str">
        <f t="shared" si="51"/>
        <v/>
      </c>
      <c r="AL304" s="1">
        <v>0</v>
      </c>
      <c r="AM304" s="1">
        <v>0</v>
      </c>
      <c r="AN304" s="1">
        <v>10</v>
      </c>
      <c r="AO304" s="1">
        <v>0</v>
      </c>
      <c r="AP304" s="1">
        <f t="shared" si="55"/>
        <v>0</v>
      </c>
      <c r="AQ304" s="1">
        <f t="shared" si="56"/>
        <v>0</v>
      </c>
      <c r="AR304" s="1">
        <f t="shared" si="57"/>
        <v>6</v>
      </c>
      <c r="AS304" s="1">
        <f t="shared" si="58"/>
        <v>0</v>
      </c>
    </row>
    <row r="305" spans="1:45" x14ac:dyDescent="0.2">
      <c r="A305" s="2">
        <v>43922</v>
      </c>
      <c r="B305" s="1">
        <v>-23.358881078585227</v>
      </c>
      <c r="C305" s="1">
        <v>-0.22897231130848059</v>
      </c>
      <c r="D305" s="1">
        <v>-1.152437244699219</v>
      </c>
      <c r="E305" s="1">
        <v>-4.2467622281422894</v>
      </c>
      <c r="F305" s="1">
        <v>1.7056407291821341</v>
      </c>
      <c r="G305" s="1">
        <v>-3.4533434357045802</v>
      </c>
      <c r="H305" s="1">
        <v>-0.64217548182102457</v>
      </c>
      <c r="I305" s="1">
        <v>0.24099737242883779</v>
      </c>
      <c r="J305" s="1">
        <v>-1.6050386082917734</v>
      </c>
      <c r="K305" s="1">
        <v>-0.7892383982626332</v>
      </c>
      <c r="L305" s="1">
        <v>-3.3530210685204258</v>
      </c>
      <c r="M305" s="1">
        <v>0</v>
      </c>
      <c r="N305" s="1">
        <v>0</v>
      </c>
      <c r="O305" s="1">
        <v>6</v>
      </c>
      <c r="P305" s="1">
        <v>0</v>
      </c>
      <c r="Q305" s="1" t="str">
        <f t="shared" si="52"/>
        <v>Repair</v>
      </c>
      <c r="R305" s="2">
        <f t="shared" si="53"/>
        <v>43951</v>
      </c>
      <c r="S305" s="1">
        <f>VLOOKUP(R305,BB!$A$3:$C$62769, 2, 1)</f>
        <v>0.63929999999999998</v>
      </c>
      <c r="T305" s="1">
        <f t="shared" si="54"/>
        <v>0.64549999999999996</v>
      </c>
      <c r="U305" s="1">
        <f>VLOOKUP(R305,BB!$A$3:$D$6771, 4, 1)</f>
        <v>1.2847999999999999</v>
      </c>
      <c r="V305" s="1" t="str">
        <f t="shared" si="61"/>
        <v/>
      </c>
      <c r="W305" s="1" t="str">
        <f t="shared" si="62"/>
        <v/>
      </c>
      <c r="X305" s="1">
        <f t="shared" si="59"/>
        <v>1.1486000000000001</v>
      </c>
      <c r="Y305" s="1">
        <f t="shared" si="60"/>
        <v>0.52659999999999996</v>
      </c>
      <c r="Z305" s="1" t="str">
        <f t="shared" si="51"/>
        <v/>
      </c>
      <c r="AL305" s="1">
        <v>0</v>
      </c>
      <c r="AM305" s="1">
        <v>0</v>
      </c>
      <c r="AN305" s="1">
        <v>10</v>
      </c>
      <c r="AO305" s="1">
        <v>0</v>
      </c>
      <c r="AP305" s="1">
        <f t="shared" si="55"/>
        <v>0</v>
      </c>
      <c r="AQ305" s="1">
        <f t="shared" si="56"/>
        <v>0</v>
      </c>
      <c r="AR305" s="1">
        <f t="shared" si="57"/>
        <v>6</v>
      </c>
      <c r="AS305" s="1">
        <f t="shared" si="58"/>
        <v>0</v>
      </c>
    </row>
    <row r="306" spans="1:45" x14ac:dyDescent="0.2">
      <c r="A306" s="2">
        <v>43952</v>
      </c>
      <c r="B306" s="1">
        <v>-16.708337428645912</v>
      </c>
      <c r="C306" s="1">
        <v>-0.25016016956073744</v>
      </c>
      <c r="D306" s="1">
        <v>-1.074540305931176</v>
      </c>
      <c r="E306" s="1">
        <v>-3.3399199100303556</v>
      </c>
      <c r="F306" s="1">
        <v>2.9205207654094814</v>
      </c>
      <c r="G306" s="1">
        <v>-2.8714154026472709</v>
      </c>
      <c r="H306" s="1">
        <v>-1.2052269673448182</v>
      </c>
      <c r="I306" s="1">
        <v>0.22533080584258519</v>
      </c>
      <c r="J306" s="1">
        <v>-1.5198680408709135</v>
      </c>
      <c r="K306" s="1">
        <v>-0.34167415605998608</v>
      </c>
      <c r="L306" s="1">
        <v>-2.4165290809839104</v>
      </c>
      <c r="M306" s="1">
        <v>0</v>
      </c>
      <c r="N306" s="1">
        <v>0</v>
      </c>
      <c r="O306" s="1">
        <v>6</v>
      </c>
      <c r="P306" s="1">
        <v>0</v>
      </c>
      <c r="Q306" s="1" t="str">
        <f t="shared" si="52"/>
        <v>Repair</v>
      </c>
      <c r="R306" s="2">
        <f t="shared" si="53"/>
        <v>43982</v>
      </c>
      <c r="S306" s="1">
        <f>VLOOKUP(R306,BB!$A$3:$C$62769, 2, 1)</f>
        <v>0.65259999999999996</v>
      </c>
      <c r="T306" s="1">
        <f t="shared" si="54"/>
        <v>0.75380000000000014</v>
      </c>
      <c r="U306" s="1">
        <f>VLOOKUP(R306,BB!$A$3:$D$6771, 4, 1)</f>
        <v>1.4064000000000001</v>
      </c>
      <c r="V306" s="1">
        <f t="shared" si="61"/>
        <v>-0.49600000000000011</v>
      </c>
      <c r="W306" s="1">
        <f t="shared" si="62"/>
        <v>0.22720000000000018</v>
      </c>
      <c r="X306" s="1">
        <f t="shared" si="59"/>
        <v>1.1486000000000001</v>
      </c>
      <c r="Y306" s="1">
        <f t="shared" si="60"/>
        <v>0.52659999999999996</v>
      </c>
      <c r="Z306" s="1" t="str">
        <f t="shared" si="51"/>
        <v>Repair</v>
      </c>
      <c r="AL306" s="1">
        <v>0</v>
      </c>
      <c r="AM306" s="1">
        <v>0</v>
      </c>
      <c r="AN306" s="1">
        <v>10</v>
      </c>
      <c r="AO306" s="1">
        <v>0</v>
      </c>
      <c r="AP306" s="1">
        <f t="shared" si="55"/>
        <v>0</v>
      </c>
      <c r="AQ306" s="1">
        <f t="shared" si="56"/>
        <v>0</v>
      </c>
      <c r="AR306" s="1">
        <f t="shared" si="57"/>
        <v>6</v>
      </c>
      <c r="AS306" s="1">
        <f t="shared" si="58"/>
        <v>0</v>
      </c>
    </row>
    <row r="307" spans="1:45" x14ac:dyDescent="0.2">
      <c r="A307" s="2">
        <v>43983</v>
      </c>
      <c r="B307" s="1">
        <v>-8.7912538036006964</v>
      </c>
      <c r="C307" s="1">
        <v>0.1608056519034366</v>
      </c>
      <c r="D307" s="1">
        <v>-1.0386703869540561</v>
      </c>
      <c r="E307" s="1">
        <v>-2.2250177642046287</v>
      </c>
      <c r="F307" s="1">
        <v>4.273649088869071</v>
      </c>
      <c r="G307" s="1">
        <v>-0.34429001374325097</v>
      </c>
      <c r="H307" s="1">
        <v>-1.71207142723748</v>
      </c>
      <c r="I307" s="1">
        <v>0.32547134874793338</v>
      </c>
      <c r="J307" s="1">
        <v>-1.2026880302801848</v>
      </c>
      <c r="K307" s="1">
        <v>-6.4505191153146874E-2</v>
      </c>
      <c r="L307" s="1">
        <v>-1.0618570527653</v>
      </c>
      <c r="M307" s="1">
        <v>0</v>
      </c>
      <c r="N307" s="1">
        <v>0</v>
      </c>
      <c r="O307" s="1">
        <v>0</v>
      </c>
      <c r="P307" s="1">
        <v>6</v>
      </c>
      <c r="Q307" s="1" t="str">
        <f t="shared" si="52"/>
        <v>Recovery</v>
      </c>
      <c r="R307" s="2">
        <f t="shared" si="53"/>
        <v>44012</v>
      </c>
      <c r="S307" s="1">
        <f>VLOOKUP(R307,BB!$A$3:$C$62769, 2, 1)</f>
        <v>0.65610000000000002</v>
      </c>
      <c r="T307" s="1">
        <f t="shared" si="54"/>
        <v>0.75460000000000005</v>
      </c>
      <c r="U307" s="1">
        <f>VLOOKUP(R307,BB!$A$3:$D$6771, 4, 1)</f>
        <v>1.4107000000000001</v>
      </c>
      <c r="V307" s="1" t="str">
        <f t="shared" si="61"/>
        <v/>
      </c>
      <c r="W307" s="1" t="str">
        <f t="shared" si="62"/>
        <v/>
      </c>
      <c r="X307" s="1">
        <f t="shared" si="59"/>
        <v>0.65259999999999996</v>
      </c>
      <c r="Y307" s="1">
        <f t="shared" si="60"/>
        <v>0.75380000000000014</v>
      </c>
      <c r="Z307" s="1" t="str">
        <f t="shared" si="51"/>
        <v/>
      </c>
      <c r="AL307" s="1">
        <v>0</v>
      </c>
      <c r="AM307" s="1">
        <v>0</v>
      </c>
      <c r="AN307" s="1">
        <v>0</v>
      </c>
      <c r="AO307" s="1">
        <v>10</v>
      </c>
      <c r="AP307" s="1">
        <f t="shared" si="55"/>
        <v>0</v>
      </c>
      <c r="AQ307" s="1">
        <f t="shared" si="56"/>
        <v>0</v>
      </c>
      <c r="AR307" s="1">
        <f t="shared" si="57"/>
        <v>0</v>
      </c>
      <c r="AS307" s="1">
        <f t="shared" si="58"/>
        <v>6</v>
      </c>
    </row>
    <row r="308" spans="1:45" x14ac:dyDescent="0.2">
      <c r="A308" s="2">
        <v>44013</v>
      </c>
      <c r="B308" s="1">
        <v>-3.4333961848507846</v>
      </c>
      <c r="C308" s="1">
        <v>-5.3942658853426917E-2</v>
      </c>
      <c r="D308" s="1">
        <v>-1.1307489107765458</v>
      </c>
      <c r="E308" s="1">
        <v>-1.7939641377487896</v>
      </c>
      <c r="F308" s="1">
        <v>2.9215120953243523</v>
      </c>
      <c r="G308" s="1">
        <v>7.147372283485709E-2</v>
      </c>
      <c r="H308" s="1">
        <v>-1.9661598770229287</v>
      </c>
      <c r="I308" s="1">
        <v>0.26415775353028742</v>
      </c>
      <c r="J308" s="1">
        <v>-9.2558970789738005E-3</v>
      </c>
      <c r="K308" s="1">
        <v>-0.39505938151369047</v>
      </c>
      <c r="L308" s="1">
        <v>-0.55253834761556442</v>
      </c>
      <c r="M308" s="1">
        <v>0</v>
      </c>
      <c r="N308" s="1">
        <v>0</v>
      </c>
      <c r="O308" s="1">
        <v>0</v>
      </c>
      <c r="P308" s="1">
        <v>6</v>
      </c>
      <c r="Q308" s="1" t="str">
        <f t="shared" si="52"/>
        <v>Recovery</v>
      </c>
      <c r="R308" s="2">
        <f t="shared" si="53"/>
        <v>44043</v>
      </c>
      <c r="S308" s="1">
        <f>VLOOKUP(R308,BB!$A$3:$C$62769, 2, 1)</f>
        <v>0.5282</v>
      </c>
      <c r="T308" s="1">
        <f t="shared" si="54"/>
        <v>0.66429999999999989</v>
      </c>
      <c r="U308" s="1">
        <f>VLOOKUP(R308,BB!$A$3:$D$6771, 4, 1)</f>
        <v>1.1924999999999999</v>
      </c>
      <c r="V308" s="1" t="str">
        <f t="shared" si="61"/>
        <v/>
      </c>
      <c r="W308" s="1" t="str">
        <f t="shared" si="62"/>
        <v/>
      </c>
      <c r="X308" s="1">
        <f t="shared" si="59"/>
        <v>0.65259999999999996</v>
      </c>
      <c r="Y308" s="1">
        <f t="shared" si="60"/>
        <v>0.75380000000000014</v>
      </c>
      <c r="Z308" s="1" t="str">
        <f t="shared" si="51"/>
        <v/>
      </c>
      <c r="AL308" s="1">
        <v>0</v>
      </c>
      <c r="AM308" s="1">
        <v>0</v>
      </c>
      <c r="AN308" s="1">
        <v>0</v>
      </c>
      <c r="AO308" s="1">
        <v>10</v>
      </c>
      <c r="AP308" s="1">
        <f t="shared" si="55"/>
        <v>0</v>
      </c>
      <c r="AQ308" s="1">
        <f t="shared" si="56"/>
        <v>0</v>
      </c>
      <c r="AR308" s="1">
        <f t="shared" si="57"/>
        <v>0</v>
      </c>
      <c r="AS308" s="1">
        <f t="shared" si="58"/>
        <v>6</v>
      </c>
    </row>
    <row r="309" spans="1:45" x14ac:dyDescent="0.2">
      <c r="A309" s="2">
        <v>44044</v>
      </c>
      <c r="B309" s="1">
        <v>-2.1873226139337589</v>
      </c>
      <c r="C309" s="1">
        <v>-0.35785383709701113</v>
      </c>
      <c r="D309" s="1">
        <v>-0.91857718434386271</v>
      </c>
      <c r="E309" s="1">
        <v>-0.9862089354351673</v>
      </c>
      <c r="F309" s="1">
        <v>2.0050209888759007</v>
      </c>
      <c r="G309" s="1">
        <v>0.53406873735896143</v>
      </c>
      <c r="H309" s="1">
        <v>-2.1890530435191944</v>
      </c>
      <c r="I309" s="1">
        <v>0.43307326841339144</v>
      </c>
      <c r="J309" s="1">
        <v>0.40532335985487594</v>
      </c>
      <c r="K309" s="1">
        <v>-0.36003930469721734</v>
      </c>
      <c r="L309" s="1">
        <v>-0.36215685645230822</v>
      </c>
      <c r="M309" s="1">
        <v>0</v>
      </c>
      <c r="N309" s="1">
        <v>0</v>
      </c>
      <c r="O309" s="1">
        <v>0</v>
      </c>
      <c r="P309" s="1">
        <v>6</v>
      </c>
      <c r="Q309" s="1" t="str">
        <f t="shared" si="52"/>
        <v>Recovery</v>
      </c>
      <c r="R309" s="2">
        <f t="shared" si="53"/>
        <v>44074</v>
      </c>
      <c r="S309" s="1">
        <f>VLOOKUP(R309,BB!$A$3:$C$62769, 2, 1)</f>
        <v>0.70479999999999998</v>
      </c>
      <c r="T309" s="1">
        <f t="shared" si="54"/>
        <v>0.76989999999999992</v>
      </c>
      <c r="U309" s="1">
        <f>VLOOKUP(R309,BB!$A$3:$D$6771, 4, 1)</f>
        <v>1.4746999999999999</v>
      </c>
      <c r="V309" s="1" t="str">
        <f t="shared" si="61"/>
        <v/>
      </c>
      <c r="W309" s="1" t="str">
        <f t="shared" si="62"/>
        <v/>
      </c>
      <c r="X309" s="1">
        <f t="shared" si="59"/>
        <v>0.65259999999999996</v>
      </c>
      <c r="Y309" s="1">
        <f t="shared" si="60"/>
        <v>0.75380000000000014</v>
      </c>
      <c r="Z309" s="1" t="str">
        <f t="shared" si="51"/>
        <v/>
      </c>
      <c r="AL309" s="1">
        <v>0</v>
      </c>
      <c r="AM309" s="1">
        <v>0</v>
      </c>
      <c r="AN309" s="1">
        <v>0</v>
      </c>
      <c r="AO309" s="1">
        <v>10</v>
      </c>
      <c r="AP309" s="1">
        <f t="shared" si="55"/>
        <v>0</v>
      </c>
      <c r="AQ309" s="1">
        <f t="shared" si="56"/>
        <v>0</v>
      </c>
      <c r="AR309" s="1">
        <f t="shared" si="57"/>
        <v>0</v>
      </c>
      <c r="AS309" s="1">
        <f t="shared" si="58"/>
        <v>6</v>
      </c>
    </row>
    <row r="310" spans="1:45" x14ac:dyDescent="0.2">
      <c r="A310" s="2">
        <v>44075</v>
      </c>
      <c r="B310" s="1">
        <v>-1.6362139825247195</v>
      </c>
      <c r="C310" s="1">
        <v>0.26747267123993851</v>
      </c>
      <c r="D310" s="1">
        <v>-0.92511364715832933</v>
      </c>
      <c r="E310" s="1">
        <v>-0.77344931691742058</v>
      </c>
      <c r="F310" s="1">
        <v>1.4906849035318608</v>
      </c>
      <c r="G310" s="1">
        <v>0.38158801337687043</v>
      </c>
      <c r="H310" s="1">
        <v>-2.4393398417526839</v>
      </c>
      <c r="I310" s="1">
        <v>0.47219685224940505</v>
      </c>
      <c r="J310" s="1">
        <v>0.87469247330606803</v>
      </c>
      <c r="K310" s="1">
        <v>-0.496379175894052</v>
      </c>
      <c r="L310" s="1">
        <v>-0.27838610505430622</v>
      </c>
      <c r="M310" s="1">
        <v>0</v>
      </c>
      <c r="N310" s="1">
        <v>0</v>
      </c>
      <c r="O310" s="1">
        <v>0</v>
      </c>
      <c r="P310" s="1">
        <v>6</v>
      </c>
      <c r="Q310" s="1" t="str">
        <f t="shared" si="52"/>
        <v>Recovery</v>
      </c>
      <c r="R310" s="2">
        <f t="shared" si="53"/>
        <v>44104</v>
      </c>
      <c r="S310" s="1">
        <f>VLOOKUP(R310,BB!$A$3:$C$62769, 2, 1)</f>
        <v>0.68400000000000005</v>
      </c>
      <c r="T310" s="1">
        <f t="shared" si="54"/>
        <v>0.7712</v>
      </c>
      <c r="U310" s="1">
        <f>VLOOKUP(R310,BB!$A$3:$D$6771, 4, 1)</f>
        <v>1.4552</v>
      </c>
      <c r="V310" s="1">
        <f t="shared" si="61"/>
        <v>3.1400000000000095E-2</v>
      </c>
      <c r="W310" s="1">
        <f t="shared" si="62"/>
        <v>1.739999999999986E-2</v>
      </c>
      <c r="X310" s="1">
        <f t="shared" si="59"/>
        <v>0.65259999999999996</v>
      </c>
      <c r="Y310" s="1">
        <f t="shared" si="60"/>
        <v>0.75380000000000014</v>
      </c>
      <c r="Z310" s="1" t="str">
        <f t="shared" si="51"/>
        <v>Recovery</v>
      </c>
      <c r="AL310" s="1">
        <v>0</v>
      </c>
      <c r="AM310" s="1">
        <v>0</v>
      </c>
      <c r="AN310" s="1">
        <v>0</v>
      </c>
      <c r="AO310" s="1">
        <v>10</v>
      </c>
      <c r="AP310" s="1">
        <f t="shared" si="55"/>
        <v>0</v>
      </c>
      <c r="AQ310" s="1">
        <f t="shared" si="56"/>
        <v>0</v>
      </c>
      <c r="AR310" s="1">
        <f t="shared" si="57"/>
        <v>0</v>
      </c>
      <c r="AS310" s="1">
        <f t="shared" si="58"/>
        <v>6</v>
      </c>
    </row>
    <row r="311" spans="1:45" x14ac:dyDescent="0.2">
      <c r="A311" s="2">
        <v>44105</v>
      </c>
      <c r="B311" s="1">
        <v>-1.1458560819767756</v>
      </c>
      <c r="C311" s="1">
        <v>0.21974839419201403</v>
      </c>
      <c r="D311" s="1">
        <v>-0.69832775894565779</v>
      </c>
      <c r="E311" s="1">
        <v>-0.33666869080637229</v>
      </c>
      <c r="F311" s="1">
        <v>0.73457373908661039</v>
      </c>
      <c r="G311" s="1">
        <v>1.3752703741907291</v>
      </c>
      <c r="H311" s="1">
        <v>-2.7197081356359853</v>
      </c>
      <c r="I311" s="1">
        <v>0.3361421928063823</v>
      </c>
      <c r="J311" s="1">
        <v>2.6129719188021525</v>
      </c>
      <c r="K311" s="1">
        <v>-0.26305328154131269</v>
      </c>
      <c r="L311" s="1">
        <v>1.1509267017178448E-2</v>
      </c>
      <c r="M311" s="1">
        <v>6</v>
      </c>
      <c r="N311" s="1">
        <v>0</v>
      </c>
      <c r="O311" s="1">
        <v>0</v>
      </c>
      <c r="P311" s="1">
        <v>0</v>
      </c>
      <c r="Q311" s="1" t="str">
        <f t="shared" si="52"/>
        <v>Expansion</v>
      </c>
      <c r="R311" s="2">
        <f t="shared" si="53"/>
        <v>44135</v>
      </c>
      <c r="S311" s="1">
        <f>VLOOKUP(R311,BB!$A$3:$C$62769, 2, 1)</f>
        <v>0.87370000000000003</v>
      </c>
      <c r="T311" s="1">
        <f t="shared" si="54"/>
        <v>0.78609999999999991</v>
      </c>
      <c r="U311" s="1">
        <f>VLOOKUP(R311,BB!$A$3:$D$6771, 4, 1)</f>
        <v>1.6597999999999999</v>
      </c>
      <c r="V311" s="1">
        <f t="shared" si="61"/>
        <v>0.18969999999999998</v>
      </c>
      <c r="W311" s="1">
        <f t="shared" si="62"/>
        <v>1.4899999999999913E-2</v>
      </c>
      <c r="X311" s="1">
        <f t="shared" si="59"/>
        <v>0.68400000000000005</v>
      </c>
      <c r="Y311" s="1">
        <f t="shared" si="60"/>
        <v>0.7712</v>
      </c>
      <c r="Z311" s="1" t="str">
        <f t="shared" si="51"/>
        <v>Expansion</v>
      </c>
      <c r="AL311" s="1">
        <v>10</v>
      </c>
      <c r="AM311" s="1">
        <v>0</v>
      </c>
      <c r="AN311" s="1">
        <v>0</v>
      </c>
      <c r="AO311" s="1">
        <v>0</v>
      </c>
      <c r="AP311" s="1">
        <f t="shared" si="55"/>
        <v>6</v>
      </c>
      <c r="AQ311" s="1">
        <f t="shared" si="56"/>
        <v>0</v>
      </c>
      <c r="AR311" s="1">
        <f t="shared" si="57"/>
        <v>0</v>
      </c>
      <c r="AS311" s="1">
        <f t="shared" si="58"/>
        <v>0</v>
      </c>
    </row>
    <row r="312" spans="1:45" x14ac:dyDescent="0.2">
      <c r="A312" s="2">
        <v>44136</v>
      </c>
      <c r="B312" s="1">
        <v>-0.90878515702463092</v>
      </c>
      <c r="C312" s="1">
        <v>2.1371751169987869E-2</v>
      </c>
      <c r="D312" s="1">
        <v>-0.72510601993393264</v>
      </c>
      <c r="E312" s="1">
        <v>-0.25950753544743838</v>
      </c>
      <c r="F312" s="1">
        <v>0.40380780720091691</v>
      </c>
      <c r="G312" s="1">
        <v>0.90550280535983918</v>
      </c>
      <c r="H312" s="1">
        <v>-2.8729310919014925</v>
      </c>
      <c r="I312" s="1">
        <v>0.29300336223169737</v>
      </c>
      <c r="J312" s="1">
        <v>1.0552720239303397</v>
      </c>
      <c r="K312" s="1">
        <v>4.1493654800041031E-2</v>
      </c>
      <c r="L312" s="1">
        <v>-0.20458783996146729</v>
      </c>
      <c r="M312" s="1">
        <v>0</v>
      </c>
      <c r="N312" s="1">
        <v>0</v>
      </c>
      <c r="O312" s="1">
        <v>6</v>
      </c>
      <c r="P312" s="1">
        <v>0</v>
      </c>
      <c r="Q312" s="1" t="str">
        <f t="shared" si="52"/>
        <v>Repair</v>
      </c>
      <c r="R312" s="2">
        <f t="shared" si="53"/>
        <v>44165</v>
      </c>
      <c r="S312" s="1">
        <f>VLOOKUP(R312,BB!$A$3:$C$62769, 2, 1)</f>
        <v>0.83889999999999998</v>
      </c>
      <c r="T312" s="1">
        <f t="shared" si="54"/>
        <v>0.72839999999999994</v>
      </c>
      <c r="U312" s="1">
        <f>VLOOKUP(R312,BB!$A$3:$D$6771, 4, 1)</f>
        <v>1.5672999999999999</v>
      </c>
      <c r="V312" s="1">
        <f t="shared" si="61"/>
        <v>-3.4800000000000053E-2</v>
      </c>
      <c r="W312" s="1">
        <f t="shared" si="62"/>
        <v>-5.7699999999999974E-2</v>
      </c>
      <c r="X312" s="1">
        <f t="shared" si="59"/>
        <v>0.87370000000000003</v>
      </c>
      <c r="Y312" s="1">
        <f t="shared" si="60"/>
        <v>0.78609999999999991</v>
      </c>
      <c r="Z312" s="1" t="str">
        <f t="shared" si="51"/>
        <v>Repair</v>
      </c>
      <c r="AL312" s="1">
        <v>0</v>
      </c>
      <c r="AM312" s="1">
        <v>0</v>
      </c>
      <c r="AN312" s="1">
        <v>10</v>
      </c>
      <c r="AO312" s="1">
        <v>0</v>
      </c>
      <c r="AP312" s="1">
        <f t="shared" si="55"/>
        <v>0</v>
      </c>
      <c r="AQ312" s="1">
        <f t="shared" si="56"/>
        <v>0</v>
      </c>
      <c r="AR312" s="1">
        <f t="shared" si="57"/>
        <v>6</v>
      </c>
      <c r="AS312" s="1">
        <f t="shared" si="58"/>
        <v>0</v>
      </c>
    </row>
    <row r="313" spans="1:45" x14ac:dyDescent="0.2">
      <c r="A313" s="2">
        <v>44166</v>
      </c>
      <c r="B313" s="1">
        <v>-0.84983151644356314</v>
      </c>
      <c r="C313" s="1">
        <v>-0.28399485028274951</v>
      </c>
      <c r="D313" s="1">
        <v>-0.57937311788716894</v>
      </c>
      <c r="E313" s="1">
        <v>-0.274371681936734</v>
      </c>
      <c r="F313" s="1">
        <v>0.13436441888567313</v>
      </c>
      <c r="G313" s="1">
        <v>1.713791683323346</v>
      </c>
      <c r="H313" s="1">
        <v>-3.0838175180975251</v>
      </c>
      <c r="I313" s="1">
        <v>0.39108271464296951</v>
      </c>
      <c r="J313" s="1">
        <v>2.0687458643109982</v>
      </c>
      <c r="K313" s="1">
        <v>0.45687363841313505</v>
      </c>
      <c r="L313" s="1">
        <v>-3.0653036507161873E-2</v>
      </c>
      <c r="M313" s="1">
        <v>0</v>
      </c>
      <c r="N313" s="1">
        <v>0</v>
      </c>
      <c r="O313" s="1">
        <v>0</v>
      </c>
      <c r="P313" s="1">
        <v>6</v>
      </c>
      <c r="Q313" s="1" t="str">
        <f t="shared" si="52"/>
        <v>Recovery</v>
      </c>
      <c r="R313" s="2">
        <f t="shared" si="53"/>
        <v>44196</v>
      </c>
      <c r="S313" s="1">
        <f>VLOOKUP(R313,BB!$A$3:$C$62769, 2, 1)</f>
        <v>0.91320000000000001</v>
      </c>
      <c r="T313" s="1">
        <f t="shared" si="54"/>
        <v>0.73170000000000002</v>
      </c>
      <c r="U313" s="1">
        <f>VLOOKUP(R313,BB!$A$3:$D$6771, 4, 1)</f>
        <v>1.6449</v>
      </c>
      <c r="V313" s="1" t="str">
        <f t="shared" si="61"/>
        <v/>
      </c>
      <c r="W313" s="1" t="str">
        <f t="shared" si="62"/>
        <v/>
      </c>
      <c r="X313" s="1">
        <f t="shared" si="59"/>
        <v>0.83889999999999998</v>
      </c>
      <c r="Y313" s="1">
        <f t="shared" si="60"/>
        <v>0.72839999999999994</v>
      </c>
      <c r="Z313" s="1" t="str">
        <f t="shared" si="51"/>
        <v/>
      </c>
      <c r="AL313" s="1">
        <v>0</v>
      </c>
      <c r="AM313" s="1">
        <v>0</v>
      </c>
      <c r="AN313" s="1">
        <v>0</v>
      </c>
      <c r="AO313" s="1">
        <v>10</v>
      </c>
      <c r="AP313" s="1">
        <f t="shared" si="55"/>
        <v>0</v>
      </c>
      <c r="AQ313" s="1">
        <f t="shared" si="56"/>
        <v>0</v>
      </c>
      <c r="AR313" s="1">
        <f t="shared" si="57"/>
        <v>0</v>
      </c>
      <c r="AS313" s="1">
        <f t="shared" si="58"/>
        <v>6</v>
      </c>
    </row>
    <row r="314" spans="1:45" x14ac:dyDescent="0.2">
      <c r="A314" s="2">
        <v>44197</v>
      </c>
      <c r="B314" s="1">
        <v>-0.87529082639175027</v>
      </c>
      <c r="C314" s="1">
        <v>-0.27165846381323899</v>
      </c>
      <c r="D314" s="1">
        <v>-0.34991564236207107</v>
      </c>
      <c r="E314" s="1">
        <v>-0.10222554750163235</v>
      </c>
      <c r="F314" s="1">
        <v>1.7479957302148046</v>
      </c>
      <c r="G314" s="1">
        <v>1.1871868671525512</v>
      </c>
      <c r="H314" s="1">
        <v>-3.1604708015159879</v>
      </c>
      <c r="I314" s="1">
        <v>0.37956643600167189</v>
      </c>
      <c r="J314" s="1">
        <v>0.61481727537715358</v>
      </c>
      <c r="K314" s="1">
        <v>0.40504658443697361</v>
      </c>
      <c r="L314" s="1">
        <v>-4.2494838840152552E-2</v>
      </c>
      <c r="M314" s="1">
        <v>0</v>
      </c>
      <c r="N314" s="1">
        <v>0</v>
      </c>
      <c r="O314" s="1">
        <v>0</v>
      </c>
      <c r="P314" s="1">
        <v>6</v>
      </c>
      <c r="Q314" s="1" t="str">
        <f t="shared" si="52"/>
        <v>Recovery</v>
      </c>
      <c r="R314" s="2">
        <f t="shared" si="53"/>
        <v>44227</v>
      </c>
      <c r="S314" s="1">
        <f>VLOOKUP(R314,BB!$A$3:$C$62769, 2, 1)</f>
        <v>1.0654999999999999</v>
      </c>
      <c r="T314" s="1">
        <f t="shared" si="54"/>
        <v>0.76360000000000006</v>
      </c>
      <c r="U314" s="1">
        <f>VLOOKUP(R314,BB!$A$3:$D$6771, 4, 1)</f>
        <v>1.8290999999999999</v>
      </c>
      <c r="V314" s="1">
        <f t="shared" si="61"/>
        <v>0.22659999999999991</v>
      </c>
      <c r="W314" s="1">
        <f t="shared" si="62"/>
        <v>3.520000000000012E-2</v>
      </c>
      <c r="X314" s="1">
        <f t="shared" si="59"/>
        <v>0.83889999999999998</v>
      </c>
      <c r="Y314" s="1">
        <f t="shared" si="60"/>
        <v>0.72839999999999994</v>
      </c>
      <c r="Z314" s="1" t="str">
        <f t="shared" si="51"/>
        <v>Recovery</v>
      </c>
      <c r="AL314" s="1">
        <v>0</v>
      </c>
      <c r="AM314" s="1">
        <v>0</v>
      </c>
      <c r="AN314" s="1">
        <v>0</v>
      </c>
      <c r="AO314" s="1">
        <v>10</v>
      </c>
      <c r="AP314" s="1">
        <f t="shared" si="55"/>
        <v>0</v>
      </c>
      <c r="AQ314" s="1">
        <f t="shared" si="56"/>
        <v>0</v>
      </c>
      <c r="AR314" s="1">
        <f t="shared" si="57"/>
        <v>0</v>
      </c>
      <c r="AS314" s="1">
        <f t="shared" si="58"/>
        <v>6</v>
      </c>
    </row>
    <row r="315" spans="1:45" x14ac:dyDescent="0.2">
      <c r="A315" s="2">
        <v>44228</v>
      </c>
      <c r="B315" s="1">
        <v>-0.90746349957100736</v>
      </c>
      <c r="C315" s="1">
        <v>-0.2039285330397555</v>
      </c>
      <c r="D315" s="1">
        <v>9.7221483367530212E-2</v>
      </c>
      <c r="E315" s="1">
        <v>-6.6866493092640727E-2</v>
      </c>
      <c r="F315" s="1">
        <v>1.9154745864709051</v>
      </c>
      <c r="G315" s="1">
        <v>1.7302148318274526</v>
      </c>
      <c r="H315" s="1">
        <v>-3.1324534828548694</v>
      </c>
      <c r="I315" s="1">
        <v>1.0110903447505319</v>
      </c>
      <c r="J315" s="1">
        <v>0.87919882576334851</v>
      </c>
      <c r="K315" s="1">
        <v>-7.5547879503246276E-2</v>
      </c>
      <c r="L315" s="1">
        <v>0.12469401841182488</v>
      </c>
      <c r="M315" s="1">
        <v>0</v>
      </c>
      <c r="N315" s="1">
        <v>6</v>
      </c>
      <c r="O315" s="1">
        <v>0</v>
      </c>
      <c r="P315" s="1">
        <v>0</v>
      </c>
      <c r="Q315" s="1" t="str">
        <f t="shared" si="52"/>
        <v>Downturn</v>
      </c>
      <c r="R315" s="2">
        <f t="shared" si="53"/>
        <v>44255</v>
      </c>
      <c r="S315" s="1">
        <f>VLOOKUP(R315,BB!$A$3:$C$62769, 2, 1)</f>
        <v>1.4049</v>
      </c>
      <c r="T315" s="1">
        <f t="shared" si="54"/>
        <v>0.74639999999999995</v>
      </c>
      <c r="U315" s="1">
        <f>VLOOKUP(R315,BB!$A$3:$D$6771, 4, 1)</f>
        <v>2.1513</v>
      </c>
      <c r="V315" s="1">
        <f t="shared" si="61"/>
        <v>0.33940000000000015</v>
      </c>
      <c r="W315" s="1">
        <f t="shared" si="62"/>
        <v>-1.7200000000000104E-2</v>
      </c>
      <c r="X315" s="1">
        <f t="shared" si="59"/>
        <v>1.0654999999999999</v>
      </c>
      <c r="Y315" s="1">
        <f t="shared" si="60"/>
        <v>0.76360000000000006</v>
      </c>
      <c r="Z315" s="1" t="str">
        <f t="shared" si="51"/>
        <v>Downturn</v>
      </c>
      <c r="AL315" s="1">
        <v>0</v>
      </c>
      <c r="AM315" s="1">
        <v>10</v>
      </c>
      <c r="AN315" s="1">
        <v>0</v>
      </c>
      <c r="AO315" s="1">
        <v>0</v>
      </c>
      <c r="AP315" s="1">
        <f t="shared" si="55"/>
        <v>0</v>
      </c>
      <c r="AQ315" s="1">
        <f t="shared" si="56"/>
        <v>6</v>
      </c>
      <c r="AR315" s="1">
        <f t="shared" si="57"/>
        <v>0</v>
      </c>
      <c r="AS315" s="1">
        <f t="shared" si="58"/>
        <v>0</v>
      </c>
    </row>
    <row r="316" spans="1:45" x14ac:dyDescent="0.2">
      <c r="A316" s="2">
        <v>44256</v>
      </c>
      <c r="B316" s="1">
        <v>-0.84010610380075856</v>
      </c>
      <c r="C316" s="1">
        <v>0.52215374190452302</v>
      </c>
      <c r="D316" s="1">
        <v>0.53008054743690081</v>
      </c>
      <c r="E316" s="1">
        <v>1.6058860680453261E-2</v>
      </c>
      <c r="F316" s="1">
        <v>6.5880730189431551</v>
      </c>
      <c r="G316" s="1">
        <v>2.72368374059233</v>
      </c>
      <c r="H316" s="1">
        <v>-2.859821244145281</v>
      </c>
      <c r="I316" s="1">
        <v>1.0080573162800055</v>
      </c>
      <c r="J316" s="1">
        <v>1.8095351387016592</v>
      </c>
      <c r="K316" s="1">
        <v>-0.74100700223490579</v>
      </c>
      <c r="L316" s="1">
        <v>0.87567080143580822</v>
      </c>
      <c r="M316" s="1">
        <v>6</v>
      </c>
      <c r="N316" s="1">
        <v>0</v>
      </c>
      <c r="O316" s="1">
        <v>0</v>
      </c>
      <c r="P316" s="1">
        <v>0</v>
      </c>
      <c r="Q316" s="1" t="str">
        <f t="shared" si="52"/>
        <v>Expansion</v>
      </c>
      <c r="R316" s="2">
        <f t="shared" si="53"/>
        <v>44286</v>
      </c>
      <c r="S316" s="1">
        <f>VLOOKUP(R316,BB!$A$3:$C$62769, 2, 1)</f>
        <v>1.7403999999999999</v>
      </c>
      <c r="T316" s="1">
        <f t="shared" si="54"/>
        <v>0.67020000000000013</v>
      </c>
      <c r="U316" s="1">
        <f>VLOOKUP(R316,BB!$A$3:$D$6771, 4, 1)</f>
        <v>2.4106000000000001</v>
      </c>
      <c r="V316" s="1" t="str">
        <f t="shared" si="61"/>
        <v/>
      </c>
      <c r="W316" s="1" t="str">
        <f t="shared" si="62"/>
        <v/>
      </c>
      <c r="X316" s="1">
        <f t="shared" si="59"/>
        <v>1.4049</v>
      </c>
      <c r="Y316" s="1">
        <f t="shared" si="60"/>
        <v>0.74639999999999995</v>
      </c>
      <c r="Z316" s="1" t="str">
        <f t="shared" si="51"/>
        <v/>
      </c>
      <c r="AL316" s="1">
        <v>10</v>
      </c>
      <c r="AM316" s="1">
        <v>0</v>
      </c>
      <c r="AN316" s="1">
        <v>0</v>
      </c>
      <c r="AO316" s="1">
        <v>0</v>
      </c>
      <c r="AP316" s="1">
        <f t="shared" si="55"/>
        <v>6</v>
      </c>
      <c r="AQ316" s="1">
        <f t="shared" si="56"/>
        <v>0</v>
      </c>
      <c r="AR316" s="1">
        <f t="shared" si="57"/>
        <v>0</v>
      </c>
      <c r="AS316" s="1">
        <f t="shared" si="58"/>
        <v>0</v>
      </c>
    </row>
    <row r="317" spans="1:45" x14ac:dyDescent="0.2">
      <c r="A317" s="2">
        <v>44287</v>
      </c>
      <c r="B317" s="1">
        <v>-0.63996965490741797</v>
      </c>
      <c r="C317" s="1">
        <v>0.99172139921540647</v>
      </c>
      <c r="D317" s="1">
        <v>0.39414812555522832</v>
      </c>
      <c r="E317" s="1">
        <v>-4.2213054648213066E-2</v>
      </c>
      <c r="F317" s="1">
        <v>3.3282228350609455</v>
      </c>
      <c r="G317" s="1">
        <v>1.6745769600680778</v>
      </c>
      <c r="H317" s="1">
        <v>-2.2366477450245084</v>
      </c>
      <c r="I317" s="1">
        <v>1.1320378133478064</v>
      </c>
      <c r="J317" s="1">
        <v>2.3913460940707507</v>
      </c>
      <c r="K317" s="1">
        <v>1.5569346141378823E-2</v>
      </c>
      <c r="L317" s="1">
        <v>0.70087921188794544</v>
      </c>
      <c r="M317" s="1">
        <v>6</v>
      </c>
      <c r="N317" s="1">
        <v>0</v>
      </c>
      <c r="O317" s="1">
        <v>0</v>
      </c>
      <c r="P317" s="1">
        <v>0</v>
      </c>
      <c r="Q317" s="1" t="str">
        <f t="shared" si="52"/>
        <v>Expansion</v>
      </c>
      <c r="R317" s="2">
        <f t="shared" si="53"/>
        <v>44316</v>
      </c>
      <c r="S317" s="1">
        <f>VLOOKUP(R317,BB!$A$3:$C$62769, 2, 1)</f>
        <v>1.6258999999999999</v>
      </c>
      <c r="T317" s="1">
        <f t="shared" si="54"/>
        <v>0.67080000000000006</v>
      </c>
      <c r="U317" s="1">
        <f>VLOOKUP(R317,BB!$A$3:$D$6771, 4, 1)</f>
        <v>2.2967</v>
      </c>
      <c r="V317" s="1" t="str">
        <f t="shared" si="61"/>
        <v/>
      </c>
      <c r="W317" s="1" t="str">
        <f t="shared" si="62"/>
        <v/>
      </c>
      <c r="X317" s="1">
        <f t="shared" si="59"/>
        <v>1.4049</v>
      </c>
      <c r="Y317" s="1">
        <f t="shared" si="60"/>
        <v>0.74639999999999995</v>
      </c>
      <c r="Z317" s="1" t="str">
        <f t="shared" si="51"/>
        <v/>
      </c>
      <c r="AL317" s="1">
        <v>10</v>
      </c>
      <c r="AM317" s="1">
        <v>0</v>
      </c>
      <c r="AN317" s="1">
        <v>0</v>
      </c>
      <c r="AO317" s="1">
        <v>0</v>
      </c>
      <c r="AP317" s="1">
        <f t="shared" si="55"/>
        <v>6</v>
      </c>
      <c r="AQ317" s="1">
        <f t="shared" si="56"/>
        <v>0</v>
      </c>
      <c r="AR317" s="1">
        <f t="shared" si="57"/>
        <v>0</v>
      </c>
      <c r="AS317" s="1">
        <f t="shared" si="58"/>
        <v>0</v>
      </c>
    </row>
    <row r="318" spans="1:45" x14ac:dyDescent="0.2">
      <c r="A318" s="2">
        <v>44317</v>
      </c>
      <c r="B318" s="1">
        <v>-0.40814780037881215</v>
      </c>
      <c r="C318" s="1">
        <v>0.79447827342953448</v>
      </c>
      <c r="D318" s="1">
        <v>0.39603203600936132</v>
      </c>
      <c r="E318" s="1">
        <v>8.9129649043822659E-2</v>
      </c>
      <c r="F318" s="1">
        <v>2.6913375835085893</v>
      </c>
      <c r="G318" s="1">
        <v>1.7967038382714298</v>
      </c>
      <c r="H318" s="1">
        <v>-1.4967984841913999</v>
      </c>
      <c r="I318" s="1">
        <v>1.5324460282112948</v>
      </c>
      <c r="J318" s="1">
        <v>1.8112876711309738</v>
      </c>
      <c r="K318" s="1">
        <v>-0.29568794724033554</v>
      </c>
      <c r="L318" s="1">
        <v>0.69107808477944599</v>
      </c>
      <c r="M318" s="1">
        <v>6</v>
      </c>
      <c r="N318" s="1">
        <v>0</v>
      </c>
      <c r="O318" s="1">
        <v>0</v>
      </c>
      <c r="P318" s="1">
        <v>0</v>
      </c>
      <c r="Q318" s="1" t="str">
        <f t="shared" si="52"/>
        <v>Expansion</v>
      </c>
      <c r="R318" s="2">
        <f t="shared" si="53"/>
        <v>44347</v>
      </c>
      <c r="S318" s="1">
        <f>VLOOKUP(R318,BB!$A$3:$C$62769, 2, 1)</f>
        <v>1.5943000000000001</v>
      </c>
      <c r="T318" s="1">
        <f t="shared" si="54"/>
        <v>0.68809999999999993</v>
      </c>
      <c r="U318" s="1">
        <f>VLOOKUP(R318,BB!$A$3:$D$6771, 4, 1)</f>
        <v>2.2824</v>
      </c>
      <c r="V318" s="1" t="str">
        <f t="shared" si="61"/>
        <v/>
      </c>
      <c r="W318" s="1" t="str">
        <f t="shared" si="62"/>
        <v/>
      </c>
      <c r="X318" s="1">
        <f t="shared" si="59"/>
        <v>1.4049</v>
      </c>
      <c r="Y318" s="1">
        <f t="shared" si="60"/>
        <v>0.74639999999999995</v>
      </c>
      <c r="Z318" s="1" t="str">
        <f t="shared" si="51"/>
        <v/>
      </c>
      <c r="AL318" s="1">
        <v>10</v>
      </c>
      <c r="AM318" s="1">
        <v>0</v>
      </c>
      <c r="AN318" s="1">
        <v>0</v>
      </c>
      <c r="AO318" s="1">
        <v>0</v>
      </c>
      <c r="AP318" s="1">
        <f t="shared" si="55"/>
        <v>6</v>
      </c>
      <c r="AQ318" s="1">
        <f t="shared" si="56"/>
        <v>0</v>
      </c>
      <c r="AR318" s="1">
        <f t="shared" si="57"/>
        <v>0</v>
      </c>
      <c r="AS318" s="1">
        <f t="shared" si="58"/>
        <v>0</v>
      </c>
    </row>
    <row r="319" spans="1:45" x14ac:dyDescent="0.2">
      <c r="A319" s="2">
        <v>44348</v>
      </c>
      <c r="B319" s="1">
        <v>-0.16684958379962037</v>
      </c>
      <c r="C319" s="1">
        <v>1.1901182413451192</v>
      </c>
      <c r="D319" s="1">
        <v>7.8642701626738767E-2</v>
      </c>
      <c r="E319" s="1">
        <v>2.8518494297962063E-2</v>
      </c>
      <c r="F319" s="1">
        <v>-1.4403920804843959</v>
      </c>
      <c r="G319" s="1">
        <v>1.6099777475109565</v>
      </c>
      <c r="H319" s="1">
        <v>-0.86931282138197463</v>
      </c>
      <c r="I319" s="1">
        <v>1.7840924332731676</v>
      </c>
      <c r="J319" s="1">
        <v>1.9467949642717568</v>
      </c>
      <c r="K319" s="1">
        <v>-0.2431291043445766</v>
      </c>
      <c r="L319" s="1">
        <v>0.39184609923151331</v>
      </c>
      <c r="M319" s="1">
        <v>6</v>
      </c>
      <c r="N319" s="1">
        <v>0</v>
      </c>
      <c r="O319" s="1">
        <v>0</v>
      </c>
      <c r="P319" s="1">
        <v>0</v>
      </c>
      <c r="Q319" s="1" t="str">
        <f t="shared" si="52"/>
        <v>Expansion</v>
      </c>
      <c r="R319" s="2">
        <f t="shared" si="53"/>
        <v>44377</v>
      </c>
      <c r="S319" s="1">
        <f>VLOOKUP(R319,BB!$A$3:$C$62769, 2, 1)</f>
        <v>1.468</v>
      </c>
      <c r="T319" s="1">
        <f t="shared" si="54"/>
        <v>0.61770000000000014</v>
      </c>
      <c r="U319" s="1">
        <f>VLOOKUP(R319,BB!$A$3:$D$6771, 4, 1)</f>
        <v>2.0857000000000001</v>
      </c>
      <c r="V319" s="1" t="str">
        <f t="shared" si="61"/>
        <v/>
      </c>
      <c r="W319" s="1" t="str">
        <f t="shared" si="62"/>
        <v/>
      </c>
      <c r="X319" s="1">
        <f t="shared" si="59"/>
        <v>1.4049</v>
      </c>
      <c r="Y319" s="1">
        <f t="shared" si="60"/>
        <v>0.74639999999999995</v>
      </c>
      <c r="Z319" s="1" t="str">
        <f t="shared" ref="Z319:Z370" si="63">IF(ISNUMBER(V319)=TRUE, Q319, "")</f>
        <v/>
      </c>
      <c r="AL319" s="1">
        <v>10</v>
      </c>
      <c r="AM319" s="1">
        <v>0</v>
      </c>
      <c r="AN319" s="1">
        <v>0</v>
      </c>
      <c r="AO319" s="1">
        <v>0</v>
      </c>
      <c r="AP319" s="1">
        <f t="shared" si="55"/>
        <v>6</v>
      </c>
      <c r="AQ319" s="1">
        <f t="shared" si="56"/>
        <v>0</v>
      </c>
      <c r="AR319" s="1">
        <f t="shared" si="57"/>
        <v>0</v>
      </c>
      <c r="AS319" s="1">
        <f t="shared" si="58"/>
        <v>0</v>
      </c>
    </row>
    <row r="320" spans="1:45" x14ac:dyDescent="0.2">
      <c r="A320" s="2">
        <v>44378</v>
      </c>
      <c r="B320" s="1">
        <v>2.4808565794916488E-2</v>
      </c>
      <c r="C320" s="1">
        <v>1.2461440223984965</v>
      </c>
      <c r="D320" s="1">
        <v>-0.16808783474550226</v>
      </c>
      <c r="E320" s="1">
        <v>0.25895579589090245</v>
      </c>
      <c r="F320" s="1">
        <v>-0.85113062280851826</v>
      </c>
      <c r="G320" s="1">
        <v>1.3152355555199964</v>
      </c>
      <c r="H320" s="1">
        <v>-0.59115840302252298</v>
      </c>
      <c r="I320" s="1">
        <v>1.9305695032981312</v>
      </c>
      <c r="J320" s="1">
        <v>1.7603287149316413</v>
      </c>
      <c r="K320" s="1">
        <v>0.18038092204474385</v>
      </c>
      <c r="L320" s="1">
        <v>0.51060462193022849</v>
      </c>
      <c r="M320" s="1">
        <v>6</v>
      </c>
      <c r="N320" s="1">
        <v>0</v>
      </c>
      <c r="O320" s="1">
        <v>0</v>
      </c>
      <c r="P320" s="1">
        <v>0</v>
      </c>
      <c r="Q320" s="1" t="str">
        <f t="shared" si="52"/>
        <v>Expansion</v>
      </c>
      <c r="R320" s="2">
        <f t="shared" si="53"/>
        <v>44408</v>
      </c>
      <c r="S320" s="1">
        <f>VLOOKUP(R320,BB!$A$3:$C$62769, 2, 1)</f>
        <v>1.2222999999999999</v>
      </c>
      <c r="T320" s="1">
        <f t="shared" si="54"/>
        <v>0.66990000000000016</v>
      </c>
      <c r="U320" s="1">
        <f>VLOOKUP(R320,BB!$A$3:$D$6771, 4, 1)</f>
        <v>1.8922000000000001</v>
      </c>
      <c r="V320" s="1">
        <f t="shared" si="61"/>
        <v>-0.1826000000000001</v>
      </c>
      <c r="W320" s="1">
        <f t="shared" si="62"/>
        <v>-7.649999999999979E-2</v>
      </c>
      <c r="X320" s="1">
        <f t="shared" si="59"/>
        <v>1.4049</v>
      </c>
      <c r="Y320" s="1">
        <f t="shared" si="60"/>
        <v>0.74639999999999995</v>
      </c>
      <c r="Z320" s="1" t="str">
        <f t="shared" si="63"/>
        <v>Expansion</v>
      </c>
      <c r="AL320" s="1">
        <v>10</v>
      </c>
      <c r="AM320" s="1">
        <v>0</v>
      </c>
      <c r="AN320" s="1">
        <v>0</v>
      </c>
      <c r="AO320" s="1">
        <v>0</v>
      </c>
      <c r="AP320" s="1">
        <f t="shared" si="55"/>
        <v>6</v>
      </c>
      <c r="AQ320" s="1">
        <f t="shared" si="56"/>
        <v>0</v>
      </c>
      <c r="AR320" s="1">
        <f t="shared" si="57"/>
        <v>0</v>
      </c>
      <c r="AS320" s="1">
        <f t="shared" si="58"/>
        <v>0</v>
      </c>
    </row>
    <row r="321" spans="1:45" x14ac:dyDescent="0.2">
      <c r="A321" s="2">
        <v>44409</v>
      </c>
      <c r="B321" s="1">
        <v>7.5482550914710358E-2</v>
      </c>
      <c r="C321" s="1">
        <v>0.60192664654951167</v>
      </c>
      <c r="D321" s="1">
        <v>-6.1814638419232883E-2</v>
      </c>
      <c r="E321" s="1">
        <v>0.34475937358970926</v>
      </c>
      <c r="F321" s="1">
        <v>-4.9185477621768892E-2</v>
      </c>
      <c r="G321" s="1">
        <v>1.38871551458349</v>
      </c>
      <c r="H321" s="1">
        <v>-0.42013385616697912</v>
      </c>
      <c r="I321" s="1">
        <v>1.9415483830019906</v>
      </c>
      <c r="J321" s="1">
        <v>1.6590937933316126</v>
      </c>
      <c r="K321" s="1">
        <v>0.47985007247837136</v>
      </c>
      <c r="L321" s="1">
        <v>0.59602423622414147</v>
      </c>
      <c r="M321" s="1">
        <v>0</v>
      </c>
      <c r="N321" s="1">
        <v>6</v>
      </c>
      <c r="O321" s="1">
        <v>0</v>
      </c>
      <c r="P321" s="1">
        <v>0</v>
      </c>
      <c r="Q321" s="1" t="str">
        <f t="shared" si="52"/>
        <v>Downturn</v>
      </c>
      <c r="R321" s="2">
        <f t="shared" si="53"/>
        <v>44439</v>
      </c>
      <c r="S321" s="1">
        <f>VLOOKUP(R321,BB!$A$3:$C$62769, 2, 1)</f>
        <v>1.3088</v>
      </c>
      <c r="T321" s="1">
        <f t="shared" si="54"/>
        <v>0.62359999999999993</v>
      </c>
      <c r="U321" s="1">
        <f>VLOOKUP(R321,BB!$A$3:$D$6771, 4, 1)</f>
        <v>1.9323999999999999</v>
      </c>
      <c r="V321" s="1">
        <f t="shared" si="61"/>
        <v>8.6500000000000021E-2</v>
      </c>
      <c r="W321" s="1">
        <f t="shared" si="62"/>
        <v>-4.630000000000023E-2</v>
      </c>
      <c r="X321" s="1">
        <f t="shared" si="59"/>
        <v>1.2222999999999999</v>
      </c>
      <c r="Y321" s="1">
        <f t="shared" si="60"/>
        <v>0.66990000000000016</v>
      </c>
      <c r="Z321" s="1" t="str">
        <f t="shared" si="63"/>
        <v>Downturn</v>
      </c>
      <c r="AL321" s="1">
        <v>0</v>
      </c>
      <c r="AM321" s="1">
        <v>10</v>
      </c>
      <c r="AN321" s="1">
        <v>0</v>
      </c>
      <c r="AO321" s="1">
        <v>0</v>
      </c>
      <c r="AP321" s="1">
        <f t="shared" si="55"/>
        <v>0</v>
      </c>
      <c r="AQ321" s="1">
        <f t="shared" si="56"/>
        <v>6</v>
      </c>
      <c r="AR321" s="1">
        <f t="shared" si="57"/>
        <v>0</v>
      </c>
      <c r="AS321" s="1">
        <f t="shared" si="58"/>
        <v>0</v>
      </c>
    </row>
    <row r="322" spans="1:45" x14ac:dyDescent="0.2">
      <c r="A322" s="2">
        <v>44440</v>
      </c>
      <c r="B322" s="1">
        <v>0.11554760683555382</v>
      </c>
      <c r="C322" s="1">
        <v>0.40220243367782099</v>
      </c>
      <c r="D322" s="1">
        <v>0.11857797053901632</v>
      </c>
      <c r="E322" s="1">
        <v>0.53089784100459714</v>
      </c>
      <c r="F322" s="1">
        <v>0.29005605221924069</v>
      </c>
      <c r="G322" s="1">
        <v>1.6524918655712186</v>
      </c>
      <c r="H322" s="1">
        <v>-0.26599748380676141</v>
      </c>
      <c r="I322" s="1">
        <v>1.900118179516751</v>
      </c>
      <c r="J322" s="1">
        <v>1.6808607980893646</v>
      </c>
      <c r="K322" s="1">
        <v>0.61368974201125948</v>
      </c>
      <c r="L322" s="1">
        <v>0.70384450056580605</v>
      </c>
      <c r="M322" s="1">
        <v>6</v>
      </c>
      <c r="N322" s="1">
        <v>0</v>
      </c>
      <c r="O322" s="1">
        <v>0</v>
      </c>
      <c r="P322" s="1">
        <v>0</v>
      </c>
      <c r="Q322" s="1" t="str">
        <f t="shared" si="52"/>
        <v>Expansion</v>
      </c>
      <c r="R322" s="2">
        <f t="shared" si="53"/>
        <v>44469</v>
      </c>
      <c r="S322" s="1">
        <f>VLOOKUP(R322,BB!$A$3:$C$62769, 2, 1)</f>
        <v>1.4873000000000001</v>
      </c>
      <c r="T322" s="1">
        <f t="shared" si="54"/>
        <v>0.5576000000000001</v>
      </c>
      <c r="U322" s="1">
        <f>VLOOKUP(R322,BB!$A$3:$D$6771, 4, 1)</f>
        <v>2.0449000000000002</v>
      </c>
      <c r="V322" s="1" t="str">
        <f t="shared" si="61"/>
        <v/>
      </c>
      <c r="W322" s="1" t="str">
        <f t="shared" si="62"/>
        <v/>
      </c>
      <c r="X322" s="1">
        <f t="shared" si="59"/>
        <v>1.3088</v>
      </c>
      <c r="Y322" s="1">
        <f t="shared" si="60"/>
        <v>0.62359999999999993</v>
      </c>
      <c r="Z322" s="1" t="str">
        <f t="shared" si="63"/>
        <v/>
      </c>
      <c r="AL322" s="1">
        <v>10</v>
      </c>
      <c r="AM322" s="1">
        <v>0</v>
      </c>
      <c r="AN322" s="1">
        <v>0</v>
      </c>
      <c r="AO322" s="1">
        <v>0</v>
      </c>
      <c r="AP322" s="1">
        <f t="shared" si="55"/>
        <v>6</v>
      </c>
      <c r="AQ322" s="1">
        <f t="shared" si="56"/>
        <v>0</v>
      </c>
      <c r="AR322" s="1">
        <f t="shared" si="57"/>
        <v>0</v>
      </c>
      <c r="AS322" s="1">
        <f t="shared" si="58"/>
        <v>0</v>
      </c>
    </row>
    <row r="323" spans="1:45" x14ac:dyDescent="0.2">
      <c r="A323" s="2">
        <v>44470</v>
      </c>
      <c r="B323" s="1">
        <v>0.17803039968872339</v>
      </c>
      <c r="C323" s="1">
        <v>0.58021324580826628</v>
      </c>
      <c r="D323" s="1">
        <v>-0.11210294707802437</v>
      </c>
      <c r="E323" s="1">
        <v>0.61857843739199236</v>
      </c>
      <c r="F323" s="1">
        <v>0.70253345673073608</v>
      </c>
      <c r="G323" s="1">
        <v>1.5463941079330508</v>
      </c>
      <c r="H323" s="1">
        <v>-3.8021178045736903E-2</v>
      </c>
      <c r="I323" s="1">
        <v>2.1422397923323473</v>
      </c>
      <c r="J323" s="1">
        <v>0.60097588784158829</v>
      </c>
      <c r="K323" s="1">
        <v>1.5350441287224208</v>
      </c>
      <c r="L323" s="1">
        <v>0.77538853313253642</v>
      </c>
      <c r="M323" s="1">
        <v>6</v>
      </c>
      <c r="N323" s="1">
        <v>0</v>
      </c>
      <c r="O323" s="1">
        <v>0</v>
      </c>
      <c r="P323" s="1">
        <v>0</v>
      </c>
      <c r="Q323" s="1" t="str">
        <f t="shared" ref="Q323:Q371" si="64">IF(M323=6, $M$1, IF(N323=6, $N$1, IF(O323=6, $O$1, $P$1)))</f>
        <v>Expansion</v>
      </c>
      <c r="R323" s="2">
        <f t="shared" ref="R323:R371" si="65">EOMONTH(A323, 0)</f>
        <v>44500</v>
      </c>
      <c r="S323" s="1">
        <f>VLOOKUP(R323,BB!$A$3:$C$62769, 2, 1)</f>
        <v>1.5521</v>
      </c>
      <c r="T323" s="1">
        <f t="shared" ref="T323:T371" si="66">U323-S323</f>
        <v>0.38070000000000004</v>
      </c>
      <c r="U323" s="1">
        <f>VLOOKUP(R323,BB!$A$3:$D$6771, 4, 1)</f>
        <v>1.9328000000000001</v>
      </c>
      <c r="V323" s="1" t="str">
        <f t="shared" si="61"/>
        <v/>
      </c>
      <c r="W323" s="1" t="str">
        <f t="shared" si="62"/>
        <v/>
      </c>
      <c r="X323" s="1">
        <f t="shared" si="59"/>
        <v>1.3088</v>
      </c>
      <c r="Y323" s="1">
        <f t="shared" si="60"/>
        <v>0.62359999999999993</v>
      </c>
      <c r="Z323" s="1" t="str">
        <f t="shared" si="63"/>
        <v/>
      </c>
      <c r="AL323" s="1">
        <v>10</v>
      </c>
      <c r="AM323" s="1">
        <v>0</v>
      </c>
      <c r="AN323" s="1">
        <v>0</v>
      </c>
      <c r="AO323" s="1">
        <v>0</v>
      </c>
      <c r="AP323" s="1">
        <f t="shared" ref="AP323:AP371" si="67">IF(AL323&gt;0, AL323-4, AL323)</f>
        <v>6</v>
      </c>
      <c r="AQ323" s="1">
        <f t="shared" ref="AQ323:AQ371" si="68">IF(AM323&gt;0, AM323-4, AM323)</f>
        <v>0</v>
      </c>
      <c r="AR323" s="1">
        <f t="shared" ref="AR323:AR371" si="69">IF(AN323&gt;0, AN323-4, AN323)</f>
        <v>0</v>
      </c>
      <c r="AS323" s="1">
        <f t="shared" ref="AS323:AS371" si="70">IF(AO323&gt;0, AO323-4, AO323)</f>
        <v>0</v>
      </c>
    </row>
    <row r="324" spans="1:45" x14ac:dyDescent="0.2">
      <c r="A324" s="2">
        <v>44501</v>
      </c>
      <c r="B324" s="1">
        <v>0.24725558163207201</v>
      </c>
      <c r="C324" s="1">
        <v>0.38084893685101556</v>
      </c>
      <c r="D324" s="1">
        <v>-0.36942482636926494</v>
      </c>
      <c r="E324" s="1">
        <v>0.80838831472130979</v>
      </c>
      <c r="F324" s="1">
        <v>0.80496432193606837</v>
      </c>
      <c r="G324" s="1">
        <v>1.5872015326049103</v>
      </c>
      <c r="H324" s="1">
        <v>0.19265673355517421</v>
      </c>
      <c r="I324" s="1">
        <v>2.349900967636251</v>
      </c>
      <c r="J324" s="1">
        <v>1.4628564731496159</v>
      </c>
      <c r="K324" s="1">
        <v>1.2404439555848974</v>
      </c>
      <c r="L324" s="1">
        <v>0.87050919913020497</v>
      </c>
      <c r="M324" s="1">
        <v>6</v>
      </c>
      <c r="N324" s="1">
        <v>0</v>
      </c>
      <c r="O324" s="1">
        <v>0</v>
      </c>
      <c r="P324" s="1">
        <v>0</v>
      </c>
      <c r="Q324" s="1" t="str">
        <f t="shared" si="64"/>
        <v>Expansion</v>
      </c>
      <c r="R324" s="2">
        <f t="shared" si="65"/>
        <v>44530</v>
      </c>
      <c r="S324" s="1">
        <f>VLOOKUP(R324,BB!$A$3:$C$62769, 2, 1)</f>
        <v>1.4442999999999999</v>
      </c>
      <c r="T324" s="1">
        <f t="shared" si="66"/>
        <v>0.3468</v>
      </c>
      <c r="U324" s="1">
        <f>VLOOKUP(R324,BB!$A$3:$D$6771, 4, 1)</f>
        <v>1.7910999999999999</v>
      </c>
      <c r="V324" s="1" t="str">
        <f t="shared" si="61"/>
        <v/>
      </c>
      <c r="W324" s="1" t="str">
        <f t="shared" si="62"/>
        <v/>
      </c>
      <c r="X324" s="1">
        <f t="shared" si="59"/>
        <v>1.3088</v>
      </c>
      <c r="Y324" s="1">
        <f t="shared" si="60"/>
        <v>0.62359999999999993</v>
      </c>
      <c r="Z324" s="1" t="str">
        <f t="shared" si="63"/>
        <v/>
      </c>
      <c r="AL324" s="1">
        <v>10</v>
      </c>
      <c r="AM324" s="1">
        <v>0</v>
      </c>
      <c r="AN324" s="1">
        <v>0</v>
      </c>
      <c r="AO324" s="1">
        <v>0</v>
      </c>
      <c r="AP324" s="1">
        <f t="shared" si="67"/>
        <v>6</v>
      </c>
      <c r="AQ324" s="1">
        <f t="shared" si="68"/>
        <v>0</v>
      </c>
      <c r="AR324" s="1">
        <f t="shared" si="69"/>
        <v>0</v>
      </c>
      <c r="AS324" s="1">
        <f t="shared" si="70"/>
        <v>0</v>
      </c>
    </row>
    <row r="325" spans="1:45" x14ac:dyDescent="0.2">
      <c r="A325" s="2">
        <v>44531</v>
      </c>
      <c r="B325" s="1">
        <v>0.3617875140606483</v>
      </c>
      <c r="C325" s="1">
        <v>0.6478599831762003</v>
      </c>
      <c r="D325" s="1">
        <v>-0.51378066534306832</v>
      </c>
      <c r="E325" s="1">
        <v>0.94739509209526929</v>
      </c>
      <c r="F325" s="1">
        <v>1.146784566079956</v>
      </c>
      <c r="G325" s="1">
        <v>0.99221128053422514</v>
      </c>
      <c r="H325" s="1">
        <v>0.42896735502479705</v>
      </c>
      <c r="I325" s="1">
        <v>2.2880410601939243</v>
      </c>
      <c r="J325" s="1">
        <v>1.6886024801599862</v>
      </c>
      <c r="K325" s="1">
        <v>0.90710071633471046</v>
      </c>
      <c r="L325" s="1">
        <v>0.88949693823166487</v>
      </c>
      <c r="M325" s="1">
        <v>6</v>
      </c>
      <c r="N325" s="1">
        <v>0</v>
      </c>
      <c r="O325" s="1">
        <v>0</v>
      </c>
      <c r="P325" s="1">
        <v>0</v>
      </c>
      <c r="Q325" s="1" t="str">
        <f t="shared" si="64"/>
        <v>Expansion</v>
      </c>
      <c r="R325" s="2">
        <f t="shared" si="65"/>
        <v>44561</v>
      </c>
      <c r="S325" s="1">
        <f>VLOOKUP(R325,BB!$A$3:$C$62769, 2, 1)</f>
        <v>1.5101</v>
      </c>
      <c r="T325" s="1">
        <f t="shared" si="66"/>
        <v>0.3931</v>
      </c>
      <c r="U325" s="1">
        <f>VLOOKUP(R325,BB!$A$3:$D$6771, 4, 1)</f>
        <v>1.9032</v>
      </c>
      <c r="V325" s="1" t="str">
        <f t="shared" si="61"/>
        <v/>
      </c>
      <c r="W325" s="1" t="str">
        <f t="shared" si="62"/>
        <v/>
      </c>
      <c r="X325" s="1">
        <f t="shared" si="59"/>
        <v>1.3088</v>
      </c>
      <c r="Y325" s="1">
        <f t="shared" si="60"/>
        <v>0.62359999999999993</v>
      </c>
      <c r="Z325" s="1" t="str">
        <f t="shared" si="63"/>
        <v/>
      </c>
      <c r="AL325" s="1">
        <v>10</v>
      </c>
      <c r="AM325" s="1">
        <v>0</v>
      </c>
      <c r="AN325" s="1">
        <v>0</v>
      </c>
      <c r="AO325" s="1">
        <v>0</v>
      </c>
      <c r="AP325" s="1">
        <f t="shared" si="67"/>
        <v>6</v>
      </c>
      <c r="AQ325" s="1">
        <f t="shared" si="68"/>
        <v>0</v>
      </c>
      <c r="AR325" s="1">
        <f t="shared" si="69"/>
        <v>0</v>
      </c>
      <c r="AS325" s="1">
        <f t="shared" si="70"/>
        <v>0</v>
      </c>
    </row>
    <row r="326" spans="1:45" x14ac:dyDescent="0.2">
      <c r="A326" s="2">
        <v>44562</v>
      </c>
      <c r="B326" s="1">
        <v>0.40099332347081118</v>
      </c>
      <c r="C326" s="1">
        <v>0.54500547026522972</v>
      </c>
      <c r="D326" s="1">
        <v>-0.77858754250161843</v>
      </c>
      <c r="E326" s="1">
        <v>0.88098036581254591</v>
      </c>
      <c r="F326" s="1">
        <v>-0.16256824484365848</v>
      </c>
      <c r="G326" s="1">
        <v>0.72175578115980787</v>
      </c>
      <c r="H326" s="1">
        <v>0.58429419588532305</v>
      </c>
      <c r="I326" s="1">
        <v>2.3183295578803129</v>
      </c>
      <c r="J326" s="1">
        <v>1.2622093936996532</v>
      </c>
      <c r="K326" s="1">
        <v>0.93366076176946644</v>
      </c>
      <c r="L326" s="1">
        <v>0.67060730625978737</v>
      </c>
      <c r="M326" s="1">
        <v>6</v>
      </c>
      <c r="N326" s="1">
        <v>0</v>
      </c>
      <c r="O326" s="1">
        <v>0</v>
      </c>
      <c r="P326" s="1">
        <v>0</v>
      </c>
      <c r="Q326" s="1" t="str">
        <f t="shared" si="64"/>
        <v>Expansion</v>
      </c>
      <c r="R326" s="2">
        <f t="shared" si="65"/>
        <v>44592</v>
      </c>
      <c r="S326" s="1">
        <f>VLOOKUP(R326,BB!$A$3:$C$62769, 2, 1)</f>
        <v>1.7766999999999999</v>
      </c>
      <c r="T326" s="1">
        <f t="shared" si="66"/>
        <v>0.33079999999999998</v>
      </c>
      <c r="U326" s="1">
        <f>VLOOKUP(R326,BB!$A$3:$D$6771, 4, 1)</f>
        <v>2.1074999999999999</v>
      </c>
      <c r="V326" s="1">
        <f t="shared" si="61"/>
        <v>0.46789999999999998</v>
      </c>
      <c r="W326" s="1">
        <f t="shared" si="62"/>
        <v>-0.29279999999999995</v>
      </c>
      <c r="X326" s="1">
        <f t="shared" si="59"/>
        <v>1.3088</v>
      </c>
      <c r="Y326" s="1">
        <f t="shared" si="60"/>
        <v>0.62359999999999993</v>
      </c>
      <c r="Z326" s="1" t="str">
        <f t="shared" si="63"/>
        <v>Expansion</v>
      </c>
      <c r="AL326" s="1">
        <v>10</v>
      </c>
      <c r="AM326" s="1">
        <v>0</v>
      </c>
      <c r="AN326" s="1">
        <v>0</v>
      </c>
      <c r="AO326" s="1">
        <v>0</v>
      </c>
      <c r="AP326" s="1">
        <f t="shared" si="67"/>
        <v>6</v>
      </c>
      <c r="AQ326" s="1">
        <f t="shared" si="68"/>
        <v>0</v>
      </c>
      <c r="AR326" s="1">
        <f t="shared" si="69"/>
        <v>0</v>
      </c>
      <c r="AS326" s="1">
        <f t="shared" si="70"/>
        <v>0</v>
      </c>
    </row>
    <row r="327" spans="1:45" x14ac:dyDescent="0.2">
      <c r="A327" s="2">
        <v>44593</v>
      </c>
      <c r="B327" s="1">
        <v>0.40163096985053504</v>
      </c>
      <c r="C327" s="1">
        <v>0.38174127187548962</v>
      </c>
      <c r="D327" s="1">
        <v>-1.0795052577620374</v>
      </c>
      <c r="E327" s="1">
        <v>0.96913765108431904</v>
      </c>
      <c r="F327" s="1">
        <v>-0.49205302222734265</v>
      </c>
      <c r="G327" s="1">
        <v>0.94669383062774803</v>
      </c>
      <c r="H327" s="1">
        <v>0.69362184168261964</v>
      </c>
      <c r="I327" s="1">
        <v>2.3911993842268084</v>
      </c>
      <c r="J327" s="1">
        <v>1.0696455874789654</v>
      </c>
      <c r="K327" s="1">
        <v>1.3320915947683121</v>
      </c>
      <c r="L327" s="1">
        <v>0.66142038516054169</v>
      </c>
      <c r="M327" s="1">
        <v>0</v>
      </c>
      <c r="N327" s="1">
        <v>6</v>
      </c>
      <c r="O327" s="1">
        <v>0</v>
      </c>
      <c r="P327" s="1">
        <v>0</v>
      </c>
      <c r="Q327" s="1" t="str">
        <f t="shared" si="64"/>
        <v>Downturn</v>
      </c>
      <c r="R327" s="2">
        <f t="shared" si="65"/>
        <v>44620</v>
      </c>
      <c r="S327" s="1">
        <f>VLOOKUP(R327,BB!$A$3:$C$62769, 2, 1)</f>
        <v>1.825</v>
      </c>
      <c r="T327" s="1">
        <f t="shared" si="66"/>
        <v>0.33609999999999984</v>
      </c>
      <c r="U327" s="1">
        <f>VLOOKUP(R327,BB!$A$3:$D$6771, 4, 1)</f>
        <v>2.1610999999999998</v>
      </c>
      <c r="V327" s="1" t="str">
        <f t="shared" si="61"/>
        <v/>
      </c>
      <c r="W327" s="1" t="str">
        <f t="shared" si="62"/>
        <v/>
      </c>
      <c r="X327" s="1">
        <f t="shared" si="59"/>
        <v>1.7766999999999999</v>
      </c>
      <c r="Y327" s="1">
        <f t="shared" si="60"/>
        <v>0.33079999999999998</v>
      </c>
      <c r="Z327" s="1" t="str">
        <f t="shared" si="63"/>
        <v/>
      </c>
      <c r="AL327" s="1">
        <v>0</v>
      </c>
      <c r="AM327" s="1">
        <v>10</v>
      </c>
      <c r="AN327" s="1">
        <v>0</v>
      </c>
      <c r="AO327" s="1">
        <v>0</v>
      </c>
      <c r="AP327" s="1">
        <f t="shared" si="67"/>
        <v>0</v>
      </c>
      <c r="AQ327" s="1">
        <f t="shared" si="68"/>
        <v>6</v>
      </c>
      <c r="AR327" s="1">
        <f t="shared" si="69"/>
        <v>0</v>
      </c>
      <c r="AS327" s="1">
        <f t="shared" si="70"/>
        <v>0</v>
      </c>
    </row>
    <row r="328" spans="1:45" x14ac:dyDescent="0.2">
      <c r="A328" s="2">
        <v>44621</v>
      </c>
      <c r="B328" s="1">
        <v>0.38787425969338701</v>
      </c>
      <c r="C328" s="1">
        <v>0.21797796296892863</v>
      </c>
      <c r="D328" s="1">
        <v>-1.6552977748629429</v>
      </c>
      <c r="E328" s="1">
        <v>1.0567453263205355</v>
      </c>
      <c r="F328" s="1">
        <v>-3.4518121915116082</v>
      </c>
      <c r="G328" s="1">
        <v>0.5831943188800226</v>
      </c>
      <c r="H328" s="1">
        <v>0.88669264280001514</v>
      </c>
      <c r="I328" s="1">
        <v>2.5058722178531787</v>
      </c>
      <c r="J328" s="1">
        <v>0.33245977054262504</v>
      </c>
      <c r="K328" s="1">
        <v>1.9111123428164378</v>
      </c>
      <c r="L328" s="1">
        <v>0.27748188755005787</v>
      </c>
      <c r="M328" s="1">
        <v>0</v>
      </c>
      <c r="N328" s="1">
        <v>6</v>
      </c>
      <c r="O328" s="1">
        <v>0</v>
      </c>
      <c r="P328" s="1">
        <v>0</v>
      </c>
      <c r="Q328" s="1" t="str">
        <f t="shared" si="64"/>
        <v>Downturn</v>
      </c>
      <c r="R328" s="2">
        <f t="shared" si="65"/>
        <v>44651</v>
      </c>
      <c r="S328" s="1">
        <f>VLOOKUP(R328,BB!$A$3:$C$62769, 2, 1)</f>
        <v>2.3380000000000001</v>
      </c>
      <c r="T328" s="1">
        <f t="shared" si="66"/>
        <v>0.10959999999999992</v>
      </c>
      <c r="U328" s="1">
        <f>VLOOKUP(R328,BB!$A$3:$D$6771, 4, 1)</f>
        <v>2.4476</v>
      </c>
      <c r="V328" s="1">
        <f t="shared" si="61"/>
        <v>0.56130000000000013</v>
      </c>
      <c r="W328" s="1">
        <f t="shared" si="62"/>
        <v>-0.22120000000000006</v>
      </c>
      <c r="X328" s="1">
        <f t="shared" si="59"/>
        <v>1.7766999999999999</v>
      </c>
      <c r="Y328" s="1">
        <f t="shared" si="60"/>
        <v>0.33079999999999998</v>
      </c>
      <c r="Z328" s="1" t="str">
        <f t="shared" si="63"/>
        <v>Downturn</v>
      </c>
      <c r="AL328" s="1">
        <v>0</v>
      </c>
      <c r="AM328" s="1">
        <v>10</v>
      </c>
      <c r="AN328" s="1">
        <v>0</v>
      </c>
      <c r="AO328" s="1">
        <v>0</v>
      </c>
      <c r="AP328" s="1">
        <f t="shared" si="67"/>
        <v>0</v>
      </c>
      <c r="AQ328" s="1">
        <f t="shared" si="68"/>
        <v>6</v>
      </c>
      <c r="AR328" s="1">
        <f t="shared" si="69"/>
        <v>0</v>
      </c>
      <c r="AS328" s="1">
        <f t="shared" si="70"/>
        <v>0</v>
      </c>
    </row>
    <row r="329" spans="1:45" x14ac:dyDescent="0.2">
      <c r="A329" s="2">
        <v>44652</v>
      </c>
      <c r="B329" s="1">
        <v>0.43218127993977429</v>
      </c>
      <c r="C329" s="1">
        <v>0.21033326493269575</v>
      </c>
      <c r="D329" s="1">
        <v>-1.2961041560042348</v>
      </c>
      <c r="E329" s="1">
        <v>1.0398738464313266</v>
      </c>
      <c r="F329" s="1">
        <v>-2.7052283505533938</v>
      </c>
      <c r="G329" s="1">
        <v>0.1803088043771176</v>
      </c>
      <c r="H329" s="1">
        <v>1.1315850387528423</v>
      </c>
      <c r="I329" s="1">
        <v>2.6439705072443114</v>
      </c>
      <c r="J329" s="1">
        <v>1.0858931869517323</v>
      </c>
      <c r="K329" s="1">
        <v>1.8287278060920429</v>
      </c>
      <c r="L329" s="1">
        <v>0.45515412281642142</v>
      </c>
      <c r="M329" s="1">
        <v>6</v>
      </c>
      <c r="N329" s="1">
        <v>0</v>
      </c>
      <c r="O329" s="1">
        <v>0</v>
      </c>
      <c r="P329" s="1">
        <v>0</v>
      </c>
      <c r="Q329" s="1" t="str">
        <f t="shared" si="64"/>
        <v>Expansion</v>
      </c>
      <c r="R329" s="2">
        <f t="shared" si="65"/>
        <v>44681</v>
      </c>
      <c r="S329" s="1">
        <f>VLOOKUP(R329,BB!$A$3:$C$62769, 2, 1)</f>
        <v>2.9336000000000002</v>
      </c>
      <c r="T329" s="1">
        <f t="shared" si="66"/>
        <v>6.3599999999999657E-2</v>
      </c>
      <c r="U329" s="1">
        <f>VLOOKUP(R329,BB!$A$3:$D$6771, 4, 1)</f>
        <v>2.9971999999999999</v>
      </c>
      <c r="V329" s="1">
        <f t="shared" si="61"/>
        <v>0.59560000000000013</v>
      </c>
      <c r="W329" s="1">
        <f t="shared" si="62"/>
        <v>-4.6000000000000263E-2</v>
      </c>
      <c r="X329" s="1">
        <f t="shared" si="59"/>
        <v>2.3380000000000001</v>
      </c>
      <c r="Y329" s="1">
        <f t="shared" si="60"/>
        <v>0.10959999999999992</v>
      </c>
      <c r="Z329" s="1" t="str">
        <f t="shared" si="63"/>
        <v>Expansion</v>
      </c>
      <c r="AL329" s="1">
        <v>10</v>
      </c>
      <c r="AM329" s="1">
        <v>0</v>
      </c>
      <c r="AN329" s="1">
        <v>0</v>
      </c>
      <c r="AO329" s="1">
        <v>0</v>
      </c>
      <c r="AP329" s="1">
        <f t="shared" si="67"/>
        <v>6</v>
      </c>
      <c r="AQ329" s="1">
        <f t="shared" si="68"/>
        <v>0</v>
      </c>
      <c r="AR329" s="1">
        <f t="shared" si="69"/>
        <v>0</v>
      </c>
      <c r="AS329" s="1">
        <f t="shared" si="70"/>
        <v>0</v>
      </c>
    </row>
    <row r="330" spans="1:45" x14ac:dyDescent="0.2">
      <c r="A330" s="2">
        <v>44682</v>
      </c>
      <c r="B330" s="1">
        <v>0.4522386014236866</v>
      </c>
      <c r="C330" s="1">
        <v>0.15543476639104006</v>
      </c>
      <c r="D330" s="1">
        <v>-1.1696063143911677</v>
      </c>
      <c r="E330" s="1">
        <v>1.0231591027283224</v>
      </c>
      <c r="F330" s="1">
        <v>-2.8125554238099726</v>
      </c>
      <c r="G330" s="1">
        <v>0.3417873516758696</v>
      </c>
      <c r="H330" s="1">
        <v>1.2791247731868836</v>
      </c>
      <c r="I330" s="1">
        <v>2.3821668139750125</v>
      </c>
      <c r="J330" s="1">
        <v>1.2088297341529695</v>
      </c>
      <c r="K330" s="1">
        <v>1.6289126742001279</v>
      </c>
      <c r="L330" s="1">
        <v>0.4489492079532772</v>
      </c>
      <c r="M330" s="1">
        <v>0</v>
      </c>
      <c r="N330" s="1">
        <v>6</v>
      </c>
      <c r="O330" s="1">
        <v>0</v>
      </c>
      <c r="P330" s="1">
        <v>0</v>
      </c>
      <c r="Q330" s="1" t="str">
        <f t="shared" si="64"/>
        <v>Downturn</v>
      </c>
      <c r="R330" s="2">
        <f t="shared" si="65"/>
        <v>44712</v>
      </c>
      <c r="S330" s="1">
        <f>VLOOKUP(R330,BB!$A$3:$C$62769, 2, 1)</f>
        <v>2.8441000000000001</v>
      </c>
      <c r="T330" s="1">
        <f t="shared" si="66"/>
        <v>0.20100000000000007</v>
      </c>
      <c r="U330" s="1">
        <f>VLOOKUP(R330,BB!$A$3:$D$6771, 4, 1)</f>
        <v>3.0451000000000001</v>
      </c>
      <c r="V330" s="1" t="str">
        <f t="shared" si="61"/>
        <v/>
      </c>
      <c r="W330" s="1" t="str">
        <f t="shared" si="62"/>
        <v/>
      </c>
      <c r="X330" s="1">
        <f t="shared" si="59"/>
        <v>2.9336000000000002</v>
      </c>
      <c r="Y330" s="1">
        <f t="shared" si="60"/>
        <v>6.3599999999999657E-2</v>
      </c>
      <c r="Z330" s="1" t="str">
        <f t="shared" si="63"/>
        <v/>
      </c>
      <c r="AL330" s="1">
        <v>0</v>
      </c>
      <c r="AM330" s="1">
        <v>10</v>
      </c>
      <c r="AN330" s="1">
        <v>0</v>
      </c>
      <c r="AO330" s="1">
        <v>0</v>
      </c>
      <c r="AP330" s="1">
        <f t="shared" si="67"/>
        <v>0</v>
      </c>
      <c r="AQ330" s="1">
        <f t="shared" si="68"/>
        <v>6</v>
      </c>
      <c r="AR330" s="1">
        <f t="shared" si="69"/>
        <v>0</v>
      </c>
      <c r="AS330" s="1">
        <f t="shared" si="70"/>
        <v>0</v>
      </c>
    </row>
    <row r="331" spans="1:45" x14ac:dyDescent="0.2">
      <c r="A331" s="2">
        <v>44713</v>
      </c>
      <c r="B331" s="1">
        <v>0.44002117139125813</v>
      </c>
      <c r="C331" s="1">
        <v>-0.22468184329332211</v>
      </c>
      <c r="D331" s="1">
        <v>-1.4940642095508356</v>
      </c>
      <c r="E331" s="1">
        <v>1.0069156768153902</v>
      </c>
      <c r="F331" s="1">
        <v>-0.48614609992069335</v>
      </c>
      <c r="G331" s="1">
        <v>-0.38354275794682124</v>
      </c>
      <c r="H331" s="1">
        <v>1.3499951070608869</v>
      </c>
      <c r="I331" s="1">
        <v>2.2265732555739364</v>
      </c>
      <c r="J331" s="1">
        <v>6.9519946193475721E-2</v>
      </c>
      <c r="K331" s="1">
        <v>1.1721251806221493</v>
      </c>
      <c r="L331" s="1">
        <v>0.36767154269454244</v>
      </c>
      <c r="M331" s="1">
        <v>0</v>
      </c>
      <c r="N331" s="1">
        <v>6</v>
      </c>
      <c r="O331" s="1">
        <v>0</v>
      </c>
      <c r="P331" s="1">
        <v>0</v>
      </c>
      <c r="Q331" s="1" t="str">
        <f t="shared" si="64"/>
        <v>Downturn</v>
      </c>
      <c r="R331" s="2">
        <f t="shared" si="65"/>
        <v>44742</v>
      </c>
      <c r="S331" s="1">
        <f>VLOOKUP(R331,BB!$A$3:$C$62769, 2, 1)</f>
        <v>3.0129000000000001</v>
      </c>
      <c r="T331" s="1">
        <f t="shared" si="66"/>
        <v>0.16979999999999995</v>
      </c>
      <c r="U331" s="1">
        <f>VLOOKUP(R331,BB!$A$3:$D$6771, 4, 1)</f>
        <v>3.1827000000000001</v>
      </c>
      <c r="V331" s="1" t="str">
        <f t="shared" si="61"/>
        <v/>
      </c>
      <c r="W331" s="1" t="str">
        <f t="shared" si="62"/>
        <v/>
      </c>
      <c r="X331" s="1">
        <f t="shared" si="59"/>
        <v>2.9336000000000002</v>
      </c>
      <c r="Y331" s="1">
        <f t="shared" si="60"/>
        <v>6.3599999999999657E-2</v>
      </c>
      <c r="Z331" s="1" t="str">
        <f t="shared" si="63"/>
        <v/>
      </c>
      <c r="AL331" s="1">
        <v>0</v>
      </c>
      <c r="AM331" s="1">
        <v>10</v>
      </c>
      <c r="AN331" s="1">
        <v>0</v>
      </c>
      <c r="AO331" s="1">
        <v>0</v>
      </c>
      <c r="AP331" s="1">
        <f t="shared" si="67"/>
        <v>0</v>
      </c>
      <c r="AQ331" s="1">
        <f t="shared" si="68"/>
        <v>6</v>
      </c>
      <c r="AR331" s="1">
        <f t="shared" si="69"/>
        <v>0</v>
      </c>
      <c r="AS331" s="1">
        <f t="shared" si="70"/>
        <v>0</v>
      </c>
    </row>
    <row r="332" spans="1:45" x14ac:dyDescent="0.2">
      <c r="A332" s="2">
        <v>44743</v>
      </c>
      <c r="B332" s="1">
        <v>0.38728230846674427</v>
      </c>
      <c r="C332" s="1">
        <v>-0.38806896625889903</v>
      </c>
      <c r="D332" s="1">
        <v>-1.9062637970886913</v>
      </c>
      <c r="E332" s="1">
        <v>1.0432620116860805</v>
      </c>
      <c r="F332" s="1">
        <v>-0.1967304433183733</v>
      </c>
      <c r="G332" s="1">
        <v>-0.43857993348608049</v>
      </c>
      <c r="H332" s="1">
        <v>1.4009872268029204</v>
      </c>
      <c r="I332" s="1">
        <v>2.1892656436439868</v>
      </c>
      <c r="J332" s="1">
        <v>-0.84378268263513934</v>
      </c>
      <c r="K332" s="1">
        <v>1.4206947071143874</v>
      </c>
      <c r="L332" s="1">
        <v>0.26680660749269358</v>
      </c>
      <c r="M332" s="1">
        <v>0</v>
      </c>
      <c r="N332" s="1">
        <v>6</v>
      </c>
      <c r="O332" s="1">
        <v>0</v>
      </c>
      <c r="P332" s="1">
        <v>0</v>
      </c>
      <c r="Q332" s="1" t="str">
        <f t="shared" si="64"/>
        <v>Downturn</v>
      </c>
      <c r="R332" s="2">
        <f t="shared" si="65"/>
        <v>44773</v>
      </c>
      <c r="S332" s="1">
        <f>VLOOKUP(R332,BB!$A$3:$C$62769, 2, 1)</f>
        <v>2.6486999999999998</v>
      </c>
      <c r="T332" s="1">
        <f t="shared" si="66"/>
        <v>0.36100000000000021</v>
      </c>
      <c r="U332" s="1">
        <f>VLOOKUP(R332,BB!$A$3:$D$6771, 4, 1)</f>
        <v>3.0097</v>
      </c>
      <c r="V332" s="1" t="str">
        <f t="shared" si="61"/>
        <v/>
      </c>
      <c r="W332" s="1" t="str">
        <f t="shared" si="62"/>
        <v/>
      </c>
      <c r="X332" s="1">
        <f t="shared" si="59"/>
        <v>2.9336000000000002</v>
      </c>
      <c r="Y332" s="1">
        <f t="shared" si="60"/>
        <v>6.3599999999999657E-2</v>
      </c>
      <c r="Z332" s="1" t="str">
        <f t="shared" si="63"/>
        <v/>
      </c>
      <c r="AL332" s="1">
        <v>0</v>
      </c>
      <c r="AM332" s="1">
        <v>10</v>
      </c>
      <c r="AN332" s="1">
        <v>0</v>
      </c>
      <c r="AO332" s="1">
        <v>0</v>
      </c>
      <c r="AP332" s="1">
        <f t="shared" si="67"/>
        <v>0</v>
      </c>
      <c r="AQ332" s="1">
        <f t="shared" si="68"/>
        <v>6</v>
      </c>
      <c r="AR332" s="1">
        <f t="shared" si="69"/>
        <v>0</v>
      </c>
      <c r="AS332" s="1">
        <f t="shared" si="70"/>
        <v>0</v>
      </c>
    </row>
    <row r="333" spans="1:45" x14ac:dyDescent="0.2">
      <c r="A333" s="2">
        <v>44774</v>
      </c>
      <c r="B333" s="1">
        <v>0.35169283389888334</v>
      </c>
      <c r="C333" s="1">
        <v>-3.8353032705118688E-2</v>
      </c>
      <c r="D333" s="1">
        <v>-1.9556302049177394</v>
      </c>
      <c r="E333" s="1">
        <v>0.92208971005856588</v>
      </c>
      <c r="F333" s="1">
        <v>-0.24941628675139946</v>
      </c>
      <c r="G333" s="1">
        <v>-0.44650308984133902</v>
      </c>
      <c r="H333" s="1">
        <v>1.5389453401812794</v>
      </c>
      <c r="I333" s="1">
        <v>2.2525819580176107</v>
      </c>
      <c r="J333" s="1">
        <v>-0.52031553942532183</v>
      </c>
      <c r="K333" s="1">
        <v>1.4835152186689111</v>
      </c>
      <c r="L333" s="1">
        <v>0.33386069071843322</v>
      </c>
      <c r="M333" s="1">
        <v>0</v>
      </c>
      <c r="N333" s="1">
        <v>6</v>
      </c>
      <c r="O333" s="1">
        <v>0</v>
      </c>
      <c r="P333" s="1">
        <v>0</v>
      </c>
      <c r="Q333" s="1" t="str">
        <f t="shared" si="64"/>
        <v>Downturn</v>
      </c>
      <c r="R333" s="2">
        <f t="shared" si="65"/>
        <v>44804</v>
      </c>
      <c r="S333" s="1">
        <f>VLOOKUP(R333,BB!$A$3:$C$62769, 2, 1)</f>
        <v>3.1926000000000001</v>
      </c>
      <c r="T333" s="1">
        <f t="shared" si="66"/>
        <v>0.10000000000000009</v>
      </c>
      <c r="U333" s="1">
        <f>VLOOKUP(R333,BB!$A$3:$D$6771, 4, 1)</f>
        <v>3.2926000000000002</v>
      </c>
      <c r="V333" s="1" t="str">
        <f t="shared" si="61"/>
        <v/>
      </c>
      <c r="W333" s="1" t="str">
        <f t="shared" si="62"/>
        <v/>
      </c>
      <c r="X333" s="1">
        <f t="shared" si="59"/>
        <v>2.9336000000000002</v>
      </c>
      <c r="Y333" s="1">
        <f t="shared" si="60"/>
        <v>6.3599999999999657E-2</v>
      </c>
      <c r="Z333" s="1" t="str">
        <f t="shared" si="63"/>
        <v/>
      </c>
      <c r="AL333" s="1">
        <v>0</v>
      </c>
      <c r="AM333" s="1">
        <v>10</v>
      </c>
      <c r="AN333" s="1">
        <v>0</v>
      </c>
      <c r="AO333" s="1">
        <v>0</v>
      </c>
      <c r="AP333" s="1">
        <f t="shared" si="67"/>
        <v>0</v>
      </c>
      <c r="AQ333" s="1">
        <f t="shared" si="68"/>
        <v>6</v>
      </c>
      <c r="AR333" s="1">
        <f t="shared" si="69"/>
        <v>0</v>
      </c>
      <c r="AS333" s="1">
        <f t="shared" si="70"/>
        <v>0</v>
      </c>
    </row>
    <row r="334" spans="1:45" x14ac:dyDescent="0.2">
      <c r="A334" s="2">
        <v>44805</v>
      </c>
      <c r="B334" s="1">
        <v>0.35451179923574866</v>
      </c>
      <c r="C334" s="1">
        <v>0.1828062545203728</v>
      </c>
      <c r="D334" s="1">
        <v>-2.1242360068613544</v>
      </c>
      <c r="E334" s="1">
        <v>1.0127069394607022</v>
      </c>
      <c r="F334" s="1">
        <v>-0.1552340832273649</v>
      </c>
      <c r="G334" s="1">
        <v>-0.90319263219602031</v>
      </c>
      <c r="H334" s="1">
        <v>1.5827195585515139</v>
      </c>
      <c r="I334" s="1">
        <v>2.185244987565655</v>
      </c>
      <c r="J334" s="1">
        <v>-0.5255830162847166</v>
      </c>
      <c r="K334" s="1">
        <v>1.0945531966188895</v>
      </c>
      <c r="L334" s="1">
        <v>0.27042969973834258</v>
      </c>
      <c r="M334" s="1">
        <v>0</v>
      </c>
      <c r="N334" s="1">
        <v>6</v>
      </c>
      <c r="O334" s="1">
        <v>0</v>
      </c>
      <c r="P334" s="1">
        <v>0</v>
      </c>
      <c r="Q334" s="1" t="str">
        <f t="shared" si="64"/>
        <v>Downturn</v>
      </c>
      <c r="R334" s="2">
        <f t="shared" si="65"/>
        <v>44834</v>
      </c>
      <c r="S334" s="1">
        <f>VLOOKUP(R334,BB!$A$3:$C$62769, 2, 1)</f>
        <v>3.8285999999999998</v>
      </c>
      <c r="T334" s="1">
        <f t="shared" si="66"/>
        <v>-5.2699999999999747E-2</v>
      </c>
      <c r="U334" s="1">
        <f>VLOOKUP(R334,BB!$A$3:$D$6771, 4, 1)</f>
        <v>3.7759</v>
      </c>
      <c r="V334" s="1" t="str">
        <f t="shared" si="61"/>
        <v/>
      </c>
      <c r="W334" s="1" t="str">
        <f t="shared" si="62"/>
        <v/>
      </c>
      <c r="X334" s="1">
        <f t="shared" si="59"/>
        <v>2.9336000000000002</v>
      </c>
      <c r="Y334" s="1">
        <f t="shared" si="60"/>
        <v>6.3599999999999657E-2</v>
      </c>
      <c r="Z334" s="1" t="str">
        <f t="shared" si="63"/>
        <v/>
      </c>
      <c r="AL334" s="1">
        <v>0</v>
      </c>
      <c r="AM334" s="1">
        <v>10</v>
      </c>
      <c r="AN334" s="1">
        <v>0</v>
      </c>
      <c r="AO334" s="1">
        <v>0</v>
      </c>
      <c r="AP334" s="1">
        <f t="shared" si="67"/>
        <v>0</v>
      </c>
      <c r="AQ334" s="1">
        <f t="shared" si="68"/>
        <v>6</v>
      </c>
      <c r="AR334" s="1">
        <f t="shared" si="69"/>
        <v>0</v>
      </c>
      <c r="AS334" s="1">
        <f t="shared" si="70"/>
        <v>0</v>
      </c>
    </row>
    <row r="335" spans="1:45" x14ac:dyDescent="0.2">
      <c r="A335" s="2">
        <v>44835</v>
      </c>
      <c r="B335" s="1">
        <v>0.37528106350489798</v>
      </c>
      <c r="C335" s="1">
        <v>-0.10878840113942623</v>
      </c>
      <c r="D335" s="1">
        <v>-2.0441653405620901</v>
      </c>
      <c r="E335" s="1">
        <v>0.89044906285807401</v>
      </c>
      <c r="F335" s="1">
        <v>1.9001593881156336E-2</v>
      </c>
      <c r="G335" s="1">
        <v>-1.0660340214003097</v>
      </c>
      <c r="H335" s="1">
        <v>1.6244888479271282</v>
      </c>
      <c r="I335" s="1">
        <v>2.0973302531950333</v>
      </c>
      <c r="J335" s="1">
        <v>-0.27359628631042049</v>
      </c>
      <c r="K335" s="1">
        <v>0.87537812750997979</v>
      </c>
      <c r="L335" s="1">
        <v>0.23893448994640232</v>
      </c>
      <c r="M335" s="1">
        <v>0</v>
      </c>
      <c r="N335" s="1">
        <v>6</v>
      </c>
      <c r="O335" s="1">
        <v>0</v>
      </c>
      <c r="P335" s="1">
        <v>0</v>
      </c>
      <c r="Q335" s="1" t="str">
        <f t="shared" si="64"/>
        <v>Downturn</v>
      </c>
      <c r="R335" s="2">
        <f t="shared" si="65"/>
        <v>44865</v>
      </c>
      <c r="S335" s="1">
        <f>VLOOKUP(R335,BB!$A$3:$C$62769, 2, 1)</f>
        <v>4.0477999999999996</v>
      </c>
      <c r="T335" s="1">
        <f t="shared" si="66"/>
        <v>0.11610000000000031</v>
      </c>
      <c r="U335" s="1">
        <f>VLOOKUP(R335,BB!$A$3:$D$6771, 4, 1)</f>
        <v>4.1638999999999999</v>
      </c>
      <c r="V335" s="1" t="str">
        <f t="shared" si="61"/>
        <v/>
      </c>
      <c r="W335" s="1" t="str">
        <f t="shared" si="62"/>
        <v/>
      </c>
      <c r="X335" s="1">
        <f t="shared" si="59"/>
        <v>2.9336000000000002</v>
      </c>
      <c r="Y335" s="1">
        <f t="shared" si="60"/>
        <v>6.3599999999999657E-2</v>
      </c>
      <c r="Z335" s="1" t="str">
        <f t="shared" si="63"/>
        <v/>
      </c>
      <c r="AL335" s="1">
        <v>0</v>
      </c>
      <c r="AM335" s="1">
        <v>10</v>
      </c>
      <c r="AN335" s="1">
        <v>0</v>
      </c>
      <c r="AO335" s="1">
        <v>0</v>
      </c>
      <c r="AP335" s="1">
        <f t="shared" si="67"/>
        <v>0</v>
      </c>
      <c r="AQ335" s="1">
        <f t="shared" si="68"/>
        <v>6</v>
      </c>
      <c r="AR335" s="1">
        <f t="shared" si="69"/>
        <v>0</v>
      </c>
      <c r="AS335" s="1">
        <f t="shared" si="70"/>
        <v>0</v>
      </c>
    </row>
    <row r="336" spans="1:45" x14ac:dyDescent="0.2">
      <c r="A336" s="2">
        <v>44866</v>
      </c>
      <c r="B336" s="1">
        <v>0.39057206541902961</v>
      </c>
      <c r="C336" s="1">
        <v>-0.24053521646510545</v>
      </c>
      <c r="D336" s="1">
        <v>-2.3698107967275925</v>
      </c>
      <c r="E336" s="1">
        <v>0.87569951537770463</v>
      </c>
      <c r="F336" s="1">
        <v>0.15369909495295789</v>
      </c>
      <c r="G336" s="1">
        <v>-1.3422599624365448</v>
      </c>
      <c r="H336" s="1">
        <v>1.5622001354266577</v>
      </c>
      <c r="I336" s="1">
        <v>1.8559966599303157</v>
      </c>
      <c r="J336" s="1">
        <v>-0.37104422892298061</v>
      </c>
      <c r="K336" s="1">
        <v>1.2617860266146643</v>
      </c>
      <c r="L336" s="1">
        <v>0.17763032931691067</v>
      </c>
      <c r="M336" s="1">
        <v>0</v>
      </c>
      <c r="N336" s="1">
        <v>6</v>
      </c>
      <c r="O336" s="1">
        <v>0</v>
      </c>
      <c r="P336" s="1">
        <v>0</v>
      </c>
      <c r="Q336" s="1" t="str">
        <f t="shared" si="64"/>
        <v>Downturn</v>
      </c>
      <c r="R336" s="2">
        <f t="shared" si="65"/>
        <v>44895</v>
      </c>
      <c r="S336" s="1">
        <f>VLOOKUP(R336,BB!$A$3:$C$62769, 2, 1)</f>
        <v>3.6053999999999999</v>
      </c>
      <c r="T336" s="1">
        <f t="shared" si="66"/>
        <v>0.13050000000000006</v>
      </c>
      <c r="U336" s="1">
        <f>VLOOKUP(R336,BB!$A$3:$D$6771, 4, 1)</f>
        <v>3.7359</v>
      </c>
      <c r="V336" s="1">
        <f t="shared" si="61"/>
        <v>0.67179999999999973</v>
      </c>
      <c r="W336" s="1">
        <f t="shared" si="62"/>
        <v>6.6900000000000404E-2</v>
      </c>
      <c r="X336" s="1">
        <f t="shared" si="59"/>
        <v>2.9336000000000002</v>
      </c>
      <c r="Y336" s="1">
        <f t="shared" si="60"/>
        <v>6.3599999999999657E-2</v>
      </c>
      <c r="Z336" s="1" t="str">
        <f t="shared" si="63"/>
        <v>Downturn</v>
      </c>
      <c r="AL336" s="1">
        <v>0</v>
      </c>
      <c r="AM336" s="1">
        <v>10</v>
      </c>
      <c r="AN336" s="1">
        <v>0</v>
      </c>
      <c r="AO336" s="1">
        <v>0</v>
      </c>
      <c r="AP336" s="1">
        <f t="shared" si="67"/>
        <v>0</v>
      </c>
      <c r="AQ336" s="1">
        <f t="shared" si="68"/>
        <v>6</v>
      </c>
      <c r="AR336" s="1">
        <f t="shared" si="69"/>
        <v>0</v>
      </c>
      <c r="AS336" s="1">
        <f t="shared" si="70"/>
        <v>0</v>
      </c>
    </row>
    <row r="337" spans="1:45" x14ac:dyDescent="0.2">
      <c r="A337" s="2">
        <v>44896</v>
      </c>
      <c r="B337" s="1">
        <v>0.38219424342835995</v>
      </c>
      <c r="C337" s="1">
        <v>0.16400754059636241</v>
      </c>
      <c r="D337" s="1">
        <v>-2.0843597248131176</v>
      </c>
      <c r="E337" s="1">
        <v>0.96768678193758428</v>
      </c>
      <c r="F337" s="1">
        <v>0.11566521569075762</v>
      </c>
      <c r="G337" s="1">
        <v>-1.4803882740000198</v>
      </c>
      <c r="H337" s="1">
        <v>1.5200822714852606</v>
      </c>
      <c r="I337" s="1">
        <v>1.8414847661016143</v>
      </c>
      <c r="J337" s="1">
        <v>-0.47648854182884909</v>
      </c>
      <c r="K337" s="1">
        <v>1.1927362252601308</v>
      </c>
      <c r="L337" s="1">
        <v>0.21426205038580831</v>
      </c>
      <c r="M337" s="1">
        <v>6</v>
      </c>
      <c r="N337" s="1">
        <v>0</v>
      </c>
      <c r="O337" s="1">
        <v>0</v>
      </c>
      <c r="P337" s="1">
        <v>0</v>
      </c>
      <c r="Q337" s="1" t="str">
        <f t="shared" si="64"/>
        <v>Expansion</v>
      </c>
      <c r="R337" s="2">
        <f t="shared" si="65"/>
        <v>44926</v>
      </c>
      <c r="S337" s="1">
        <f>VLOOKUP(R337,BB!$A$3:$C$62769, 2, 1)</f>
        <v>3.8748</v>
      </c>
      <c r="T337" s="1">
        <f t="shared" si="66"/>
        <v>8.8200000000000056E-2</v>
      </c>
      <c r="U337" s="1">
        <f>VLOOKUP(R337,BB!$A$3:$D$6771, 4, 1)</f>
        <v>3.9630000000000001</v>
      </c>
      <c r="V337" s="1">
        <f t="shared" si="61"/>
        <v>0.26940000000000008</v>
      </c>
      <c r="W337" s="1">
        <f t="shared" si="62"/>
        <v>-4.2300000000000004E-2</v>
      </c>
      <c r="X337" s="1">
        <f t="shared" si="59"/>
        <v>3.6053999999999999</v>
      </c>
      <c r="Y337" s="1">
        <f t="shared" si="60"/>
        <v>0.13050000000000006</v>
      </c>
      <c r="Z337" s="1" t="str">
        <f t="shared" si="63"/>
        <v>Expansion</v>
      </c>
      <c r="AL337" s="1">
        <v>10</v>
      </c>
      <c r="AM337" s="1">
        <v>0</v>
      </c>
      <c r="AN337" s="1">
        <v>0</v>
      </c>
      <c r="AO337" s="1">
        <v>0</v>
      </c>
      <c r="AP337" s="1">
        <f t="shared" si="67"/>
        <v>6</v>
      </c>
      <c r="AQ337" s="1">
        <f t="shared" si="68"/>
        <v>0</v>
      </c>
      <c r="AR337" s="1">
        <f t="shared" si="69"/>
        <v>0</v>
      </c>
      <c r="AS337" s="1">
        <f t="shared" si="70"/>
        <v>0</v>
      </c>
    </row>
    <row r="338" spans="1:45" x14ac:dyDescent="0.2">
      <c r="A338" s="2">
        <v>44927</v>
      </c>
      <c r="B338" s="1">
        <v>0.39064626689230197</v>
      </c>
      <c r="C338" s="1">
        <v>8.4949055543625418E-2</v>
      </c>
      <c r="D338" s="1">
        <v>-2.2228088005396223</v>
      </c>
      <c r="E338" s="1">
        <v>1.0055775207032649</v>
      </c>
      <c r="F338" s="1">
        <v>0.3262562700879218</v>
      </c>
      <c r="G338" s="1">
        <v>-1.7012642127948578</v>
      </c>
      <c r="H338" s="1">
        <v>1.4631261704403749</v>
      </c>
      <c r="I338" s="1">
        <v>1.6926299319742524</v>
      </c>
      <c r="J338" s="1">
        <v>-1.4502144754803052</v>
      </c>
      <c r="K338" s="1">
        <v>1.7316373546115726</v>
      </c>
      <c r="L338" s="1">
        <v>0.13205350814385289</v>
      </c>
      <c r="M338" s="1">
        <v>0</v>
      </c>
      <c r="N338" s="1">
        <v>6</v>
      </c>
      <c r="O338" s="1">
        <v>0</v>
      </c>
      <c r="P338" s="1">
        <v>0</v>
      </c>
      <c r="Q338" s="1" t="str">
        <f t="shared" si="64"/>
        <v>Downturn</v>
      </c>
      <c r="R338" s="2">
        <f t="shared" si="65"/>
        <v>44957</v>
      </c>
      <c r="S338" s="1">
        <f>VLOOKUP(R338,BB!$A$3:$C$62769, 2, 1)</f>
        <v>3.5068999999999999</v>
      </c>
      <c r="T338" s="1">
        <f t="shared" si="66"/>
        <v>0.12530000000000019</v>
      </c>
      <c r="U338" s="1">
        <f>VLOOKUP(R338,BB!$A$3:$D$6771, 4, 1)</f>
        <v>3.6322000000000001</v>
      </c>
      <c r="V338" s="1" t="str">
        <f t="shared" si="61"/>
        <v/>
      </c>
      <c r="W338" s="1" t="str">
        <f t="shared" si="62"/>
        <v/>
      </c>
      <c r="X338" s="1">
        <f t="shared" ref="X338:X370" si="71">IF(Q338&lt;&gt;Q337,S337, X337)</f>
        <v>3.8748</v>
      </c>
      <c r="Y338" s="1">
        <f t="shared" ref="Y338:Y370" si="72">IF(Q338&lt;&gt;Q337,T337, Y337)</f>
        <v>8.8200000000000056E-2</v>
      </c>
      <c r="Z338" s="1" t="str">
        <f t="shared" si="63"/>
        <v/>
      </c>
      <c r="AL338" s="1">
        <v>0</v>
      </c>
      <c r="AM338" s="1">
        <v>10</v>
      </c>
      <c r="AN338" s="1">
        <v>0</v>
      </c>
      <c r="AO338" s="1">
        <v>0</v>
      </c>
      <c r="AP338" s="1">
        <f t="shared" si="67"/>
        <v>0</v>
      </c>
      <c r="AQ338" s="1">
        <f t="shared" si="68"/>
        <v>6</v>
      </c>
      <c r="AR338" s="1">
        <f t="shared" si="69"/>
        <v>0</v>
      </c>
      <c r="AS338" s="1">
        <f t="shared" si="70"/>
        <v>0</v>
      </c>
    </row>
    <row r="339" spans="1:45" x14ac:dyDescent="0.2">
      <c r="A339" s="2">
        <v>44958</v>
      </c>
      <c r="B339" s="1">
        <v>0.41249542048482318</v>
      </c>
      <c r="C339" s="1">
        <v>-0.16157573143070958</v>
      </c>
      <c r="D339" s="1">
        <v>-2.4299235696050676</v>
      </c>
      <c r="E339" s="1">
        <v>0.88217111941859006</v>
      </c>
      <c r="F339" s="1">
        <v>0.53146984771630856</v>
      </c>
      <c r="G339" s="1">
        <v>-1.601809781023589</v>
      </c>
      <c r="H339" s="1">
        <v>1.3913917456179099</v>
      </c>
      <c r="I339" s="1">
        <v>1.4751471361746307</v>
      </c>
      <c r="J339" s="1">
        <v>-1.1121458008464968</v>
      </c>
      <c r="K339" s="1">
        <v>1.4577021322920918</v>
      </c>
      <c r="L339" s="1">
        <v>8.4492251879849101E-2</v>
      </c>
      <c r="M339" s="1">
        <v>0</v>
      </c>
      <c r="N339" s="1">
        <v>6</v>
      </c>
      <c r="O339" s="1">
        <v>0</v>
      </c>
      <c r="P339" s="1">
        <v>0</v>
      </c>
      <c r="Q339" s="1" t="str">
        <f t="shared" si="64"/>
        <v>Downturn</v>
      </c>
      <c r="R339" s="2">
        <f t="shared" si="65"/>
        <v>44985</v>
      </c>
      <c r="S339" s="1">
        <f>VLOOKUP(R339,BB!$A$3:$C$62769, 2, 1)</f>
        <v>3.92</v>
      </c>
      <c r="T339" s="1">
        <f t="shared" si="66"/>
        <v>-3.8999999999997925E-3</v>
      </c>
      <c r="U339" s="1">
        <f>VLOOKUP(R339,BB!$A$3:$D$6771, 4, 1)</f>
        <v>3.9161000000000001</v>
      </c>
      <c r="V339" s="1" t="str">
        <f t="shared" si="61"/>
        <v/>
      </c>
      <c r="W339" s="1" t="str">
        <f t="shared" si="62"/>
        <v/>
      </c>
      <c r="X339" s="1">
        <f t="shared" si="71"/>
        <v>3.8748</v>
      </c>
      <c r="Y339" s="1">
        <f t="shared" si="72"/>
        <v>8.8200000000000056E-2</v>
      </c>
      <c r="Z339" s="1" t="str">
        <f t="shared" si="63"/>
        <v/>
      </c>
      <c r="AL339" s="1">
        <v>0</v>
      </c>
      <c r="AM339" s="1">
        <v>10</v>
      </c>
      <c r="AN339" s="1">
        <v>0</v>
      </c>
      <c r="AO339" s="1">
        <v>0</v>
      </c>
      <c r="AP339" s="1">
        <f t="shared" si="67"/>
        <v>0</v>
      </c>
      <c r="AQ339" s="1">
        <f t="shared" si="68"/>
        <v>6</v>
      </c>
      <c r="AR339" s="1">
        <f t="shared" si="69"/>
        <v>0</v>
      </c>
      <c r="AS339" s="1">
        <f t="shared" si="70"/>
        <v>0</v>
      </c>
    </row>
    <row r="340" spans="1:45" x14ac:dyDescent="0.2">
      <c r="A340" s="2">
        <v>44986</v>
      </c>
      <c r="B340" s="1">
        <v>0.42797527262623752</v>
      </c>
      <c r="C340" s="1">
        <v>-0.10808237524883384</v>
      </c>
      <c r="D340" s="1">
        <v>-1.9128267751445545</v>
      </c>
      <c r="E340" s="1">
        <v>0.92148553847169778</v>
      </c>
      <c r="F340" s="1">
        <v>0.70115307081116707</v>
      </c>
      <c r="G340" s="1">
        <v>-1.8923024808226769</v>
      </c>
      <c r="H340" s="1">
        <v>1.2897716366383272</v>
      </c>
      <c r="I340" s="1">
        <v>1.0858160001672887</v>
      </c>
      <c r="J340" s="1">
        <v>-1.6148632194323196E-2</v>
      </c>
      <c r="K340" s="1">
        <v>0.23143045060564874</v>
      </c>
      <c r="L340" s="1">
        <v>7.2827170590997845E-2</v>
      </c>
      <c r="M340" s="1">
        <v>0</v>
      </c>
      <c r="N340" s="1">
        <v>6</v>
      </c>
      <c r="O340" s="1">
        <v>0</v>
      </c>
      <c r="P340" s="1">
        <v>0</v>
      </c>
      <c r="Q340" s="1" t="str">
        <f t="shared" si="64"/>
        <v>Downturn</v>
      </c>
      <c r="R340" s="2">
        <f t="shared" si="65"/>
        <v>45016</v>
      </c>
      <c r="S340" s="1">
        <f>VLOOKUP(R340,BB!$A$3:$C$62769, 2, 1)</f>
        <v>3.4676</v>
      </c>
      <c r="T340" s="1">
        <f t="shared" si="66"/>
        <v>0.18230000000000013</v>
      </c>
      <c r="U340" s="1">
        <f>VLOOKUP(R340,BB!$A$3:$D$6771, 4, 1)</f>
        <v>3.6499000000000001</v>
      </c>
      <c r="V340" s="1">
        <f t="shared" si="61"/>
        <v>-0.40720000000000001</v>
      </c>
      <c r="W340" s="1">
        <f t="shared" si="62"/>
        <v>9.4100000000000072E-2</v>
      </c>
      <c r="X340" s="1">
        <f t="shared" si="71"/>
        <v>3.8748</v>
      </c>
      <c r="Y340" s="1">
        <f t="shared" si="72"/>
        <v>8.8200000000000056E-2</v>
      </c>
      <c r="Z340" s="1" t="str">
        <f t="shared" si="63"/>
        <v>Downturn</v>
      </c>
      <c r="AL340" s="1">
        <v>0</v>
      </c>
      <c r="AM340" s="1">
        <v>10</v>
      </c>
      <c r="AN340" s="1">
        <v>0</v>
      </c>
      <c r="AO340" s="1">
        <v>0</v>
      </c>
      <c r="AP340" s="1">
        <f t="shared" si="67"/>
        <v>0</v>
      </c>
      <c r="AQ340" s="1">
        <f t="shared" si="68"/>
        <v>6</v>
      </c>
      <c r="AR340" s="1">
        <f t="shared" si="69"/>
        <v>0</v>
      </c>
      <c r="AS340" s="1">
        <f t="shared" si="70"/>
        <v>0</v>
      </c>
    </row>
    <row r="341" spans="1:45" x14ac:dyDescent="0.2">
      <c r="A341" s="2">
        <v>45017</v>
      </c>
      <c r="B341" s="1">
        <v>0.40133569662869456</v>
      </c>
      <c r="C341" s="1">
        <v>-0.29602944288313748</v>
      </c>
      <c r="D341" s="1">
        <v>-1.9021449034321436</v>
      </c>
      <c r="E341" s="1">
        <v>0.96051460551161227</v>
      </c>
      <c r="F341" s="1">
        <v>0.55232431335923327</v>
      </c>
      <c r="G341" s="1">
        <v>-1.6790450669214134</v>
      </c>
      <c r="H341" s="1">
        <v>1.0924189670437463</v>
      </c>
      <c r="I341" s="1">
        <v>0.81406365909705702</v>
      </c>
      <c r="J341" s="1">
        <v>-0.85767252584284892</v>
      </c>
      <c r="K341" s="1">
        <v>-0.36522857825358856</v>
      </c>
      <c r="L341" s="1">
        <v>-0.12794632756927884</v>
      </c>
      <c r="M341" s="1">
        <v>0</v>
      </c>
      <c r="N341" s="1">
        <v>0</v>
      </c>
      <c r="O341" s="1">
        <v>6</v>
      </c>
      <c r="P341" s="1">
        <v>0</v>
      </c>
      <c r="Q341" s="1" t="str">
        <f t="shared" si="64"/>
        <v>Repair</v>
      </c>
      <c r="R341" s="2">
        <f t="shared" si="65"/>
        <v>45046</v>
      </c>
      <c r="S341" s="1">
        <f>VLOOKUP(R341,BB!$A$3:$C$62769, 2, 1)</f>
        <v>3.4220000000000002</v>
      </c>
      <c r="T341" s="1">
        <f t="shared" si="66"/>
        <v>0.25129999999999963</v>
      </c>
      <c r="U341" s="1">
        <f>VLOOKUP(R341,BB!$A$3:$D$6771, 4, 1)</f>
        <v>3.6732999999999998</v>
      </c>
      <c r="V341" s="1" t="str">
        <f t="shared" si="61"/>
        <v/>
      </c>
      <c r="W341" s="1" t="str">
        <f t="shared" si="62"/>
        <v/>
      </c>
      <c r="X341" s="1">
        <f t="shared" si="71"/>
        <v>3.4676</v>
      </c>
      <c r="Y341" s="1">
        <f t="shared" si="72"/>
        <v>0.18230000000000013</v>
      </c>
      <c r="Z341" s="1" t="str">
        <f t="shared" si="63"/>
        <v/>
      </c>
      <c r="AL341" s="1">
        <v>0</v>
      </c>
      <c r="AM341" s="1">
        <v>0</v>
      </c>
      <c r="AN341" s="1">
        <v>10</v>
      </c>
      <c r="AO341" s="1">
        <v>0</v>
      </c>
      <c r="AP341" s="1">
        <f t="shared" si="67"/>
        <v>0</v>
      </c>
      <c r="AQ341" s="1">
        <f t="shared" si="68"/>
        <v>0</v>
      </c>
      <c r="AR341" s="1">
        <f t="shared" si="69"/>
        <v>6</v>
      </c>
      <c r="AS341" s="1">
        <f t="shared" si="70"/>
        <v>0</v>
      </c>
    </row>
    <row r="342" spans="1:45" x14ac:dyDescent="0.2">
      <c r="A342" s="2">
        <v>45047</v>
      </c>
      <c r="B342" s="1">
        <v>0.36245855746700389</v>
      </c>
      <c r="C342" s="1">
        <v>-0.26030018681174177</v>
      </c>
      <c r="D342" s="1">
        <v>-2.0804325474793042</v>
      </c>
      <c r="E342" s="1">
        <v>0.78176376503332945</v>
      </c>
      <c r="F342" s="1">
        <v>0.44430613212038622</v>
      </c>
      <c r="G342" s="1">
        <v>-1.7026946027003447</v>
      </c>
      <c r="H342" s="1">
        <v>0.85117868241191341</v>
      </c>
      <c r="I342" s="1">
        <v>0.59071181181889509</v>
      </c>
      <c r="J342" s="1">
        <v>9.7146683625152816E-2</v>
      </c>
      <c r="K342" s="1">
        <v>-0.66483039297237512</v>
      </c>
      <c r="L342" s="1">
        <v>-0.15806920974870847</v>
      </c>
      <c r="M342" s="1">
        <v>0</v>
      </c>
      <c r="N342" s="1">
        <v>0</v>
      </c>
      <c r="O342" s="1">
        <v>6</v>
      </c>
      <c r="P342" s="1">
        <v>0</v>
      </c>
      <c r="Q342" s="1" t="str">
        <f t="shared" si="64"/>
        <v>Repair</v>
      </c>
      <c r="R342" s="2">
        <f t="shared" si="65"/>
        <v>45077</v>
      </c>
      <c r="S342" s="1">
        <f>VLOOKUP(R342,BB!$A$3:$C$62769, 2, 1)</f>
        <v>3.6425999999999998</v>
      </c>
      <c r="T342" s="1">
        <f t="shared" si="66"/>
        <v>0.21850000000000014</v>
      </c>
      <c r="U342" s="1">
        <f>VLOOKUP(R342,BB!$A$3:$D$6771, 4, 1)</f>
        <v>3.8611</v>
      </c>
      <c r="V342" s="1" t="str">
        <f t="shared" si="61"/>
        <v/>
      </c>
      <c r="W342" s="1" t="str">
        <f t="shared" si="62"/>
        <v/>
      </c>
      <c r="X342" s="1">
        <f t="shared" si="71"/>
        <v>3.4676</v>
      </c>
      <c r="Y342" s="1">
        <f t="shared" si="72"/>
        <v>0.18230000000000013</v>
      </c>
      <c r="Z342" s="1" t="str">
        <f t="shared" si="63"/>
        <v/>
      </c>
      <c r="AL342" s="1">
        <v>0</v>
      </c>
      <c r="AM342" s="1">
        <v>0</v>
      </c>
      <c r="AN342" s="1">
        <v>10</v>
      </c>
      <c r="AO342" s="1">
        <v>0</v>
      </c>
      <c r="AP342" s="1">
        <f t="shared" si="67"/>
        <v>0</v>
      </c>
      <c r="AQ342" s="1">
        <f t="shared" si="68"/>
        <v>0</v>
      </c>
      <c r="AR342" s="1">
        <f t="shared" si="69"/>
        <v>6</v>
      </c>
      <c r="AS342" s="1">
        <f t="shared" si="70"/>
        <v>0</v>
      </c>
    </row>
    <row r="343" spans="1:45" x14ac:dyDescent="0.2">
      <c r="A343" s="2">
        <v>45078</v>
      </c>
      <c r="B343" s="1">
        <v>0.31701031823637632</v>
      </c>
      <c r="C343" s="1">
        <v>0.15580809725912731</v>
      </c>
      <c r="D343" s="1">
        <v>-2.4054676509038182</v>
      </c>
      <c r="E343" s="1">
        <v>0.82266694383142969</v>
      </c>
      <c r="F343" s="1">
        <v>0.33595886771486355</v>
      </c>
      <c r="G343" s="1">
        <v>-1.8891027758633478</v>
      </c>
      <c r="H343" s="1">
        <v>0.51495907263524243</v>
      </c>
      <c r="I343" s="1">
        <v>0.24294796543339592</v>
      </c>
      <c r="J343" s="1">
        <v>-0.65845300763641779</v>
      </c>
      <c r="K343" s="1">
        <v>-0.26247005396144546</v>
      </c>
      <c r="L343" s="1">
        <v>-0.28261422232545941</v>
      </c>
      <c r="M343" s="1">
        <v>0</v>
      </c>
      <c r="N343" s="1">
        <v>0</v>
      </c>
      <c r="O343" s="1">
        <v>6</v>
      </c>
      <c r="P343" s="1">
        <v>0</v>
      </c>
      <c r="Q343" s="1" t="str">
        <f t="shared" si="64"/>
        <v>Repair</v>
      </c>
      <c r="R343" s="2">
        <f t="shared" si="65"/>
        <v>45107</v>
      </c>
      <c r="S343" s="1">
        <f>VLOOKUP(R343,BB!$A$3:$C$62769, 2, 1)</f>
        <v>3.8367</v>
      </c>
      <c r="T343" s="1">
        <f t="shared" si="66"/>
        <v>2.3800000000000043E-2</v>
      </c>
      <c r="U343" s="1">
        <f>VLOOKUP(R343,BB!$A$3:$D$6771, 4, 1)</f>
        <v>3.8605</v>
      </c>
      <c r="V343" s="1" t="str">
        <f t="shared" si="61"/>
        <v/>
      </c>
      <c r="W343" s="1" t="str">
        <f t="shared" si="62"/>
        <v/>
      </c>
      <c r="X343" s="1">
        <f t="shared" si="71"/>
        <v>3.4676</v>
      </c>
      <c r="Y343" s="1">
        <f t="shared" si="72"/>
        <v>0.18230000000000013</v>
      </c>
      <c r="Z343" s="1" t="str">
        <f t="shared" si="63"/>
        <v/>
      </c>
      <c r="AL343" s="1">
        <v>0</v>
      </c>
      <c r="AM343" s="1">
        <v>0</v>
      </c>
      <c r="AN343" s="1">
        <v>10</v>
      </c>
      <c r="AO343" s="1">
        <v>0</v>
      </c>
      <c r="AP343" s="1">
        <f t="shared" si="67"/>
        <v>0</v>
      </c>
      <c r="AQ343" s="1">
        <f t="shared" si="68"/>
        <v>0</v>
      </c>
      <c r="AR343" s="1">
        <f t="shared" si="69"/>
        <v>6</v>
      </c>
      <c r="AS343" s="1">
        <f t="shared" si="70"/>
        <v>0</v>
      </c>
    </row>
    <row r="344" spans="1:45" x14ac:dyDescent="0.2">
      <c r="A344" s="2">
        <v>45108</v>
      </c>
      <c r="B344" s="1">
        <v>0.31520795849108108</v>
      </c>
      <c r="C344" s="1">
        <v>0.57385131982124915</v>
      </c>
      <c r="D344" s="1">
        <v>-2.1669502765993136</v>
      </c>
      <c r="E344" s="1">
        <v>0.8635251710077424</v>
      </c>
      <c r="F344" s="1">
        <v>0.26917826404932382</v>
      </c>
      <c r="G344" s="1">
        <v>-1.769537983093517</v>
      </c>
      <c r="H344" s="1">
        <v>0.19966392063103533</v>
      </c>
      <c r="I344" s="1">
        <v>4.6049246622760664E-2</v>
      </c>
      <c r="J344" s="1">
        <v>-0.89518716326664827</v>
      </c>
      <c r="K344" s="1">
        <v>-0.64271809035675243</v>
      </c>
      <c r="L344" s="1">
        <v>-0.32069176326930393</v>
      </c>
      <c r="M344" s="1">
        <v>0</v>
      </c>
      <c r="N344" s="1">
        <v>0</v>
      </c>
      <c r="O344" s="1">
        <v>6</v>
      </c>
      <c r="P344" s="1">
        <v>0</v>
      </c>
      <c r="Q344" s="1" t="str">
        <f t="shared" si="64"/>
        <v>Repair</v>
      </c>
      <c r="R344" s="2">
        <f t="shared" si="65"/>
        <v>45138</v>
      </c>
      <c r="S344" s="1">
        <f>VLOOKUP(R344,BB!$A$3:$C$62769, 2, 1)</f>
        <v>3.9588000000000001</v>
      </c>
      <c r="T344" s="1">
        <f t="shared" si="66"/>
        <v>5.0799999999999734E-2</v>
      </c>
      <c r="U344" s="1">
        <f>VLOOKUP(R344,BB!$A$3:$D$6771, 4, 1)</f>
        <v>4.0095999999999998</v>
      </c>
      <c r="V344" s="1" t="str">
        <f t="shared" si="61"/>
        <v/>
      </c>
      <c r="W344" s="1" t="str">
        <f t="shared" si="62"/>
        <v/>
      </c>
      <c r="X344" s="1">
        <f t="shared" si="71"/>
        <v>3.4676</v>
      </c>
      <c r="Y344" s="1">
        <f t="shared" si="72"/>
        <v>0.18230000000000013</v>
      </c>
      <c r="Z344" s="1" t="str">
        <f t="shared" si="63"/>
        <v/>
      </c>
      <c r="AL344" s="1">
        <v>0</v>
      </c>
      <c r="AM344" s="1">
        <v>0</v>
      </c>
      <c r="AN344" s="1">
        <v>10</v>
      </c>
      <c r="AO344" s="1">
        <v>0</v>
      </c>
      <c r="AP344" s="1">
        <f t="shared" si="67"/>
        <v>0</v>
      </c>
      <c r="AQ344" s="1">
        <f t="shared" si="68"/>
        <v>0</v>
      </c>
      <c r="AR344" s="1">
        <f t="shared" si="69"/>
        <v>6</v>
      </c>
      <c r="AS344" s="1">
        <f t="shared" si="70"/>
        <v>0</v>
      </c>
    </row>
    <row r="345" spans="1:45" x14ac:dyDescent="0.2">
      <c r="A345" s="2">
        <v>45139</v>
      </c>
      <c r="B345" s="1">
        <v>0.31939919326332322</v>
      </c>
      <c r="C345" s="1">
        <v>-8.7757174554492348E-2</v>
      </c>
      <c r="D345" s="1">
        <v>-1.9204913167175051</v>
      </c>
      <c r="E345" s="1">
        <v>0.68360095517697483</v>
      </c>
      <c r="F345" s="1">
        <v>0.16148760315785399</v>
      </c>
      <c r="G345" s="1">
        <v>-1.4707658243577353</v>
      </c>
      <c r="H345" s="1">
        <v>-0.16252866197220864</v>
      </c>
      <c r="I345" s="1">
        <v>-8.0448771624010124E-2</v>
      </c>
      <c r="J345" s="1">
        <v>-0.81505354760037119</v>
      </c>
      <c r="K345" s="1">
        <v>-0.71682063595481771</v>
      </c>
      <c r="L345" s="1">
        <v>-0.40893781811829877</v>
      </c>
      <c r="M345" s="1">
        <v>0</v>
      </c>
      <c r="N345" s="1">
        <v>0</v>
      </c>
      <c r="O345" s="1">
        <v>6</v>
      </c>
      <c r="P345" s="1">
        <v>0</v>
      </c>
      <c r="Q345" s="1" t="str">
        <f t="shared" si="64"/>
        <v>Repair</v>
      </c>
      <c r="R345" s="2">
        <f t="shared" si="65"/>
        <v>45169</v>
      </c>
      <c r="S345" s="1">
        <f>VLOOKUP(R345,BB!$A$3:$C$62769, 2, 1)</f>
        <v>4.1081000000000003</v>
      </c>
      <c r="T345" s="1">
        <f t="shared" si="66"/>
        <v>0.1025999999999998</v>
      </c>
      <c r="U345" s="1">
        <f>VLOOKUP(R345,BB!$A$3:$D$6771, 4, 1)</f>
        <v>4.2107000000000001</v>
      </c>
      <c r="V345" s="1" t="str">
        <f t="shared" si="61"/>
        <v/>
      </c>
      <c r="W345" s="1" t="str">
        <f t="shared" si="62"/>
        <v/>
      </c>
      <c r="X345" s="1">
        <f t="shared" si="71"/>
        <v>3.4676</v>
      </c>
      <c r="Y345" s="1">
        <f t="shared" si="72"/>
        <v>0.18230000000000013</v>
      </c>
      <c r="Z345" s="1" t="str">
        <f t="shared" si="63"/>
        <v/>
      </c>
      <c r="AL345" s="1">
        <v>0</v>
      </c>
      <c r="AM345" s="1">
        <v>0</v>
      </c>
      <c r="AN345" s="1">
        <v>10</v>
      </c>
      <c r="AO345" s="1">
        <v>0</v>
      </c>
      <c r="AP345" s="1">
        <f t="shared" si="67"/>
        <v>0</v>
      </c>
      <c r="AQ345" s="1">
        <f t="shared" si="68"/>
        <v>0</v>
      </c>
      <c r="AR345" s="1">
        <f t="shared" si="69"/>
        <v>6</v>
      </c>
      <c r="AS345" s="1">
        <f t="shared" si="70"/>
        <v>0</v>
      </c>
    </row>
    <row r="346" spans="1:45" x14ac:dyDescent="0.2">
      <c r="A346" s="2">
        <v>45170</v>
      </c>
      <c r="B346" s="1">
        <v>0.34766654181935114</v>
      </c>
      <c r="C346" s="1">
        <v>-0.2874409975367222</v>
      </c>
      <c r="D346" s="1">
        <v>-1.5411283198463239</v>
      </c>
      <c r="E346" s="1">
        <v>0.67067395534094598</v>
      </c>
      <c r="F346" s="1">
        <v>6.865342204428744E-2</v>
      </c>
      <c r="G346" s="1">
        <v>-1.1427142406518751</v>
      </c>
      <c r="H346" s="1">
        <v>-0.45581604254164104</v>
      </c>
      <c r="I346" s="1">
        <v>-0.30457806364019296</v>
      </c>
      <c r="J346" s="1">
        <v>-0.63259792747898547</v>
      </c>
      <c r="K346" s="1">
        <v>-0.63845345187434477</v>
      </c>
      <c r="L346" s="1">
        <v>-0.39157351243655003</v>
      </c>
      <c r="M346" s="1">
        <v>0</v>
      </c>
      <c r="N346" s="1">
        <v>0</v>
      </c>
      <c r="O346" s="1">
        <v>6</v>
      </c>
      <c r="P346" s="1">
        <v>0</v>
      </c>
      <c r="Q346" s="1" t="str">
        <f t="shared" si="64"/>
        <v>Repair</v>
      </c>
      <c r="R346" s="2">
        <f t="shared" si="65"/>
        <v>45199</v>
      </c>
      <c r="S346" s="1">
        <f>VLOOKUP(R346,BB!$A$3:$C$62769, 2, 1)</f>
        <v>4.5711000000000004</v>
      </c>
      <c r="T346" s="1">
        <f t="shared" si="66"/>
        <v>0.12809999999999988</v>
      </c>
      <c r="U346" s="1">
        <f>VLOOKUP(R346,BB!$A$3:$D$6771, 4, 1)</f>
        <v>4.6992000000000003</v>
      </c>
      <c r="V346" s="1" t="str">
        <f t="shared" si="61"/>
        <v/>
      </c>
      <c r="W346" s="1" t="str">
        <f t="shared" si="62"/>
        <v/>
      </c>
      <c r="X346" s="1">
        <f t="shared" si="71"/>
        <v>3.4676</v>
      </c>
      <c r="Y346" s="1">
        <f t="shared" si="72"/>
        <v>0.18230000000000013</v>
      </c>
      <c r="Z346" s="1" t="str">
        <f t="shared" si="63"/>
        <v/>
      </c>
      <c r="AL346" s="1">
        <v>0</v>
      </c>
      <c r="AM346" s="1">
        <v>0</v>
      </c>
      <c r="AN346" s="1">
        <v>10</v>
      </c>
      <c r="AO346" s="1">
        <v>0</v>
      </c>
      <c r="AP346" s="1">
        <f t="shared" si="67"/>
        <v>0</v>
      </c>
      <c r="AQ346" s="1">
        <f t="shared" si="68"/>
        <v>0</v>
      </c>
      <c r="AR346" s="1">
        <f t="shared" si="69"/>
        <v>6</v>
      </c>
      <c r="AS346" s="1">
        <f t="shared" si="70"/>
        <v>0</v>
      </c>
    </row>
    <row r="347" spans="1:45" x14ac:dyDescent="0.2">
      <c r="A347" s="2">
        <v>45200</v>
      </c>
      <c r="B347" s="1">
        <v>0.36447018087396821</v>
      </c>
      <c r="C347" s="1">
        <v>-0.32702747455390502</v>
      </c>
      <c r="D347" s="1">
        <v>-1.1277993678870259</v>
      </c>
      <c r="E347" s="1">
        <v>0.60225389500344639</v>
      </c>
      <c r="F347" s="1">
        <v>-3.8274991932276466E-2</v>
      </c>
      <c r="G347" s="1">
        <v>-1.6167087843313854</v>
      </c>
      <c r="H347" s="1">
        <v>-0.74634313355516224</v>
      </c>
      <c r="I347" s="1">
        <v>-0.47314207635542033</v>
      </c>
      <c r="J347" s="1">
        <v>0.81144340728816233</v>
      </c>
      <c r="K347" s="1">
        <v>-1.4309733900735369</v>
      </c>
      <c r="L347" s="1">
        <v>-0.39821017355231347</v>
      </c>
      <c r="M347" s="1">
        <v>0</v>
      </c>
      <c r="N347" s="1">
        <v>0</v>
      </c>
      <c r="O347" s="1">
        <v>6</v>
      </c>
      <c r="P347" s="1">
        <v>0</v>
      </c>
      <c r="Q347" s="1" t="str">
        <f t="shared" si="64"/>
        <v>Repair</v>
      </c>
      <c r="R347" s="2">
        <f t="shared" si="65"/>
        <v>45230</v>
      </c>
      <c r="S347" s="1">
        <f>VLOOKUP(R347,BB!$A$3:$C$62769, 2, 1)</f>
        <v>4.9306999999999999</v>
      </c>
      <c r="T347" s="1">
        <f t="shared" si="66"/>
        <v>0.16239999999999988</v>
      </c>
      <c r="U347" s="1">
        <f>VLOOKUP(R347,BB!$A$3:$D$6771, 4, 1)</f>
        <v>5.0930999999999997</v>
      </c>
      <c r="V347" s="1" t="str">
        <f t="shared" ref="V347:V370" si="73">IF(Q347&lt;&gt;Q348, S347-X347, "")</f>
        <v/>
      </c>
      <c r="W347" s="1" t="str">
        <f t="shared" ref="W347:W370" si="74">IF(Q347&lt;&gt;Q348, T347-Y347, "")</f>
        <v/>
      </c>
      <c r="X347" s="1">
        <f t="shared" si="71"/>
        <v>3.4676</v>
      </c>
      <c r="Y347" s="1">
        <f t="shared" si="72"/>
        <v>0.18230000000000013</v>
      </c>
      <c r="Z347" s="1" t="str">
        <f t="shared" si="63"/>
        <v/>
      </c>
      <c r="AL347" s="1">
        <v>0</v>
      </c>
      <c r="AM347" s="1">
        <v>0</v>
      </c>
      <c r="AN347" s="1">
        <v>10</v>
      </c>
      <c r="AO347" s="1">
        <v>0</v>
      </c>
      <c r="AP347" s="1">
        <f t="shared" si="67"/>
        <v>0</v>
      </c>
      <c r="AQ347" s="1">
        <f t="shared" si="68"/>
        <v>0</v>
      </c>
      <c r="AR347" s="1">
        <f t="shared" si="69"/>
        <v>6</v>
      </c>
      <c r="AS347" s="1">
        <f t="shared" si="70"/>
        <v>0</v>
      </c>
    </row>
    <row r="348" spans="1:45" x14ac:dyDescent="0.2">
      <c r="A348" s="2">
        <v>45231</v>
      </c>
      <c r="B348" s="1">
        <v>0.37428048813050369</v>
      </c>
      <c r="C348" s="1">
        <v>-0.38758710489303982</v>
      </c>
      <c r="D348" s="1">
        <v>-1.3612094888211796</v>
      </c>
      <c r="E348" s="1">
        <v>0.70169230688496098</v>
      </c>
      <c r="F348" s="1">
        <v>-7.6681703063444531E-2</v>
      </c>
      <c r="G348" s="1">
        <v>-1.5837368137964509</v>
      </c>
      <c r="H348" s="1">
        <v>-0.91706400102671992</v>
      </c>
      <c r="I348" s="1">
        <v>-0.49665053109075719</v>
      </c>
      <c r="J348" s="1">
        <v>-0.90474422065665783</v>
      </c>
      <c r="K348" s="1">
        <v>-1.5232042215101189</v>
      </c>
      <c r="L348" s="1">
        <v>-0.61749052898429047</v>
      </c>
      <c r="M348" s="1">
        <v>0</v>
      </c>
      <c r="N348" s="1">
        <v>0</v>
      </c>
      <c r="O348" s="1">
        <v>6</v>
      </c>
      <c r="P348" s="1">
        <v>0</v>
      </c>
      <c r="Q348" s="1" t="str">
        <f t="shared" si="64"/>
        <v>Repair</v>
      </c>
      <c r="R348" s="2">
        <f t="shared" si="65"/>
        <v>45260</v>
      </c>
      <c r="S348" s="1">
        <f>VLOOKUP(R348,BB!$A$3:$C$62769, 2, 1)</f>
        <v>4.3263999999999996</v>
      </c>
      <c r="T348" s="1">
        <f t="shared" si="66"/>
        <v>0.16680000000000028</v>
      </c>
      <c r="U348" s="1">
        <f>VLOOKUP(R348,BB!$A$3:$D$6771, 4, 1)</f>
        <v>4.4931999999999999</v>
      </c>
      <c r="V348" s="1" t="str">
        <f t="shared" si="73"/>
        <v/>
      </c>
      <c r="W348" s="1" t="str">
        <f t="shared" si="74"/>
        <v/>
      </c>
      <c r="X348" s="1">
        <f t="shared" si="71"/>
        <v>3.4676</v>
      </c>
      <c r="Y348" s="1">
        <f t="shared" si="72"/>
        <v>0.18230000000000013</v>
      </c>
      <c r="Z348" s="1" t="str">
        <f t="shared" si="63"/>
        <v/>
      </c>
      <c r="AL348" s="1">
        <v>0</v>
      </c>
      <c r="AM348" s="1">
        <v>0</v>
      </c>
      <c r="AN348" s="1">
        <v>10</v>
      </c>
      <c r="AO348" s="1">
        <v>0</v>
      </c>
      <c r="AP348" s="1">
        <f t="shared" si="67"/>
        <v>0</v>
      </c>
      <c r="AQ348" s="1">
        <f t="shared" si="68"/>
        <v>0</v>
      </c>
      <c r="AR348" s="1">
        <f t="shared" si="69"/>
        <v>6</v>
      </c>
      <c r="AS348" s="1">
        <f t="shared" si="70"/>
        <v>0</v>
      </c>
    </row>
    <row r="349" spans="1:45" x14ac:dyDescent="0.2">
      <c r="A349" s="2">
        <v>45261</v>
      </c>
      <c r="B349" s="1">
        <v>0.37242117960194987</v>
      </c>
      <c r="C349" s="1">
        <v>0.14008597953634641</v>
      </c>
      <c r="D349" s="1">
        <v>-1.3703868028212065</v>
      </c>
      <c r="E349" s="1">
        <v>0.68875956817778794</v>
      </c>
      <c r="F349" s="1">
        <v>-0.11882929637246416</v>
      </c>
      <c r="G349" s="1">
        <v>-1.4047766212556092</v>
      </c>
      <c r="H349" s="1">
        <v>-1.0516433467247199</v>
      </c>
      <c r="I349" s="1">
        <v>-0.7742404686863672</v>
      </c>
      <c r="J349" s="1">
        <v>-0.27462901519846994</v>
      </c>
      <c r="K349" s="1">
        <v>-1.4547469466313359</v>
      </c>
      <c r="L349" s="1">
        <v>-0.52479857703740884</v>
      </c>
      <c r="M349" s="1">
        <v>0</v>
      </c>
      <c r="N349" s="1">
        <v>0</v>
      </c>
      <c r="O349" s="1">
        <v>6</v>
      </c>
      <c r="P349" s="1">
        <v>0</v>
      </c>
      <c r="Q349" s="1" t="str">
        <f t="shared" si="64"/>
        <v>Repair</v>
      </c>
      <c r="R349" s="2">
        <f t="shared" si="65"/>
        <v>45291</v>
      </c>
      <c r="S349" s="1">
        <f>VLOOKUP(R349,BB!$A$3:$C$62769, 2, 1)</f>
        <v>3.8791000000000002</v>
      </c>
      <c r="T349" s="1">
        <f t="shared" si="66"/>
        <v>0.14909999999999979</v>
      </c>
      <c r="U349" s="1">
        <f>VLOOKUP(R349,BB!$A$3:$D$6771, 4, 1)</f>
        <v>4.0282</v>
      </c>
      <c r="V349" s="1" t="str">
        <f t="shared" si="73"/>
        <v/>
      </c>
      <c r="W349" s="1" t="str">
        <f t="shared" si="74"/>
        <v/>
      </c>
      <c r="X349" s="1">
        <f t="shared" si="71"/>
        <v>3.4676</v>
      </c>
      <c r="Y349" s="1">
        <f t="shared" si="72"/>
        <v>0.18230000000000013</v>
      </c>
      <c r="Z349" s="1" t="str">
        <f t="shared" si="63"/>
        <v/>
      </c>
      <c r="AL349" s="1">
        <v>0</v>
      </c>
      <c r="AM349" s="1">
        <v>0</v>
      </c>
      <c r="AN349" s="1">
        <v>10</v>
      </c>
      <c r="AO349" s="1">
        <v>0</v>
      </c>
      <c r="AP349" s="1">
        <f t="shared" si="67"/>
        <v>0</v>
      </c>
      <c r="AQ349" s="1">
        <f t="shared" si="68"/>
        <v>0</v>
      </c>
      <c r="AR349" s="1">
        <f t="shared" si="69"/>
        <v>6</v>
      </c>
      <c r="AS349" s="1">
        <f t="shared" si="70"/>
        <v>0</v>
      </c>
    </row>
    <row r="350" spans="1:45" x14ac:dyDescent="0.2">
      <c r="A350" s="2">
        <v>45292</v>
      </c>
      <c r="B350" s="1">
        <v>0.37217786289511651</v>
      </c>
      <c r="C350" s="1">
        <v>0.38987646627145039</v>
      </c>
      <c r="D350" s="1">
        <v>-1.2643797390236127</v>
      </c>
      <c r="E350" s="1">
        <v>0.67626042352447224</v>
      </c>
      <c r="F350" s="1">
        <v>-9.4735037998714355E-2</v>
      </c>
      <c r="G350" s="1">
        <v>-1.0240664316722927</v>
      </c>
      <c r="H350" s="1">
        <v>-1.1338186640297003</v>
      </c>
      <c r="I350" s="1">
        <v>-0.85157552633171185</v>
      </c>
      <c r="J350" s="1">
        <v>-0.48214699573006109</v>
      </c>
      <c r="K350" s="1">
        <v>-1.5681122798026021</v>
      </c>
      <c r="L350" s="1">
        <v>-0.49805199218976559</v>
      </c>
      <c r="M350" s="1">
        <v>0</v>
      </c>
      <c r="N350" s="1">
        <v>0</v>
      </c>
      <c r="O350" s="1">
        <v>6</v>
      </c>
      <c r="P350" s="1">
        <v>0</v>
      </c>
      <c r="Q350" s="1" t="str">
        <f t="shared" si="64"/>
        <v>Repair</v>
      </c>
      <c r="R350" s="2">
        <f t="shared" si="65"/>
        <v>45322</v>
      </c>
      <c r="S350" s="1">
        <f>VLOOKUP(R350,BB!$A$3:$C$62769, 2, 1)</f>
        <v>3.9123999999999999</v>
      </c>
      <c r="T350" s="1">
        <f t="shared" si="66"/>
        <v>0.25360000000000049</v>
      </c>
      <c r="U350" s="1">
        <f>VLOOKUP(R350,BB!$A$3:$D$6771, 4, 1)</f>
        <v>4.1660000000000004</v>
      </c>
      <c r="V350" s="1" t="str">
        <f t="shared" si="73"/>
        <v/>
      </c>
      <c r="W350" s="1" t="str">
        <f t="shared" si="74"/>
        <v/>
      </c>
      <c r="X350" s="1">
        <f t="shared" si="71"/>
        <v>3.4676</v>
      </c>
      <c r="Y350" s="1">
        <f t="shared" si="72"/>
        <v>0.18230000000000013</v>
      </c>
      <c r="Z350" s="1" t="str">
        <f t="shared" si="63"/>
        <v/>
      </c>
      <c r="AL350" s="1">
        <v>0</v>
      </c>
      <c r="AM350" s="1">
        <v>0</v>
      </c>
      <c r="AN350" s="1">
        <v>10</v>
      </c>
      <c r="AO350" s="1">
        <v>0</v>
      </c>
      <c r="AP350" s="1">
        <f t="shared" si="67"/>
        <v>0</v>
      </c>
      <c r="AQ350" s="1">
        <f t="shared" si="68"/>
        <v>0</v>
      </c>
      <c r="AR350" s="1">
        <f t="shared" si="69"/>
        <v>6</v>
      </c>
      <c r="AS350" s="1">
        <f t="shared" si="70"/>
        <v>0</v>
      </c>
    </row>
    <row r="351" spans="1:45" x14ac:dyDescent="0.2">
      <c r="A351" s="2">
        <v>45323</v>
      </c>
      <c r="B351" s="1">
        <v>0.37374757675912501</v>
      </c>
      <c r="C351" s="1">
        <v>-0.15428831521749314</v>
      </c>
      <c r="D351" s="1">
        <v>-1.3493509895306344</v>
      </c>
      <c r="E351" s="1">
        <v>0.55121545032244046</v>
      </c>
      <c r="F351" s="1">
        <v>-0.15464272559698172</v>
      </c>
      <c r="G351" s="1">
        <v>-1.2876751299759346</v>
      </c>
      <c r="H351" s="1">
        <v>-1.1645712562737336</v>
      </c>
      <c r="I351" s="1">
        <v>-0.9742221999455235</v>
      </c>
      <c r="J351" s="1">
        <v>-0.13897341178589423</v>
      </c>
      <c r="K351" s="1">
        <v>-1.4848225919065641</v>
      </c>
      <c r="L351" s="1">
        <v>-0.57835835931511936</v>
      </c>
      <c r="M351" s="1">
        <v>0</v>
      </c>
      <c r="N351" s="1">
        <v>0</v>
      </c>
      <c r="O351" s="1">
        <v>6</v>
      </c>
      <c r="P351" s="1">
        <v>0</v>
      </c>
      <c r="Q351" s="1" t="str">
        <f t="shared" si="64"/>
        <v>Repair</v>
      </c>
      <c r="R351" s="2">
        <f t="shared" si="65"/>
        <v>45351</v>
      </c>
      <c r="S351" s="1">
        <f>VLOOKUP(R351,BB!$A$3:$C$62769, 2, 1)</f>
        <v>4.2502000000000004</v>
      </c>
      <c r="T351" s="1">
        <f t="shared" si="66"/>
        <v>0.12869999999999937</v>
      </c>
      <c r="U351" s="1">
        <f>VLOOKUP(R351,BB!$A$3:$D$6771, 4, 1)</f>
        <v>4.3788999999999998</v>
      </c>
      <c r="V351" s="1" t="str">
        <f t="shared" si="73"/>
        <v/>
      </c>
      <c r="W351" s="1" t="str">
        <f t="shared" si="74"/>
        <v/>
      </c>
      <c r="X351" s="1">
        <f t="shared" si="71"/>
        <v>3.4676</v>
      </c>
      <c r="Y351" s="1">
        <f t="shared" si="72"/>
        <v>0.18230000000000013</v>
      </c>
      <c r="Z351" s="1" t="str">
        <f t="shared" si="63"/>
        <v/>
      </c>
      <c r="AL351" s="1">
        <v>0</v>
      </c>
      <c r="AM351" s="1">
        <v>0</v>
      </c>
      <c r="AN351" s="1">
        <v>10</v>
      </c>
      <c r="AO351" s="1">
        <v>0</v>
      </c>
      <c r="AP351" s="1">
        <f t="shared" si="67"/>
        <v>0</v>
      </c>
      <c r="AQ351" s="1">
        <f t="shared" si="68"/>
        <v>0</v>
      </c>
      <c r="AR351" s="1">
        <f t="shared" si="69"/>
        <v>6</v>
      </c>
      <c r="AS351" s="1">
        <f t="shared" si="70"/>
        <v>0</v>
      </c>
    </row>
    <row r="352" spans="1:45" x14ac:dyDescent="0.2">
      <c r="A352" s="2">
        <v>45352</v>
      </c>
      <c r="B352" s="1">
        <v>0.36947700206766709</v>
      </c>
      <c r="C352" s="1">
        <v>-0.30633613802251181</v>
      </c>
      <c r="D352" s="1">
        <v>-1.4053948009145172</v>
      </c>
      <c r="E352" s="1">
        <v>0.5963885325802637</v>
      </c>
      <c r="F352" s="1">
        <v>-0.17924252816222919</v>
      </c>
      <c r="G352" s="1">
        <v>-0.75292751929640744</v>
      </c>
      <c r="H352" s="1">
        <v>-1.194368635886788</v>
      </c>
      <c r="I352" s="1">
        <v>-0.92338709774805294</v>
      </c>
      <c r="J352" s="1">
        <v>-0.93994443595470756</v>
      </c>
      <c r="K352" s="1">
        <v>-1.0670079977307763</v>
      </c>
      <c r="L352" s="1">
        <v>-0.58027436190680604</v>
      </c>
      <c r="M352" s="1">
        <v>0</v>
      </c>
      <c r="N352" s="1">
        <v>0</v>
      </c>
      <c r="O352" s="1">
        <v>6</v>
      </c>
      <c r="P352" s="1">
        <v>0</v>
      </c>
      <c r="Q352" s="1" t="str">
        <f t="shared" si="64"/>
        <v>Repair</v>
      </c>
      <c r="R352" s="2">
        <f t="shared" si="65"/>
        <v>45382</v>
      </c>
      <c r="S352" s="1">
        <f>VLOOKUP(R352,BB!$A$3:$C$62769, 2, 1)</f>
        <v>4.2003000000000004</v>
      </c>
      <c r="T352" s="1">
        <f t="shared" si="66"/>
        <v>0.14239999999999942</v>
      </c>
      <c r="U352" s="1">
        <f>VLOOKUP(R352,BB!$A$3:$D$6771, 4, 1)</f>
        <v>4.3426999999999998</v>
      </c>
      <c r="V352" s="1" t="str">
        <f t="shared" si="73"/>
        <v/>
      </c>
      <c r="W352" s="1" t="str">
        <f t="shared" si="74"/>
        <v/>
      </c>
      <c r="X352" s="1">
        <f t="shared" si="71"/>
        <v>3.4676</v>
      </c>
      <c r="Y352" s="1">
        <f t="shared" si="72"/>
        <v>0.18230000000000013</v>
      </c>
      <c r="Z352" s="1" t="str">
        <f t="shared" si="63"/>
        <v/>
      </c>
      <c r="AL352" s="1">
        <v>0</v>
      </c>
      <c r="AM352" s="1">
        <v>0</v>
      </c>
      <c r="AN352" s="1">
        <v>10</v>
      </c>
      <c r="AO352" s="1">
        <v>0</v>
      </c>
      <c r="AP352" s="1">
        <f t="shared" si="67"/>
        <v>0</v>
      </c>
      <c r="AQ352" s="1">
        <f t="shared" si="68"/>
        <v>0</v>
      </c>
      <c r="AR352" s="1">
        <f t="shared" si="69"/>
        <v>6</v>
      </c>
      <c r="AS352" s="1">
        <f t="shared" si="70"/>
        <v>0</v>
      </c>
    </row>
    <row r="353" spans="1:45" x14ac:dyDescent="0.2">
      <c r="A353" s="2">
        <v>45383</v>
      </c>
      <c r="B353" s="1">
        <v>0.36231013169797793</v>
      </c>
      <c r="C353" s="1">
        <v>-0.84370599518674505</v>
      </c>
      <c r="D353" s="1">
        <v>-1.3063161906107681</v>
      </c>
      <c r="E353" s="1">
        <v>0.52782404877627276</v>
      </c>
      <c r="F353" s="1">
        <v>-0.19462298055529925</v>
      </c>
      <c r="G353" s="1">
        <v>-0.97216185854019765</v>
      </c>
      <c r="H353" s="1">
        <v>-1.2720045412422858</v>
      </c>
      <c r="I353" s="1">
        <v>-0.95859414389663045</v>
      </c>
      <c r="J353" s="1">
        <v>-0.11371310157005528</v>
      </c>
      <c r="K353" s="1">
        <v>-1.3443854620644033</v>
      </c>
      <c r="L353" s="1">
        <v>-0.6115370093192134</v>
      </c>
      <c r="M353" s="1">
        <v>0</v>
      </c>
      <c r="N353" s="1">
        <v>0</v>
      </c>
      <c r="O353" s="1">
        <v>6</v>
      </c>
      <c r="P353" s="1">
        <v>0</v>
      </c>
      <c r="Q353" s="1" t="str">
        <f t="shared" si="64"/>
        <v>Repair</v>
      </c>
      <c r="R353" s="2">
        <f t="shared" si="65"/>
        <v>45412</v>
      </c>
      <c r="S353" s="1">
        <f>VLOOKUP(R353,BB!$A$3:$C$62769, 2, 1)</f>
        <v>4.6798000000000002</v>
      </c>
      <c r="T353" s="1">
        <f t="shared" si="66"/>
        <v>0.10409999999999986</v>
      </c>
      <c r="U353" s="1">
        <f>VLOOKUP(R353,BB!$A$3:$D$6771, 4, 1)</f>
        <v>4.7839</v>
      </c>
      <c r="V353" s="1" t="str">
        <f t="shared" si="73"/>
        <v/>
      </c>
      <c r="W353" s="1" t="str">
        <f t="shared" si="74"/>
        <v/>
      </c>
      <c r="X353" s="1">
        <f t="shared" si="71"/>
        <v>3.4676</v>
      </c>
      <c r="Y353" s="1">
        <f t="shared" si="72"/>
        <v>0.18230000000000013</v>
      </c>
      <c r="Z353" s="1" t="str">
        <f t="shared" si="63"/>
        <v/>
      </c>
      <c r="AL353" s="1">
        <v>0</v>
      </c>
      <c r="AM353" s="1">
        <v>0</v>
      </c>
      <c r="AN353" s="1">
        <v>10</v>
      </c>
      <c r="AO353" s="1">
        <v>0</v>
      </c>
      <c r="AP353" s="1">
        <f t="shared" si="67"/>
        <v>0</v>
      </c>
      <c r="AQ353" s="1">
        <f t="shared" si="68"/>
        <v>0</v>
      </c>
      <c r="AR353" s="1">
        <f t="shared" si="69"/>
        <v>6</v>
      </c>
      <c r="AS353" s="1">
        <f t="shared" si="70"/>
        <v>0</v>
      </c>
    </row>
    <row r="354" spans="1:45" x14ac:dyDescent="0.2">
      <c r="A354" s="2">
        <v>45413</v>
      </c>
      <c r="B354" s="1">
        <v>0.33529890668534373</v>
      </c>
      <c r="C354" s="1">
        <v>-0.51981358718333948</v>
      </c>
      <c r="D354" s="1">
        <v>-1.3203440825449693</v>
      </c>
      <c r="E354" s="1">
        <v>0.46055623901165493</v>
      </c>
      <c r="F354" s="1">
        <v>-0.14888821247329298</v>
      </c>
      <c r="G354" s="1">
        <v>-1.0615049110659318</v>
      </c>
      <c r="H354" s="1">
        <v>-1.3470706469458984</v>
      </c>
      <c r="I354" s="1">
        <v>-1.092824543345186</v>
      </c>
      <c r="J354" s="1">
        <v>-0.41968455262312349</v>
      </c>
      <c r="K354" s="1">
        <v>-1.1028860809609131</v>
      </c>
      <c r="L354" s="1">
        <v>-0.62171614714456558</v>
      </c>
      <c r="M354" s="1">
        <v>0</v>
      </c>
      <c r="N354" s="1">
        <v>0</v>
      </c>
      <c r="O354" s="1">
        <v>6</v>
      </c>
      <c r="P354" s="1">
        <v>0</v>
      </c>
      <c r="Q354" s="1" t="str">
        <f t="shared" si="64"/>
        <v>Repair</v>
      </c>
      <c r="R354" s="2">
        <f t="shared" si="65"/>
        <v>45443</v>
      </c>
      <c r="S354" s="1">
        <f>VLOOKUP(R354,BB!$A$3:$C$62769, 2, 1)</f>
        <v>4.4984999999999999</v>
      </c>
      <c r="T354" s="1">
        <f t="shared" si="66"/>
        <v>0.14869999999999983</v>
      </c>
      <c r="U354" s="1">
        <f>VLOOKUP(R354,BB!$A$3:$D$6771, 4, 1)</f>
        <v>4.6471999999999998</v>
      </c>
      <c r="V354" s="1" t="str">
        <f t="shared" si="73"/>
        <v/>
      </c>
      <c r="W354" s="1" t="str">
        <f t="shared" si="74"/>
        <v/>
      </c>
      <c r="X354" s="1">
        <f t="shared" si="71"/>
        <v>3.4676</v>
      </c>
      <c r="Y354" s="1">
        <f t="shared" si="72"/>
        <v>0.18230000000000013</v>
      </c>
      <c r="Z354" s="1" t="str">
        <f t="shared" si="63"/>
        <v/>
      </c>
      <c r="AL354" s="1">
        <v>0</v>
      </c>
      <c r="AM354" s="1">
        <v>0</v>
      </c>
      <c r="AN354" s="1">
        <v>10</v>
      </c>
      <c r="AO354" s="1">
        <v>0</v>
      </c>
      <c r="AP354" s="1">
        <f t="shared" si="67"/>
        <v>0</v>
      </c>
      <c r="AQ354" s="1">
        <f t="shared" si="68"/>
        <v>0</v>
      </c>
      <c r="AR354" s="1">
        <f t="shared" si="69"/>
        <v>6</v>
      </c>
      <c r="AS354" s="1">
        <f t="shared" si="70"/>
        <v>0</v>
      </c>
    </row>
    <row r="355" spans="1:45" x14ac:dyDescent="0.2">
      <c r="A355" s="2">
        <v>45444</v>
      </c>
      <c r="B355" s="1">
        <v>0.32317005671806381</v>
      </c>
      <c r="C355" s="1">
        <v>-0.64842252830879721</v>
      </c>
      <c r="D355" s="1">
        <v>-1.2833289989573708</v>
      </c>
      <c r="E355" s="1">
        <v>0.39366035083674972</v>
      </c>
      <c r="F355" s="1">
        <v>-0.13240282809454754</v>
      </c>
      <c r="G355" s="1">
        <v>-1.0865152210531388</v>
      </c>
      <c r="H355" s="1">
        <v>-1.3228842107313257</v>
      </c>
      <c r="I355" s="1">
        <v>-1.0868416521331661</v>
      </c>
      <c r="J355" s="1">
        <v>-0.78544597356451296</v>
      </c>
      <c r="K355" s="1">
        <v>-1.5001389472837916</v>
      </c>
      <c r="L355" s="1">
        <v>-0.7129149952571836</v>
      </c>
      <c r="M355" s="1">
        <v>0</v>
      </c>
      <c r="N355" s="1">
        <v>0</v>
      </c>
      <c r="O355" s="1">
        <v>6</v>
      </c>
      <c r="P355" s="1">
        <v>0</v>
      </c>
      <c r="Q355" s="1" t="str">
        <f t="shared" si="64"/>
        <v>Repair</v>
      </c>
      <c r="R355" s="2">
        <f t="shared" si="65"/>
        <v>45473</v>
      </c>
      <c r="S355" s="1">
        <f>VLOOKUP(R355,BB!$A$3:$C$62769, 2, 1)</f>
        <v>4.3960999999999997</v>
      </c>
      <c r="T355" s="1">
        <f t="shared" si="66"/>
        <v>0.16220000000000034</v>
      </c>
      <c r="U355" s="1">
        <f>VLOOKUP(R355,BB!$A$3:$D$6771, 4, 1)</f>
        <v>4.5583</v>
      </c>
      <c r="V355" s="1" t="str">
        <f t="shared" si="73"/>
        <v/>
      </c>
      <c r="W355" s="1" t="str">
        <f t="shared" si="74"/>
        <v/>
      </c>
      <c r="X355" s="1">
        <f t="shared" si="71"/>
        <v>3.4676</v>
      </c>
      <c r="Y355" s="1">
        <f t="shared" si="72"/>
        <v>0.18230000000000013</v>
      </c>
      <c r="Z355" s="1" t="str">
        <f t="shared" si="63"/>
        <v/>
      </c>
      <c r="AL355" s="1">
        <v>0</v>
      </c>
      <c r="AM355" s="1">
        <v>0</v>
      </c>
      <c r="AN355" s="1">
        <v>10</v>
      </c>
      <c r="AO355" s="1">
        <v>0</v>
      </c>
      <c r="AP355" s="1">
        <f t="shared" si="67"/>
        <v>0</v>
      </c>
      <c r="AQ355" s="1">
        <f t="shared" si="68"/>
        <v>0</v>
      </c>
      <c r="AR355" s="1">
        <f t="shared" si="69"/>
        <v>6</v>
      </c>
      <c r="AS355" s="1">
        <f t="shared" si="70"/>
        <v>0</v>
      </c>
    </row>
    <row r="356" spans="1:45" x14ac:dyDescent="0.2">
      <c r="A356" s="2">
        <v>45474</v>
      </c>
      <c r="B356" s="1">
        <f>'[1]MS_V2-6'!BJ480</f>
        <v>0.31743986001963809</v>
      </c>
      <c r="C356" s="1">
        <f>'[1]MS_V2-6'!BK480</f>
        <v>-0.67116582755681753</v>
      </c>
      <c r="D356" s="1">
        <f>'[1]MS_V2-6'!BL480</f>
        <v>-1.089245173487088</v>
      </c>
      <c r="E356" s="1">
        <f>'[1]MS_V2-6'!BM480</f>
        <v>0.27066569800195489</v>
      </c>
      <c r="F356" s="1">
        <f>'[1]MS_V2-6'!BN480</f>
        <v>-0.13029587621106029</v>
      </c>
      <c r="G356" s="1">
        <f>'[1]MS_V2-6'!BO480</f>
        <v>-1.4163533854939379</v>
      </c>
      <c r="H356" s="1">
        <f>'[1]MS_V2-6'!BP480</f>
        <v>-1.3779278775976926</v>
      </c>
      <c r="I356" s="1">
        <f>'[1]MS_V2-6'!BQ480</f>
        <v>-1.075623185241898</v>
      </c>
      <c r="J356" s="1">
        <f>'[1]MS_V2-6'!BR480</f>
        <v>0.20588959703221998</v>
      </c>
      <c r="K356" s="1">
        <f>'[1]MS_V2-6'!BS480</f>
        <v>-1.2568337398164859</v>
      </c>
      <c r="L356" s="1">
        <f>'[1]MS_V2-6'!BU480</f>
        <v>-0.62234499103511676</v>
      </c>
      <c r="M356" s="1">
        <v>0</v>
      </c>
      <c r="N356" s="1">
        <v>0</v>
      </c>
      <c r="O356" s="1">
        <v>6</v>
      </c>
      <c r="P356" s="1">
        <v>0</v>
      </c>
      <c r="Q356" s="1" t="str">
        <f t="shared" si="64"/>
        <v>Repair</v>
      </c>
      <c r="R356" s="2">
        <f t="shared" si="65"/>
        <v>45504</v>
      </c>
      <c r="S356" s="1">
        <f>VLOOKUP(R356,BB!$A$3:$C$62769, 2, 1)</f>
        <v>4.0296000000000003</v>
      </c>
      <c r="T356" s="1">
        <f t="shared" si="66"/>
        <v>0.27320000000000011</v>
      </c>
      <c r="U356" s="1">
        <f>VLOOKUP(R356,BB!$A$3:$D$6771, 4, 1)</f>
        <v>4.3028000000000004</v>
      </c>
      <c r="V356" s="1" t="str">
        <f t="shared" si="73"/>
        <v/>
      </c>
      <c r="W356" s="1" t="str">
        <f t="shared" si="74"/>
        <v/>
      </c>
      <c r="X356" s="1">
        <f t="shared" si="71"/>
        <v>3.4676</v>
      </c>
      <c r="Y356" s="1">
        <f t="shared" si="72"/>
        <v>0.18230000000000013</v>
      </c>
      <c r="Z356" s="1" t="str">
        <f t="shared" si="63"/>
        <v/>
      </c>
      <c r="AL356" s="1">
        <v>0</v>
      </c>
      <c r="AM356" s="1">
        <v>0</v>
      </c>
      <c r="AN356" s="1">
        <v>10</v>
      </c>
      <c r="AO356" s="1">
        <v>0</v>
      </c>
      <c r="AP356" s="1">
        <f t="shared" si="67"/>
        <v>0</v>
      </c>
      <c r="AQ356" s="1">
        <f t="shared" si="68"/>
        <v>0</v>
      </c>
      <c r="AR356" s="1">
        <f t="shared" si="69"/>
        <v>6</v>
      </c>
      <c r="AS356" s="1">
        <f t="shared" si="70"/>
        <v>0</v>
      </c>
    </row>
    <row r="357" spans="1:45" x14ac:dyDescent="0.2">
      <c r="A357" s="2">
        <v>45505</v>
      </c>
      <c r="B357" s="1">
        <f>'[1]MS_V2-6'!BJ481</f>
        <v>0.30881093266945103</v>
      </c>
      <c r="C357" s="1">
        <f>'[1]MS_V2-6'!BK481</f>
        <v>-0.46922881307476588</v>
      </c>
      <c r="D357" s="1">
        <f>'[1]MS_V2-6'!BL481</f>
        <v>-0.77335020636436791</v>
      </c>
      <c r="E357" s="1">
        <f>'[1]MS_V2-6'!BM481</f>
        <v>0.31951518796624234</v>
      </c>
      <c r="F357" s="1">
        <f>'[1]MS_V2-6'!BN481</f>
        <v>2.1555356109740693E-2</v>
      </c>
      <c r="G357" s="1">
        <f>'[1]MS_V2-6'!BO481</f>
        <v>-1.3091512949452477</v>
      </c>
      <c r="H357" s="1">
        <f>'[1]MS_V2-6'!BP481</f>
        <v>-1.3052796090053287</v>
      </c>
      <c r="I357" s="1">
        <f>'[1]MS_V2-6'!BQ481</f>
        <v>-1.3078090207178676</v>
      </c>
      <c r="J357" s="1">
        <f>'[1]MS_V2-6'!BR481</f>
        <v>-0.4248862487573335</v>
      </c>
      <c r="K357" s="1">
        <f>'[1]MS_V2-6'!BS481</f>
        <v>-1.6897280124888108</v>
      </c>
      <c r="L357" s="1">
        <f>'[1]MS_V2-6'!BU481</f>
        <v>-0.66295517286082872</v>
      </c>
      <c r="M357" s="1">
        <v>0</v>
      </c>
      <c r="N357" s="1">
        <v>0</v>
      </c>
      <c r="O357" s="1">
        <v>6</v>
      </c>
      <c r="P357" s="1">
        <v>0</v>
      </c>
      <c r="Q357" s="1" t="str">
        <f t="shared" si="64"/>
        <v>Repair</v>
      </c>
      <c r="R357" s="2">
        <f t="shared" si="65"/>
        <v>45535</v>
      </c>
      <c r="S357" s="1">
        <f>VLOOKUP(R357,BB!$A$3:$C$62769, 2, 1)</f>
        <v>3.9034</v>
      </c>
      <c r="T357" s="1">
        <f t="shared" si="66"/>
        <v>0.29210000000000003</v>
      </c>
      <c r="U357" s="1">
        <f>VLOOKUP(R357,BB!$A$3:$D$6771, 4, 1)</f>
        <v>4.1955</v>
      </c>
      <c r="V357" s="1" t="str">
        <f t="shared" si="73"/>
        <v/>
      </c>
      <c r="W357" s="1" t="str">
        <f t="shared" si="74"/>
        <v/>
      </c>
      <c r="X357" s="1">
        <f t="shared" si="71"/>
        <v>3.4676</v>
      </c>
      <c r="Y357" s="1">
        <f t="shared" si="72"/>
        <v>0.18230000000000013</v>
      </c>
      <c r="Z357" s="1" t="str">
        <f t="shared" si="63"/>
        <v/>
      </c>
      <c r="AL357" s="1">
        <v>0</v>
      </c>
      <c r="AM357" s="1">
        <v>0</v>
      </c>
      <c r="AN357" s="1">
        <v>10</v>
      </c>
      <c r="AO357" s="1">
        <v>0</v>
      </c>
      <c r="AP357" s="1">
        <f t="shared" si="67"/>
        <v>0</v>
      </c>
      <c r="AQ357" s="1">
        <f t="shared" si="68"/>
        <v>0</v>
      </c>
      <c r="AR357" s="1">
        <f t="shared" si="69"/>
        <v>6</v>
      </c>
      <c r="AS357" s="1">
        <f t="shared" si="70"/>
        <v>0</v>
      </c>
    </row>
    <row r="358" spans="1:45" x14ac:dyDescent="0.2">
      <c r="A358" s="2">
        <v>45536</v>
      </c>
      <c r="B358" s="1">
        <f>'[1]MS_V2-6'!BJ482</f>
        <v>0.31358519984667099</v>
      </c>
      <c r="C358" s="1">
        <f>'[1]MS_V2-6'!BK482</f>
        <v>-0.80392306440883798</v>
      </c>
      <c r="D358" s="1">
        <f>'[1]MS_V2-6'!BL482</f>
        <v>-0.54169921535684906</v>
      </c>
      <c r="E358" s="1">
        <f>'[1]MS_V2-6'!BM482</f>
        <v>0.36845153815857334</v>
      </c>
      <c r="F358" s="1">
        <f>'[1]MS_V2-6'!BN482</f>
        <v>0.17368900854088612</v>
      </c>
      <c r="G358" s="1">
        <f>'[1]MS_V2-6'!BO482</f>
        <v>-1.2865390195559898</v>
      </c>
      <c r="H358" s="1">
        <f>'[1]MS_V2-6'!BP482</f>
        <v>-1.2188552781901245</v>
      </c>
      <c r="I358" s="1">
        <f>'[1]MS_V2-6'!BQ482</f>
        <v>-1.2974447151842314</v>
      </c>
      <c r="J358" s="1">
        <f>'[1]MS_V2-6'!BR482</f>
        <v>-0.60386286159001101</v>
      </c>
      <c r="K358" s="1">
        <f>'[1]MS_V2-6'!BS482</f>
        <v>-1.4946983838560315</v>
      </c>
      <c r="L358" s="1">
        <f>'[1]MS_V2-6'!BU482</f>
        <v>-0.63912967915959451</v>
      </c>
      <c r="M358" s="1">
        <v>0</v>
      </c>
      <c r="N358" s="1">
        <v>0</v>
      </c>
      <c r="O358" s="1">
        <v>6</v>
      </c>
      <c r="P358" s="1">
        <v>0</v>
      </c>
      <c r="Q358" s="1" t="str">
        <f t="shared" si="64"/>
        <v>Repair</v>
      </c>
      <c r="R358" s="2">
        <f t="shared" si="65"/>
        <v>45565</v>
      </c>
      <c r="S358" s="1">
        <f>VLOOKUP(R358,BB!$A$3:$C$62769, 2, 1)</f>
        <v>3.7808999999999999</v>
      </c>
      <c r="T358" s="1">
        <f t="shared" si="66"/>
        <v>0.3382000000000005</v>
      </c>
      <c r="U358" s="1">
        <f>VLOOKUP(R358,BB!$A$3:$D$6771, 4, 1)</f>
        <v>4.1191000000000004</v>
      </c>
      <c r="V358" s="1">
        <f t="shared" si="73"/>
        <v>0.31329999999999991</v>
      </c>
      <c r="W358" s="1">
        <f t="shared" si="74"/>
        <v>0.15590000000000037</v>
      </c>
      <c r="X358" s="1">
        <f t="shared" si="71"/>
        <v>3.4676</v>
      </c>
      <c r="Y358" s="1">
        <f t="shared" si="72"/>
        <v>0.18230000000000013</v>
      </c>
      <c r="Z358" s="1" t="str">
        <f t="shared" si="63"/>
        <v>Repair</v>
      </c>
      <c r="AL358" s="1">
        <v>0</v>
      </c>
      <c r="AM358" s="1">
        <v>0</v>
      </c>
      <c r="AN358" s="1">
        <v>10</v>
      </c>
      <c r="AO358" s="1">
        <v>0</v>
      </c>
      <c r="AP358" s="1">
        <f t="shared" si="67"/>
        <v>0</v>
      </c>
      <c r="AQ358" s="1">
        <f t="shared" si="68"/>
        <v>0</v>
      </c>
      <c r="AR358" s="1">
        <f t="shared" si="69"/>
        <v>6</v>
      </c>
      <c r="AS358" s="1">
        <f t="shared" si="70"/>
        <v>0</v>
      </c>
    </row>
    <row r="359" spans="1:45" x14ac:dyDescent="0.2">
      <c r="A359" s="2">
        <v>45566</v>
      </c>
      <c r="B359" s="1">
        <f>'[1]MS_V2-6'!BJ483</f>
        <v>0.31353471260839005</v>
      </c>
      <c r="C359" s="1">
        <f>'[1]MS_V2-6'!BK483</f>
        <v>-0.10447411556129384</v>
      </c>
      <c r="D359" s="1">
        <f>'[1]MS_V2-6'!BL483</f>
        <v>-0.56624498926337641</v>
      </c>
      <c r="E359" s="1">
        <f>'[1]MS_V2-6'!BM483</f>
        <v>0.36032485545141768</v>
      </c>
      <c r="F359" s="1">
        <f>'[1]MS_V2-6'!BN483</f>
        <v>0.29599472190580278</v>
      </c>
      <c r="G359" s="1">
        <f>'[1]MS_V2-6'!BO483</f>
        <v>-1.4047337475459551</v>
      </c>
      <c r="H359" s="1">
        <f>'[1]MS_V2-6'!BP483</f>
        <v>-1.134610267656287</v>
      </c>
      <c r="I359" s="1">
        <f>'[1]MS_V2-6'!BQ483</f>
        <v>-1.3468167696999735</v>
      </c>
      <c r="J359" s="1">
        <f>'[1]MS_V2-6'!BR483</f>
        <v>-0.92228923530380358</v>
      </c>
      <c r="K359" s="1">
        <f>'[1]MS_V2-6'!BS483</f>
        <v>-1.0249919012056437</v>
      </c>
      <c r="L359" s="1">
        <f>'[1]MS_V2-6'!BU483</f>
        <v>-0.55343067362707221</v>
      </c>
      <c r="M359" s="1">
        <v>0</v>
      </c>
      <c r="N359" s="1">
        <v>0</v>
      </c>
      <c r="O359" s="1">
        <v>0</v>
      </c>
      <c r="P359" s="1">
        <v>6</v>
      </c>
      <c r="Q359" s="1" t="str">
        <f t="shared" si="64"/>
        <v>Recovery</v>
      </c>
      <c r="R359" s="2">
        <f t="shared" si="65"/>
        <v>45596</v>
      </c>
      <c r="S359" s="1">
        <f>VLOOKUP(R359,BB!$A$3:$C$62769, 2, 1)</f>
        <v>4.2843999999999998</v>
      </c>
      <c r="T359" s="1">
        <f t="shared" si="66"/>
        <v>0.19059999999999988</v>
      </c>
      <c r="U359" s="1">
        <f>VLOOKUP(R359,BB!$A$3:$D$6771, 4, 1)</f>
        <v>4.4749999999999996</v>
      </c>
      <c r="V359" s="1" t="str">
        <f t="shared" si="73"/>
        <v/>
      </c>
      <c r="W359" s="1" t="str">
        <f t="shared" si="74"/>
        <v/>
      </c>
      <c r="X359" s="1">
        <f t="shared" si="71"/>
        <v>3.7808999999999999</v>
      </c>
      <c r="Y359" s="1">
        <f t="shared" si="72"/>
        <v>0.3382000000000005</v>
      </c>
      <c r="Z359" s="1" t="str">
        <f t="shared" si="63"/>
        <v/>
      </c>
      <c r="AL359" s="1">
        <v>0</v>
      </c>
      <c r="AM359" s="1">
        <v>0</v>
      </c>
      <c r="AN359" s="1">
        <v>0</v>
      </c>
      <c r="AO359" s="1">
        <v>10</v>
      </c>
      <c r="AP359" s="1">
        <f t="shared" si="67"/>
        <v>0</v>
      </c>
      <c r="AQ359" s="1">
        <f t="shared" si="68"/>
        <v>0</v>
      </c>
      <c r="AR359" s="1">
        <f t="shared" si="69"/>
        <v>0</v>
      </c>
      <c r="AS359" s="1">
        <f t="shared" si="70"/>
        <v>6</v>
      </c>
    </row>
    <row r="360" spans="1:45" x14ac:dyDescent="0.2">
      <c r="A360" s="2">
        <v>45597</v>
      </c>
      <c r="B360" s="1">
        <v>0.32147708840392641</v>
      </c>
      <c r="C360" s="1">
        <v>0.10203359886617062</v>
      </c>
      <c r="D360" s="1">
        <v>-0.69642758058190601</v>
      </c>
      <c r="E360" s="1">
        <v>0.35257152346208748</v>
      </c>
      <c r="F360" s="1">
        <v>0.29925317222602271</v>
      </c>
      <c r="G360" s="1">
        <v>-0.99914848557552183</v>
      </c>
      <c r="H360" s="1">
        <v>-1.1783027971076556</v>
      </c>
      <c r="I360" s="1">
        <v>-1.5109795858607984</v>
      </c>
      <c r="J360" s="1">
        <v>-0.23776530204241186</v>
      </c>
      <c r="K360" s="1">
        <v>-0.93167900537472337</v>
      </c>
      <c r="L360" s="1">
        <v>-0.44789673735848101</v>
      </c>
      <c r="M360" s="1">
        <v>0</v>
      </c>
      <c r="N360" s="1">
        <v>0</v>
      </c>
      <c r="O360" s="1">
        <v>0</v>
      </c>
      <c r="P360" s="1">
        <v>6</v>
      </c>
      <c r="Q360" s="1" t="str">
        <f t="shared" si="64"/>
        <v>Recovery</v>
      </c>
      <c r="R360" s="2">
        <f t="shared" si="65"/>
        <v>45626</v>
      </c>
      <c r="S360" s="1">
        <f>VLOOKUP(R360,BB!$A$3:$C$62769, 2, 1)</f>
        <v>4.1684999999999999</v>
      </c>
      <c r="T360" s="1">
        <f t="shared" si="66"/>
        <v>0.19139999999999979</v>
      </c>
      <c r="U360" s="1">
        <f>VLOOKUP(R360,BB!$A$3:$D$6771, 4, 1)</f>
        <v>4.3598999999999997</v>
      </c>
      <c r="V360" s="1" t="str">
        <f t="shared" si="73"/>
        <v/>
      </c>
      <c r="W360" s="1" t="str">
        <f t="shared" si="74"/>
        <v/>
      </c>
      <c r="X360" s="1">
        <f t="shared" si="71"/>
        <v>3.7808999999999999</v>
      </c>
      <c r="Y360" s="1">
        <f t="shared" si="72"/>
        <v>0.3382000000000005</v>
      </c>
      <c r="Z360" s="1" t="str">
        <f t="shared" si="63"/>
        <v/>
      </c>
      <c r="AL360" s="1">
        <v>0</v>
      </c>
      <c r="AM360" s="1">
        <v>0</v>
      </c>
      <c r="AN360" s="1">
        <v>0</v>
      </c>
      <c r="AO360" s="1">
        <v>10</v>
      </c>
      <c r="AP360" s="1">
        <f t="shared" si="67"/>
        <v>0</v>
      </c>
      <c r="AQ360" s="1">
        <f t="shared" si="68"/>
        <v>0</v>
      </c>
      <c r="AR360" s="1">
        <f t="shared" si="69"/>
        <v>0</v>
      </c>
      <c r="AS360" s="1">
        <f t="shared" si="70"/>
        <v>6</v>
      </c>
    </row>
    <row r="361" spans="1:45" x14ac:dyDescent="0.2">
      <c r="A361" s="2">
        <v>45627</v>
      </c>
      <c r="B361" s="1">
        <v>0.32369824339786957</v>
      </c>
      <c r="C361" s="1">
        <v>-0.41899762743855734</v>
      </c>
      <c r="D361" s="1">
        <v>-0.22013653026166383</v>
      </c>
      <c r="E361" s="1">
        <v>0.28779776171022547</v>
      </c>
      <c r="F361" s="1">
        <v>0.25885764052360527</v>
      </c>
      <c r="G361" s="1">
        <v>-0.80222860693380216</v>
      </c>
      <c r="H361" s="1">
        <v>-1.0972634210688037</v>
      </c>
      <c r="I361" s="1">
        <v>-2.3201434337871603</v>
      </c>
      <c r="J361" s="1">
        <v>-0.24514774018454616</v>
      </c>
      <c r="K361" s="1">
        <v>-2.4812786528742277</v>
      </c>
      <c r="L361" s="1">
        <v>-0.67148423669170609</v>
      </c>
      <c r="M361" s="1">
        <v>0</v>
      </c>
      <c r="N361" s="1">
        <v>0</v>
      </c>
      <c r="O361" s="1">
        <v>0</v>
      </c>
      <c r="P361" s="1">
        <v>6</v>
      </c>
      <c r="Q361" s="1" t="str">
        <f t="shared" si="64"/>
        <v>Recovery</v>
      </c>
      <c r="R361" s="2">
        <f t="shared" si="65"/>
        <v>45657</v>
      </c>
      <c r="S361" s="1">
        <f>VLOOKUP(R361,BB!$A$3:$C$62769, 2, 1)</f>
        <v>4.569</v>
      </c>
      <c r="T361" s="1">
        <f t="shared" si="66"/>
        <v>0.21220000000000017</v>
      </c>
      <c r="U361" s="1">
        <f>VLOOKUP(R361,BB!$A$3:$D$6771, 4, 1)</f>
        <v>4.7812000000000001</v>
      </c>
      <c r="V361" s="1" t="str">
        <f t="shared" si="73"/>
        <v/>
      </c>
      <c r="W361" s="1" t="str">
        <f t="shared" si="74"/>
        <v/>
      </c>
      <c r="X361" s="1">
        <f t="shared" si="71"/>
        <v>3.7808999999999999</v>
      </c>
      <c r="Y361" s="1">
        <f t="shared" si="72"/>
        <v>0.3382000000000005</v>
      </c>
      <c r="Z361" s="1" t="str">
        <f t="shared" si="63"/>
        <v/>
      </c>
      <c r="AL361" s="1">
        <v>0</v>
      </c>
      <c r="AM361" s="1">
        <v>0</v>
      </c>
      <c r="AN361" s="1">
        <v>0</v>
      </c>
      <c r="AO361" s="1">
        <v>10</v>
      </c>
      <c r="AP361" s="1">
        <f t="shared" si="67"/>
        <v>0</v>
      </c>
      <c r="AQ361" s="1">
        <f t="shared" si="68"/>
        <v>0</v>
      </c>
      <c r="AR361" s="1">
        <f t="shared" si="69"/>
        <v>0</v>
      </c>
      <c r="AS361" s="1">
        <f t="shared" si="70"/>
        <v>6</v>
      </c>
    </row>
    <row r="362" spans="1:45" x14ac:dyDescent="0.2">
      <c r="A362" s="2">
        <v>45658</v>
      </c>
      <c r="B362" s="1">
        <v>0.33739246966471875</v>
      </c>
      <c r="C362" s="1">
        <v>-0.47289317094695466</v>
      </c>
      <c r="D362" s="1">
        <v>-0.18603956225386598</v>
      </c>
      <c r="E362" s="1">
        <v>0.33838324663365582</v>
      </c>
      <c r="F362" s="1">
        <v>0.23443186870688637</v>
      </c>
      <c r="G362" s="1">
        <v>-0.47025139483365092</v>
      </c>
      <c r="H362" s="1">
        <v>-1.1710551624743932</v>
      </c>
      <c r="I362" s="1">
        <v>-2.2761710077198276</v>
      </c>
      <c r="J362" s="1">
        <v>-1.6210336360097586E-2</v>
      </c>
      <c r="K362" s="1">
        <v>-1.4961481169914215</v>
      </c>
      <c r="L362" s="1">
        <v>-0.51785611665749509</v>
      </c>
      <c r="M362" s="1">
        <v>0</v>
      </c>
      <c r="N362" s="1">
        <v>0</v>
      </c>
      <c r="O362" s="1">
        <v>0</v>
      </c>
      <c r="P362" s="1">
        <v>6</v>
      </c>
      <c r="Q362" s="1" t="str">
        <f t="shared" si="64"/>
        <v>Recovery</v>
      </c>
      <c r="R362" s="2">
        <f t="shared" si="65"/>
        <v>45688</v>
      </c>
      <c r="S362" s="1">
        <f>VLOOKUP(R362,BB!$A$3:$C$62769, 2, 1)</f>
        <v>4.5387000000000004</v>
      </c>
      <c r="T362" s="1">
        <f t="shared" si="66"/>
        <v>0.24799999999999933</v>
      </c>
      <c r="U362" s="1">
        <f>VLOOKUP(R362,BB!$A$3:$D$6771, 4, 1)</f>
        <v>4.7866999999999997</v>
      </c>
      <c r="V362" s="1">
        <f t="shared" si="73"/>
        <v>0.75780000000000047</v>
      </c>
      <c r="W362" s="1">
        <f t="shared" si="74"/>
        <v>-9.0200000000001168E-2</v>
      </c>
      <c r="X362" s="1">
        <f t="shared" si="71"/>
        <v>3.7808999999999999</v>
      </c>
      <c r="Y362" s="1">
        <f t="shared" si="72"/>
        <v>0.3382000000000005</v>
      </c>
      <c r="Z362" s="1" t="str">
        <f t="shared" si="63"/>
        <v>Recovery</v>
      </c>
      <c r="AL362" s="1">
        <v>0</v>
      </c>
      <c r="AM362" s="1">
        <v>0</v>
      </c>
      <c r="AN362" s="1">
        <v>0</v>
      </c>
      <c r="AO362" s="1">
        <v>10</v>
      </c>
      <c r="AP362" s="1">
        <f t="shared" si="67"/>
        <v>0</v>
      </c>
      <c r="AQ362" s="1">
        <f t="shared" si="68"/>
        <v>0</v>
      </c>
      <c r="AR362" s="1">
        <f t="shared" si="69"/>
        <v>0</v>
      </c>
      <c r="AS362" s="1">
        <f t="shared" si="70"/>
        <v>6</v>
      </c>
    </row>
    <row r="363" spans="1:45" x14ac:dyDescent="0.2">
      <c r="A363" s="2">
        <v>45689</v>
      </c>
      <c r="B363" s="1">
        <v>0.33580615495235605</v>
      </c>
      <c r="C363" s="1">
        <v>-0.89772490641489522</v>
      </c>
      <c r="D363" s="1">
        <v>-0.36198691863287302</v>
      </c>
      <c r="E363" s="1">
        <v>0.33048936753401426</v>
      </c>
      <c r="F363" s="1">
        <v>3.0158430632903098E-2</v>
      </c>
      <c r="G363" s="1">
        <v>-0.58544791072894342</v>
      </c>
      <c r="H363" s="1">
        <v>-1.5702675545325302</v>
      </c>
      <c r="I363" s="1">
        <v>-1.4970862691937232</v>
      </c>
      <c r="J363" s="1">
        <v>-0.90346115606966271</v>
      </c>
      <c r="K363" s="1">
        <v>-0.49105962646988127</v>
      </c>
      <c r="L363" s="1">
        <v>-0.56105803889232353</v>
      </c>
      <c r="M363" s="1">
        <v>0</v>
      </c>
      <c r="N363" s="1">
        <v>0</v>
      </c>
      <c r="O363" s="1">
        <v>6</v>
      </c>
      <c r="P363" s="1">
        <v>0</v>
      </c>
      <c r="Q363" s="1" t="str">
        <f t="shared" si="64"/>
        <v>Repair</v>
      </c>
      <c r="R363" s="2">
        <f t="shared" si="65"/>
        <v>45716</v>
      </c>
      <c r="S363" s="1">
        <f>VLOOKUP(R363,BB!$A$3:$C$62769, 2, 1)</f>
        <v>4.2081999999999997</v>
      </c>
      <c r="T363" s="1">
        <f t="shared" si="66"/>
        <v>0.28120000000000012</v>
      </c>
      <c r="U363" s="1">
        <f>VLOOKUP(R363,BB!$A$3:$D$6771, 4, 1)</f>
        <v>4.4893999999999998</v>
      </c>
      <c r="V363" s="1" t="str">
        <f t="shared" si="73"/>
        <v/>
      </c>
      <c r="W363" s="1" t="str">
        <f t="shared" si="74"/>
        <v/>
      </c>
      <c r="X363" s="1">
        <f t="shared" si="71"/>
        <v>4.5387000000000004</v>
      </c>
      <c r="Y363" s="1">
        <f t="shared" si="72"/>
        <v>0.24799999999999933</v>
      </c>
      <c r="Z363" s="1" t="str">
        <f t="shared" si="63"/>
        <v/>
      </c>
      <c r="AL363" s="1">
        <v>0</v>
      </c>
      <c r="AM363" s="1">
        <v>0</v>
      </c>
      <c r="AN363" s="1">
        <v>10</v>
      </c>
      <c r="AO363" s="1">
        <v>0</v>
      </c>
      <c r="AP363" s="1">
        <f t="shared" si="67"/>
        <v>0</v>
      </c>
      <c r="AQ363" s="1">
        <f t="shared" si="68"/>
        <v>0</v>
      </c>
      <c r="AR363" s="1">
        <f t="shared" si="69"/>
        <v>6</v>
      </c>
      <c r="AS363" s="1">
        <f t="shared" si="70"/>
        <v>0</v>
      </c>
    </row>
    <row r="364" spans="1:45" x14ac:dyDescent="0.2">
      <c r="A364" s="2">
        <v>45717</v>
      </c>
      <c r="B364" s="1">
        <v>0.33436825496052186</v>
      </c>
      <c r="C364" s="1">
        <v>-1.2950301783828297</v>
      </c>
      <c r="D364" s="1">
        <v>-0.19269899760618375</v>
      </c>
      <c r="E364" s="1">
        <v>0.32393212106534675</v>
      </c>
      <c r="F364" s="1">
        <v>3.5993964105008006E-2</v>
      </c>
      <c r="G364" s="1">
        <v>-0.83983360509725702</v>
      </c>
      <c r="H364" s="1">
        <v>-1.540223809296327</v>
      </c>
      <c r="I364" s="1">
        <v>-1.5497212748573355</v>
      </c>
      <c r="J364" s="1">
        <v>0.95572602093627668</v>
      </c>
      <c r="K364" s="1">
        <v>-0.91143243458031442</v>
      </c>
      <c r="L364" s="1">
        <v>-0.46789199387530933</v>
      </c>
      <c r="M364" s="1">
        <v>0</v>
      </c>
      <c r="N364" s="1">
        <v>0</v>
      </c>
      <c r="O364" s="1">
        <v>6</v>
      </c>
      <c r="P364" s="1">
        <v>0</v>
      </c>
      <c r="Q364" s="1" t="str">
        <f t="shared" si="64"/>
        <v>Repair</v>
      </c>
      <c r="R364" s="2">
        <f t="shared" si="65"/>
        <v>45747</v>
      </c>
      <c r="S364" s="1">
        <f>VLOOKUP(R364,BB!$A$3:$C$62769, 2, 1)</f>
        <v>4.2053000000000003</v>
      </c>
      <c r="T364" s="1">
        <f t="shared" si="66"/>
        <v>0.36540000000000017</v>
      </c>
      <c r="U364" s="1">
        <f>VLOOKUP(R364,BB!$A$3:$D$6771, 4, 1)</f>
        <v>4.5707000000000004</v>
      </c>
      <c r="V364" s="1" t="str">
        <f t="shared" si="73"/>
        <v/>
      </c>
      <c r="W364" s="1" t="str">
        <f t="shared" si="74"/>
        <v/>
      </c>
      <c r="X364" s="1">
        <f t="shared" si="71"/>
        <v>4.5387000000000004</v>
      </c>
      <c r="Y364" s="1">
        <f t="shared" si="72"/>
        <v>0.24799999999999933</v>
      </c>
      <c r="Z364" s="1" t="str">
        <f t="shared" si="63"/>
        <v/>
      </c>
      <c r="AL364" s="1">
        <v>0</v>
      </c>
      <c r="AM364" s="1">
        <v>0</v>
      </c>
      <c r="AN364" s="1">
        <v>10</v>
      </c>
      <c r="AO364" s="1">
        <v>0</v>
      </c>
      <c r="AP364" s="1">
        <f t="shared" si="67"/>
        <v>0</v>
      </c>
      <c r="AQ364" s="1">
        <f t="shared" si="68"/>
        <v>0</v>
      </c>
      <c r="AR364" s="1">
        <f t="shared" si="69"/>
        <v>6</v>
      </c>
      <c r="AS364" s="1">
        <f t="shared" si="70"/>
        <v>0</v>
      </c>
    </row>
    <row r="365" spans="1:45" x14ac:dyDescent="0.2">
      <c r="A365" s="2">
        <v>45748</v>
      </c>
      <c r="B365" s="1">
        <v>0.3254653422521972</v>
      </c>
      <c r="C365" s="1">
        <v>-1.7857344189116007</v>
      </c>
      <c r="D365" s="1">
        <v>0.18514933291107302</v>
      </c>
      <c r="E365" s="1">
        <v>0.26019404542963037</v>
      </c>
      <c r="F365" s="1">
        <v>-0.1091184794726405</v>
      </c>
      <c r="G365" s="1">
        <v>-0.89336617043023703</v>
      </c>
      <c r="H365" s="1">
        <v>-1.9038364401225683</v>
      </c>
      <c r="I365" s="1">
        <v>-1.6219463381775292</v>
      </c>
      <c r="J365" s="1">
        <v>0.37807084786177914</v>
      </c>
      <c r="K365" s="1">
        <v>-0.56172610184561467</v>
      </c>
      <c r="L365" s="1">
        <v>-0.57268483805055115</v>
      </c>
      <c r="M365" s="1">
        <v>0</v>
      </c>
      <c r="N365" s="1">
        <v>0</v>
      </c>
      <c r="O365" s="1">
        <v>6</v>
      </c>
      <c r="P365" s="1">
        <v>0</v>
      </c>
      <c r="Q365" s="1" t="str">
        <f t="shared" si="64"/>
        <v>Repair</v>
      </c>
      <c r="R365" s="2">
        <f t="shared" si="65"/>
        <v>45777</v>
      </c>
      <c r="S365" s="1">
        <f>VLOOKUP(R365,BB!$A$3:$C$62769, 2, 1)</f>
        <v>4.1619000000000002</v>
      </c>
      <c r="T365" s="1">
        <f t="shared" si="66"/>
        <v>0.5154999999999994</v>
      </c>
      <c r="U365" s="1">
        <f>VLOOKUP(R365,BB!$A$3:$D$6771, 4, 1)</f>
        <v>4.6773999999999996</v>
      </c>
      <c r="V365" s="1" t="str">
        <f t="shared" si="73"/>
        <v/>
      </c>
      <c r="W365" s="1" t="str">
        <f t="shared" si="74"/>
        <v/>
      </c>
      <c r="X365" s="1">
        <f t="shared" si="71"/>
        <v>4.5387000000000004</v>
      </c>
      <c r="Y365" s="1">
        <f t="shared" si="72"/>
        <v>0.24799999999999933</v>
      </c>
      <c r="Z365" s="1" t="str">
        <f t="shared" si="63"/>
        <v/>
      </c>
      <c r="AL365" s="1">
        <v>0</v>
      </c>
      <c r="AM365" s="1">
        <v>0</v>
      </c>
      <c r="AN365" s="1">
        <v>10</v>
      </c>
      <c r="AO365" s="1">
        <v>0</v>
      </c>
      <c r="AP365" s="1">
        <f t="shared" si="67"/>
        <v>0</v>
      </c>
      <c r="AQ365" s="1">
        <f t="shared" si="68"/>
        <v>0</v>
      </c>
      <c r="AR365" s="1">
        <f t="shared" si="69"/>
        <v>6</v>
      </c>
      <c r="AS365" s="1">
        <f t="shared" si="70"/>
        <v>0</v>
      </c>
    </row>
    <row r="366" spans="1:45" x14ac:dyDescent="0.2">
      <c r="A366" s="2">
        <v>45778</v>
      </c>
      <c r="B366" s="1">
        <v>0.31688788539267843</v>
      </c>
      <c r="C366" s="1">
        <v>-0.89921848768945434</v>
      </c>
      <c r="D366" s="1">
        <v>0.11105531781229767</v>
      </c>
      <c r="E366" s="1">
        <v>0.25455449348246578</v>
      </c>
      <c r="F366" s="1">
        <v>2.9654340062387034E-2</v>
      </c>
      <c r="G366" s="1">
        <v>-0.92589734602025586</v>
      </c>
      <c r="H366" s="1">
        <v>-2.3030045335833429</v>
      </c>
      <c r="I366" s="1">
        <v>-1.6223139073723947</v>
      </c>
      <c r="J366" s="1">
        <v>0.52906201062362479</v>
      </c>
      <c r="K366" s="1">
        <v>-0.45008935810263595</v>
      </c>
      <c r="L366" s="1">
        <v>-0.49593095853946301</v>
      </c>
      <c r="M366" s="1">
        <v>0</v>
      </c>
      <c r="N366" s="1">
        <v>0</v>
      </c>
      <c r="O366" s="1">
        <v>6</v>
      </c>
      <c r="P366" s="1">
        <v>0</v>
      </c>
      <c r="Q366" s="1" t="str">
        <f t="shared" si="64"/>
        <v>Repair</v>
      </c>
      <c r="R366" s="2">
        <f t="shared" si="65"/>
        <v>45808</v>
      </c>
      <c r="S366" s="1">
        <f>VLOOKUP(R366,BB!$A$3:$C$62769, 2, 1)</f>
        <v>4.4004000000000003</v>
      </c>
      <c r="T366" s="1">
        <f t="shared" si="66"/>
        <v>0.53010000000000002</v>
      </c>
      <c r="U366" s="1">
        <f>VLOOKUP(R366,BB!$A$3:$D$6771, 4, 1)</f>
        <v>4.9305000000000003</v>
      </c>
      <c r="V366" s="1">
        <f t="shared" si="73"/>
        <v>-0.13830000000000009</v>
      </c>
      <c r="W366" s="1">
        <f t="shared" si="74"/>
        <v>0.28210000000000068</v>
      </c>
      <c r="X366" s="1">
        <f t="shared" si="71"/>
        <v>4.5387000000000004</v>
      </c>
      <c r="Y366" s="1">
        <f t="shared" si="72"/>
        <v>0.24799999999999933</v>
      </c>
      <c r="Z366" s="1" t="str">
        <f t="shared" si="63"/>
        <v>Repair</v>
      </c>
      <c r="AL366" s="1">
        <v>0</v>
      </c>
      <c r="AM366" s="1">
        <v>0</v>
      </c>
      <c r="AN366" s="1">
        <v>10</v>
      </c>
      <c r="AO366" s="1">
        <v>0</v>
      </c>
      <c r="AP366" s="1">
        <f t="shared" si="67"/>
        <v>0</v>
      </c>
      <c r="AQ366" s="1">
        <f t="shared" si="68"/>
        <v>0</v>
      </c>
      <c r="AR366" s="1">
        <f t="shared" si="69"/>
        <v>6</v>
      </c>
      <c r="AS366" s="1">
        <f t="shared" si="70"/>
        <v>0</v>
      </c>
    </row>
    <row r="367" spans="1:45" x14ac:dyDescent="0.2">
      <c r="A367" s="2">
        <v>45809</v>
      </c>
      <c r="B367" s="1">
        <v>0.30368495060691653</v>
      </c>
      <c r="C367" s="1">
        <v>-1.2638502844051485</v>
      </c>
      <c r="D367" s="1">
        <v>0.13507098844050039</v>
      </c>
      <c r="E367" s="1">
        <v>0.24849320844842923</v>
      </c>
      <c r="F367" s="1">
        <v>1.6590907914876576E-2</v>
      </c>
      <c r="G367" s="1">
        <v>-0.81659185460613937</v>
      </c>
      <c r="H367" s="1">
        <v>-2.2368632537641808</v>
      </c>
      <c r="I367" s="1">
        <v>-1.5892570269189488</v>
      </c>
      <c r="J367" s="1">
        <v>-6.0313820477516412E-2</v>
      </c>
      <c r="K367" s="1">
        <v>-0.29160506700111621</v>
      </c>
      <c r="L367" s="1">
        <v>-0.55546412517623267</v>
      </c>
      <c r="M367" s="1">
        <v>0</v>
      </c>
      <c r="N367" s="1">
        <v>0</v>
      </c>
      <c r="O367" s="1">
        <v>0</v>
      </c>
      <c r="P367" s="1">
        <v>6</v>
      </c>
      <c r="Q367" s="1" t="str">
        <f t="shared" si="64"/>
        <v>Recovery</v>
      </c>
      <c r="R367" s="2">
        <f t="shared" si="65"/>
        <v>45838</v>
      </c>
      <c r="S367" s="1">
        <f>VLOOKUP(R367,BB!$A$3:$C$62769, 2, 1)</f>
        <v>4.2279999999999998</v>
      </c>
      <c r="T367" s="1">
        <f t="shared" si="66"/>
        <v>0.54630000000000045</v>
      </c>
      <c r="U367" s="1">
        <f>VLOOKUP(R367,BB!$A$3:$D$6771, 4, 1)</f>
        <v>4.7743000000000002</v>
      </c>
      <c r="V367" s="1">
        <f t="shared" si="73"/>
        <v>-0.17240000000000055</v>
      </c>
      <c r="W367" s="1">
        <f t="shared" si="74"/>
        <v>1.6200000000000436E-2</v>
      </c>
      <c r="X367" s="1">
        <f t="shared" si="71"/>
        <v>4.4004000000000003</v>
      </c>
      <c r="Y367" s="1">
        <f t="shared" si="72"/>
        <v>0.53010000000000002</v>
      </c>
      <c r="Z367" s="1" t="str">
        <f t="shared" si="63"/>
        <v>Recovery</v>
      </c>
      <c r="AL367" s="1">
        <v>0</v>
      </c>
      <c r="AM367" s="1">
        <v>0</v>
      </c>
      <c r="AN367" s="1">
        <v>0</v>
      </c>
      <c r="AO367" s="1">
        <v>10</v>
      </c>
      <c r="AP367" s="1">
        <f t="shared" si="67"/>
        <v>0</v>
      </c>
      <c r="AQ367" s="1">
        <f t="shared" si="68"/>
        <v>0</v>
      </c>
      <c r="AR367" s="1">
        <f t="shared" si="69"/>
        <v>0</v>
      </c>
      <c r="AS367" s="1">
        <f t="shared" si="70"/>
        <v>6</v>
      </c>
    </row>
    <row r="368" spans="1:45" x14ac:dyDescent="0.2">
      <c r="A368" s="2">
        <v>45839</v>
      </c>
      <c r="B368" s="1">
        <v>0.29654590233754713</v>
      </c>
      <c r="C368" s="1">
        <v>-0.95036530918049045</v>
      </c>
      <c r="D368" s="1">
        <v>5.8552200526885223E-3</v>
      </c>
      <c r="E368" s="1">
        <v>0.2427756230446656</v>
      </c>
      <c r="F368" s="1">
        <v>7.7810288415910478E-2</v>
      </c>
      <c r="G368" s="1">
        <v>-1.0042938980300185</v>
      </c>
      <c r="H368" s="1">
        <v>-1.8458078235431459</v>
      </c>
      <c r="I368" s="1">
        <v>-1.6415449768262409</v>
      </c>
      <c r="J368" s="1">
        <v>1.7096529050639389</v>
      </c>
      <c r="K368" s="1">
        <v>-0.94482619931509315</v>
      </c>
      <c r="L368" s="1">
        <v>-0.40541982679802385</v>
      </c>
      <c r="M368" s="1">
        <v>0</v>
      </c>
      <c r="N368" s="1">
        <v>0</v>
      </c>
      <c r="O368" s="1">
        <v>6</v>
      </c>
      <c r="P368" s="1">
        <v>0</v>
      </c>
      <c r="Q368" s="1" t="str">
        <f t="shared" si="64"/>
        <v>Repair</v>
      </c>
      <c r="R368" s="2">
        <f t="shared" si="65"/>
        <v>45869</v>
      </c>
      <c r="S368" s="1">
        <f>VLOOKUP(R368,BB!$A$3:$C$62769, 2, 1)</f>
        <v>4.3739999999999997</v>
      </c>
      <c r="T368" s="1">
        <f t="shared" si="66"/>
        <v>0.52600000000000069</v>
      </c>
      <c r="U368" s="1">
        <f>VLOOKUP(R368,BB!$A$3:$D$6771, 4, 1)</f>
        <v>4.9000000000000004</v>
      </c>
      <c r="V368" s="1" t="str">
        <f t="shared" si="73"/>
        <v/>
      </c>
      <c r="W368" s="1" t="str">
        <f t="shared" si="74"/>
        <v/>
      </c>
      <c r="X368" s="1">
        <f t="shared" si="71"/>
        <v>4.2279999999999998</v>
      </c>
      <c r="Y368" s="1">
        <f t="shared" si="72"/>
        <v>0.54630000000000045</v>
      </c>
      <c r="Z368" s="1" t="str">
        <f t="shared" si="63"/>
        <v/>
      </c>
      <c r="AL368" s="1">
        <v>0</v>
      </c>
      <c r="AM368" s="1">
        <v>0</v>
      </c>
      <c r="AN368" s="1">
        <v>10</v>
      </c>
      <c r="AO368" s="1">
        <v>0</v>
      </c>
      <c r="AP368" s="1">
        <f t="shared" si="67"/>
        <v>0</v>
      </c>
      <c r="AQ368" s="1">
        <f t="shared" si="68"/>
        <v>0</v>
      </c>
      <c r="AR368" s="1">
        <f t="shared" si="69"/>
        <v>6</v>
      </c>
      <c r="AS368" s="1">
        <f t="shared" si="70"/>
        <v>0</v>
      </c>
    </row>
    <row r="369" spans="1:45" x14ac:dyDescent="0.2">
      <c r="A369" s="2">
        <v>45870</v>
      </c>
      <c r="B369" s="1">
        <v>0.30136102074957943</v>
      </c>
      <c r="C369" s="1">
        <v>-0.94399908195398818</v>
      </c>
      <c r="D369" s="1">
        <v>0.33832402182084176</v>
      </c>
      <c r="E369" s="1">
        <v>0.23757572234210214</v>
      </c>
      <c r="F369" s="1">
        <v>3.1426950837853554E-3</v>
      </c>
      <c r="G369" s="1">
        <v>-0.85485870061912228</v>
      </c>
      <c r="H369" s="1">
        <v>-1.6263576909799631</v>
      </c>
      <c r="I369" s="1">
        <v>-1.6341825447782619</v>
      </c>
      <c r="J369" s="1">
        <v>0.21902291066846877</v>
      </c>
      <c r="K369" s="1">
        <v>-0.77036364607823482</v>
      </c>
      <c r="L369" s="1">
        <v>-0.47303352937447923</v>
      </c>
      <c r="M369" s="1">
        <v>0</v>
      </c>
      <c r="N369" s="1">
        <v>0</v>
      </c>
      <c r="O369" s="1">
        <v>6</v>
      </c>
      <c r="P369" s="1">
        <v>0</v>
      </c>
      <c r="Q369" s="1" t="str">
        <f t="shared" si="64"/>
        <v>Repair</v>
      </c>
      <c r="R369" s="2">
        <f t="shared" si="65"/>
        <v>45900</v>
      </c>
      <c r="S369" s="1">
        <f>VLOOKUP(R369,BB!$A$3:$C$62769, 2, 1)</f>
        <v>4.2283999999999997</v>
      </c>
      <c r="T369" s="1">
        <f t="shared" si="66"/>
        <v>0.69899999999999984</v>
      </c>
      <c r="U369" s="1">
        <f>VLOOKUP(R369,BB!$A$3:$D$6771, 4, 1)</f>
        <v>4.9273999999999996</v>
      </c>
      <c r="V369" s="1">
        <f t="shared" si="73"/>
        <v>3.9999999999995595E-4</v>
      </c>
      <c r="W369" s="1">
        <f t="shared" si="74"/>
        <v>0.15269999999999939</v>
      </c>
      <c r="X369" s="1">
        <f t="shared" si="71"/>
        <v>4.2279999999999998</v>
      </c>
      <c r="Y369" s="1">
        <f t="shared" si="72"/>
        <v>0.54630000000000045</v>
      </c>
      <c r="Z369" s="1" t="str">
        <f t="shared" si="63"/>
        <v>Repair</v>
      </c>
      <c r="AL369" s="1">
        <v>0</v>
      </c>
      <c r="AM369" s="1">
        <v>0</v>
      </c>
      <c r="AN369" s="1">
        <v>10</v>
      </c>
      <c r="AO369" s="1">
        <v>0</v>
      </c>
      <c r="AP369" s="1">
        <f t="shared" si="67"/>
        <v>0</v>
      </c>
      <c r="AQ369" s="1">
        <f t="shared" si="68"/>
        <v>0</v>
      </c>
      <c r="AR369" s="1">
        <f t="shared" si="69"/>
        <v>6</v>
      </c>
      <c r="AS369" s="1">
        <f t="shared" si="70"/>
        <v>0</v>
      </c>
    </row>
    <row r="370" spans="1:45" x14ac:dyDescent="0.2">
      <c r="A370" s="2">
        <v>45901</v>
      </c>
      <c r="B370" s="1">
        <v>0.30410741184386331</v>
      </c>
      <c r="C370" s="1">
        <v>-1.170589247607869</v>
      </c>
      <c r="D370" s="1">
        <v>0.23956393595708911</v>
      </c>
      <c r="E370" s="1">
        <v>0.17592936437456513</v>
      </c>
      <c r="F370" s="1">
        <v>9.2518282927730788E-2</v>
      </c>
      <c r="G370" s="1">
        <v>-0.77043865201022954</v>
      </c>
      <c r="H370" s="1">
        <v>-1.5943895635565026</v>
      </c>
      <c r="I370" s="1">
        <v>-2.231768751030982</v>
      </c>
      <c r="J370" s="1">
        <v>1.145127868235589</v>
      </c>
      <c r="K370" s="1">
        <v>-2.2042355501613513</v>
      </c>
      <c r="L370" s="1">
        <v>-0.60141749010280976</v>
      </c>
      <c r="M370" s="1">
        <v>0</v>
      </c>
      <c r="N370" s="1">
        <v>0</v>
      </c>
      <c r="O370" s="1">
        <v>0</v>
      </c>
      <c r="P370" s="1">
        <v>6</v>
      </c>
      <c r="Q370" s="1" t="str">
        <f t="shared" si="64"/>
        <v>Recovery</v>
      </c>
      <c r="R370" s="2">
        <f t="shared" si="65"/>
        <v>45930</v>
      </c>
      <c r="S370" s="1">
        <f>VLOOKUP(R370,BB!$A$3:$C$62769, 2, 1)</f>
        <v>4.1502999999999997</v>
      </c>
      <c r="T370" s="1">
        <f t="shared" si="66"/>
        <v>0.58070000000000022</v>
      </c>
      <c r="U370" s="1">
        <f>VLOOKUP(R370,BB!$A$3:$D$6771, 4, 1)</f>
        <v>4.7309999999999999</v>
      </c>
      <c r="V370" s="1">
        <f t="shared" si="73"/>
        <v>-7.8100000000000058E-2</v>
      </c>
      <c r="W370" s="1">
        <f t="shared" si="74"/>
        <v>-0.11829999999999963</v>
      </c>
      <c r="X370" s="1">
        <f t="shared" si="71"/>
        <v>4.2283999999999997</v>
      </c>
      <c r="Y370" s="1">
        <f t="shared" si="72"/>
        <v>0.69899999999999984</v>
      </c>
      <c r="Z370" s="1" t="str">
        <f t="shared" si="63"/>
        <v>Recovery</v>
      </c>
      <c r="AL370" s="1">
        <v>0</v>
      </c>
      <c r="AM370" s="1">
        <v>0</v>
      </c>
      <c r="AN370" s="1">
        <v>0</v>
      </c>
      <c r="AO370" s="1">
        <v>10</v>
      </c>
      <c r="AP370" s="1">
        <f t="shared" si="67"/>
        <v>0</v>
      </c>
      <c r="AQ370" s="1">
        <f t="shared" si="68"/>
        <v>0</v>
      </c>
      <c r="AR370" s="1">
        <f t="shared" si="69"/>
        <v>0</v>
      </c>
      <c r="AS370" s="1">
        <f t="shared" si="70"/>
        <v>6</v>
      </c>
    </row>
    <row r="371" spans="1:45" x14ac:dyDescent="0.2">
      <c r="A371" s="2">
        <v>45931</v>
      </c>
      <c r="B371" s="1">
        <v>0.30327929483275268</v>
      </c>
      <c r="C371" s="1">
        <v>-1.1313100172706516</v>
      </c>
      <c r="D371" s="1">
        <v>0.19081031227078188</v>
      </c>
      <c r="E371" s="1">
        <v>0.17211176857700605</v>
      </c>
      <c r="F371" s="1">
        <v>9.0388473793323681E-2</v>
      </c>
      <c r="G371" s="1">
        <v>-0.84604385901354173</v>
      </c>
      <c r="H371" s="1">
        <v>-1.6177324531070709</v>
      </c>
      <c r="I371" s="1">
        <v>-1.6690881354175615</v>
      </c>
      <c r="J371" s="1">
        <v>1.4208546018658603</v>
      </c>
      <c r="K371" s="1">
        <v>-1.4370172536411787</v>
      </c>
      <c r="L371" s="1">
        <v>-0.45237472671102791</v>
      </c>
      <c r="M371" s="1">
        <v>0</v>
      </c>
      <c r="N371" s="1">
        <v>0</v>
      </c>
      <c r="O371" s="1">
        <v>6</v>
      </c>
      <c r="P371" s="1">
        <v>0</v>
      </c>
      <c r="Q371" s="1" t="str">
        <f t="shared" si="64"/>
        <v>Repair</v>
      </c>
      <c r="R371" s="2">
        <f t="shared" si="65"/>
        <v>45961</v>
      </c>
      <c r="S371" s="1">
        <f>VLOOKUP(R371,BB!$A$3:$C$62769, 2, 1)</f>
        <v>4.0774999999999997</v>
      </c>
      <c r="T371" s="1">
        <f t="shared" si="66"/>
        <v>0.57370000000000054</v>
      </c>
      <c r="U371" s="1">
        <f>VLOOKUP(R371,BB!$A$3:$D$6771, 4, 1)</f>
        <v>4.6512000000000002</v>
      </c>
      <c r="AL371" s="1">
        <v>0</v>
      </c>
      <c r="AM371" s="1">
        <v>0</v>
      </c>
      <c r="AN371" s="1">
        <v>10</v>
      </c>
      <c r="AO371" s="1">
        <v>0</v>
      </c>
      <c r="AP371" s="1">
        <f t="shared" si="67"/>
        <v>0</v>
      </c>
      <c r="AQ371" s="1">
        <f t="shared" si="68"/>
        <v>0</v>
      </c>
      <c r="AR371" s="1">
        <f t="shared" si="69"/>
        <v>6</v>
      </c>
      <c r="AS371" s="1">
        <f t="shared" si="70"/>
        <v>0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B30" sqref="B30"/>
    </sheetView>
  </sheetViews>
  <sheetFormatPr defaultRowHeight="12" x14ac:dyDescent="0.2"/>
  <cols>
    <col min="1" max="1" width="9.140625" style="1"/>
    <col min="2" max="2" width="71" style="1" bestFit="1" customWidth="1"/>
    <col min="3" max="16384" width="9.140625" style="1"/>
  </cols>
  <sheetData>
    <row r="1" spans="1:2" x14ac:dyDescent="0.2">
      <c r="A1" s="1" t="s">
        <v>12</v>
      </c>
      <c r="B1" s="1" t="s">
        <v>11</v>
      </c>
    </row>
    <row r="2" spans="1:2" x14ac:dyDescent="0.2">
      <c r="A2" s="1" t="s">
        <v>14</v>
      </c>
      <c r="B2" s="1" t="s">
        <v>0</v>
      </c>
    </row>
    <row r="3" spans="1:2" x14ac:dyDescent="0.2">
      <c r="A3" s="1" t="s">
        <v>16</v>
      </c>
      <c r="B3" s="1" t="s">
        <v>1</v>
      </c>
    </row>
    <row r="4" spans="1:2" x14ac:dyDescent="0.2">
      <c r="A4" s="1" t="s">
        <v>17</v>
      </c>
      <c r="B4" s="1" t="s">
        <v>9</v>
      </c>
    </row>
    <row r="5" spans="1:2" x14ac:dyDescent="0.2">
      <c r="A5" s="1" t="s">
        <v>18</v>
      </c>
      <c r="B5" s="1" t="s">
        <v>2</v>
      </c>
    </row>
    <row r="6" spans="1:2" x14ac:dyDescent="0.2">
      <c r="A6" s="1" t="s">
        <v>19</v>
      </c>
      <c r="B6" s="1" t="s">
        <v>3</v>
      </c>
    </row>
    <row r="7" spans="1:2" x14ac:dyDescent="0.2">
      <c r="A7" s="1" t="s">
        <v>20</v>
      </c>
      <c r="B7" s="1" t="s">
        <v>4</v>
      </c>
    </row>
    <row r="8" spans="1:2" x14ac:dyDescent="0.2">
      <c r="A8" s="1" t="s">
        <v>21</v>
      </c>
      <c r="B8" s="1" t="s">
        <v>5</v>
      </c>
    </row>
    <row r="9" spans="1:2" x14ac:dyDescent="0.2">
      <c r="A9" s="1" t="s">
        <v>22</v>
      </c>
      <c r="B9" s="1" t="s">
        <v>6</v>
      </c>
    </row>
    <row r="10" spans="1:2" x14ac:dyDescent="0.2">
      <c r="A10" s="1" t="s">
        <v>23</v>
      </c>
      <c r="B10" s="1" t="s">
        <v>7</v>
      </c>
    </row>
    <row r="11" spans="1:2" x14ac:dyDescent="0.2">
      <c r="A11" s="1" t="s">
        <v>24</v>
      </c>
      <c r="B11" s="1" t="s">
        <v>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371"/>
  <sheetViews>
    <sheetView topLeftCell="A329" workbookViewId="0">
      <selection activeCell="Q364" sqref="Q364"/>
    </sheetView>
  </sheetViews>
  <sheetFormatPr defaultRowHeight="12" x14ac:dyDescent="0.2"/>
  <cols>
    <col min="1" max="1" width="11.85546875" style="1" bestFit="1" customWidth="1"/>
    <col min="2" max="9" width="9.140625" style="1"/>
    <col min="10" max="10" width="23" style="1" bestFit="1" customWidth="1"/>
    <col min="11" max="15" width="9.140625" style="1"/>
    <col min="16" max="16" width="11.28515625" style="2" bestFit="1" customWidth="1"/>
    <col min="17" max="17" width="9.140625" style="9"/>
    <col min="18" max="18" width="9.140625" style="1"/>
    <col min="19" max="19" width="11.42578125" style="1" customWidth="1"/>
    <col min="20" max="29" width="9.140625" style="1"/>
    <col min="30" max="32" width="11.28515625" style="1" bestFit="1" customWidth="1"/>
    <col min="33" max="16384" width="9.140625" style="1"/>
  </cols>
  <sheetData>
    <row r="1" spans="1:44" x14ac:dyDescent="0.2">
      <c r="A1" s="1" t="s">
        <v>10</v>
      </c>
      <c r="B1" s="1" t="s">
        <v>35</v>
      </c>
      <c r="C1" s="1" t="s">
        <v>37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107</v>
      </c>
      <c r="P1" s="2" t="s">
        <v>65</v>
      </c>
      <c r="Q1" s="9" t="s">
        <v>108</v>
      </c>
    </row>
    <row r="2" spans="1:44" x14ac:dyDescent="0.2">
      <c r="A2" s="2">
        <v>34700</v>
      </c>
      <c r="B2" s="4">
        <v>0.48699999999999999</v>
      </c>
      <c r="C2" s="4">
        <v>0.81899999999999995</v>
      </c>
      <c r="D2" s="4">
        <v>0.83399999999999996</v>
      </c>
      <c r="E2" s="4">
        <v>0.78500000000000003</v>
      </c>
      <c r="F2" s="4">
        <v>0.58599999999999997</v>
      </c>
      <c r="G2" s="4">
        <v>0.78500000000000003</v>
      </c>
      <c r="H2" s="4">
        <v>0.9</v>
      </c>
      <c r="I2" s="4">
        <v>0.99099999999999999</v>
      </c>
      <c r="J2" s="4">
        <v>0.22662499999999997</v>
      </c>
      <c r="K2" s="1">
        <v>700</v>
      </c>
      <c r="L2" s="1">
        <v>0</v>
      </c>
      <c r="M2" s="1">
        <v>0</v>
      </c>
      <c r="N2" s="1">
        <v>0</v>
      </c>
      <c r="O2" s="1" t="str">
        <f>IF(K2&gt;0,$K$1,IF(L2&gt;0,$L$1,IF(M2&gt;0,$M$1,$N$1)))</f>
        <v>Expansion</v>
      </c>
      <c r="P2" s="2">
        <f>EOMONTH(A2,0)</f>
        <v>34730</v>
      </c>
      <c r="Q2" s="9" t="e">
        <f>VLOOKUP(P2,BB!$A$3:$D$6771, 3, 1)*100</f>
        <v>#N/A</v>
      </c>
      <c r="R2" s="3" t="s">
        <v>30</v>
      </c>
      <c r="S2" s="1" t="s">
        <v>81</v>
      </c>
      <c r="T2" s="1" t="s">
        <v>86</v>
      </c>
      <c r="AK2" s="1">
        <v>10</v>
      </c>
      <c r="AL2" s="1">
        <v>0</v>
      </c>
      <c r="AM2" s="1">
        <v>0</v>
      </c>
      <c r="AN2" s="1">
        <v>0</v>
      </c>
      <c r="AO2" s="1">
        <f>IF(AK2&gt;0, AK2+690, AK2)</f>
        <v>700</v>
      </c>
      <c r="AP2" s="1">
        <f t="shared" ref="AP2:AR2" si="0">IF(AL2&gt;0, AL2+690, AL2)</f>
        <v>0</v>
      </c>
      <c r="AQ2" s="1">
        <f t="shared" si="0"/>
        <v>0</v>
      </c>
      <c r="AR2" s="1">
        <f t="shared" si="0"/>
        <v>0</v>
      </c>
    </row>
    <row r="3" spans="1:44" x14ac:dyDescent="0.2">
      <c r="A3" s="2">
        <v>34731</v>
      </c>
      <c r="B3" s="4">
        <v>0.58599999999999997</v>
      </c>
      <c r="C3" s="4">
        <v>0.81</v>
      </c>
      <c r="D3" s="4">
        <v>0.69399999999999995</v>
      </c>
      <c r="E3" s="4">
        <v>0.88400000000000001</v>
      </c>
      <c r="F3" s="4">
        <v>0.56100000000000005</v>
      </c>
      <c r="G3" s="4">
        <v>0.79300000000000004</v>
      </c>
      <c r="H3" s="4">
        <v>0.95799999999999996</v>
      </c>
      <c r="I3" s="4">
        <v>0.98299999999999998</v>
      </c>
      <c r="J3" s="4">
        <v>0.2163750000000001</v>
      </c>
      <c r="K3" s="1">
        <v>700</v>
      </c>
      <c r="L3" s="1">
        <v>0</v>
      </c>
      <c r="M3" s="1">
        <v>0</v>
      </c>
      <c r="N3" s="1">
        <v>0</v>
      </c>
      <c r="O3" s="1" t="str">
        <f t="shared" ref="O3:O66" si="1">IF(K3&gt;0,$K$1,IF(L3&gt;0,$L$1,IF(M3&gt;0,$M$1,$N$1)))</f>
        <v>Expansion</v>
      </c>
      <c r="P3" s="2">
        <f t="shared" ref="P3:P66" si="2">EOMONTH(A3,0)</f>
        <v>34758</v>
      </c>
      <c r="Q3" s="9" t="e">
        <f>VLOOKUP(P3,BB!$A$3:$D$6771, 3, 1)*100</f>
        <v>#N/A</v>
      </c>
      <c r="R3" s="3"/>
      <c r="S3" s="1" t="s">
        <v>50</v>
      </c>
      <c r="T3" s="1" t="s">
        <v>85</v>
      </c>
      <c r="AK3" s="1">
        <v>10</v>
      </c>
      <c r="AL3" s="1">
        <v>0</v>
      </c>
      <c r="AM3" s="1">
        <v>0</v>
      </c>
      <c r="AN3" s="1">
        <v>0</v>
      </c>
      <c r="AO3" s="1">
        <f t="shared" ref="AO3:AO66" si="3">IF(AK3&gt;0, AK3+690, AK3)</f>
        <v>700</v>
      </c>
      <c r="AP3" s="1">
        <f t="shared" ref="AP3:AP66" si="4">IF(AL3&gt;0, AL3+690, AL3)</f>
        <v>0</v>
      </c>
      <c r="AQ3" s="1">
        <f t="shared" ref="AQ3:AQ66" si="5">IF(AM3&gt;0, AM3+690, AM3)</f>
        <v>0</v>
      </c>
      <c r="AR3" s="1">
        <f t="shared" ref="AR3:AR66" si="6">IF(AN3&gt;0, AN3+690, AN3)</f>
        <v>0</v>
      </c>
    </row>
    <row r="4" spans="1:44" x14ac:dyDescent="0.2">
      <c r="A4" s="2">
        <v>34759</v>
      </c>
      <c r="B4" s="4">
        <v>0.60299999999999998</v>
      </c>
      <c r="C4" s="4">
        <v>0.81</v>
      </c>
      <c r="D4" s="4">
        <v>0.47899999999999998</v>
      </c>
      <c r="E4" s="4">
        <v>0.68500000000000005</v>
      </c>
      <c r="F4" s="4">
        <v>0.46200000000000002</v>
      </c>
      <c r="G4" s="4">
        <v>0.80900000000000005</v>
      </c>
      <c r="H4" s="4">
        <v>0.99099999999999999</v>
      </c>
      <c r="I4" s="4">
        <v>0.97499999999999998</v>
      </c>
      <c r="J4" s="4">
        <v>0.27324999999999999</v>
      </c>
      <c r="K4" s="1">
        <v>700</v>
      </c>
      <c r="L4" s="1">
        <v>0</v>
      </c>
      <c r="M4" s="1">
        <v>0</v>
      </c>
      <c r="N4" s="1">
        <v>0</v>
      </c>
      <c r="O4" s="1" t="str">
        <f t="shared" si="1"/>
        <v>Expansion</v>
      </c>
      <c r="P4" s="2">
        <f t="shared" si="2"/>
        <v>34789</v>
      </c>
      <c r="Q4" s="9" t="e">
        <f>VLOOKUP(P4,BB!$A$3:$D$6771, 3, 1)*100</f>
        <v>#N/A</v>
      </c>
      <c r="R4" s="3" t="s">
        <v>4</v>
      </c>
      <c r="S4" s="1" t="s">
        <v>53</v>
      </c>
      <c r="T4" s="1" t="s">
        <v>62</v>
      </c>
      <c r="AK4" s="1">
        <v>10</v>
      </c>
      <c r="AL4" s="1">
        <v>0</v>
      </c>
      <c r="AM4" s="1">
        <v>0</v>
      </c>
      <c r="AN4" s="1">
        <v>0</v>
      </c>
      <c r="AO4" s="1">
        <f t="shared" si="3"/>
        <v>700</v>
      </c>
      <c r="AP4" s="1">
        <f t="shared" si="4"/>
        <v>0</v>
      </c>
      <c r="AQ4" s="1">
        <f t="shared" si="5"/>
        <v>0</v>
      </c>
      <c r="AR4" s="1">
        <f t="shared" si="6"/>
        <v>0</v>
      </c>
    </row>
    <row r="5" spans="1:44" x14ac:dyDescent="0.2">
      <c r="A5" s="2">
        <v>34790</v>
      </c>
      <c r="B5" s="4">
        <v>0.58599999999999997</v>
      </c>
      <c r="C5" s="4">
        <v>0.753</v>
      </c>
      <c r="D5" s="4">
        <v>0.45400000000000001</v>
      </c>
      <c r="E5" s="4">
        <v>0.72699999999999998</v>
      </c>
      <c r="F5" s="4">
        <v>0.45400000000000001</v>
      </c>
      <c r="G5" s="4">
        <v>0.81799999999999995</v>
      </c>
      <c r="H5" s="4">
        <v>0.99099999999999999</v>
      </c>
      <c r="I5" s="4">
        <v>0.96599999999999997</v>
      </c>
      <c r="J5" s="4">
        <v>0.28137499999999993</v>
      </c>
      <c r="K5" s="1">
        <v>700</v>
      </c>
      <c r="L5" s="1">
        <v>0</v>
      </c>
      <c r="M5" s="1">
        <v>0</v>
      </c>
      <c r="N5" s="1">
        <v>0</v>
      </c>
      <c r="O5" s="1" t="str">
        <f t="shared" si="1"/>
        <v>Expansion</v>
      </c>
      <c r="P5" s="2">
        <f t="shared" si="2"/>
        <v>34819</v>
      </c>
      <c r="Q5" s="9" t="e">
        <f>VLOOKUP(P5,BB!$A$3:$D$6771, 3, 1)*100</f>
        <v>#N/A</v>
      </c>
      <c r="R5" s="3"/>
      <c r="S5" s="1" t="s">
        <v>34</v>
      </c>
      <c r="T5" s="1" t="s">
        <v>88</v>
      </c>
      <c r="AK5" s="1">
        <v>10</v>
      </c>
      <c r="AL5" s="1">
        <v>0</v>
      </c>
      <c r="AM5" s="1">
        <v>0</v>
      </c>
      <c r="AN5" s="1">
        <v>0</v>
      </c>
      <c r="AO5" s="1">
        <f t="shared" si="3"/>
        <v>700</v>
      </c>
      <c r="AP5" s="1">
        <f t="shared" si="4"/>
        <v>0</v>
      </c>
      <c r="AQ5" s="1">
        <f t="shared" si="5"/>
        <v>0</v>
      </c>
      <c r="AR5" s="1">
        <f t="shared" si="6"/>
        <v>0</v>
      </c>
    </row>
    <row r="6" spans="1:44" x14ac:dyDescent="0.2">
      <c r="A6" s="2">
        <v>34820</v>
      </c>
      <c r="B6" s="4">
        <v>0.58599999999999997</v>
      </c>
      <c r="C6" s="4">
        <v>0.78600000000000003</v>
      </c>
      <c r="D6" s="4">
        <v>0.123</v>
      </c>
      <c r="E6" s="4">
        <v>0.93300000000000005</v>
      </c>
      <c r="F6" s="4">
        <v>0.42099999999999999</v>
      </c>
      <c r="G6" s="4">
        <v>0.82599999999999996</v>
      </c>
      <c r="H6" s="4">
        <v>0.99099999999999999</v>
      </c>
      <c r="I6" s="4">
        <v>0.95799999999999996</v>
      </c>
      <c r="J6" s="4">
        <v>0.29700000000000004</v>
      </c>
      <c r="K6" s="1">
        <v>700</v>
      </c>
      <c r="L6" s="1">
        <v>0</v>
      </c>
      <c r="M6" s="1">
        <v>0</v>
      </c>
      <c r="N6" s="1">
        <v>0</v>
      </c>
      <c r="O6" s="1" t="str">
        <f t="shared" si="1"/>
        <v>Expansion</v>
      </c>
      <c r="P6" s="2">
        <f t="shared" si="2"/>
        <v>34850</v>
      </c>
      <c r="Q6" s="9" t="e">
        <f>VLOOKUP(P6,BB!$A$3:$D$6771, 3, 1)*100</f>
        <v>#N/A</v>
      </c>
      <c r="R6" s="3" t="s">
        <v>31</v>
      </c>
      <c r="S6" s="1" t="s">
        <v>82</v>
      </c>
      <c r="T6" s="1" t="s">
        <v>89</v>
      </c>
      <c r="AK6" s="1">
        <v>10</v>
      </c>
      <c r="AL6" s="1">
        <v>0</v>
      </c>
      <c r="AM6" s="1">
        <v>0</v>
      </c>
      <c r="AN6" s="1">
        <v>0</v>
      </c>
      <c r="AO6" s="1">
        <f t="shared" si="3"/>
        <v>700</v>
      </c>
      <c r="AP6" s="1">
        <f t="shared" si="4"/>
        <v>0</v>
      </c>
      <c r="AQ6" s="1">
        <f t="shared" si="5"/>
        <v>0</v>
      </c>
      <c r="AR6" s="1">
        <f t="shared" si="6"/>
        <v>0</v>
      </c>
    </row>
    <row r="7" spans="1:44" x14ac:dyDescent="0.2">
      <c r="A7" s="2">
        <v>34851</v>
      </c>
      <c r="B7" s="4">
        <v>0.61899999999999999</v>
      </c>
      <c r="C7" s="4">
        <v>0.81</v>
      </c>
      <c r="D7" s="4">
        <v>0.09</v>
      </c>
      <c r="E7" s="4">
        <v>0.64400000000000002</v>
      </c>
      <c r="F7" s="4">
        <v>0.42099999999999999</v>
      </c>
      <c r="G7" s="4">
        <v>0.84199999999999997</v>
      </c>
      <c r="H7" s="4">
        <v>0.99099999999999999</v>
      </c>
      <c r="I7" s="4">
        <v>0.95</v>
      </c>
      <c r="J7" s="4">
        <v>0.329125</v>
      </c>
      <c r="K7" s="1">
        <v>0</v>
      </c>
      <c r="L7" s="1">
        <v>700</v>
      </c>
      <c r="M7" s="1">
        <v>0</v>
      </c>
      <c r="N7" s="1">
        <v>0</v>
      </c>
      <c r="O7" s="1" t="str">
        <f t="shared" si="1"/>
        <v>Downturn</v>
      </c>
      <c r="P7" s="2">
        <f t="shared" si="2"/>
        <v>34880</v>
      </c>
      <c r="Q7" s="9" t="e">
        <f>VLOOKUP(P7,BB!$A$3:$D$6771, 3, 1)*100</f>
        <v>#N/A</v>
      </c>
      <c r="R7" s="3" t="s">
        <v>32</v>
      </c>
      <c r="S7" s="1" t="s">
        <v>83</v>
      </c>
      <c r="T7" s="1" t="s">
        <v>90</v>
      </c>
      <c r="AK7" s="1">
        <v>0</v>
      </c>
      <c r="AL7" s="1">
        <v>10</v>
      </c>
      <c r="AM7" s="1">
        <v>0</v>
      </c>
      <c r="AN7" s="1">
        <v>0</v>
      </c>
      <c r="AO7" s="1">
        <f t="shared" si="3"/>
        <v>0</v>
      </c>
      <c r="AP7" s="1">
        <f t="shared" si="4"/>
        <v>700</v>
      </c>
      <c r="AQ7" s="1">
        <f t="shared" si="5"/>
        <v>0</v>
      </c>
      <c r="AR7" s="1">
        <f t="shared" si="6"/>
        <v>0</v>
      </c>
    </row>
    <row r="8" spans="1:44" x14ac:dyDescent="0.2">
      <c r="A8" s="2">
        <v>34881</v>
      </c>
      <c r="B8" s="4">
        <v>0.61899999999999999</v>
      </c>
      <c r="C8" s="4">
        <v>0.69500000000000006</v>
      </c>
      <c r="D8" s="4">
        <v>0.36299999999999999</v>
      </c>
      <c r="E8" s="4">
        <v>0.58599999999999997</v>
      </c>
      <c r="F8" s="4">
        <v>0.39600000000000002</v>
      </c>
      <c r="G8" s="4">
        <v>0.84199999999999997</v>
      </c>
      <c r="H8" s="4">
        <v>0.97499999999999998</v>
      </c>
      <c r="I8" s="4">
        <v>0.94199999999999995</v>
      </c>
      <c r="J8" s="4">
        <v>0.32274999999999998</v>
      </c>
      <c r="K8" s="1">
        <v>0</v>
      </c>
      <c r="L8" s="1">
        <v>700</v>
      </c>
      <c r="M8" s="1">
        <v>0</v>
      </c>
      <c r="N8" s="1">
        <v>0</v>
      </c>
      <c r="O8" s="1" t="str">
        <f t="shared" si="1"/>
        <v>Downturn</v>
      </c>
      <c r="P8" s="2">
        <f t="shared" si="2"/>
        <v>34911</v>
      </c>
      <c r="Q8" s="9" t="e">
        <f>VLOOKUP(P8,BB!$A$3:$D$6771, 3, 1)*100</f>
        <v>#N/A</v>
      </c>
      <c r="R8" s="3" t="s">
        <v>33</v>
      </c>
      <c r="S8" s="1" t="s">
        <v>84</v>
      </c>
      <c r="T8" s="1" t="s">
        <v>91</v>
      </c>
      <c r="AK8" s="1">
        <v>0</v>
      </c>
      <c r="AL8" s="1">
        <v>10</v>
      </c>
      <c r="AM8" s="1">
        <v>0</v>
      </c>
      <c r="AN8" s="1">
        <v>0</v>
      </c>
      <c r="AO8" s="1">
        <f t="shared" si="3"/>
        <v>0</v>
      </c>
      <c r="AP8" s="1">
        <f t="shared" si="4"/>
        <v>700</v>
      </c>
      <c r="AQ8" s="1">
        <f t="shared" si="5"/>
        <v>0</v>
      </c>
      <c r="AR8" s="1">
        <f t="shared" si="6"/>
        <v>0</v>
      </c>
    </row>
    <row r="9" spans="1:44" x14ac:dyDescent="0.2">
      <c r="A9" s="2">
        <v>34912</v>
      </c>
      <c r="B9" s="4">
        <v>0.61899999999999999</v>
      </c>
      <c r="C9" s="4">
        <v>0.79400000000000004</v>
      </c>
      <c r="D9" s="4">
        <v>0.16500000000000001</v>
      </c>
      <c r="E9" s="4">
        <v>0.63600000000000001</v>
      </c>
      <c r="F9" s="4">
        <v>0.371</v>
      </c>
      <c r="G9" s="4">
        <v>0.84199999999999997</v>
      </c>
      <c r="H9" s="4">
        <v>0.98299999999999998</v>
      </c>
      <c r="I9" s="4">
        <v>0.93300000000000005</v>
      </c>
      <c r="J9" s="4">
        <v>0.332125</v>
      </c>
      <c r="K9" s="1">
        <v>0</v>
      </c>
      <c r="L9" s="1">
        <v>700</v>
      </c>
      <c r="M9" s="1">
        <v>0</v>
      </c>
      <c r="N9" s="1">
        <v>0</v>
      </c>
      <c r="O9" s="1" t="str">
        <f t="shared" si="1"/>
        <v>Downturn</v>
      </c>
      <c r="P9" s="2">
        <f t="shared" si="2"/>
        <v>34942</v>
      </c>
      <c r="Q9" s="9" t="e">
        <f>VLOOKUP(P9,BB!$A$3:$D$6771, 3, 1)*100</f>
        <v>#N/A</v>
      </c>
      <c r="R9" s="3" t="s">
        <v>7</v>
      </c>
      <c r="S9" s="1" t="s">
        <v>56</v>
      </c>
      <c r="T9" s="1" t="s">
        <v>76</v>
      </c>
      <c r="AK9" s="1">
        <v>0</v>
      </c>
      <c r="AL9" s="1">
        <v>10</v>
      </c>
      <c r="AM9" s="1">
        <v>0</v>
      </c>
      <c r="AN9" s="1">
        <v>0</v>
      </c>
      <c r="AO9" s="1">
        <f t="shared" si="3"/>
        <v>0</v>
      </c>
      <c r="AP9" s="1">
        <f t="shared" si="4"/>
        <v>700</v>
      </c>
      <c r="AQ9" s="1">
        <f t="shared" si="5"/>
        <v>0</v>
      </c>
      <c r="AR9" s="1">
        <f t="shared" si="6"/>
        <v>0</v>
      </c>
    </row>
    <row r="10" spans="1:44" x14ac:dyDescent="0.2">
      <c r="A10" s="2">
        <v>34943</v>
      </c>
      <c r="B10" s="4">
        <v>0.65200000000000002</v>
      </c>
      <c r="C10" s="4">
        <v>0.81899999999999995</v>
      </c>
      <c r="D10" s="4">
        <v>0.214</v>
      </c>
      <c r="E10" s="4">
        <v>0.752</v>
      </c>
      <c r="F10" s="4">
        <v>0.51200000000000001</v>
      </c>
      <c r="G10" s="4">
        <v>0.82599999999999996</v>
      </c>
      <c r="H10" s="4">
        <v>0.96599999999999997</v>
      </c>
      <c r="I10" s="4">
        <v>0.92500000000000004</v>
      </c>
      <c r="J10" s="4">
        <v>0.29174999999999995</v>
      </c>
      <c r="K10" s="1">
        <v>0</v>
      </c>
      <c r="L10" s="1">
        <v>700</v>
      </c>
      <c r="M10" s="1">
        <v>0</v>
      </c>
      <c r="N10" s="1">
        <v>0</v>
      </c>
      <c r="O10" s="1" t="str">
        <f t="shared" si="1"/>
        <v>Downturn</v>
      </c>
      <c r="P10" s="2">
        <f t="shared" si="2"/>
        <v>34972</v>
      </c>
      <c r="Q10" s="9" t="e">
        <f>VLOOKUP(P10,BB!$A$3:$D$6771, 3, 1)*100</f>
        <v>#N/A</v>
      </c>
      <c r="AK10" s="1">
        <v>0</v>
      </c>
      <c r="AL10" s="1">
        <v>10</v>
      </c>
      <c r="AM10" s="1">
        <v>0</v>
      </c>
      <c r="AN10" s="1">
        <v>0</v>
      </c>
      <c r="AO10" s="1">
        <f t="shared" si="3"/>
        <v>0</v>
      </c>
      <c r="AP10" s="1">
        <f t="shared" si="4"/>
        <v>700</v>
      </c>
      <c r="AQ10" s="1">
        <f t="shared" si="5"/>
        <v>0</v>
      </c>
      <c r="AR10" s="1">
        <f t="shared" si="6"/>
        <v>0</v>
      </c>
    </row>
    <row r="11" spans="1:44" x14ac:dyDescent="0.2">
      <c r="A11" s="2">
        <v>34973</v>
      </c>
      <c r="B11" s="4">
        <v>0.61899999999999999</v>
      </c>
      <c r="C11" s="4">
        <v>0.79400000000000004</v>
      </c>
      <c r="D11" s="4">
        <v>0.13200000000000001</v>
      </c>
      <c r="E11" s="4">
        <v>0.77600000000000002</v>
      </c>
      <c r="F11" s="4">
        <v>0.47099999999999997</v>
      </c>
      <c r="G11" s="4">
        <v>0.84199999999999997</v>
      </c>
      <c r="H11" s="4">
        <v>0.99099999999999999</v>
      </c>
      <c r="I11" s="4">
        <v>0.91700000000000004</v>
      </c>
      <c r="J11" s="4">
        <v>0.30725000000000002</v>
      </c>
      <c r="K11" s="1">
        <v>0</v>
      </c>
      <c r="L11" s="1">
        <v>700</v>
      </c>
      <c r="M11" s="1">
        <v>0</v>
      </c>
      <c r="N11" s="1">
        <v>0</v>
      </c>
      <c r="O11" s="1" t="str">
        <f t="shared" si="1"/>
        <v>Downturn</v>
      </c>
      <c r="P11" s="2">
        <f t="shared" si="2"/>
        <v>35003</v>
      </c>
      <c r="Q11" s="9" t="e">
        <f>VLOOKUP(P11,BB!$A$3:$D$6771, 3, 1)*100</f>
        <v>#N/A</v>
      </c>
      <c r="R11" s="2"/>
      <c r="AK11" s="1">
        <v>0</v>
      </c>
      <c r="AL11" s="1">
        <v>10</v>
      </c>
      <c r="AM11" s="1">
        <v>0</v>
      </c>
      <c r="AN11" s="1">
        <v>0</v>
      </c>
      <c r="AO11" s="1">
        <f t="shared" si="3"/>
        <v>0</v>
      </c>
      <c r="AP11" s="1">
        <f t="shared" si="4"/>
        <v>700</v>
      </c>
      <c r="AQ11" s="1">
        <f t="shared" si="5"/>
        <v>0</v>
      </c>
      <c r="AR11" s="1">
        <f t="shared" si="6"/>
        <v>0</v>
      </c>
    </row>
    <row r="12" spans="1:44" x14ac:dyDescent="0.2">
      <c r="A12" s="2">
        <v>35004</v>
      </c>
      <c r="B12" s="4">
        <v>0.66900000000000004</v>
      </c>
      <c r="C12" s="4">
        <v>0.80200000000000005</v>
      </c>
      <c r="D12" s="4">
        <v>0.09</v>
      </c>
      <c r="E12" s="4">
        <v>0.876</v>
      </c>
      <c r="F12" s="4">
        <v>0.58599999999999997</v>
      </c>
      <c r="G12" s="4">
        <v>0.86699999999999999</v>
      </c>
      <c r="H12" s="4">
        <v>0.99099999999999999</v>
      </c>
      <c r="I12" s="4">
        <v>0.90900000000000003</v>
      </c>
      <c r="J12" s="4">
        <v>0.27625</v>
      </c>
      <c r="K12" s="1">
        <v>0</v>
      </c>
      <c r="L12" s="1">
        <v>700</v>
      </c>
      <c r="M12" s="1">
        <v>0</v>
      </c>
      <c r="N12" s="1">
        <v>0</v>
      </c>
      <c r="O12" s="1" t="str">
        <f t="shared" si="1"/>
        <v>Downturn</v>
      </c>
      <c r="P12" s="2">
        <f t="shared" si="2"/>
        <v>35033</v>
      </c>
      <c r="Q12" s="9" t="e">
        <f>VLOOKUP(P12,BB!$A$3:$D$6771, 3, 1)*100</f>
        <v>#N/A</v>
      </c>
      <c r="AK12" s="1">
        <v>0</v>
      </c>
      <c r="AL12" s="1">
        <v>10</v>
      </c>
      <c r="AM12" s="1">
        <v>0</v>
      </c>
      <c r="AN12" s="1">
        <v>0</v>
      </c>
      <c r="AO12" s="1">
        <f t="shared" si="3"/>
        <v>0</v>
      </c>
      <c r="AP12" s="1">
        <f t="shared" si="4"/>
        <v>700</v>
      </c>
      <c r="AQ12" s="1">
        <f t="shared" si="5"/>
        <v>0</v>
      </c>
      <c r="AR12" s="1">
        <f t="shared" si="6"/>
        <v>0</v>
      </c>
    </row>
    <row r="13" spans="1:44" x14ac:dyDescent="0.2">
      <c r="A13" s="2">
        <v>35034</v>
      </c>
      <c r="B13" s="4">
        <v>0.53700000000000003</v>
      </c>
      <c r="C13" s="4">
        <v>0.76900000000000002</v>
      </c>
      <c r="D13" s="4">
        <v>0.13200000000000001</v>
      </c>
      <c r="E13" s="4">
        <v>0.76</v>
      </c>
      <c r="F13" s="4">
        <v>0.52</v>
      </c>
      <c r="G13" s="4">
        <v>0.85099999999999998</v>
      </c>
      <c r="H13" s="4">
        <v>0.99099999999999999</v>
      </c>
      <c r="I13" s="4">
        <v>0.9</v>
      </c>
      <c r="J13" s="4">
        <v>0.31749999999999989</v>
      </c>
      <c r="K13" s="1">
        <v>0</v>
      </c>
      <c r="L13" s="1">
        <v>700</v>
      </c>
      <c r="M13" s="1">
        <v>0</v>
      </c>
      <c r="N13" s="1">
        <v>0</v>
      </c>
      <c r="O13" s="1" t="str">
        <f t="shared" si="1"/>
        <v>Downturn</v>
      </c>
      <c r="P13" s="2">
        <f t="shared" si="2"/>
        <v>35064</v>
      </c>
      <c r="Q13" s="9" t="e">
        <f>VLOOKUP(P13,BB!$A$3:$D$6771, 3, 1)*100</f>
        <v>#N/A</v>
      </c>
      <c r="S13" s="2">
        <v>42035</v>
      </c>
      <c r="T13" s="1">
        <f>MATCH(S13,P:P, 0)</f>
        <v>242</v>
      </c>
      <c r="AK13" s="1">
        <v>0</v>
      </c>
      <c r="AL13" s="1">
        <v>10</v>
      </c>
      <c r="AM13" s="1">
        <v>0</v>
      </c>
      <c r="AN13" s="1">
        <v>0</v>
      </c>
      <c r="AO13" s="1">
        <f t="shared" si="3"/>
        <v>0</v>
      </c>
      <c r="AP13" s="1">
        <f t="shared" si="4"/>
        <v>700</v>
      </c>
      <c r="AQ13" s="1">
        <f t="shared" si="5"/>
        <v>0</v>
      </c>
      <c r="AR13" s="1">
        <f t="shared" si="6"/>
        <v>0</v>
      </c>
    </row>
    <row r="14" spans="1:44" x14ac:dyDescent="0.2">
      <c r="A14" s="2">
        <v>35065</v>
      </c>
      <c r="B14" s="4">
        <v>0.495</v>
      </c>
      <c r="C14" s="4">
        <v>0.64500000000000002</v>
      </c>
      <c r="D14" s="4">
        <v>0.09</v>
      </c>
      <c r="E14" s="4">
        <v>0.752</v>
      </c>
      <c r="F14" s="4">
        <v>0.38</v>
      </c>
      <c r="G14" s="4">
        <v>0.77600000000000002</v>
      </c>
      <c r="H14" s="4">
        <v>0.96599999999999997</v>
      </c>
      <c r="I14" s="4">
        <v>0.99099999999999999</v>
      </c>
      <c r="J14" s="4">
        <v>0.36312500000000003</v>
      </c>
      <c r="K14" s="1">
        <v>0</v>
      </c>
      <c r="L14" s="1">
        <v>700</v>
      </c>
      <c r="M14" s="1">
        <v>0</v>
      </c>
      <c r="N14" s="1">
        <v>0</v>
      </c>
      <c r="O14" s="1" t="str">
        <f t="shared" si="1"/>
        <v>Downturn</v>
      </c>
      <c r="P14" s="2">
        <f t="shared" si="2"/>
        <v>35095</v>
      </c>
      <c r="Q14" s="9" t="e">
        <f>VLOOKUP(P14,BB!$A$3:$D$6771, 3, 1)*100</f>
        <v>#N/A</v>
      </c>
      <c r="S14" s="2">
        <f>MAX(P:P)</f>
        <v>45961</v>
      </c>
      <c r="T14" s="1">
        <f>MATCH(S14,P:P, 0)</f>
        <v>371</v>
      </c>
      <c r="U14" s="7"/>
      <c r="V14" s="7"/>
      <c r="AK14" s="1">
        <v>0</v>
      </c>
      <c r="AL14" s="1">
        <v>10</v>
      </c>
      <c r="AM14" s="1">
        <v>0</v>
      </c>
      <c r="AN14" s="1">
        <v>0</v>
      </c>
      <c r="AO14" s="1">
        <f t="shared" si="3"/>
        <v>0</v>
      </c>
      <c r="AP14" s="1">
        <f t="shared" si="4"/>
        <v>700</v>
      </c>
      <c r="AQ14" s="1">
        <f t="shared" si="5"/>
        <v>0</v>
      </c>
      <c r="AR14" s="1">
        <f t="shared" si="6"/>
        <v>0</v>
      </c>
    </row>
    <row r="15" spans="1:44" x14ac:dyDescent="0.2">
      <c r="A15" s="2">
        <v>35096</v>
      </c>
      <c r="B15" s="4">
        <v>0.495</v>
      </c>
      <c r="C15" s="4">
        <v>0.63700000000000001</v>
      </c>
      <c r="D15" s="4">
        <v>9.9000000000000005E-2</v>
      </c>
      <c r="E15" s="4">
        <v>0.58599999999999997</v>
      </c>
      <c r="F15" s="4">
        <v>0.42899999999999999</v>
      </c>
      <c r="G15" s="4">
        <v>0.78500000000000003</v>
      </c>
      <c r="H15" s="4">
        <v>0.91700000000000004</v>
      </c>
      <c r="I15" s="4">
        <v>0.98299999999999998</v>
      </c>
      <c r="J15" s="4">
        <v>0.38362499999999999</v>
      </c>
      <c r="K15" s="1">
        <v>0</v>
      </c>
      <c r="L15" s="1">
        <v>700</v>
      </c>
      <c r="M15" s="1">
        <v>0</v>
      </c>
      <c r="N15" s="1">
        <v>0</v>
      </c>
      <c r="O15" s="1" t="str">
        <f t="shared" si="1"/>
        <v>Downturn</v>
      </c>
      <c r="P15" s="2">
        <f t="shared" si="2"/>
        <v>35124</v>
      </c>
      <c r="Q15" s="9" t="e">
        <f>VLOOKUP(P15,BB!$A$3:$D$6771, 3, 1)*100</f>
        <v>#N/A</v>
      </c>
      <c r="T15" s="1" t="s">
        <v>102</v>
      </c>
      <c r="U15" s="7" t="s">
        <v>104</v>
      </c>
      <c r="V15" s="7"/>
      <c r="AK15" s="1">
        <v>0</v>
      </c>
      <c r="AL15" s="1">
        <v>10</v>
      </c>
      <c r="AM15" s="1">
        <v>0</v>
      </c>
      <c r="AN15" s="1">
        <v>0</v>
      </c>
      <c r="AO15" s="1">
        <f t="shared" si="3"/>
        <v>0</v>
      </c>
      <c r="AP15" s="1">
        <f t="shared" si="4"/>
        <v>700</v>
      </c>
      <c r="AQ15" s="1">
        <f t="shared" si="5"/>
        <v>0</v>
      </c>
      <c r="AR15" s="1">
        <f t="shared" si="6"/>
        <v>0</v>
      </c>
    </row>
    <row r="16" spans="1:44" x14ac:dyDescent="0.2">
      <c r="A16" s="2">
        <v>35125</v>
      </c>
      <c r="B16" s="4">
        <v>0.46200000000000002</v>
      </c>
      <c r="C16" s="4">
        <v>0.66199999999999992</v>
      </c>
      <c r="D16" s="4">
        <v>0.20599999999999999</v>
      </c>
      <c r="E16" s="4">
        <v>0.61899999999999999</v>
      </c>
      <c r="F16" s="4">
        <v>0.45400000000000001</v>
      </c>
      <c r="G16" s="4">
        <v>0.71899999999999997</v>
      </c>
      <c r="H16" s="4">
        <v>0.88400000000000001</v>
      </c>
      <c r="I16" s="4">
        <v>0.97499999999999998</v>
      </c>
      <c r="J16" s="4">
        <v>0.37737500000000002</v>
      </c>
      <c r="K16" s="1">
        <v>0</v>
      </c>
      <c r="L16" s="1">
        <v>700</v>
      </c>
      <c r="M16" s="1">
        <v>0</v>
      </c>
      <c r="N16" s="1">
        <v>0</v>
      </c>
      <c r="O16" s="1" t="str">
        <f t="shared" si="1"/>
        <v>Downturn</v>
      </c>
      <c r="P16" s="2">
        <f t="shared" si="2"/>
        <v>35155</v>
      </c>
      <c r="Q16" s="9" t="e">
        <f>VLOOKUP(P16,BB!$A$3:$D$6771, 3, 1)*100</f>
        <v>#N/A</v>
      </c>
      <c r="S16" s="1" t="s">
        <v>26</v>
      </c>
      <c r="T16" s="1">
        <f ca="1">COUNTIF(INDIRECT("T"&amp;$T$13&amp;":T"&amp;$T$14), $S16)</f>
        <v>4</v>
      </c>
      <c r="U16" s="8">
        <f ca="1">COUNTIFS(INDIRECT("T"&amp;$T$13&amp;":T"&amp;$T$14), $S16, INDIRECT("R"&amp;$T$13&amp;":R"&amp;$T$14), "&gt;0")/(COUNTIFS(INDIRECT("T"&amp;$T$13&amp;":T"&amp;$T$14), $S16, INDIRECT("R"&amp;$T$13&amp;":R"&amp;$T$14), "&gt;0")+COUNTIFS(INDIRECT("T"&amp;$T$13&amp;":T"&amp;$T$14), $S16, INDIRECT("R"&amp;$T$13&amp;":R"&amp;$T$14), "&lt;0")+COUNTIFS(INDIRECT("T"&amp;$T$13&amp;":T"&amp;$T$14), $S16, INDIRECT("R"&amp;$T$13&amp;":R"&amp;$T$14), 0))</f>
        <v>0.5</v>
      </c>
      <c r="V16" s="8"/>
      <c r="AK16" s="1">
        <v>0</v>
      </c>
      <c r="AL16" s="1">
        <v>10</v>
      </c>
      <c r="AM16" s="1">
        <v>0</v>
      </c>
      <c r="AN16" s="1">
        <v>0</v>
      </c>
      <c r="AO16" s="1">
        <f t="shared" si="3"/>
        <v>0</v>
      </c>
      <c r="AP16" s="1">
        <f t="shared" si="4"/>
        <v>700</v>
      </c>
      <c r="AQ16" s="1">
        <f t="shared" si="5"/>
        <v>0</v>
      </c>
      <c r="AR16" s="1">
        <f t="shared" si="6"/>
        <v>0</v>
      </c>
    </row>
    <row r="17" spans="1:44" x14ac:dyDescent="0.2">
      <c r="A17" s="2">
        <v>35156</v>
      </c>
      <c r="B17" s="4">
        <v>0.46200000000000002</v>
      </c>
      <c r="C17" s="4">
        <v>0.66199999999999992</v>
      </c>
      <c r="D17" s="4">
        <v>0.28899999999999998</v>
      </c>
      <c r="E17" s="4">
        <v>0.52800000000000002</v>
      </c>
      <c r="F17" s="4">
        <v>0.495</v>
      </c>
      <c r="G17" s="4">
        <v>0.72699999999999998</v>
      </c>
      <c r="H17" s="4">
        <v>0.79300000000000004</v>
      </c>
      <c r="I17" s="4">
        <v>0.96599999999999997</v>
      </c>
      <c r="J17" s="4">
        <v>0.38475000000000004</v>
      </c>
      <c r="K17" s="1">
        <v>0</v>
      </c>
      <c r="L17" s="1">
        <v>700</v>
      </c>
      <c r="M17" s="1">
        <v>0</v>
      </c>
      <c r="N17" s="1">
        <v>0</v>
      </c>
      <c r="O17" s="1" t="str">
        <f t="shared" si="1"/>
        <v>Downturn</v>
      </c>
      <c r="P17" s="2">
        <f t="shared" si="2"/>
        <v>35185</v>
      </c>
      <c r="Q17" s="9" t="e">
        <f>VLOOKUP(P17,BB!$A$3:$D$6771, 3, 1)*100</f>
        <v>#N/A</v>
      </c>
      <c r="S17" s="1" t="s">
        <v>27</v>
      </c>
      <c r="T17" s="1">
        <f t="shared" ref="T17:T19" ca="1" si="7">COUNTIF(INDIRECT("T"&amp;$T$13&amp;":T"&amp;$T$14), $S17)</f>
        <v>6</v>
      </c>
      <c r="U17" s="8">
        <f t="shared" ref="U17:U19" ca="1" si="8">COUNTIFS(INDIRECT("T"&amp;$T$13&amp;":T"&amp;$T$14), $S17, INDIRECT("R"&amp;$T$13&amp;":R"&amp;$T$14), "&gt;0")/(COUNTIFS(INDIRECT("T"&amp;$T$13&amp;":T"&amp;$T$14), $S17, INDIRECT("R"&amp;$T$13&amp;":R"&amp;$T$14), "&gt;0")+COUNTIFS(INDIRECT("T"&amp;$T$13&amp;":T"&amp;$T$14), $S17, INDIRECT("R"&amp;$T$13&amp;":R"&amp;$T$14), "&lt;0")+COUNTIFS(INDIRECT("T"&amp;$T$13&amp;":T"&amp;$T$14), $S17, INDIRECT("R"&amp;$T$13&amp;":R"&amp;$T$14), 0))</f>
        <v>1</v>
      </c>
      <c r="V17" s="8"/>
      <c r="AK17" s="1">
        <v>0</v>
      </c>
      <c r="AL17" s="1">
        <v>10</v>
      </c>
      <c r="AM17" s="1">
        <v>0</v>
      </c>
      <c r="AN17" s="1">
        <v>0</v>
      </c>
      <c r="AO17" s="1">
        <f t="shared" si="3"/>
        <v>0</v>
      </c>
      <c r="AP17" s="1">
        <f t="shared" si="4"/>
        <v>700</v>
      </c>
      <c r="AQ17" s="1">
        <f t="shared" si="5"/>
        <v>0</v>
      </c>
      <c r="AR17" s="1">
        <f t="shared" si="6"/>
        <v>0</v>
      </c>
    </row>
    <row r="18" spans="1:44" x14ac:dyDescent="0.2">
      <c r="A18" s="2">
        <v>35186</v>
      </c>
      <c r="B18" s="4">
        <v>0.46200000000000002</v>
      </c>
      <c r="C18" s="4">
        <v>0.66199999999999992</v>
      </c>
      <c r="D18" s="4">
        <v>0.27200000000000002</v>
      </c>
      <c r="E18" s="4">
        <v>0.52</v>
      </c>
      <c r="F18" s="4">
        <v>0.504</v>
      </c>
      <c r="G18" s="4">
        <v>0.71</v>
      </c>
      <c r="H18" s="4">
        <v>0.70199999999999996</v>
      </c>
      <c r="I18" s="4">
        <v>0.95799999999999996</v>
      </c>
      <c r="J18" s="4">
        <v>0.40125</v>
      </c>
      <c r="K18" s="1">
        <v>0</v>
      </c>
      <c r="L18" s="1">
        <v>700</v>
      </c>
      <c r="M18" s="1">
        <v>0</v>
      </c>
      <c r="N18" s="1">
        <v>0</v>
      </c>
      <c r="O18" s="1" t="str">
        <f t="shared" si="1"/>
        <v>Downturn</v>
      </c>
      <c r="P18" s="2">
        <f t="shared" si="2"/>
        <v>35216</v>
      </c>
      <c r="Q18" s="9" t="e">
        <f>VLOOKUP(P18,BB!$A$3:$D$6771, 3, 1)*100</f>
        <v>#N/A</v>
      </c>
      <c r="S18" s="1" t="s">
        <v>28</v>
      </c>
      <c r="T18" s="1">
        <f t="shared" ca="1" si="7"/>
        <v>9</v>
      </c>
      <c r="U18" s="8">
        <f t="shared" ca="1" si="8"/>
        <v>0.44444444444444442</v>
      </c>
      <c r="V18" s="8"/>
      <c r="AK18" s="1">
        <v>0</v>
      </c>
      <c r="AL18" s="1">
        <v>10</v>
      </c>
      <c r="AM18" s="1">
        <v>0</v>
      </c>
      <c r="AN18" s="1">
        <v>0</v>
      </c>
      <c r="AO18" s="1">
        <f t="shared" si="3"/>
        <v>0</v>
      </c>
      <c r="AP18" s="1">
        <f t="shared" si="4"/>
        <v>700</v>
      </c>
      <c r="AQ18" s="1">
        <f t="shared" si="5"/>
        <v>0</v>
      </c>
      <c r="AR18" s="1">
        <f t="shared" si="6"/>
        <v>0</v>
      </c>
    </row>
    <row r="19" spans="1:44" x14ac:dyDescent="0.2">
      <c r="A19" s="2">
        <v>35217</v>
      </c>
      <c r="B19" s="4">
        <v>0.52</v>
      </c>
      <c r="C19" s="4">
        <v>0.66999999999999993</v>
      </c>
      <c r="D19" s="4">
        <v>0.57799999999999996</v>
      </c>
      <c r="E19" s="4">
        <v>0.93300000000000005</v>
      </c>
      <c r="F19" s="4">
        <v>0.53700000000000003</v>
      </c>
      <c r="G19" s="4">
        <v>0.67700000000000005</v>
      </c>
      <c r="H19" s="4">
        <v>0.76</v>
      </c>
      <c r="I19" s="4">
        <v>0.95</v>
      </c>
      <c r="J19" s="4">
        <v>0.296875</v>
      </c>
      <c r="K19" s="1">
        <v>0</v>
      </c>
      <c r="L19" s="1">
        <v>700</v>
      </c>
      <c r="M19" s="1">
        <v>0</v>
      </c>
      <c r="N19" s="1">
        <v>0</v>
      </c>
      <c r="O19" s="1" t="str">
        <f t="shared" si="1"/>
        <v>Downturn</v>
      </c>
      <c r="P19" s="2">
        <f t="shared" si="2"/>
        <v>35246</v>
      </c>
      <c r="Q19" s="9" t="e">
        <f>VLOOKUP(P19,BB!$A$3:$D$6771, 3, 1)*100</f>
        <v>#N/A</v>
      </c>
      <c r="S19" s="1" t="s">
        <v>29</v>
      </c>
      <c r="T19" s="1">
        <f t="shared" ca="1" si="7"/>
        <v>5</v>
      </c>
      <c r="U19" s="8">
        <f t="shared" ca="1" si="8"/>
        <v>0.2</v>
      </c>
      <c r="V19" s="8"/>
      <c r="AK19" s="1">
        <v>0</v>
      </c>
      <c r="AL19" s="1">
        <v>10</v>
      </c>
      <c r="AM19" s="1">
        <v>0</v>
      </c>
      <c r="AN19" s="1">
        <v>0</v>
      </c>
      <c r="AO19" s="1">
        <f t="shared" si="3"/>
        <v>0</v>
      </c>
      <c r="AP19" s="1">
        <f t="shared" si="4"/>
        <v>700</v>
      </c>
      <c r="AQ19" s="1">
        <f t="shared" si="5"/>
        <v>0</v>
      </c>
      <c r="AR19" s="1">
        <f t="shared" si="6"/>
        <v>0</v>
      </c>
    </row>
    <row r="20" spans="1:44" x14ac:dyDescent="0.2">
      <c r="A20" s="2">
        <v>35247</v>
      </c>
      <c r="B20" s="4">
        <v>0.46200000000000002</v>
      </c>
      <c r="C20" s="4">
        <v>0.66999999999999993</v>
      </c>
      <c r="D20" s="4">
        <v>0.33</v>
      </c>
      <c r="E20" s="4">
        <v>0.92500000000000004</v>
      </c>
      <c r="F20" s="4">
        <v>0.51200000000000001</v>
      </c>
      <c r="G20" s="4">
        <v>0.67700000000000005</v>
      </c>
      <c r="H20" s="4">
        <v>0.86699999999999999</v>
      </c>
      <c r="I20" s="4">
        <v>0.94199999999999995</v>
      </c>
      <c r="J20" s="4">
        <v>0.32687500000000003</v>
      </c>
      <c r="K20" s="1">
        <v>0</v>
      </c>
      <c r="L20" s="1">
        <v>700</v>
      </c>
      <c r="M20" s="1">
        <v>0</v>
      </c>
      <c r="N20" s="1">
        <v>0</v>
      </c>
      <c r="O20" s="1" t="str">
        <f t="shared" si="1"/>
        <v>Downturn</v>
      </c>
      <c r="P20" s="2">
        <f t="shared" si="2"/>
        <v>35277</v>
      </c>
      <c r="Q20" s="9" t="e">
        <f>VLOOKUP(P20,BB!$A$3:$D$6771, 3, 1)*100</f>
        <v>#N/A</v>
      </c>
      <c r="AK20" s="1">
        <v>0</v>
      </c>
      <c r="AL20" s="1">
        <v>10</v>
      </c>
      <c r="AM20" s="1">
        <v>0</v>
      </c>
      <c r="AN20" s="1">
        <v>0</v>
      </c>
      <c r="AO20" s="1">
        <f t="shared" si="3"/>
        <v>0</v>
      </c>
      <c r="AP20" s="1">
        <f t="shared" si="4"/>
        <v>700</v>
      </c>
      <c r="AQ20" s="1">
        <f t="shared" si="5"/>
        <v>0</v>
      </c>
      <c r="AR20" s="1">
        <f t="shared" si="6"/>
        <v>0</v>
      </c>
    </row>
    <row r="21" spans="1:44" x14ac:dyDescent="0.2">
      <c r="A21" s="2">
        <v>35278</v>
      </c>
      <c r="B21" s="4">
        <v>0.52800000000000002</v>
      </c>
      <c r="C21" s="4">
        <v>0.65300000000000002</v>
      </c>
      <c r="D21" s="4">
        <v>0.47899999999999998</v>
      </c>
      <c r="E21" s="4">
        <v>0.89200000000000002</v>
      </c>
      <c r="F21" s="4">
        <v>0.47899999999999998</v>
      </c>
      <c r="G21" s="4">
        <v>0.65200000000000002</v>
      </c>
      <c r="H21" s="4">
        <v>0.752</v>
      </c>
      <c r="I21" s="4">
        <v>0.93300000000000005</v>
      </c>
      <c r="J21" s="4">
        <v>0.32899999999999996</v>
      </c>
      <c r="K21" s="1">
        <v>700</v>
      </c>
      <c r="L21" s="1">
        <v>0</v>
      </c>
      <c r="M21" s="1">
        <v>0</v>
      </c>
      <c r="N21" s="1">
        <v>0</v>
      </c>
      <c r="O21" s="1" t="str">
        <f t="shared" si="1"/>
        <v>Expansion</v>
      </c>
      <c r="P21" s="2">
        <f t="shared" si="2"/>
        <v>35308</v>
      </c>
      <c r="Q21" s="9" t="e">
        <f>VLOOKUP(P21,BB!$A$3:$D$6771, 3, 1)*100</f>
        <v>#N/A</v>
      </c>
      <c r="AK21" s="1">
        <v>10</v>
      </c>
      <c r="AL21" s="1">
        <v>0</v>
      </c>
      <c r="AM21" s="1">
        <v>0</v>
      </c>
      <c r="AN21" s="1">
        <v>0</v>
      </c>
      <c r="AO21" s="1">
        <f t="shared" si="3"/>
        <v>700</v>
      </c>
      <c r="AP21" s="1">
        <f t="shared" si="4"/>
        <v>0</v>
      </c>
      <c r="AQ21" s="1">
        <f t="shared" si="5"/>
        <v>0</v>
      </c>
      <c r="AR21" s="1">
        <f t="shared" si="6"/>
        <v>0</v>
      </c>
    </row>
    <row r="22" spans="1:44" x14ac:dyDescent="0.2">
      <c r="A22" s="2">
        <v>35309</v>
      </c>
      <c r="B22" s="4">
        <v>0.438</v>
      </c>
      <c r="C22" s="4">
        <v>0.66199999999999992</v>
      </c>
      <c r="D22" s="4">
        <v>0.438</v>
      </c>
      <c r="E22" s="4">
        <v>0.95799999999999996</v>
      </c>
      <c r="F22" s="4">
        <v>0.41299999999999998</v>
      </c>
      <c r="G22" s="4">
        <v>0.66900000000000004</v>
      </c>
      <c r="H22" s="4">
        <v>0.79300000000000004</v>
      </c>
      <c r="I22" s="4">
        <v>0.92500000000000004</v>
      </c>
      <c r="J22" s="4">
        <v>0.33800000000000008</v>
      </c>
      <c r="K22" s="1">
        <v>700</v>
      </c>
      <c r="L22" s="1">
        <v>0</v>
      </c>
      <c r="M22" s="1">
        <v>0</v>
      </c>
      <c r="N22" s="1">
        <v>0</v>
      </c>
      <c r="O22" s="1" t="str">
        <f t="shared" si="1"/>
        <v>Expansion</v>
      </c>
      <c r="P22" s="2">
        <f t="shared" si="2"/>
        <v>35338</v>
      </c>
      <c r="Q22" s="9" t="e">
        <f>VLOOKUP(P22,BB!$A$3:$D$6771, 3, 1)*100</f>
        <v>#N/A</v>
      </c>
      <c r="AK22" s="1">
        <v>10</v>
      </c>
      <c r="AL22" s="1">
        <v>0</v>
      </c>
      <c r="AM22" s="1">
        <v>0</v>
      </c>
      <c r="AN22" s="1">
        <v>0</v>
      </c>
      <c r="AO22" s="1">
        <f t="shared" si="3"/>
        <v>700</v>
      </c>
      <c r="AP22" s="1">
        <f t="shared" si="4"/>
        <v>0</v>
      </c>
      <c r="AQ22" s="1">
        <f t="shared" si="5"/>
        <v>0</v>
      </c>
      <c r="AR22" s="1">
        <f t="shared" si="6"/>
        <v>0</v>
      </c>
    </row>
    <row r="23" spans="1:44" x14ac:dyDescent="0.2">
      <c r="A23" s="2">
        <v>35339</v>
      </c>
      <c r="B23" s="4">
        <v>0.42899999999999999</v>
      </c>
      <c r="C23" s="4">
        <v>0.66199999999999992</v>
      </c>
      <c r="D23" s="4">
        <v>0.36299999999999999</v>
      </c>
      <c r="E23" s="4">
        <v>0.97499999999999998</v>
      </c>
      <c r="F23" s="4">
        <v>0.39600000000000002</v>
      </c>
      <c r="G23" s="4">
        <v>0.63600000000000001</v>
      </c>
      <c r="H23" s="4">
        <v>0.876</v>
      </c>
      <c r="I23" s="4">
        <v>0.91700000000000004</v>
      </c>
      <c r="J23" s="4">
        <v>0.34325000000000006</v>
      </c>
      <c r="K23" s="1">
        <v>700</v>
      </c>
      <c r="L23" s="1">
        <v>0</v>
      </c>
      <c r="M23" s="1">
        <v>0</v>
      </c>
      <c r="N23" s="1">
        <v>0</v>
      </c>
      <c r="O23" s="1" t="str">
        <f t="shared" si="1"/>
        <v>Expansion</v>
      </c>
      <c r="P23" s="2">
        <f t="shared" si="2"/>
        <v>35369</v>
      </c>
      <c r="Q23" s="9" t="e">
        <f>VLOOKUP(P23,BB!$A$3:$D$6771, 3, 1)*100</f>
        <v>#N/A</v>
      </c>
      <c r="AK23" s="1">
        <v>10</v>
      </c>
      <c r="AL23" s="1">
        <v>0</v>
      </c>
      <c r="AM23" s="1">
        <v>0</v>
      </c>
      <c r="AN23" s="1">
        <v>0</v>
      </c>
      <c r="AO23" s="1">
        <f t="shared" si="3"/>
        <v>700</v>
      </c>
      <c r="AP23" s="1">
        <f t="shared" si="4"/>
        <v>0</v>
      </c>
      <c r="AQ23" s="1">
        <f t="shared" si="5"/>
        <v>0</v>
      </c>
      <c r="AR23" s="1">
        <f t="shared" si="6"/>
        <v>0</v>
      </c>
    </row>
    <row r="24" spans="1:44" x14ac:dyDescent="0.2">
      <c r="A24" s="2">
        <v>35370</v>
      </c>
      <c r="B24" s="4">
        <v>0.42099999999999999</v>
      </c>
      <c r="C24" s="4">
        <v>0.72799999999999998</v>
      </c>
      <c r="D24" s="4">
        <v>0.52</v>
      </c>
      <c r="E24" s="4">
        <v>0.97499999999999998</v>
      </c>
      <c r="F24" s="4">
        <v>0.38800000000000001</v>
      </c>
      <c r="G24" s="4">
        <v>0.59499999999999997</v>
      </c>
      <c r="H24" s="4">
        <v>0.82599999999999996</v>
      </c>
      <c r="I24" s="4">
        <v>0.90900000000000003</v>
      </c>
      <c r="J24" s="4">
        <v>0.3297500000000001</v>
      </c>
      <c r="K24" s="1">
        <v>700</v>
      </c>
      <c r="L24" s="1">
        <v>0</v>
      </c>
      <c r="M24" s="1">
        <v>0</v>
      </c>
      <c r="N24" s="1">
        <v>0</v>
      </c>
      <c r="O24" s="1" t="str">
        <f t="shared" si="1"/>
        <v>Expansion</v>
      </c>
      <c r="P24" s="2">
        <f t="shared" si="2"/>
        <v>35399</v>
      </c>
      <c r="Q24" s="9" t="e">
        <f>VLOOKUP(P24,BB!$A$3:$D$6771, 3, 1)*100</f>
        <v>#N/A</v>
      </c>
      <c r="AK24" s="1">
        <v>10</v>
      </c>
      <c r="AL24" s="1">
        <v>0</v>
      </c>
      <c r="AM24" s="1">
        <v>0</v>
      </c>
      <c r="AN24" s="1">
        <v>0</v>
      </c>
      <c r="AO24" s="1">
        <f t="shared" si="3"/>
        <v>700</v>
      </c>
      <c r="AP24" s="1">
        <f t="shared" si="4"/>
        <v>0</v>
      </c>
      <c r="AQ24" s="1">
        <f t="shared" si="5"/>
        <v>0</v>
      </c>
      <c r="AR24" s="1">
        <f t="shared" si="6"/>
        <v>0</v>
      </c>
    </row>
    <row r="25" spans="1:44" x14ac:dyDescent="0.2">
      <c r="A25" s="2">
        <v>35400</v>
      </c>
      <c r="B25" s="4">
        <v>0.42099999999999999</v>
      </c>
      <c r="C25" s="4">
        <v>0.68599999999999994</v>
      </c>
      <c r="D25" s="4">
        <v>0.69399999999999995</v>
      </c>
      <c r="E25" s="4">
        <v>0.96599999999999997</v>
      </c>
      <c r="F25" s="4">
        <v>0.78500000000000003</v>
      </c>
      <c r="G25" s="4">
        <v>0.66900000000000004</v>
      </c>
      <c r="H25" s="4">
        <v>0.85899999999999999</v>
      </c>
      <c r="I25" s="4">
        <v>0.9</v>
      </c>
      <c r="J25" s="4">
        <v>0.25249999999999995</v>
      </c>
      <c r="K25" s="1">
        <v>700</v>
      </c>
      <c r="L25" s="1">
        <v>0</v>
      </c>
      <c r="M25" s="1">
        <v>0</v>
      </c>
      <c r="N25" s="1">
        <v>0</v>
      </c>
      <c r="O25" s="1" t="str">
        <f t="shared" si="1"/>
        <v>Expansion</v>
      </c>
      <c r="P25" s="2">
        <f t="shared" si="2"/>
        <v>35430</v>
      </c>
      <c r="Q25" s="9" t="e">
        <f>VLOOKUP(P25,BB!$A$3:$D$6771, 3, 1)*100</f>
        <v>#N/A</v>
      </c>
      <c r="AK25" s="1">
        <v>10</v>
      </c>
      <c r="AL25" s="1">
        <v>0</v>
      </c>
      <c r="AM25" s="1">
        <v>0</v>
      </c>
      <c r="AN25" s="1">
        <v>0</v>
      </c>
      <c r="AO25" s="1">
        <f t="shared" si="3"/>
        <v>700</v>
      </c>
      <c r="AP25" s="1">
        <f t="shared" si="4"/>
        <v>0</v>
      </c>
      <c r="AQ25" s="1">
        <f t="shared" si="5"/>
        <v>0</v>
      </c>
      <c r="AR25" s="1">
        <f t="shared" si="6"/>
        <v>0</v>
      </c>
    </row>
    <row r="26" spans="1:44" x14ac:dyDescent="0.2">
      <c r="A26" s="2">
        <v>35431</v>
      </c>
      <c r="B26" s="4">
        <v>0.44600000000000001</v>
      </c>
      <c r="C26" s="4">
        <v>0.64500000000000002</v>
      </c>
      <c r="D26" s="4">
        <v>0.47899999999999998</v>
      </c>
      <c r="E26" s="4">
        <v>0.95799999999999996</v>
      </c>
      <c r="F26" s="4">
        <v>0.76800000000000002</v>
      </c>
      <c r="G26" s="4">
        <v>0.56100000000000005</v>
      </c>
      <c r="H26" s="4">
        <v>0.67700000000000005</v>
      </c>
      <c r="I26" s="4">
        <v>0.99099999999999999</v>
      </c>
      <c r="J26" s="4">
        <v>0.30937500000000018</v>
      </c>
      <c r="K26" s="1">
        <v>700</v>
      </c>
      <c r="L26" s="1">
        <v>0</v>
      </c>
      <c r="M26" s="1">
        <v>0</v>
      </c>
      <c r="N26" s="1">
        <v>0</v>
      </c>
      <c r="O26" s="1" t="str">
        <f t="shared" si="1"/>
        <v>Expansion</v>
      </c>
      <c r="P26" s="2">
        <f t="shared" si="2"/>
        <v>35461</v>
      </c>
      <c r="Q26" s="9" t="e">
        <f>VLOOKUP(P26,BB!$A$3:$D$6771, 3, 1)*100</f>
        <v>#N/A</v>
      </c>
      <c r="AK26" s="1">
        <v>10</v>
      </c>
      <c r="AL26" s="1">
        <v>0</v>
      </c>
      <c r="AM26" s="1">
        <v>0</v>
      </c>
      <c r="AN26" s="1">
        <v>0</v>
      </c>
      <c r="AO26" s="1">
        <f t="shared" si="3"/>
        <v>700</v>
      </c>
      <c r="AP26" s="1">
        <f t="shared" si="4"/>
        <v>0</v>
      </c>
      <c r="AQ26" s="1">
        <f t="shared" si="5"/>
        <v>0</v>
      </c>
      <c r="AR26" s="1">
        <f t="shared" si="6"/>
        <v>0</v>
      </c>
    </row>
    <row r="27" spans="1:44" x14ac:dyDescent="0.2">
      <c r="A27" s="2">
        <v>35462</v>
      </c>
      <c r="B27" s="4">
        <v>0.44600000000000001</v>
      </c>
      <c r="C27" s="4">
        <v>0.70300000000000007</v>
      </c>
      <c r="D27" s="4">
        <v>0.53700000000000003</v>
      </c>
      <c r="E27" s="4">
        <v>0.95</v>
      </c>
      <c r="F27" s="4">
        <v>0.80900000000000005</v>
      </c>
      <c r="G27" s="4">
        <v>0.54500000000000004</v>
      </c>
      <c r="H27" s="4">
        <v>0.65200000000000002</v>
      </c>
      <c r="I27" s="4">
        <v>0.98299999999999998</v>
      </c>
      <c r="J27" s="4">
        <v>0.296875</v>
      </c>
      <c r="K27" s="1">
        <v>700</v>
      </c>
      <c r="L27" s="1">
        <v>0</v>
      </c>
      <c r="M27" s="1">
        <v>0</v>
      </c>
      <c r="N27" s="1">
        <v>0</v>
      </c>
      <c r="O27" s="1" t="str">
        <f t="shared" si="1"/>
        <v>Expansion</v>
      </c>
      <c r="P27" s="2">
        <f t="shared" si="2"/>
        <v>35489</v>
      </c>
      <c r="Q27" s="9" t="e">
        <f>VLOOKUP(P27,BB!$A$3:$D$6771, 3, 1)*100</f>
        <v>#N/A</v>
      </c>
      <c r="AD27" s="2">
        <v>45870</v>
      </c>
      <c r="AE27" s="2">
        <v>45901</v>
      </c>
      <c r="AF27" s="2">
        <v>45931</v>
      </c>
      <c r="AK27" s="1">
        <v>10</v>
      </c>
      <c r="AL27" s="1">
        <v>0</v>
      </c>
      <c r="AM27" s="1">
        <v>0</v>
      </c>
      <c r="AN27" s="1">
        <v>0</v>
      </c>
      <c r="AO27" s="1">
        <f t="shared" si="3"/>
        <v>700</v>
      </c>
      <c r="AP27" s="1">
        <f t="shared" si="4"/>
        <v>0</v>
      </c>
      <c r="AQ27" s="1">
        <f t="shared" si="5"/>
        <v>0</v>
      </c>
      <c r="AR27" s="1">
        <f t="shared" si="6"/>
        <v>0</v>
      </c>
    </row>
    <row r="28" spans="1:44" x14ac:dyDescent="0.2">
      <c r="A28" s="2">
        <v>35490</v>
      </c>
      <c r="B28" s="4">
        <v>0.61099999999999999</v>
      </c>
      <c r="C28" s="4">
        <v>0.68599999999999994</v>
      </c>
      <c r="D28" s="4">
        <v>0.67700000000000005</v>
      </c>
      <c r="E28" s="4">
        <v>0.92500000000000004</v>
      </c>
      <c r="F28" s="4">
        <v>0.58599999999999997</v>
      </c>
      <c r="G28" s="4">
        <v>0.628</v>
      </c>
      <c r="H28" s="4">
        <v>0.61899999999999999</v>
      </c>
      <c r="I28" s="4">
        <v>0.97499999999999998</v>
      </c>
      <c r="J28" s="4">
        <v>0.28662500000000013</v>
      </c>
      <c r="K28" s="1">
        <v>700</v>
      </c>
      <c r="L28" s="1">
        <v>0</v>
      </c>
      <c r="M28" s="1">
        <v>0</v>
      </c>
      <c r="N28" s="1">
        <v>0</v>
      </c>
      <c r="O28" s="1" t="str">
        <f t="shared" si="1"/>
        <v>Expansion</v>
      </c>
      <c r="P28" s="2">
        <f t="shared" si="2"/>
        <v>35520</v>
      </c>
      <c r="Q28" s="9" t="e">
        <f>VLOOKUP(P28,BB!$A$3:$D$6771, 3, 1)*100</f>
        <v>#N/A</v>
      </c>
      <c r="AC28" s="1" t="s">
        <v>93</v>
      </c>
      <c r="AD28" s="1">
        <v>0.30136102074957943</v>
      </c>
      <c r="AE28" s="1">
        <v>0.30410741184386331</v>
      </c>
      <c r="AF28" s="1">
        <v>0.30327929483275268</v>
      </c>
      <c r="AK28" s="1">
        <v>10</v>
      </c>
      <c r="AL28" s="1">
        <v>0</v>
      </c>
      <c r="AM28" s="1">
        <v>0</v>
      </c>
      <c r="AN28" s="1">
        <v>0</v>
      </c>
      <c r="AO28" s="1">
        <f t="shared" si="3"/>
        <v>700</v>
      </c>
      <c r="AP28" s="1">
        <f t="shared" si="4"/>
        <v>0</v>
      </c>
      <c r="AQ28" s="1">
        <f t="shared" si="5"/>
        <v>0</v>
      </c>
      <c r="AR28" s="1">
        <f t="shared" si="6"/>
        <v>0</v>
      </c>
    </row>
    <row r="29" spans="1:44" x14ac:dyDescent="0.2">
      <c r="A29" s="2">
        <v>35521</v>
      </c>
      <c r="B29" s="4">
        <v>0.66900000000000004</v>
      </c>
      <c r="C29" s="4">
        <v>0.73599999999999999</v>
      </c>
      <c r="D29" s="4">
        <v>0.628</v>
      </c>
      <c r="E29" s="4">
        <v>0.92500000000000004</v>
      </c>
      <c r="F29" s="4">
        <v>0.58599999999999997</v>
      </c>
      <c r="G29" s="4">
        <v>0.56999999999999995</v>
      </c>
      <c r="H29" s="4">
        <v>0.56999999999999995</v>
      </c>
      <c r="I29" s="4">
        <v>0.96599999999999997</v>
      </c>
      <c r="J29" s="4">
        <v>0.29374999999999996</v>
      </c>
      <c r="K29" s="1">
        <v>700</v>
      </c>
      <c r="L29" s="1">
        <v>0</v>
      </c>
      <c r="M29" s="1">
        <v>0</v>
      </c>
      <c r="N29" s="1">
        <v>0</v>
      </c>
      <c r="O29" s="1" t="str">
        <f t="shared" si="1"/>
        <v>Expansion</v>
      </c>
      <c r="P29" s="2">
        <f t="shared" si="2"/>
        <v>35550</v>
      </c>
      <c r="Q29" s="9" t="e">
        <f>VLOOKUP(P29,BB!$A$3:$D$6771, 3, 1)*100</f>
        <v>#N/A</v>
      </c>
      <c r="AC29" s="1" t="s">
        <v>94</v>
      </c>
      <c r="AD29" s="1">
        <v>-0.94399908195398818</v>
      </c>
      <c r="AE29" s="1">
        <v>-1.170589247607869</v>
      </c>
      <c r="AF29" s="1">
        <v>-1.1313100172706516</v>
      </c>
      <c r="AK29" s="1">
        <v>10</v>
      </c>
      <c r="AL29" s="1">
        <v>0</v>
      </c>
      <c r="AM29" s="1">
        <v>0</v>
      </c>
      <c r="AN29" s="1">
        <v>0</v>
      </c>
      <c r="AO29" s="1">
        <f t="shared" si="3"/>
        <v>700</v>
      </c>
      <c r="AP29" s="1">
        <f t="shared" si="4"/>
        <v>0</v>
      </c>
      <c r="AQ29" s="1">
        <f t="shared" si="5"/>
        <v>0</v>
      </c>
      <c r="AR29" s="1">
        <f t="shared" si="6"/>
        <v>0</v>
      </c>
    </row>
    <row r="30" spans="1:44" x14ac:dyDescent="0.2">
      <c r="A30" s="2">
        <v>35551</v>
      </c>
      <c r="B30" s="4">
        <v>0.76</v>
      </c>
      <c r="C30" s="4">
        <v>0.72</v>
      </c>
      <c r="D30" s="4">
        <v>0.82599999999999996</v>
      </c>
      <c r="E30" s="4">
        <v>0.92500000000000004</v>
      </c>
      <c r="F30" s="4">
        <v>0.57799999999999996</v>
      </c>
      <c r="G30" s="4">
        <v>0.55300000000000005</v>
      </c>
      <c r="H30" s="4">
        <v>0.48699999999999999</v>
      </c>
      <c r="I30" s="4">
        <v>0.95799999999999996</v>
      </c>
      <c r="J30" s="4">
        <v>0.27412499999999995</v>
      </c>
      <c r="K30" s="1">
        <v>700</v>
      </c>
      <c r="L30" s="1">
        <v>0</v>
      </c>
      <c r="M30" s="1">
        <v>0</v>
      </c>
      <c r="N30" s="1">
        <v>0</v>
      </c>
      <c r="O30" s="1" t="str">
        <f t="shared" si="1"/>
        <v>Expansion</v>
      </c>
      <c r="P30" s="2">
        <f t="shared" si="2"/>
        <v>35581</v>
      </c>
      <c r="Q30" s="9" t="e">
        <f>VLOOKUP(P30,BB!$A$3:$D$6771, 3, 1)*100</f>
        <v>#N/A</v>
      </c>
      <c r="AC30" s="1" t="s">
        <v>85</v>
      </c>
      <c r="AD30" s="1">
        <v>0.33832402182084176</v>
      </c>
      <c r="AE30" s="1">
        <v>0.23956393595708911</v>
      </c>
      <c r="AF30" s="1">
        <v>0.19081031227078188</v>
      </c>
      <c r="AK30" s="1">
        <v>10</v>
      </c>
      <c r="AL30" s="1">
        <v>0</v>
      </c>
      <c r="AM30" s="1">
        <v>0</v>
      </c>
      <c r="AN30" s="1">
        <v>0</v>
      </c>
      <c r="AO30" s="1">
        <f t="shared" si="3"/>
        <v>700</v>
      </c>
      <c r="AP30" s="1">
        <f t="shared" si="4"/>
        <v>0</v>
      </c>
      <c r="AQ30" s="1">
        <f t="shared" si="5"/>
        <v>0</v>
      </c>
      <c r="AR30" s="1">
        <f t="shared" si="6"/>
        <v>0</v>
      </c>
    </row>
    <row r="31" spans="1:44" x14ac:dyDescent="0.2">
      <c r="A31" s="2">
        <v>35582</v>
      </c>
      <c r="B31" s="4">
        <v>0.69399999999999995</v>
      </c>
      <c r="C31" s="4">
        <v>0.76100000000000001</v>
      </c>
      <c r="D31" s="4">
        <v>0.752</v>
      </c>
      <c r="E31" s="4">
        <v>0.94199999999999995</v>
      </c>
      <c r="F31" s="4">
        <v>0.61099999999999999</v>
      </c>
      <c r="G31" s="4">
        <v>0.61899999999999999</v>
      </c>
      <c r="H31" s="4">
        <v>0.48699999999999999</v>
      </c>
      <c r="I31" s="4">
        <v>0.95</v>
      </c>
      <c r="J31" s="4">
        <v>0.27300000000000002</v>
      </c>
      <c r="K31" s="1">
        <v>700</v>
      </c>
      <c r="L31" s="1">
        <v>0</v>
      </c>
      <c r="M31" s="1">
        <v>0</v>
      </c>
      <c r="N31" s="1">
        <v>0</v>
      </c>
      <c r="O31" s="1" t="str">
        <f t="shared" si="1"/>
        <v>Expansion</v>
      </c>
      <c r="P31" s="2">
        <f t="shared" si="2"/>
        <v>35611</v>
      </c>
      <c r="Q31" s="9" t="e">
        <f>VLOOKUP(P31,BB!$A$3:$D$6771, 3, 1)*100</f>
        <v>#N/A</v>
      </c>
      <c r="AC31" s="1" t="s">
        <v>95</v>
      </c>
      <c r="AD31" s="1">
        <v>0.23757572234210214</v>
      </c>
      <c r="AE31" s="1">
        <v>0.17592936437456513</v>
      </c>
      <c r="AF31" s="1">
        <v>0.17211176857700605</v>
      </c>
      <c r="AK31" s="1">
        <v>10</v>
      </c>
      <c r="AL31" s="1">
        <v>0</v>
      </c>
      <c r="AM31" s="1">
        <v>0</v>
      </c>
      <c r="AN31" s="1">
        <v>0</v>
      </c>
      <c r="AO31" s="1">
        <f t="shared" si="3"/>
        <v>700</v>
      </c>
      <c r="AP31" s="1">
        <f t="shared" si="4"/>
        <v>0</v>
      </c>
      <c r="AQ31" s="1">
        <f t="shared" si="5"/>
        <v>0</v>
      </c>
      <c r="AR31" s="1">
        <f t="shared" si="6"/>
        <v>0</v>
      </c>
    </row>
    <row r="32" spans="1:44" x14ac:dyDescent="0.2">
      <c r="A32" s="2">
        <v>35612</v>
      </c>
      <c r="B32" s="4">
        <v>0.752</v>
      </c>
      <c r="C32" s="4">
        <v>0.82699999999999996</v>
      </c>
      <c r="D32" s="4">
        <v>0.90900000000000003</v>
      </c>
      <c r="E32" s="4">
        <v>0.98299999999999998</v>
      </c>
      <c r="F32" s="4">
        <v>0.60299999999999998</v>
      </c>
      <c r="G32" s="4">
        <v>0.56100000000000005</v>
      </c>
      <c r="H32" s="4">
        <v>0.57799999999999996</v>
      </c>
      <c r="I32" s="4">
        <v>0.94199999999999995</v>
      </c>
      <c r="J32" s="4">
        <v>0.23062499999999997</v>
      </c>
      <c r="K32" s="1">
        <v>700</v>
      </c>
      <c r="L32" s="1">
        <v>0</v>
      </c>
      <c r="M32" s="1">
        <v>0</v>
      </c>
      <c r="N32" s="1">
        <v>0</v>
      </c>
      <c r="O32" s="1" t="str">
        <f t="shared" si="1"/>
        <v>Expansion</v>
      </c>
      <c r="P32" s="2">
        <f t="shared" si="2"/>
        <v>35642</v>
      </c>
      <c r="Q32" s="9" t="e">
        <f>VLOOKUP(P32,BB!$A$3:$D$6771, 3, 1)*100</f>
        <v>#N/A</v>
      </c>
      <c r="AC32" s="1" t="s">
        <v>96</v>
      </c>
      <c r="AD32" s="1">
        <v>3.1426950837853554E-3</v>
      </c>
      <c r="AE32" s="1">
        <v>9.2518282927730788E-2</v>
      </c>
      <c r="AF32" s="1">
        <v>9.0388473793323681E-2</v>
      </c>
      <c r="AK32" s="1">
        <v>10</v>
      </c>
      <c r="AL32" s="1">
        <v>0</v>
      </c>
      <c r="AM32" s="1">
        <v>0</v>
      </c>
      <c r="AN32" s="1">
        <v>0</v>
      </c>
      <c r="AO32" s="1">
        <f t="shared" si="3"/>
        <v>700</v>
      </c>
      <c r="AP32" s="1">
        <f t="shared" si="4"/>
        <v>0</v>
      </c>
      <c r="AQ32" s="1">
        <f t="shared" si="5"/>
        <v>0</v>
      </c>
      <c r="AR32" s="1">
        <f t="shared" si="6"/>
        <v>0</v>
      </c>
    </row>
    <row r="33" spans="1:44" x14ac:dyDescent="0.2">
      <c r="A33" s="2">
        <v>35643</v>
      </c>
      <c r="B33" s="4">
        <v>0.74299999999999999</v>
      </c>
      <c r="C33" s="4">
        <v>0.79400000000000004</v>
      </c>
      <c r="D33" s="4">
        <v>0.82599999999999996</v>
      </c>
      <c r="E33" s="4">
        <v>0.95</v>
      </c>
      <c r="F33" s="4">
        <v>0.61099999999999999</v>
      </c>
      <c r="G33" s="4">
        <v>0.55300000000000005</v>
      </c>
      <c r="H33" s="4">
        <v>0.55300000000000005</v>
      </c>
      <c r="I33" s="4">
        <v>0.93300000000000005</v>
      </c>
      <c r="J33" s="4">
        <v>0.2546250000000001</v>
      </c>
      <c r="K33" s="1">
        <v>700</v>
      </c>
      <c r="L33" s="1">
        <v>0</v>
      </c>
      <c r="M33" s="1">
        <v>0</v>
      </c>
      <c r="N33" s="1">
        <v>0</v>
      </c>
      <c r="O33" s="1" t="str">
        <f t="shared" si="1"/>
        <v>Expansion</v>
      </c>
      <c r="P33" s="2">
        <f t="shared" si="2"/>
        <v>35673</v>
      </c>
      <c r="Q33" s="9" t="e">
        <f>VLOOKUP(P33,BB!$A$3:$D$6771, 3, 1)*100</f>
        <v>#N/A</v>
      </c>
      <c r="AC33" s="1" t="s">
        <v>87</v>
      </c>
      <c r="AD33" s="1">
        <v>-0.85485870061912228</v>
      </c>
      <c r="AE33" s="1">
        <v>-0.77043865201022954</v>
      </c>
      <c r="AF33" s="1">
        <v>-0.84604385901354173</v>
      </c>
      <c r="AK33" s="1">
        <v>10</v>
      </c>
      <c r="AL33" s="1">
        <v>0</v>
      </c>
      <c r="AM33" s="1">
        <v>0</v>
      </c>
      <c r="AN33" s="1">
        <v>0</v>
      </c>
      <c r="AO33" s="1">
        <f t="shared" si="3"/>
        <v>700</v>
      </c>
      <c r="AP33" s="1">
        <f t="shared" si="4"/>
        <v>0</v>
      </c>
      <c r="AQ33" s="1">
        <f t="shared" si="5"/>
        <v>0</v>
      </c>
      <c r="AR33" s="1">
        <f t="shared" si="6"/>
        <v>0</v>
      </c>
    </row>
    <row r="34" spans="1:44" x14ac:dyDescent="0.2">
      <c r="A34" s="2">
        <v>35674</v>
      </c>
      <c r="B34" s="4">
        <v>0.78500000000000003</v>
      </c>
      <c r="C34" s="4">
        <v>0.81</v>
      </c>
      <c r="D34" s="4">
        <v>0.628</v>
      </c>
      <c r="E34" s="4">
        <v>0.99099999999999999</v>
      </c>
      <c r="F34" s="4">
        <v>0.70199999999999996</v>
      </c>
      <c r="G34" s="4">
        <v>0.56999999999999995</v>
      </c>
      <c r="H34" s="4">
        <v>0.55300000000000005</v>
      </c>
      <c r="I34" s="4">
        <v>0.92500000000000004</v>
      </c>
      <c r="J34" s="4">
        <v>0.25449999999999995</v>
      </c>
      <c r="K34" s="1">
        <v>700</v>
      </c>
      <c r="L34" s="1">
        <v>0</v>
      </c>
      <c r="M34" s="1">
        <v>0</v>
      </c>
      <c r="N34" s="1">
        <v>0</v>
      </c>
      <c r="O34" s="1" t="str">
        <f t="shared" si="1"/>
        <v>Expansion</v>
      </c>
      <c r="P34" s="2">
        <f t="shared" si="2"/>
        <v>35703</v>
      </c>
      <c r="Q34" s="9" t="e">
        <f>VLOOKUP(P34,BB!$A$3:$D$6771, 3, 1)*100</f>
        <v>#N/A</v>
      </c>
      <c r="AC34" s="1" t="s">
        <v>97</v>
      </c>
      <c r="AD34" s="1">
        <v>-1.6263576909799631</v>
      </c>
      <c r="AE34" s="1">
        <v>-1.5943895635565026</v>
      </c>
      <c r="AF34" s="1">
        <v>-1.6177324531070709</v>
      </c>
      <c r="AK34" s="1">
        <v>10</v>
      </c>
      <c r="AL34" s="1">
        <v>0</v>
      </c>
      <c r="AM34" s="1">
        <v>0</v>
      </c>
      <c r="AN34" s="1">
        <v>0</v>
      </c>
      <c r="AO34" s="1">
        <f t="shared" si="3"/>
        <v>700</v>
      </c>
      <c r="AP34" s="1">
        <f t="shared" si="4"/>
        <v>0</v>
      </c>
      <c r="AQ34" s="1">
        <f t="shared" si="5"/>
        <v>0</v>
      </c>
      <c r="AR34" s="1">
        <f t="shared" si="6"/>
        <v>0</v>
      </c>
    </row>
    <row r="35" spans="1:44" x14ac:dyDescent="0.2">
      <c r="A35" s="2">
        <v>35704</v>
      </c>
      <c r="B35" s="4">
        <v>0.81799999999999995</v>
      </c>
      <c r="C35" s="4">
        <v>0.83499999999999996</v>
      </c>
      <c r="D35" s="4">
        <v>0.79300000000000004</v>
      </c>
      <c r="E35" s="4">
        <v>0.99099999999999999</v>
      </c>
      <c r="F35" s="4">
        <v>0.69399999999999995</v>
      </c>
      <c r="G35" s="4">
        <v>0.52</v>
      </c>
      <c r="H35" s="4">
        <v>0.69399999999999995</v>
      </c>
      <c r="I35" s="4">
        <v>0.91700000000000004</v>
      </c>
      <c r="J35" s="4">
        <v>0.21725000000000005</v>
      </c>
      <c r="K35" s="1">
        <v>700</v>
      </c>
      <c r="L35" s="1">
        <v>0</v>
      </c>
      <c r="M35" s="1">
        <v>0</v>
      </c>
      <c r="N35" s="1">
        <v>0</v>
      </c>
      <c r="O35" s="1" t="str">
        <f t="shared" si="1"/>
        <v>Expansion</v>
      </c>
      <c r="P35" s="2">
        <f t="shared" si="2"/>
        <v>35734</v>
      </c>
      <c r="Q35" s="9" t="e">
        <f>VLOOKUP(P35,BB!$A$3:$D$6771, 3, 1)*100</f>
        <v>#N/A</v>
      </c>
      <c r="AC35" s="1" t="s">
        <v>98</v>
      </c>
      <c r="AD35" s="1">
        <v>-1.6341825447782619</v>
      </c>
      <c r="AE35" s="1">
        <v>-2.231768751030982</v>
      </c>
      <c r="AF35" s="1">
        <v>-1.6690881354175615</v>
      </c>
      <c r="AK35" s="1">
        <v>10</v>
      </c>
      <c r="AL35" s="1">
        <v>0</v>
      </c>
      <c r="AM35" s="1">
        <v>0</v>
      </c>
      <c r="AN35" s="1">
        <v>0</v>
      </c>
      <c r="AO35" s="1">
        <f t="shared" si="3"/>
        <v>700</v>
      </c>
      <c r="AP35" s="1">
        <f t="shared" si="4"/>
        <v>0</v>
      </c>
      <c r="AQ35" s="1">
        <f t="shared" si="5"/>
        <v>0</v>
      </c>
      <c r="AR35" s="1">
        <f t="shared" si="6"/>
        <v>0</v>
      </c>
    </row>
    <row r="36" spans="1:44" x14ac:dyDescent="0.2">
      <c r="A36" s="2">
        <v>35735</v>
      </c>
      <c r="B36" s="4">
        <v>0.85099999999999998</v>
      </c>
      <c r="C36" s="4">
        <v>0.85199999999999998</v>
      </c>
      <c r="D36" s="4">
        <v>0.65200000000000002</v>
      </c>
      <c r="E36" s="4">
        <v>0.98299999999999998</v>
      </c>
      <c r="F36" s="4">
        <v>0.71899999999999997</v>
      </c>
      <c r="G36" s="4">
        <v>0.495</v>
      </c>
      <c r="H36" s="4">
        <v>0.56999999999999995</v>
      </c>
      <c r="I36" s="4">
        <v>0.90900000000000003</v>
      </c>
      <c r="J36" s="4">
        <v>0.24612499999999993</v>
      </c>
      <c r="K36" s="1">
        <v>700</v>
      </c>
      <c r="L36" s="1">
        <v>0</v>
      </c>
      <c r="M36" s="1">
        <v>0</v>
      </c>
      <c r="N36" s="1">
        <v>0</v>
      </c>
      <c r="O36" s="1" t="str">
        <f t="shared" si="1"/>
        <v>Expansion</v>
      </c>
      <c r="P36" s="2">
        <f t="shared" si="2"/>
        <v>35764</v>
      </c>
      <c r="Q36" s="9" t="e">
        <f>VLOOKUP(P36,BB!$A$3:$D$6771, 3, 1)*100</f>
        <v>#N/A</v>
      </c>
      <c r="AC36" s="1" t="s">
        <v>92</v>
      </c>
      <c r="AD36" s="1">
        <v>0.21902291066846877</v>
      </c>
      <c r="AE36" s="1">
        <v>1.145127868235589</v>
      </c>
      <c r="AF36" s="1">
        <v>1.4208546018658603</v>
      </c>
      <c r="AK36" s="1">
        <v>10</v>
      </c>
      <c r="AL36" s="1">
        <v>0</v>
      </c>
      <c r="AM36" s="1">
        <v>0</v>
      </c>
      <c r="AN36" s="1">
        <v>0</v>
      </c>
      <c r="AO36" s="1">
        <f t="shared" si="3"/>
        <v>700</v>
      </c>
      <c r="AP36" s="1">
        <f t="shared" si="4"/>
        <v>0</v>
      </c>
      <c r="AQ36" s="1">
        <f t="shared" si="5"/>
        <v>0</v>
      </c>
      <c r="AR36" s="1">
        <f t="shared" si="6"/>
        <v>0</v>
      </c>
    </row>
    <row r="37" spans="1:44" x14ac:dyDescent="0.2">
      <c r="A37" s="2">
        <v>35765</v>
      </c>
      <c r="B37" s="4">
        <v>0.88400000000000001</v>
      </c>
      <c r="C37" s="4">
        <v>0.86799999999999999</v>
      </c>
      <c r="D37" s="4">
        <v>0.504</v>
      </c>
      <c r="E37" s="4">
        <v>0.97499999999999998</v>
      </c>
      <c r="F37" s="4">
        <v>0.96599999999999997</v>
      </c>
      <c r="G37" s="4">
        <v>0.48699999999999999</v>
      </c>
      <c r="H37" s="4">
        <v>0.70199999999999996</v>
      </c>
      <c r="I37" s="4">
        <v>0.9</v>
      </c>
      <c r="J37" s="4">
        <v>0.21424999999999994</v>
      </c>
      <c r="K37" s="1">
        <v>700</v>
      </c>
      <c r="L37" s="1">
        <v>0</v>
      </c>
      <c r="M37" s="1">
        <v>0</v>
      </c>
      <c r="N37" s="1">
        <v>0</v>
      </c>
      <c r="O37" s="1" t="str">
        <f t="shared" si="1"/>
        <v>Expansion</v>
      </c>
      <c r="P37" s="2">
        <f t="shared" si="2"/>
        <v>35795</v>
      </c>
      <c r="Q37" s="9" t="e">
        <f>VLOOKUP(P37,BB!$A$3:$D$6771, 3, 1)*100</f>
        <v>#N/A</v>
      </c>
      <c r="AC37" s="1" t="s">
        <v>99</v>
      </c>
      <c r="AD37" s="1">
        <v>-0.77036364607823482</v>
      </c>
      <c r="AE37" s="1">
        <v>-2.2042355501613513</v>
      </c>
      <c r="AF37" s="1">
        <v>-1.4370172536411787</v>
      </c>
      <c r="AK37" s="1">
        <v>10</v>
      </c>
      <c r="AL37" s="1">
        <v>0</v>
      </c>
      <c r="AM37" s="1">
        <v>0</v>
      </c>
      <c r="AN37" s="1">
        <v>0</v>
      </c>
      <c r="AO37" s="1">
        <f t="shared" si="3"/>
        <v>700</v>
      </c>
      <c r="AP37" s="1">
        <f t="shared" si="4"/>
        <v>0</v>
      </c>
      <c r="AQ37" s="1">
        <f t="shared" si="5"/>
        <v>0</v>
      </c>
      <c r="AR37" s="1">
        <f t="shared" si="6"/>
        <v>0</v>
      </c>
    </row>
    <row r="38" spans="1:44" x14ac:dyDescent="0.2">
      <c r="A38" s="2">
        <v>35796</v>
      </c>
      <c r="B38" s="4">
        <v>0.9</v>
      </c>
      <c r="C38" s="4">
        <v>0.81899999999999995</v>
      </c>
      <c r="D38" s="4">
        <v>0.504</v>
      </c>
      <c r="E38" s="4">
        <v>0.99099999999999999</v>
      </c>
      <c r="F38" s="4">
        <v>0.99099999999999999</v>
      </c>
      <c r="G38" s="4">
        <v>0.54500000000000004</v>
      </c>
      <c r="H38" s="4">
        <v>0.76</v>
      </c>
      <c r="I38" s="4">
        <v>0.99099999999999999</v>
      </c>
      <c r="J38" s="4">
        <v>0.18737500000000007</v>
      </c>
      <c r="K38" s="1">
        <v>700</v>
      </c>
      <c r="L38" s="1">
        <v>0</v>
      </c>
      <c r="M38" s="1">
        <v>0</v>
      </c>
      <c r="N38" s="1">
        <v>0</v>
      </c>
      <c r="O38" s="1" t="str">
        <f t="shared" si="1"/>
        <v>Expansion</v>
      </c>
      <c r="P38" s="2">
        <f t="shared" si="2"/>
        <v>35826</v>
      </c>
      <c r="Q38" s="9" t="e">
        <f>VLOOKUP(P38,BB!$A$3:$D$6771, 3, 1)*100</f>
        <v>#N/A</v>
      </c>
      <c r="AK38" s="1">
        <v>10</v>
      </c>
      <c r="AL38" s="1">
        <v>0</v>
      </c>
      <c r="AM38" s="1">
        <v>0</v>
      </c>
      <c r="AN38" s="1">
        <v>0</v>
      </c>
      <c r="AO38" s="1">
        <f t="shared" si="3"/>
        <v>700</v>
      </c>
      <c r="AP38" s="1">
        <f t="shared" si="4"/>
        <v>0</v>
      </c>
      <c r="AQ38" s="1">
        <f t="shared" si="5"/>
        <v>0</v>
      </c>
      <c r="AR38" s="1">
        <f t="shared" si="6"/>
        <v>0</v>
      </c>
    </row>
    <row r="39" spans="1:44" x14ac:dyDescent="0.2">
      <c r="A39" s="2">
        <v>35827</v>
      </c>
      <c r="B39" s="4">
        <v>0.93300000000000005</v>
      </c>
      <c r="C39" s="4">
        <v>0.89300000000000002</v>
      </c>
      <c r="D39" s="4">
        <v>0.56999999999999995</v>
      </c>
      <c r="E39" s="4">
        <v>0.98299999999999998</v>
      </c>
      <c r="F39" s="4">
        <v>0.98299999999999998</v>
      </c>
      <c r="G39" s="4">
        <v>0.52800000000000002</v>
      </c>
      <c r="H39" s="4">
        <v>0.53700000000000003</v>
      </c>
      <c r="I39" s="4">
        <v>0.98299999999999998</v>
      </c>
      <c r="J39" s="4">
        <v>0.19874999999999998</v>
      </c>
      <c r="K39" s="1">
        <v>700</v>
      </c>
      <c r="L39" s="1">
        <v>0</v>
      </c>
      <c r="M39" s="1">
        <v>0</v>
      </c>
      <c r="N39" s="1">
        <v>0</v>
      </c>
      <c r="O39" s="1" t="str">
        <f t="shared" si="1"/>
        <v>Expansion</v>
      </c>
      <c r="P39" s="2">
        <f t="shared" si="2"/>
        <v>35854</v>
      </c>
      <c r="Q39" s="9" t="e">
        <f>VLOOKUP(P39,BB!$A$3:$D$6771, 3, 1)*100</f>
        <v>#N/A</v>
      </c>
      <c r="AK39" s="1">
        <v>10</v>
      </c>
      <c r="AL39" s="1">
        <v>0</v>
      </c>
      <c r="AM39" s="1">
        <v>0</v>
      </c>
      <c r="AN39" s="1">
        <v>0</v>
      </c>
      <c r="AO39" s="1">
        <f t="shared" si="3"/>
        <v>700</v>
      </c>
      <c r="AP39" s="1">
        <f t="shared" si="4"/>
        <v>0</v>
      </c>
      <c r="AQ39" s="1">
        <f t="shared" si="5"/>
        <v>0</v>
      </c>
      <c r="AR39" s="1">
        <f t="shared" si="6"/>
        <v>0</v>
      </c>
    </row>
    <row r="40" spans="1:44" x14ac:dyDescent="0.2">
      <c r="A40" s="2">
        <v>35855</v>
      </c>
      <c r="B40" s="4">
        <v>0.93300000000000005</v>
      </c>
      <c r="C40" s="4">
        <v>0.88500000000000001</v>
      </c>
      <c r="D40" s="4">
        <v>0.71</v>
      </c>
      <c r="E40" s="4">
        <v>0.99099999999999999</v>
      </c>
      <c r="F40" s="4">
        <v>0.99099999999999999</v>
      </c>
      <c r="G40" s="4">
        <v>0.42899999999999999</v>
      </c>
      <c r="H40" s="4">
        <v>0.39600000000000002</v>
      </c>
      <c r="I40" s="4">
        <v>0.97499999999999998</v>
      </c>
      <c r="J40" s="4">
        <v>0.21125000000000005</v>
      </c>
      <c r="K40" s="1">
        <v>700</v>
      </c>
      <c r="L40" s="1">
        <v>0</v>
      </c>
      <c r="M40" s="1">
        <v>0</v>
      </c>
      <c r="N40" s="1">
        <v>0</v>
      </c>
      <c r="O40" s="1" t="str">
        <f t="shared" si="1"/>
        <v>Expansion</v>
      </c>
      <c r="P40" s="2">
        <f t="shared" si="2"/>
        <v>35885</v>
      </c>
      <c r="Q40" s="9" t="e">
        <f>VLOOKUP(P40,BB!$A$3:$D$6771, 3, 1)*100</f>
        <v>#N/A</v>
      </c>
      <c r="AK40" s="1">
        <v>10</v>
      </c>
      <c r="AL40" s="1">
        <v>0</v>
      </c>
      <c r="AM40" s="1">
        <v>0</v>
      </c>
      <c r="AN40" s="1">
        <v>0</v>
      </c>
      <c r="AO40" s="1">
        <f t="shared" si="3"/>
        <v>700</v>
      </c>
      <c r="AP40" s="1">
        <f t="shared" si="4"/>
        <v>0</v>
      </c>
      <c r="AQ40" s="1">
        <f t="shared" si="5"/>
        <v>0</v>
      </c>
      <c r="AR40" s="1">
        <f t="shared" si="6"/>
        <v>0</v>
      </c>
    </row>
    <row r="41" spans="1:44" x14ac:dyDescent="0.2">
      <c r="A41" s="2">
        <v>35886</v>
      </c>
      <c r="B41" s="4">
        <v>0.92500000000000004</v>
      </c>
      <c r="C41" s="4">
        <v>0.84299999999999997</v>
      </c>
      <c r="D41" s="4">
        <v>0.54500000000000004</v>
      </c>
      <c r="E41" s="4">
        <v>0.98299999999999998</v>
      </c>
      <c r="F41" s="4">
        <v>0.99099999999999999</v>
      </c>
      <c r="G41" s="4">
        <v>0.504</v>
      </c>
      <c r="H41" s="4">
        <v>0.38800000000000001</v>
      </c>
      <c r="I41" s="4">
        <v>0.96599999999999997</v>
      </c>
      <c r="J41" s="4">
        <v>0.23187499999999994</v>
      </c>
      <c r="K41" s="1">
        <v>700</v>
      </c>
      <c r="L41" s="1">
        <v>0</v>
      </c>
      <c r="M41" s="1">
        <v>0</v>
      </c>
      <c r="N41" s="1">
        <v>0</v>
      </c>
      <c r="O41" s="1" t="str">
        <f t="shared" si="1"/>
        <v>Expansion</v>
      </c>
      <c r="P41" s="2">
        <f t="shared" si="2"/>
        <v>35915</v>
      </c>
      <c r="Q41" s="9" t="e">
        <f>VLOOKUP(P41,BB!$A$3:$D$6771, 3, 1)*100</f>
        <v>#N/A</v>
      </c>
      <c r="AK41" s="1">
        <v>10</v>
      </c>
      <c r="AL41" s="1">
        <v>0</v>
      </c>
      <c r="AM41" s="1">
        <v>0</v>
      </c>
      <c r="AN41" s="1">
        <v>0</v>
      </c>
      <c r="AO41" s="1">
        <f t="shared" si="3"/>
        <v>700</v>
      </c>
      <c r="AP41" s="1">
        <f t="shared" si="4"/>
        <v>0</v>
      </c>
      <c r="AQ41" s="1">
        <f t="shared" si="5"/>
        <v>0</v>
      </c>
      <c r="AR41" s="1">
        <f t="shared" si="6"/>
        <v>0</v>
      </c>
    </row>
    <row r="42" spans="1:44" x14ac:dyDescent="0.2">
      <c r="A42" s="2">
        <v>35916</v>
      </c>
      <c r="B42" s="4">
        <v>0.88400000000000001</v>
      </c>
      <c r="C42" s="4">
        <v>0.91800000000000004</v>
      </c>
      <c r="D42" s="4">
        <v>0.45400000000000001</v>
      </c>
      <c r="E42" s="4">
        <v>0.99099999999999999</v>
      </c>
      <c r="F42" s="4">
        <v>0.99099999999999999</v>
      </c>
      <c r="G42" s="4">
        <v>0.41299999999999998</v>
      </c>
      <c r="H42" s="4">
        <v>0.46200000000000002</v>
      </c>
      <c r="I42" s="4">
        <v>0.95799999999999996</v>
      </c>
      <c r="J42" s="4">
        <v>0.24112499999999992</v>
      </c>
      <c r="K42" s="1">
        <v>700</v>
      </c>
      <c r="L42" s="1">
        <v>0</v>
      </c>
      <c r="M42" s="1">
        <v>0</v>
      </c>
      <c r="N42" s="1">
        <v>0</v>
      </c>
      <c r="O42" s="1" t="str">
        <f t="shared" si="1"/>
        <v>Expansion</v>
      </c>
      <c r="P42" s="2">
        <f t="shared" si="2"/>
        <v>35946</v>
      </c>
      <c r="Q42" s="9" t="e">
        <f>VLOOKUP(P42,BB!$A$3:$D$6771, 3, 1)*100</f>
        <v>#N/A</v>
      </c>
      <c r="AK42" s="1">
        <v>10</v>
      </c>
      <c r="AL42" s="1">
        <v>0</v>
      </c>
      <c r="AM42" s="1">
        <v>0</v>
      </c>
      <c r="AN42" s="1">
        <v>0</v>
      </c>
      <c r="AO42" s="1">
        <f t="shared" si="3"/>
        <v>700</v>
      </c>
      <c r="AP42" s="1">
        <f t="shared" si="4"/>
        <v>0</v>
      </c>
      <c r="AQ42" s="1">
        <f t="shared" si="5"/>
        <v>0</v>
      </c>
      <c r="AR42" s="1">
        <f t="shared" si="6"/>
        <v>0</v>
      </c>
    </row>
    <row r="43" spans="1:44" x14ac:dyDescent="0.2">
      <c r="A43" s="2">
        <v>35947</v>
      </c>
      <c r="B43" s="4">
        <v>0.91700000000000004</v>
      </c>
      <c r="C43" s="4">
        <v>0.93399999999999994</v>
      </c>
      <c r="D43" s="4">
        <v>0.32200000000000001</v>
      </c>
      <c r="E43" s="4">
        <v>0.92500000000000004</v>
      </c>
      <c r="F43" s="4">
        <v>0.99099999999999999</v>
      </c>
      <c r="G43" s="4">
        <v>0.314</v>
      </c>
      <c r="H43" s="4">
        <v>0.38</v>
      </c>
      <c r="I43" s="4">
        <v>0.95</v>
      </c>
      <c r="J43" s="4">
        <v>0.28337500000000004</v>
      </c>
      <c r="K43" s="1">
        <v>0</v>
      </c>
      <c r="L43" s="1">
        <v>700</v>
      </c>
      <c r="M43" s="1">
        <v>0</v>
      </c>
      <c r="N43" s="1">
        <v>0</v>
      </c>
      <c r="O43" s="1" t="str">
        <f t="shared" si="1"/>
        <v>Downturn</v>
      </c>
      <c r="P43" s="2">
        <f t="shared" si="2"/>
        <v>35976</v>
      </c>
      <c r="Q43" s="9" t="e">
        <f>VLOOKUP(P43,BB!$A$3:$D$6771, 3, 1)*100</f>
        <v>#N/A</v>
      </c>
      <c r="AK43" s="1">
        <v>0</v>
      </c>
      <c r="AL43" s="1">
        <v>10</v>
      </c>
      <c r="AM43" s="1">
        <v>0</v>
      </c>
      <c r="AN43" s="1">
        <v>0</v>
      </c>
      <c r="AO43" s="1">
        <f t="shared" si="3"/>
        <v>0</v>
      </c>
      <c r="AP43" s="1">
        <f t="shared" si="4"/>
        <v>700</v>
      </c>
      <c r="AQ43" s="1">
        <f t="shared" si="5"/>
        <v>0</v>
      </c>
      <c r="AR43" s="1">
        <f t="shared" si="6"/>
        <v>0</v>
      </c>
    </row>
    <row r="44" spans="1:44" x14ac:dyDescent="0.2">
      <c r="A44" s="2">
        <v>35977</v>
      </c>
      <c r="B44" s="4">
        <v>0.86699999999999999</v>
      </c>
      <c r="C44" s="4">
        <v>0.91</v>
      </c>
      <c r="D44" s="4">
        <v>0.26400000000000001</v>
      </c>
      <c r="E44" s="4">
        <v>0.91700000000000004</v>
      </c>
      <c r="F44" s="4">
        <v>0.99099999999999999</v>
      </c>
      <c r="G44" s="4">
        <v>0.33800000000000002</v>
      </c>
      <c r="H44" s="4">
        <v>0.371</v>
      </c>
      <c r="I44" s="4">
        <v>0.94199999999999995</v>
      </c>
      <c r="J44" s="4">
        <v>0.30000000000000004</v>
      </c>
      <c r="K44" s="1">
        <v>0</v>
      </c>
      <c r="L44" s="1">
        <v>700</v>
      </c>
      <c r="M44" s="1">
        <v>0</v>
      </c>
      <c r="N44" s="1">
        <v>0</v>
      </c>
      <c r="O44" s="1" t="str">
        <f t="shared" si="1"/>
        <v>Downturn</v>
      </c>
      <c r="P44" s="2">
        <f t="shared" si="2"/>
        <v>36007</v>
      </c>
      <c r="Q44" s="9" t="e">
        <f>VLOOKUP(P44,BB!$A$3:$D$6771, 3, 1)*100</f>
        <v>#N/A</v>
      </c>
      <c r="AK44" s="1">
        <v>0</v>
      </c>
      <c r="AL44" s="1">
        <v>10</v>
      </c>
      <c r="AM44" s="1">
        <v>0</v>
      </c>
      <c r="AN44" s="1">
        <v>0</v>
      </c>
      <c r="AO44" s="1">
        <f t="shared" si="3"/>
        <v>0</v>
      </c>
      <c r="AP44" s="1">
        <f t="shared" si="4"/>
        <v>700</v>
      </c>
      <c r="AQ44" s="1">
        <f t="shared" si="5"/>
        <v>0</v>
      </c>
      <c r="AR44" s="1">
        <f t="shared" si="6"/>
        <v>0</v>
      </c>
    </row>
    <row r="45" spans="1:44" x14ac:dyDescent="0.2">
      <c r="A45" s="2">
        <v>36008</v>
      </c>
      <c r="B45" s="4">
        <v>0.85899999999999999</v>
      </c>
      <c r="C45" s="4">
        <v>0.76900000000000002</v>
      </c>
      <c r="D45" s="4">
        <v>0.314</v>
      </c>
      <c r="E45" s="4">
        <v>0.96599999999999997</v>
      </c>
      <c r="F45" s="4">
        <v>0.99099999999999999</v>
      </c>
      <c r="G45" s="4">
        <v>0.28899999999999998</v>
      </c>
      <c r="H45" s="4">
        <v>0.77600000000000002</v>
      </c>
      <c r="I45" s="4">
        <v>0.93300000000000005</v>
      </c>
      <c r="J45" s="4">
        <v>0.26287499999999997</v>
      </c>
      <c r="K45" s="1">
        <v>0</v>
      </c>
      <c r="L45" s="1">
        <v>700</v>
      </c>
      <c r="M45" s="1">
        <v>0</v>
      </c>
      <c r="N45" s="1">
        <v>0</v>
      </c>
      <c r="O45" s="1" t="str">
        <f t="shared" si="1"/>
        <v>Downturn</v>
      </c>
      <c r="P45" s="2">
        <f t="shared" si="2"/>
        <v>36038</v>
      </c>
      <c r="Q45" s="9" t="e">
        <f>VLOOKUP(P45,BB!$A$3:$D$6771, 3, 1)*100</f>
        <v>#N/A</v>
      </c>
      <c r="AK45" s="1">
        <v>0</v>
      </c>
      <c r="AL45" s="1">
        <v>10</v>
      </c>
      <c r="AM45" s="1">
        <v>0</v>
      </c>
      <c r="AN45" s="1">
        <v>0</v>
      </c>
      <c r="AO45" s="1">
        <f t="shared" si="3"/>
        <v>0</v>
      </c>
      <c r="AP45" s="1">
        <f t="shared" si="4"/>
        <v>700</v>
      </c>
      <c r="AQ45" s="1">
        <f t="shared" si="5"/>
        <v>0</v>
      </c>
      <c r="AR45" s="1">
        <f t="shared" si="6"/>
        <v>0</v>
      </c>
    </row>
    <row r="46" spans="1:44" x14ac:dyDescent="0.2">
      <c r="A46" s="2">
        <v>36039</v>
      </c>
      <c r="B46" s="4">
        <v>0.9</v>
      </c>
      <c r="C46" s="4">
        <v>0.78600000000000003</v>
      </c>
      <c r="D46" s="4">
        <v>0.314</v>
      </c>
      <c r="E46" s="4">
        <v>0.99099999999999999</v>
      </c>
      <c r="F46" s="4">
        <v>0.99099999999999999</v>
      </c>
      <c r="G46" s="4">
        <v>0.214</v>
      </c>
      <c r="H46" s="4">
        <v>0.89200000000000002</v>
      </c>
      <c r="I46" s="4">
        <v>0.92500000000000004</v>
      </c>
      <c r="J46" s="4">
        <v>0.2483749999999999</v>
      </c>
      <c r="K46" s="1">
        <v>0</v>
      </c>
      <c r="L46" s="1">
        <v>700</v>
      </c>
      <c r="M46" s="1">
        <v>0</v>
      </c>
      <c r="N46" s="1">
        <v>0</v>
      </c>
      <c r="O46" s="1" t="str">
        <f t="shared" si="1"/>
        <v>Downturn</v>
      </c>
      <c r="P46" s="2">
        <f t="shared" si="2"/>
        <v>36068</v>
      </c>
      <c r="Q46" s="9" t="e">
        <f>VLOOKUP(P46,BB!$A$3:$D$6771, 3, 1)*100</f>
        <v>#N/A</v>
      </c>
      <c r="AK46" s="1">
        <v>0</v>
      </c>
      <c r="AL46" s="1">
        <v>10</v>
      </c>
      <c r="AM46" s="1">
        <v>0</v>
      </c>
      <c r="AN46" s="1">
        <v>0</v>
      </c>
      <c r="AO46" s="1">
        <f t="shared" si="3"/>
        <v>0</v>
      </c>
      <c r="AP46" s="1">
        <f t="shared" si="4"/>
        <v>700</v>
      </c>
      <c r="AQ46" s="1">
        <f t="shared" si="5"/>
        <v>0</v>
      </c>
      <c r="AR46" s="1">
        <f t="shared" si="6"/>
        <v>0</v>
      </c>
    </row>
    <row r="47" spans="1:44" x14ac:dyDescent="0.2">
      <c r="A47" s="2">
        <v>36069</v>
      </c>
      <c r="B47" s="4">
        <v>0.77600000000000002</v>
      </c>
      <c r="C47" s="4">
        <v>0.54600000000000004</v>
      </c>
      <c r="D47" s="4">
        <v>0.26400000000000001</v>
      </c>
      <c r="E47" s="4">
        <v>0.98299999999999998</v>
      </c>
      <c r="F47" s="4">
        <v>0.99099999999999999</v>
      </c>
      <c r="G47" s="4">
        <v>0.27200000000000002</v>
      </c>
      <c r="H47" s="4">
        <v>0.55300000000000005</v>
      </c>
      <c r="I47" s="4">
        <v>0.91700000000000004</v>
      </c>
      <c r="J47" s="4">
        <v>0.33725000000000005</v>
      </c>
      <c r="K47" s="1">
        <v>0</v>
      </c>
      <c r="L47" s="1">
        <v>700</v>
      </c>
      <c r="M47" s="1">
        <v>0</v>
      </c>
      <c r="N47" s="1">
        <v>0</v>
      </c>
      <c r="O47" s="1" t="str">
        <f t="shared" si="1"/>
        <v>Downturn</v>
      </c>
      <c r="P47" s="2">
        <f t="shared" si="2"/>
        <v>36099</v>
      </c>
      <c r="Q47" s="9" t="e">
        <f>VLOOKUP(P47,BB!$A$3:$D$6771, 3, 1)*100</f>
        <v>#N/A</v>
      </c>
      <c r="AK47" s="1">
        <v>0</v>
      </c>
      <c r="AL47" s="1">
        <v>10</v>
      </c>
      <c r="AM47" s="1">
        <v>0</v>
      </c>
      <c r="AN47" s="1">
        <v>0</v>
      </c>
      <c r="AO47" s="1">
        <f t="shared" si="3"/>
        <v>0</v>
      </c>
      <c r="AP47" s="1">
        <f t="shared" si="4"/>
        <v>700</v>
      </c>
      <c r="AQ47" s="1">
        <f t="shared" si="5"/>
        <v>0</v>
      </c>
      <c r="AR47" s="1">
        <f t="shared" si="6"/>
        <v>0</v>
      </c>
    </row>
    <row r="48" spans="1:44" x14ac:dyDescent="0.2">
      <c r="A48" s="2">
        <v>36100</v>
      </c>
      <c r="B48" s="4">
        <v>0.73499999999999999</v>
      </c>
      <c r="C48" s="4">
        <v>0.74399999999999999</v>
      </c>
      <c r="D48" s="4">
        <v>0.18099999999999999</v>
      </c>
      <c r="E48" s="4">
        <v>0.97499999999999998</v>
      </c>
      <c r="F48" s="4">
        <v>0.97499999999999998</v>
      </c>
      <c r="G48" s="4">
        <v>0.25600000000000001</v>
      </c>
      <c r="H48" s="4">
        <v>0.504</v>
      </c>
      <c r="I48" s="4">
        <v>0.90900000000000003</v>
      </c>
      <c r="J48" s="4">
        <v>0.3401249999999999</v>
      </c>
      <c r="K48" s="1">
        <v>0</v>
      </c>
      <c r="L48" s="1">
        <v>700</v>
      </c>
      <c r="M48" s="1">
        <v>0</v>
      </c>
      <c r="N48" s="1">
        <v>0</v>
      </c>
      <c r="O48" s="1" t="str">
        <f t="shared" si="1"/>
        <v>Downturn</v>
      </c>
      <c r="P48" s="2">
        <f t="shared" si="2"/>
        <v>36129</v>
      </c>
      <c r="Q48" s="9" t="e">
        <f>VLOOKUP(P48,BB!$A$3:$D$6771, 3, 1)*100</f>
        <v>#N/A</v>
      </c>
      <c r="AK48" s="1">
        <v>0</v>
      </c>
      <c r="AL48" s="1">
        <v>10</v>
      </c>
      <c r="AM48" s="1">
        <v>0</v>
      </c>
      <c r="AN48" s="1">
        <v>0</v>
      </c>
      <c r="AO48" s="1">
        <f t="shared" si="3"/>
        <v>0</v>
      </c>
      <c r="AP48" s="1">
        <f t="shared" si="4"/>
        <v>700</v>
      </c>
      <c r="AQ48" s="1">
        <f t="shared" si="5"/>
        <v>0</v>
      </c>
      <c r="AR48" s="1">
        <f t="shared" si="6"/>
        <v>0</v>
      </c>
    </row>
    <row r="49" spans="1:44" x14ac:dyDescent="0.2">
      <c r="A49" s="2">
        <v>36130</v>
      </c>
      <c r="B49" s="4">
        <v>0.71</v>
      </c>
      <c r="C49" s="4">
        <v>0.81</v>
      </c>
      <c r="D49" s="4">
        <v>8.2000000000000003E-2</v>
      </c>
      <c r="E49" s="4">
        <v>0.99099999999999999</v>
      </c>
      <c r="F49" s="4">
        <v>0.99099999999999999</v>
      </c>
      <c r="G49" s="4">
        <v>0.20599999999999999</v>
      </c>
      <c r="H49" s="4">
        <v>0.33</v>
      </c>
      <c r="I49" s="4">
        <v>0.9</v>
      </c>
      <c r="J49" s="4">
        <v>0.37249999999999994</v>
      </c>
      <c r="K49" s="1">
        <v>0</v>
      </c>
      <c r="L49" s="1">
        <v>700</v>
      </c>
      <c r="M49" s="1">
        <v>0</v>
      </c>
      <c r="N49" s="1">
        <v>0</v>
      </c>
      <c r="O49" s="1" t="str">
        <f t="shared" si="1"/>
        <v>Downturn</v>
      </c>
      <c r="P49" s="2">
        <f t="shared" si="2"/>
        <v>36160</v>
      </c>
      <c r="Q49" s="9" t="e">
        <f>VLOOKUP(P49,BB!$A$3:$D$6771, 3, 1)*100</f>
        <v>#N/A</v>
      </c>
      <c r="AK49" s="1">
        <v>0</v>
      </c>
      <c r="AL49" s="1">
        <v>10</v>
      </c>
      <c r="AM49" s="1">
        <v>0</v>
      </c>
      <c r="AN49" s="1">
        <v>0</v>
      </c>
      <c r="AO49" s="1">
        <f t="shared" si="3"/>
        <v>0</v>
      </c>
      <c r="AP49" s="1">
        <f t="shared" si="4"/>
        <v>700</v>
      </c>
      <c r="AQ49" s="1">
        <f t="shared" si="5"/>
        <v>0</v>
      </c>
      <c r="AR49" s="1">
        <f t="shared" si="6"/>
        <v>0</v>
      </c>
    </row>
    <row r="50" spans="1:44" x14ac:dyDescent="0.2">
      <c r="A50" s="2">
        <v>36161</v>
      </c>
      <c r="B50" s="4">
        <v>0.69399999999999995</v>
      </c>
      <c r="C50" s="4">
        <v>0.88500000000000001</v>
      </c>
      <c r="D50" s="4">
        <v>0.35499999999999998</v>
      </c>
      <c r="E50" s="4">
        <v>0.98299999999999998</v>
      </c>
      <c r="F50" s="4">
        <v>0.99099999999999999</v>
      </c>
      <c r="G50" s="4">
        <v>0.20599999999999999</v>
      </c>
      <c r="H50" s="4">
        <v>0.32200000000000001</v>
      </c>
      <c r="I50" s="4">
        <v>0.89200000000000002</v>
      </c>
      <c r="J50" s="4">
        <v>0.33399999999999996</v>
      </c>
      <c r="K50" s="1">
        <v>0</v>
      </c>
      <c r="L50" s="1">
        <v>700</v>
      </c>
      <c r="M50" s="1">
        <v>0</v>
      </c>
      <c r="N50" s="1">
        <v>0</v>
      </c>
      <c r="O50" s="1" t="str">
        <f t="shared" si="1"/>
        <v>Downturn</v>
      </c>
      <c r="P50" s="2">
        <f t="shared" si="2"/>
        <v>36191</v>
      </c>
      <c r="Q50" s="9" t="e">
        <f>VLOOKUP(P50,BB!$A$3:$D$6771, 3, 1)*100</f>
        <v>#N/A</v>
      </c>
      <c r="AK50" s="1">
        <v>0</v>
      </c>
      <c r="AL50" s="1">
        <v>10</v>
      </c>
      <c r="AM50" s="1">
        <v>0</v>
      </c>
      <c r="AN50" s="1">
        <v>0</v>
      </c>
      <c r="AO50" s="1">
        <f t="shared" si="3"/>
        <v>0</v>
      </c>
      <c r="AP50" s="1">
        <f t="shared" si="4"/>
        <v>700</v>
      </c>
      <c r="AQ50" s="1">
        <f t="shared" si="5"/>
        <v>0</v>
      </c>
      <c r="AR50" s="1">
        <f t="shared" si="6"/>
        <v>0</v>
      </c>
    </row>
    <row r="51" spans="1:44" x14ac:dyDescent="0.2">
      <c r="A51" s="2">
        <v>36192</v>
      </c>
      <c r="B51" s="4">
        <v>0.69399999999999995</v>
      </c>
      <c r="C51" s="4">
        <v>0.78600000000000003</v>
      </c>
      <c r="D51" s="4">
        <v>0.57799999999999996</v>
      </c>
      <c r="E51" s="4">
        <v>0.96599999999999997</v>
      </c>
      <c r="F51" s="4">
        <v>0.98299999999999998</v>
      </c>
      <c r="G51" s="4">
        <v>0.214</v>
      </c>
      <c r="H51" s="4">
        <v>0.223</v>
      </c>
      <c r="I51" s="4">
        <v>0.78500000000000003</v>
      </c>
      <c r="J51" s="4">
        <v>0.34637499999999999</v>
      </c>
      <c r="K51" s="1">
        <v>0</v>
      </c>
      <c r="L51" s="1">
        <v>700</v>
      </c>
      <c r="M51" s="1">
        <v>0</v>
      </c>
      <c r="N51" s="1">
        <v>0</v>
      </c>
      <c r="O51" s="1" t="str">
        <f t="shared" si="1"/>
        <v>Downturn</v>
      </c>
      <c r="P51" s="2">
        <f t="shared" si="2"/>
        <v>36219</v>
      </c>
      <c r="Q51" s="9" t="e">
        <f>VLOOKUP(P51,BB!$A$3:$D$6771, 3, 1)*100</f>
        <v>#N/A</v>
      </c>
      <c r="AK51" s="1">
        <v>0</v>
      </c>
      <c r="AL51" s="1">
        <v>10</v>
      </c>
      <c r="AM51" s="1">
        <v>0</v>
      </c>
      <c r="AN51" s="1">
        <v>0</v>
      </c>
      <c r="AO51" s="1">
        <f t="shared" si="3"/>
        <v>0</v>
      </c>
      <c r="AP51" s="1">
        <f t="shared" si="4"/>
        <v>700</v>
      </c>
      <c r="AQ51" s="1">
        <f t="shared" si="5"/>
        <v>0</v>
      </c>
      <c r="AR51" s="1">
        <f t="shared" si="6"/>
        <v>0</v>
      </c>
    </row>
    <row r="52" spans="1:44" x14ac:dyDescent="0.2">
      <c r="A52" s="2">
        <v>36220</v>
      </c>
      <c r="B52" s="4">
        <v>0.628</v>
      </c>
      <c r="C52" s="4">
        <v>0.73599999999999999</v>
      </c>
      <c r="D52" s="4">
        <v>0.752</v>
      </c>
      <c r="E52" s="4">
        <v>0.95799999999999996</v>
      </c>
      <c r="F52" s="4">
        <v>0.98299999999999998</v>
      </c>
      <c r="G52" s="4">
        <v>0.23899999999999999</v>
      </c>
      <c r="H52" s="4">
        <v>0.23100000000000001</v>
      </c>
      <c r="I52" s="4">
        <v>0.99099999999999999</v>
      </c>
      <c r="J52" s="4">
        <v>0.31025000000000014</v>
      </c>
      <c r="K52" s="1">
        <v>0</v>
      </c>
      <c r="L52" s="1">
        <v>700</v>
      </c>
      <c r="M52" s="1">
        <v>0</v>
      </c>
      <c r="N52" s="1">
        <v>0</v>
      </c>
      <c r="O52" s="1" t="str">
        <f t="shared" si="1"/>
        <v>Downturn</v>
      </c>
      <c r="P52" s="2">
        <f t="shared" si="2"/>
        <v>36250</v>
      </c>
      <c r="Q52" s="9" t="e">
        <f>VLOOKUP(P52,BB!$A$3:$D$6771, 3, 1)*100</f>
        <v>#N/A</v>
      </c>
      <c r="AK52" s="1">
        <v>0</v>
      </c>
      <c r="AL52" s="1">
        <v>10</v>
      </c>
      <c r="AM52" s="1">
        <v>0</v>
      </c>
      <c r="AN52" s="1">
        <v>0</v>
      </c>
      <c r="AO52" s="1">
        <f t="shared" si="3"/>
        <v>0</v>
      </c>
      <c r="AP52" s="1">
        <f t="shared" si="4"/>
        <v>700</v>
      </c>
      <c r="AQ52" s="1">
        <f t="shared" si="5"/>
        <v>0</v>
      </c>
      <c r="AR52" s="1">
        <f t="shared" si="6"/>
        <v>0</v>
      </c>
    </row>
    <row r="53" spans="1:44" x14ac:dyDescent="0.2">
      <c r="A53" s="2">
        <v>36251</v>
      </c>
      <c r="B53" s="4">
        <v>0.54500000000000004</v>
      </c>
      <c r="C53" s="4">
        <v>0.72</v>
      </c>
      <c r="D53" s="4">
        <v>0.61099999999999999</v>
      </c>
      <c r="E53" s="4">
        <v>0.94199999999999995</v>
      </c>
      <c r="F53" s="4">
        <v>0.96599999999999997</v>
      </c>
      <c r="G53" s="4">
        <v>0.23100000000000001</v>
      </c>
      <c r="H53" s="4">
        <v>0.16500000000000001</v>
      </c>
      <c r="I53" s="4">
        <v>0.98299999999999998</v>
      </c>
      <c r="J53" s="4">
        <v>0.35462500000000008</v>
      </c>
      <c r="K53" s="1">
        <v>0</v>
      </c>
      <c r="L53" s="1">
        <v>700</v>
      </c>
      <c r="M53" s="1">
        <v>0</v>
      </c>
      <c r="N53" s="1">
        <v>0</v>
      </c>
      <c r="O53" s="1" t="str">
        <f t="shared" si="1"/>
        <v>Downturn</v>
      </c>
      <c r="P53" s="2">
        <f t="shared" si="2"/>
        <v>36280</v>
      </c>
      <c r="Q53" s="9" t="e">
        <f>VLOOKUP(P53,BB!$A$3:$D$6771, 3, 1)*100</f>
        <v>#N/A</v>
      </c>
      <c r="AK53" s="1">
        <v>0</v>
      </c>
      <c r="AL53" s="1">
        <v>10</v>
      </c>
      <c r="AM53" s="1">
        <v>0</v>
      </c>
      <c r="AN53" s="1">
        <v>0</v>
      </c>
      <c r="AO53" s="1">
        <f t="shared" si="3"/>
        <v>0</v>
      </c>
      <c r="AP53" s="1">
        <f t="shared" si="4"/>
        <v>700</v>
      </c>
      <c r="AQ53" s="1">
        <f t="shared" si="5"/>
        <v>0</v>
      </c>
      <c r="AR53" s="1">
        <f t="shared" si="6"/>
        <v>0</v>
      </c>
    </row>
    <row r="54" spans="1:44" x14ac:dyDescent="0.2">
      <c r="A54" s="2">
        <v>36281</v>
      </c>
      <c r="B54" s="4">
        <v>0.58599999999999997</v>
      </c>
      <c r="C54" s="4">
        <v>0.76900000000000002</v>
      </c>
      <c r="D54" s="4">
        <v>0.80100000000000005</v>
      </c>
      <c r="E54" s="4">
        <v>0.90900000000000003</v>
      </c>
      <c r="F54" s="4">
        <v>0.92500000000000004</v>
      </c>
      <c r="G54" s="4">
        <v>0.26400000000000001</v>
      </c>
      <c r="H54" s="4">
        <v>0.107</v>
      </c>
      <c r="I54" s="4">
        <v>0.97499999999999998</v>
      </c>
      <c r="J54" s="4">
        <v>0.33299999999999996</v>
      </c>
      <c r="K54" s="1">
        <v>0</v>
      </c>
      <c r="L54" s="1">
        <v>700</v>
      </c>
      <c r="M54" s="1">
        <v>0</v>
      </c>
      <c r="N54" s="1">
        <v>0</v>
      </c>
      <c r="O54" s="1" t="str">
        <f t="shared" si="1"/>
        <v>Downturn</v>
      </c>
      <c r="P54" s="2">
        <f t="shared" si="2"/>
        <v>36311</v>
      </c>
      <c r="Q54" s="9" t="e">
        <f>VLOOKUP(P54,BB!$A$3:$D$6771, 3, 1)*100</f>
        <v>#N/A</v>
      </c>
      <c r="AK54" s="1">
        <v>0</v>
      </c>
      <c r="AL54" s="1">
        <v>10</v>
      </c>
      <c r="AM54" s="1">
        <v>0</v>
      </c>
      <c r="AN54" s="1">
        <v>0</v>
      </c>
      <c r="AO54" s="1">
        <f t="shared" si="3"/>
        <v>0</v>
      </c>
      <c r="AP54" s="1">
        <f t="shared" si="4"/>
        <v>700</v>
      </c>
      <c r="AQ54" s="1">
        <f t="shared" si="5"/>
        <v>0</v>
      </c>
      <c r="AR54" s="1">
        <f t="shared" si="6"/>
        <v>0</v>
      </c>
    </row>
    <row r="55" spans="1:44" x14ac:dyDescent="0.2">
      <c r="A55" s="2">
        <v>36312</v>
      </c>
      <c r="B55" s="4">
        <v>0.60299999999999998</v>
      </c>
      <c r="C55" s="4">
        <v>0.74399999999999999</v>
      </c>
      <c r="D55" s="4">
        <v>0.9</v>
      </c>
      <c r="E55" s="4">
        <v>0.876</v>
      </c>
      <c r="F55" s="4">
        <v>0.92500000000000004</v>
      </c>
      <c r="G55" s="4">
        <v>0.38800000000000001</v>
      </c>
      <c r="H55" s="4">
        <v>6.6000000000000003E-2</v>
      </c>
      <c r="I55" s="4">
        <v>0.99099999999999999</v>
      </c>
      <c r="J55" s="4">
        <v>0.31337500000000007</v>
      </c>
      <c r="K55" s="1">
        <v>0</v>
      </c>
      <c r="L55" s="1">
        <v>700</v>
      </c>
      <c r="M55" s="1">
        <v>0</v>
      </c>
      <c r="N55" s="1">
        <v>0</v>
      </c>
      <c r="O55" s="1" t="str">
        <f t="shared" si="1"/>
        <v>Downturn</v>
      </c>
      <c r="P55" s="2">
        <f t="shared" si="2"/>
        <v>36341</v>
      </c>
      <c r="Q55" s="9" t="e">
        <f>VLOOKUP(P55,BB!$A$3:$D$6771, 3, 1)*100</f>
        <v>#N/A</v>
      </c>
      <c r="AK55" s="1">
        <v>0</v>
      </c>
      <c r="AL55" s="1">
        <v>10</v>
      </c>
      <c r="AM55" s="1">
        <v>0</v>
      </c>
      <c r="AN55" s="1">
        <v>0</v>
      </c>
      <c r="AO55" s="1">
        <f t="shared" si="3"/>
        <v>0</v>
      </c>
      <c r="AP55" s="1">
        <f t="shared" si="4"/>
        <v>700</v>
      </c>
      <c r="AQ55" s="1">
        <f t="shared" si="5"/>
        <v>0</v>
      </c>
      <c r="AR55" s="1">
        <f t="shared" si="6"/>
        <v>0</v>
      </c>
    </row>
    <row r="56" spans="1:44" x14ac:dyDescent="0.2">
      <c r="A56" s="2">
        <v>36342</v>
      </c>
      <c r="B56" s="4">
        <v>0.60299999999999998</v>
      </c>
      <c r="C56" s="4">
        <v>0.73599999999999999</v>
      </c>
      <c r="D56" s="4">
        <v>0.63600000000000001</v>
      </c>
      <c r="E56" s="4">
        <v>0.85099999999999998</v>
      </c>
      <c r="F56" s="4">
        <v>0.92500000000000004</v>
      </c>
      <c r="G56" s="4">
        <v>0.30499999999999999</v>
      </c>
      <c r="H56" s="4">
        <v>4.9000000000000002E-2</v>
      </c>
      <c r="I56" s="4">
        <v>0.752</v>
      </c>
      <c r="J56" s="4">
        <v>0.39287499999999997</v>
      </c>
      <c r="K56" s="1">
        <v>0</v>
      </c>
      <c r="L56" s="1">
        <v>700</v>
      </c>
      <c r="M56" s="1">
        <v>0</v>
      </c>
      <c r="N56" s="1">
        <v>0</v>
      </c>
      <c r="O56" s="1" t="str">
        <f t="shared" si="1"/>
        <v>Downturn</v>
      </c>
      <c r="P56" s="2">
        <f t="shared" si="2"/>
        <v>36372</v>
      </c>
      <c r="Q56" s="9" t="e">
        <f>VLOOKUP(P56,BB!$A$3:$D$6771, 3, 1)*100</f>
        <v>#N/A</v>
      </c>
      <c r="AK56" s="1">
        <v>0</v>
      </c>
      <c r="AL56" s="1">
        <v>10</v>
      </c>
      <c r="AM56" s="1">
        <v>0</v>
      </c>
      <c r="AN56" s="1">
        <v>0</v>
      </c>
      <c r="AO56" s="1">
        <f t="shared" si="3"/>
        <v>0</v>
      </c>
      <c r="AP56" s="1">
        <f t="shared" si="4"/>
        <v>700</v>
      </c>
      <c r="AQ56" s="1">
        <f t="shared" si="5"/>
        <v>0</v>
      </c>
      <c r="AR56" s="1">
        <f t="shared" si="6"/>
        <v>0</v>
      </c>
    </row>
    <row r="57" spans="1:44" x14ac:dyDescent="0.2">
      <c r="A57" s="2">
        <v>36373</v>
      </c>
      <c r="B57" s="4">
        <v>0.66100000000000003</v>
      </c>
      <c r="C57" s="4">
        <v>0.76100000000000001</v>
      </c>
      <c r="D57" s="4">
        <v>0.70199999999999996</v>
      </c>
      <c r="E57" s="4">
        <v>0.83399999999999996</v>
      </c>
      <c r="F57" s="4">
        <v>0.99099999999999999</v>
      </c>
      <c r="G57" s="4">
        <v>0.36299999999999999</v>
      </c>
      <c r="H57" s="4">
        <v>4.9000000000000002E-2</v>
      </c>
      <c r="I57" s="4">
        <v>0.85099999999999998</v>
      </c>
      <c r="J57" s="4">
        <v>0.34849999999999992</v>
      </c>
      <c r="K57" s="1">
        <v>0</v>
      </c>
      <c r="L57" s="1">
        <v>700</v>
      </c>
      <c r="M57" s="1">
        <v>0</v>
      </c>
      <c r="N57" s="1">
        <v>0</v>
      </c>
      <c r="O57" s="1" t="str">
        <f t="shared" si="1"/>
        <v>Downturn</v>
      </c>
      <c r="P57" s="2">
        <f t="shared" si="2"/>
        <v>36403</v>
      </c>
      <c r="Q57" s="9" t="e">
        <f>VLOOKUP(P57,BB!$A$3:$D$6771, 3, 1)*100</f>
        <v>#N/A</v>
      </c>
      <c r="AK57" s="1">
        <v>0</v>
      </c>
      <c r="AL57" s="1">
        <v>10</v>
      </c>
      <c r="AM57" s="1">
        <v>0</v>
      </c>
      <c r="AN57" s="1">
        <v>0</v>
      </c>
      <c r="AO57" s="1">
        <f t="shared" si="3"/>
        <v>0</v>
      </c>
      <c r="AP57" s="1">
        <f t="shared" si="4"/>
        <v>700</v>
      </c>
      <c r="AQ57" s="1">
        <f t="shared" si="5"/>
        <v>0</v>
      </c>
      <c r="AR57" s="1">
        <f t="shared" si="6"/>
        <v>0</v>
      </c>
    </row>
    <row r="58" spans="1:44" x14ac:dyDescent="0.2">
      <c r="A58" s="2">
        <v>36404</v>
      </c>
      <c r="B58" s="4">
        <v>0.54500000000000004</v>
      </c>
      <c r="C58" s="4">
        <v>0.74399999999999999</v>
      </c>
      <c r="D58" s="4">
        <v>0.92500000000000004</v>
      </c>
      <c r="E58" s="4">
        <v>0.86699999999999999</v>
      </c>
      <c r="F58" s="4">
        <v>0.98299999999999998</v>
      </c>
      <c r="G58" s="4">
        <v>0.45400000000000001</v>
      </c>
      <c r="H58" s="4">
        <v>0.09</v>
      </c>
      <c r="I58" s="4">
        <v>0.85099999999999998</v>
      </c>
      <c r="J58" s="4">
        <v>0.31762500000000005</v>
      </c>
      <c r="K58" s="1">
        <v>0</v>
      </c>
      <c r="L58" s="1">
        <v>700</v>
      </c>
      <c r="M58" s="1">
        <v>0</v>
      </c>
      <c r="N58" s="1">
        <v>0</v>
      </c>
      <c r="O58" s="1" t="str">
        <f t="shared" si="1"/>
        <v>Downturn</v>
      </c>
      <c r="P58" s="2">
        <f t="shared" si="2"/>
        <v>36433</v>
      </c>
      <c r="Q58" s="9" t="e">
        <f>VLOOKUP(P58,BB!$A$3:$D$6771, 3, 1)*100</f>
        <v>#N/A</v>
      </c>
      <c r="AK58" s="1">
        <v>0</v>
      </c>
      <c r="AL58" s="1">
        <v>10</v>
      </c>
      <c r="AM58" s="1">
        <v>0</v>
      </c>
      <c r="AN58" s="1">
        <v>0</v>
      </c>
      <c r="AO58" s="1">
        <f t="shared" si="3"/>
        <v>0</v>
      </c>
      <c r="AP58" s="1">
        <f t="shared" si="4"/>
        <v>700</v>
      </c>
      <c r="AQ58" s="1">
        <f t="shared" si="5"/>
        <v>0</v>
      </c>
      <c r="AR58" s="1">
        <f t="shared" si="6"/>
        <v>0</v>
      </c>
    </row>
    <row r="59" spans="1:44" x14ac:dyDescent="0.2">
      <c r="A59" s="2">
        <v>36434</v>
      </c>
      <c r="B59" s="4">
        <v>0.59499999999999997</v>
      </c>
      <c r="C59" s="4">
        <v>0.77700000000000002</v>
      </c>
      <c r="D59" s="4">
        <v>0.86699999999999999</v>
      </c>
      <c r="E59" s="4">
        <v>0.82599999999999996</v>
      </c>
      <c r="F59" s="4">
        <v>0.91700000000000004</v>
      </c>
      <c r="G59" s="4">
        <v>0.495</v>
      </c>
      <c r="H59" s="4">
        <v>5.7000000000000002E-2</v>
      </c>
      <c r="I59" s="4">
        <v>0.98299999999999998</v>
      </c>
      <c r="J59" s="4">
        <v>0.31037499999999996</v>
      </c>
      <c r="K59" s="1">
        <v>700</v>
      </c>
      <c r="L59" s="1">
        <v>0</v>
      </c>
      <c r="M59" s="1">
        <v>0</v>
      </c>
      <c r="N59" s="1">
        <v>0</v>
      </c>
      <c r="O59" s="1" t="str">
        <f t="shared" si="1"/>
        <v>Expansion</v>
      </c>
      <c r="P59" s="2">
        <f t="shared" si="2"/>
        <v>36464</v>
      </c>
      <c r="Q59" s="9" t="e">
        <f>VLOOKUP(P59,BB!$A$3:$D$6771, 3, 1)*100</f>
        <v>#N/A</v>
      </c>
      <c r="AK59" s="1">
        <v>10</v>
      </c>
      <c r="AL59" s="1">
        <v>0</v>
      </c>
      <c r="AM59" s="1">
        <v>0</v>
      </c>
      <c r="AN59" s="1">
        <v>0</v>
      </c>
      <c r="AO59" s="1">
        <f t="shared" si="3"/>
        <v>700</v>
      </c>
      <c r="AP59" s="1">
        <f t="shared" si="4"/>
        <v>0</v>
      </c>
      <c r="AQ59" s="1">
        <f t="shared" si="5"/>
        <v>0</v>
      </c>
      <c r="AR59" s="1">
        <f t="shared" si="6"/>
        <v>0</v>
      </c>
    </row>
    <row r="60" spans="1:44" x14ac:dyDescent="0.2">
      <c r="A60" s="2">
        <v>36465</v>
      </c>
      <c r="B60" s="4">
        <v>0.61899999999999999</v>
      </c>
      <c r="C60" s="4">
        <v>0.83499999999999996</v>
      </c>
      <c r="D60" s="4">
        <v>0.85099999999999998</v>
      </c>
      <c r="E60" s="4">
        <v>0.79300000000000004</v>
      </c>
      <c r="F60" s="4">
        <v>0.96599999999999997</v>
      </c>
      <c r="G60" s="4">
        <v>0.40400000000000003</v>
      </c>
      <c r="H60" s="4">
        <v>4.9000000000000002E-2</v>
      </c>
      <c r="I60" s="4">
        <v>0.99099999999999999</v>
      </c>
      <c r="J60" s="4">
        <v>0.3115</v>
      </c>
      <c r="K60" s="1">
        <v>700</v>
      </c>
      <c r="L60" s="1">
        <v>0</v>
      </c>
      <c r="M60" s="1">
        <v>0</v>
      </c>
      <c r="N60" s="1">
        <v>0</v>
      </c>
      <c r="O60" s="1" t="str">
        <f t="shared" si="1"/>
        <v>Expansion</v>
      </c>
      <c r="P60" s="2">
        <f t="shared" si="2"/>
        <v>36494</v>
      </c>
      <c r="Q60" s="9" t="e">
        <f>VLOOKUP(P60,BB!$A$3:$D$6771, 3, 1)*100</f>
        <v>#N/A</v>
      </c>
      <c r="AK60" s="1">
        <v>10</v>
      </c>
      <c r="AL60" s="1">
        <v>0</v>
      </c>
      <c r="AM60" s="1">
        <v>0</v>
      </c>
      <c r="AN60" s="1">
        <v>0</v>
      </c>
      <c r="AO60" s="1">
        <f t="shared" si="3"/>
        <v>700</v>
      </c>
      <c r="AP60" s="1">
        <f t="shared" si="4"/>
        <v>0</v>
      </c>
      <c r="AQ60" s="1">
        <f t="shared" si="5"/>
        <v>0</v>
      </c>
      <c r="AR60" s="1">
        <f t="shared" si="6"/>
        <v>0</v>
      </c>
    </row>
    <row r="61" spans="1:44" x14ac:dyDescent="0.2">
      <c r="A61" s="2">
        <v>36495</v>
      </c>
      <c r="B61" s="4">
        <v>0.56100000000000005</v>
      </c>
      <c r="C61" s="4">
        <v>0.78600000000000003</v>
      </c>
      <c r="D61" s="4">
        <v>0.78500000000000003</v>
      </c>
      <c r="E61" s="4">
        <v>0.76800000000000002</v>
      </c>
      <c r="F61" s="4">
        <v>0.99099999999999999</v>
      </c>
      <c r="G61" s="4">
        <v>0.60299999999999998</v>
      </c>
      <c r="H61" s="4">
        <v>1.6E-2</v>
      </c>
      <c r="I61" s="4">
        <v>0.83399999999999996</v>
      </c>
      <c r="J61" s="4">
        <v>0.33199999999999996</v>
      </c>
      <c r="K61" s="1">
        <v>700</v>
      </c>
      <c r="L61" s="1">
        <v>0</v>
      </c>
      <c r="M61" s="1">
        <v>0</v>
      </c>
      <c r="N61" s="1">
        <v>0</v>
      </c>
      <c r="O61" s="1" t="str">
        <f t="shared" si="1"/>
        <v>Expansion</v>
      </c>
      <c r="P61" s="2">
        <f t="shared" si="2"/>
        <v>36525</v>
      </c>
      <c r="Q61" s="9">
        <f>VLOOKUP(P61,BB!$A$3:$D$6771, 3, 1)*100</f>
        <v>111.00000000000001</v>
      </c>
      <c r="R61" s="9"/>
      <c r="T61" s="1" t="str">
        <f>IF(ISNUMBER(R61)=TRUE, O61, "")</f>
        <v/>
      </c>
      <c r="AK61" s="1">
        <v>10</v>
      </c>
      <c r="AL61" s="1">
        <v>0</v>
      </c>
      <c r="AM61" s="1">
        <v>0</v>
      </c>
      <c r="AN61" s="1">
        <v>0</v>
      </c>
      <c r="AO61" s="1">
        <f t="shared" si="3"/>
        <v>700</v>
      </c>
      <c r="AP61" s="1">
        <f t="shared" si="4"/>
        <v>0</v>
      </c>
      <c r="AQ61" s="1">
        <f t="shared" si="5"/>
        <v>0</v>
      </c>
      <c r="AR61" s="1">
        <f t="shared" si="6"/>
        <v>0</v>
      </c>
    </row>
    <row r="62" spans="1:44" x14ac:dyDescent="0.2">
      <c r="A62" s="2">
        <v>36526</v>
      </c>
      <c r="B62" s="4">
        <v>0.54500000000000004</v>
      </c>
      <c r="C62" s="4">
        <v>0.95899999999999996</v>
      </c>
      <c r="D62" s="4">
        <v>0.85099999999999998</v>
      </c>
      <c r="E62" s="4">
        <v>0.74299999999999999</v>
      </c>
      <c r="F62" s="4">
        <v>0.98299999999999998</v>
      </c>
      <c r="G62" s="4">
        <v>0.61099999999999999</v>
      </c>
      <c r="H62" s="4">
        <v>8.0000000000000002E-3</v>
      </c>
      <c r="I62" s="4">
        <v>0.99099999999999999</v>
      </c>
      <c r="J62" s="4">
        <v>0.28862500000000013</v>
      </c>
      <c r="K62" s="1">
        <v>700</v>
      </c>
      <c r="L62" s="1">
        <v>0</v>
      </c>
      <c r="M62" s="1">
        <v>0</v>
      </c>
      <c r="N62" s="1">
        <v>0</v>
      </c>
      <c r="O62" s="1" t="str">
        <f t="shared" si="1"/>
        <v>Expansion</v>
      </c>
      <c r="P62" s="2">
        <f t="shared" si="2"/>
        <v>36556</v>
      </c>
      <c r="Q62" s="9">
        <f>VLOOKUP(P62,BB!$A$3:$D$6771, 3, 1)*100</f>
        <v>114.99999999999999</v>
      </c>
      <c r="R62" s="9"/>
      <c r="S62" s="1" t="str">
        <f>""</f>
        <v/>
      </c>
      <c r="T62" s="1" t="str">
        <f t="shared" ref="T62:T125" si="9">IF(ISNUMBER(R62)=TRUE, O62, "")</f>
        <v/>
      </c>
      <c r="AK62" s="1">
        <v>10</v>
      </c>
      <c r="AL62" s="1">
        <v>0</v>
      </c>
      <c r="AM62" s="1">
        <v>0</v>
      </c>
      <c r="AN62" s="1">
        <v>0</v>
      </c>
      <c r="AO62" s="1">
        <f t="shared" si="3"/>
        <v>700</v>
      </c>
      <c r="AP62" s="1">
        <f t="shared" si="4"/>
        <v>0</v>
      </c>
      <c r="AQ62" s="1">
        <f t="shared" si="5"/>
        <v>0</v>
      </c>
      <c r="AR62" s="1">
        <f t="shared" si="6"/>
        <v>0</v>
      </c>
    </row>
    <row r="63" spans="1:44" x14ac:dyDescent="0.2">
      <c r="A63" s="2">
        <v>36557</v>
      </c>
      <c r="B63" s="4">
        <v>0.47099999999999997</v>
      </c>
      <c r="C63" s="4">
        <v>0.99199999999999999</v>
      </c>
      <c r="D63" s="4">
        <v>0.876</v>
      </c>
      <c r="E63" s="4">
        <v>0.76800000000000002</v>
      </c>
      <c r="F63" s="4">
        <v>0.99099999999999999</v>
      </c>
      <c r="G63" s="4">
        <v>0.42099999999999999</v>
      </c>
      <c r="H63" s="4">
        <v>4.1000000000000002E-2</v>
      </c>
      <c r="I63" s="4">
        <v>0.82599999999999996</v>
      </c>
      <c r="J63" s="4">
        <v>0.32674999999999998</v>
      </c>
      <c r="K63" s="1">
        <v>700</v>
      </c>
      <c r="L63" s="1">
        <v>0</v>
      </c>
      <c r="M63" s="1">
        <v>0</v>
      </c>
      <c r="N63" s="1">
        <v>0</v>
      </c>
      <c r="O63" s="1" t="str">
        <f t="shared" si="1"/>
        <v>Expansion</v>
      </c>
      <c r="P63" s="2">
        <f t="shared" si="2"/>
        <v>36585</v>
      </c>
      <c r="Q63" s="9">
        <f>VLOOKUP(P63,BB!$A$3:$D$6771, 3, 1)*100</f>
        <v>122</v>
      </c>
      <c r="R63" s="9"/>
      <c r="S63" s="1" t="str">
        <f>IF(O63&lt;&gt;O62,Q62,S62)</f>
        <v/>
      </c>
      <c r="T63" s="1" t="str">
        <f t="shared" si="9"/>
        <v/>
      </c>
      <c r="AK63" s="1">
        <v>10</v>
      </c>
      <c r="AL63" s="1">
        <v>0</v>
      </c>
      <c r="AM63" s="1">
        <v>0</v>
      </c>
      <c r="AN63" s="1">
        <v>0</v>
      </c>
      <c r="AO63" s="1">
        <f t="shared" si="3"/>
        <v>700</v>
      </c>
      <c r="AP63" s="1">
        <f t="shared" si="4"/>
        <v>0</v>
      </c>
      <c r="AQ63" s="1">
        <f t="shared" si="5"/>
        <v>0</v>
      </c>
      <c r="AR63" s="1">
        <f t="shared" si="6"/>
        <v>0</v>
      </c>
    </row>
    <row r="64" spans="1:44" x14ac:dyDescent="0.2">
      <c r="A64" s="2">
        <v>36586</v>
      </c>
      <c r="B64" s="4">
        <v>0.47099999999999997</v>
      </c>
      <c r="C64" s="4">
        <v>0.99199999999999999</v>
      </c>
      <c r="D64" s="4">
        <v>0.79300000000000004</v>
      </c>
      <c r="E64" s="4">
        <v>0.73499999999999999</v>
      </c>
      <c r="F64" s="4">
        <v>0.95799999999999996</v>
      </c>
      <c r="G64" s="4">
        <v>0.56999999999999995</v>
      </c>
      <c r="H64" s="4">
        <v>8.0000000000000002E-3</v>
      </c>
      <c r="I64" s="4">
        <v>0.95</v>
      </c>
      <c r="J64" s="4">
        <v>0.31537499999999996</v>
      </c>
      <c r="K64" s="1">
        <v>700</v>
      </c>
      <c r="L64" s="1">
        <v>0</v>
      </c>
      <c r="M64" s="1">
        <v>0</v>
      </c>
      <c r="N64" s="1">
        <v>0</v>
      </c>
      <c r="O64" s="1" t="str">
        <f t="shared" si="1"/>
        <v>Expansion</v>
      </c>
      <c r="P64" s="2">
        <f t="shared" si="2"/>
        <v>36616</v>
      </c>
      <c r="Q64" s="9">
        <f>VLOOKUP(P64,BB!$A$3:$D$6771, 3, 1)*100</f>
        <v>146</v>
      </c>
      <c r="R64" s="9"/>
      <c r="S64" s="1" t="str">
        <f t="shared" ref="S64:S127" si="10">IF(O64&lt;&gt;O63,Q63,S63)</f>
        <v/>
      </c>
      <c r="T64" s="1" t="str">
        <f t="shared" si="9"/>
        <v/>
      </c>
      <c r="AK64" s="1">
        <v>10</v>
      </c>
      <c r="AL64" s="1">
        <v>0</v>
      </c>
      <c r="AM64" s="1">
        <v>0</v>
      </c>
      <c r="AN64" s="1">
        <v>0</v>
      </c>
      <c r="AO64" s="1">
        <f t="shared" si="3"/>
        <v>700</v>
      </c>
      <c r="AP64" s="1">
        <f t="shared" si="4"/>
        <v>0</v>
      </c>
      <c r="AQ64" s="1">
        <f t="shared" si="5"/>
        <v>0</v>
      </c>
      <c r="AR64" s="1">
        <f t="shared" si="6"/>
        <v>0</v>
      </c>
    </row>
    <row r="65" spans="1:44" x14ac:dyDescent="0.2">
      <c r="A65" s="2">
        <v>36617</v>
      </c>
      <c r="B65" s="4">
        <v>0.65200000000000002</v>
      </c>
      <c r="C65" s="4">
        <v>0.98399999999999999</v>
      </c>
      <c r="D65" s="4">
        <v>0.70199999999999996</v>
      </c>
      <c r="E65" s="4">
        <v>0.71</v>
      </c>
      <c r="F65" s="4">
        <v>0.95799999999999996</v>
      </c>
      <c r="G65" s="4">
        <v>0.44600000000000001</v>
      </c>
      <c r="H65" s="4">
        <v>8.0000000000000002E-3</v>
      </c>
      <c r="I65" s="4">
        <v>0.66900000000000004</v>
      </c>
      <c r="J65" s="4">
        <v>0.35887500000000006</v>
      </c>
      <c r="K65" s="1">
        <v>0</v>
      </c>
      <c r="L65" s="1">
        <v>700</v>
      </c>
      <c r="M65" s="1">
        <v>0</v>
      </c>
      <c r="N65" s="1">
        <v>0</v>
      </c>
      <c r="O65" s="1" t="str">
        <f t="shared" si="1"/>
        <v>Downturn</v>
      </c>
      <c r="P65" s="2">
        <f t="shared" si="2"/>
        <v>36646</v>
      </c>
      <c r="Q65" s="9">
        <f>VLOOKUP(P65,BB!$A$3:$D$6771, 3, 1)*100</f>
        <v>156</v>
      </c>
      <c r="R65" s="1" t="str">
        <f t="shared" ref="R65:R73" si="11">IF(O65&lt;&gt;O66, Q65-S65, "")</f>
        <v/>
      </c>
      <c r="S65" s="1">
        <f t="shared" si="10"/>
        <v>146</v>
      </c>
      <c r="T65" s="1" t="str">
        <f t="shared" si="9"/>
        <v/>
      </c>
      <c r="AK65" s="1">
        <v>0</v>
      </c>
      <c r="AL65" s="1">
        <v>10</v>
      </c>
      <c r="AM65" s="1">
        <v>0</v>
      </c>
      <c r="AN65" s="1">
        <v>0</v>
      </c>
      <c r="AO65" s="1">
        <f t="shared" si="3"/>
        <v>0</v>
      </c>
      <c r="AP65" s="1">
        <f t="shared" si="4"/>
        <v>700</v>
      </c>
      <c r="AQ65" s="1">
        <f t="shared" si="5"/>
        <v>0</v>
      </c>
      <c r="AR65" s="1">
        <f t="shared" si="6"/>
        <v>0</v>
      </c>
    </row>
    <row r="66" spans="1:44" x14ac:dyDescent="0.2">
      <c r="A66" s="2">
        <v>36647</v>
      </c>
      <c r="B66" s="4">
        <v>0.86699999999999999</v>
      </c>
      <c r="C66" s="4">
        <v>0.97599999999999998</v>
      </c>
      <c r="D66" s="4">
        <v>0.54500000000000004</v>
      </c>
      <c r="E66" s="4">
        <v>0.67700000000000005</v>
      </c>
      <c r="F66" s="4">
        <v>0.876</v>
      </c>
      <c r="G66" s="4">
        <v>0.61099999999999999</v>
      </c>
      <c r="H66" s="4">
        <v>8.0000000000000002E-3</v>
      </c>
      <c r="I66" s="4">
        <v>0.81799999999999995</v>
      </c>
      <c r="J66" s="4">
        <v>0.3277500000000001</v>
      </c>
      <c r="K66" s="1">
        <v>0</v>
      </c>
      <c r="L66" s="1">
        <v>700</v>
      </c>
      <c r="M66" s="1">
        <v>0</v>
      </c>
      <c r="N66" s="1">
        <v>0</v>
      </c>
      <c r="O66" s="1" t="str">
        <f t="shared" si="1"/>
        <v>Downturn</v>
      </c>
      <c r="P66" s="2">
        <f t="shared" si="2"/>
        <v>36677</v>
      </c>
      <c r="Q66" s="9">
        <f>VLOOKUP(P66,BB!$A$3:$D$6771, 3, 1)*100</f>
        <v>165</v>
      </c>
      <c r="R66" s="1" t="str">
        <f t="shared" si="11"/>
        <v/>
      </c>
      <c r="S66" s="1">
        <f t="shared" si="10"/>
        <v>146</v>
      </c>
      <c r="T66" s="1" t="str">
        <f t="shared" si="9"/>
        <v/>
      </c>
      <c r="AK66" s="1">
        <v>0</v>
      </c>
      <c r="AL66" s="1">
        <v>10</v>
      </c>
      <c r="AM66" s="1">
        <v>0</v>
      </c>
      <c r="AN66" s="1">
        <v>0</v>
      </c>
      <c r="AO66" s="1">
        <f t="shared" si="3"/>
        <v>0</v>
      </c>
      <c r="AP66" s="1">
        <f t="shared" si="4"/>
        <v>700</v>
      </c>
      <c r="AQ66" s="1">
        <f t="shared" si="5"/>
        <v>0</v>
      </c>
      <c r="AR66" s="1">
        <f t="shared" si="6"/>
        <v>0</v>
      </c>
    </row>
    <row r="67" spans="1:44" x14ac:dyDescent="0.2">
      <c r="A67" s="2">
        <v>36678</v>
      </c>
      <c r="B67" s="4">
        <v>0.76800000000000002</v>
      </c>
      <c r="C67" s="4">
        <v>0.96699999999999997</v>
      </c>
      <c r="D67" s="4">
        <v>0.42899999999999999</v>
      </c>
      <c r="E67" s="4">
        <v>0.91700000000000004</v>
      </c>
      <c r="F67" s="4">
        <v>0.876</v>
      </c>
      <c r="G67" s="4">
        <v>0.38</v>
      </c>
      <c r="H67" s="4">
        <v>3.3000000000000002E-2</v>
      </c>
      <c r="I67" s="4">
        <v>0.66900000000000004</v>
      </c>
      <c r="J67" s="4">
        <v>0.37012500000000004</v>
      </c>
      <c r="K67" s="1">
        <v>0</v>
      </c>
      <c r="L67" s="1">
        <v>700</v>
      </c>
      <c r="M67" s="1">
        <v>0</v>
      </c>
      <c r="N67" s="1">
        <v>0</v>
      </c>
      <c r="O67" s="1" t="str">
        <f t="shared" ref="O67:O130" si="12">IF(K67&gt;0,$K$1,IF(L67&gt;0,$L$1,IF(M67&gt;0,$M$1,$N$1)))</f>
        <v>Downturn</v>
      </c>
      <c r="P67" s="2">
        <f t="shared" ref="P67:P130" si="13">EOMONTH(A67,0)</f>
        <v>36707</v>
      </c>
      <c r="Q67" s="9">
        <f>VLOOKUP(P67,BB!$A$3:$D$6771, 3, 1)*100</f>
        <v>163</v>
      </c>
      <c r="R67" s="1" t="str">
        <f t="shared" si="11"/>
        <v/>
      </c>
      <c r="S67" s="1">
        <f t="shared" si="10"/>
        <v>146</v>
      </c>
      <c r="T67" s="1" t="str">
        <f t="shared" si="9"/>
        <v/>
      </c>
      <c r="AK67" s="1">
        <v>0</v>
      </c>
      <c r="AL67" s="1">
        <v>10</v>
      </c>
      <c r="AM67" s="1">
        <v>0</v>
      </c>
      <c r="AN67" s="1">
        <v>0</v>
      </c>
      <c r="AO67" s="1">
        <f t="shared" ref="AO67:AO130" si="14">IF(AK67&gt;0, AK67+690, AK67)</f>
        <v>0</v>
      </c>
      <c r="AP67" s="1">
        <f t="shared" ref="AP67:AP130" si="15">IF(AL67&gt;0, AL67+690, AL67)</f>
        <v>700</v>
      </c>
      <c r="AQ67" s="1">
        <f t="shared" ref="AQ67:AQ130" si="16">IF(AM67&gt;0, AM67+690, AM67)</f>
        <v>0</v>
      </c>
      <c r="AR67" s="1">
        <f t="shared" ref="AR67:AR130" si="17">IF(AN67&gt;0, AN67+690, AN67)</f>
        <v>0</v>
      </c>
    </row>
    <row r="68" spans="1:44" x14ac:dyDescent="0.2">
      <c r="A68" s="2">
        <v>36708</v>
      </c>
      <c r="B68" s="4">
        <v>0.76800000000000002</v>
      </c>
      <c r="C68" s="4">
        <v>0.95899999999999996</v>
      </c>
      <c r="D68" s="4">
        <v>0.42099999999999999</v>
      </c>
      <c r="E68" s="4">
        <v>0.90900000000000003</v>
      </c>
      <c r="F68" s="4">
        <v>0.81799999999999995</v>
      </c>
      <c r="G68" s="4">
        <v>0.47099999999999997</v>
      </c>
      <c r="H68" s="4">
        <v>8.2000000000000003E-2</v>
      </c>
      <c r="I68" s="4">
        <v>0.95799999999999996</v>
      </c>
      <c r="J68" s="4">
        <v>0.3267500000000001</v>
      </c>
      <c r="K68" s="1">
        <v>0</v>
      </c>
      <c r="L68" s="1">
        <v>700</v>
      </c>
      <c r="M68" s="1">
        <v>0</v>
      </c>
      <c r="N68" s="1">
        <v>0</v>
      </c>
      <c r="O68" s="1" t="str">
        <f t="shared" si="12"/>
        <v>Downturn</v>
      </c>
      <c r="P68" s="2">
        <f t="shared" si="13"/>
        <v>36738</v>
      </c>
      <c r="Q68" s="9">
        <f>VLOOKUP(P68,BB!$A$3:$D$6771, 3, 1)*100</f>
        <v>162</v>
      </c>
      <c r="R68" s="1" t="str">
        <f t="shared" si="11"/>
        <v/>
      </c>
      <c r="S68" s="1">
        <f t="shared" si="10"/>
        <v>146</v>
      </c>
      <c r="T68" s="1" t="str">
        <f t="shared" si="9"/>
        <v/>
      </c>
      <c r="AK68" s="1">
        <v>0</v>
      </c>
      <c r="AL68" s="1">
        <v>10</v>
      </c>
      <c r="AM68" s="1">
        <v>0</v>
      </c>
      <c r="AN68" s="1">
        <v>0</v>
      </c>
      <c r="AO68" s="1">
        <f t="shared" si="14"/>
        <v>0</v>
      </c>
      <c r="AP68" s="1">
        <f t="shared" si="15"/>
        <v>700</v>
      </c>
      <c r="AQ68" s="1">
        <f t="shared" si="16"/>
        <v>0</v>
      </c>
      <c r="AR68" s="1">
        <f t="shared" si="17"/>
        <v>0</v>
      </c>
    </row>
    <row r="69" spans="1:44" x14ac:dyDescent="0.2">
      <c r="A69" s="2">
        <v>36739</v>
      </c>
      <c r="B69" s="4">
        <v>0.86699999999999999</v>
      </c>
      <c r="C69" s="4">
        <v>0.97599999999999998</v>
      </c>
      <c r="D69" s="4">
        <v>0.247</v>
      </c>
      <c r="E69" s="4">
        <v>0.95</v>
      </c>
      <c r="F69" s="4">
        <v>0.80900000000000005</v>
      </c>
      <c r="G69" s="4">
        <v>0.74299999999999999</v>
      </c>
      <c r="H69" s="4">
        <v>8.2000000000000003E-2</v>
      </c>
      <c r="I69" s="4">
        <v>0.78500000000000003</v>
      </c>
      <c r="J69" s="4">
        <v>0.31762499999999994</v>
      </c>
      <c r="K69" s="1">
        <v>0</v>
      </c>
      <c r="L69" s="1">
        <v>700</v>
      </c>
      <c r="M69" s="1">
        <v>0</v>
      </c>
      <c r="N69" s="1">
        <v>0</v>
      </c>
      <c r="O69" s="1" t="str">
        <f t="shared" si="12"/>
        <v>Downturn</v>
      </c>
      <c r="P69" s="2">
        <f t="shared" si="13"/>
        <v>36769</v>
      </c>
      <c r="Q69" s="9">
        <f>VLOOKUP(P69,BB!$A$3:$D$6771, 3, 1)*100</f>
        <v>164</v>
      </c>
      <c r="R69" s="1">
        <f t="shared" si="11"/>
        <v>18</v>
      </c>
      <c r="S69" s="1">
        <f t="shared" si="10"/>
        <v>146</v>
      </c>
      <c r="T69" s="1" t="str">
        <f t="shared" si="9"/>
        <v>Downturn</v>
      </c>
      <c r="AK69" s="1">
        <v>0</v>
      </c>
      <c r="AL69" s="1">
        <v>10</v>
      </c>
      <c r="AM69" s="1">
        <v>0</v>
      </c>
      <c r="AN69" s="1">
        <v>0</v>
      </c>
      <c r="AO69" s="1">
        <f t="shared" si="14"/>
        <v>0</v>
      </c>
      <c r="AP69" s="1">
        <f t="shared" si="15"/>
        <v>700</v>
      </c>
      <c r="AQ69" s="1">
        <f t="shared" si="16"/>
        <v>0</v>
      </c>
      <c r="AR69" s="1">
        <f t="shared" si="17"/>
        <v>0</v>
      </c>
    </row>
    <row r="70" spans="1:44" x14ac:dyDescent="0.2">
      <c r="A70" s="2">
        <v>36770</v>
      </c>
      <c r="B70" s="4">
        <v>0.85899999999999999</v>
      </c>
      <c r="C70" s="4">
        <v>0.94299999999999995</v>
      </c>
      <c r="D70" s="4">
        <v>0.29699999999999999</v>
      </c>
      <c r="E70" s="4">
        <v>0.70199999999999996</v>
      </c>
      <c r="F70" s="4">
        <v>0.85099999999999998</v>
      </c>
      <c r="G70" s="4">
        <v>0.66900000000000004</v>
      </c>
      <c r="H70" s="4">
        <v>0.13200000000000001</v>
      </c>
      <c r="I70" s="4">
        <v>0.92500000000000004</v>
      </c>
      <c r="J70" s="4">
        <v>0.3277500000000001</v>
      </c>
      <c r="K70" s="1">
        <v>700</v>
      </c>
      <c r="L70" s="1">
        <v>0</v>
      </c>
      <c r="M70" s="1">
        <v>0</v>
      </c>
      <c r="N70" s="1">
        <v>0</v>
      </c>
      <c r="O70" s="1" t="str">
        <f t="shared" si="12"/>
        <v>Expansion</v>
      </c>
      <c r="P70" s="2">
        <f t="shared" si="13"/>
        <v>36799</v>
      </c>
      <c r="Q70" s="9">
        <f>VLOOKUP(P70,BB!$A$3:$D$6771, 3, 1)*100</f>
        <v>161</v>
      </c>
      <c r="R70" s="1" t="str">
        <f t="shared" si="11"/>
        <v/>
      </c>
      <c r="S70" s="1">
        <f t="shared" si="10"/>
        <v>164</v>
      </c>
      <c r="T70" s="1" t="str">
        <f t="shared" si="9"/>
        <v/>
      </c>
      <c r="AK70" s="1">
        <v>10</v>
      </c>
      <c r="AL70" s="1">
        <v>0</v>
      </c>
      <c r="AM70" s="1">
        <v>0</v>
      </c>
      <c r="AN70" s="1">
        <v>0</v>
      </c>
      <c r="AO70" s="1">
        <f t="shared" si="14"/>
        <v>700</v>
      </c>
      <c r="AP70" s="1">
        <f t="shared" si="15"/>
        <v>0</v>
      </c>
      <c r="AQ70" s="1">
        <f t="shared" si="16"/>
        <v>0</v>
      </c>
      <c r="AR70" s="1">
        <f t="shared" si="17"/>
        <v>0</v>
      </c>
    </row>
    <row r="71" spans="1:44" x14ac:dyDescent="0.2">
      <c r="A71" s="2">
        <v>36800</v>
      </c>
      <c r="B71" s="4">
        <v>0.85099999999999998</v>
      </c>
      <c r="C71" s="4">
        <v>0.93399999999999994</v>
      </c>
      <c r="D71" s="4">
        <v>0.18099999999999999</v>
      </c>
      <c r="E71" s="4">
        <v>0.71</v>
      </c>
      <c r="F71" s="4">
        <v>0.78500000000000003</v>
      </c>
      <c r="G71" s="4">
        <v>0.76</v>
      </c>
      <c r="H71" s="4">
        <v>0.14799999999999999</v>
      </c>
      <c r="I71" s="4">
        <v>0.95</v>
      </c>
      <c r="J71" s="4">
        <v>0.33512500000000001</v>
      </c>
      <c r="K71" s="1">
        <v>700</v>
      </c>
      <c r="L71" s="1">
        <v>0</v>
      </c>
      <c r="M71" s="1">
        <v>0</v>
      </c>
      <c r="N71" s="1">
        <v>0</v>
      </c>
      <c r="O71" s="1" t="str">
        <f t="shared" si="12"/>
        <v>Expansion</v>
      </c>
      <c r="P71" s="2">
        <f t="shared" si="13"/>
        <v>36830</v>
      </c>
      <c r="Q71" s="9">
        <f>VLOOKUP(P71,BB!$A$3:$D$6771, 3, 1)*100</f>
        <v>182</v>
      </c>
      <c r="R71" s="1">
        <f t="shared" si="11"/>
        <v>18</v>
      </c>
      <c r="S71" s="1">
        <f t="shared" si="10"/>
        <v>164</v>
      </c>
      <c r="T71" s="1" t="str">
        <f t="shared" si="9"/>
        <v>Expansion</v>
      </c>
      <c r="AK71" s="1">
        <v>10</v>
      </c>
      <c r="AL71" s="1">
        <v>0</v>
      </c>
      <c r="AM71" s="1">
        <v>0</v>
      </c>
      <c r="AN71" s="1">
        <v>0</v>
      </c>
      <c r="AO71" s="1">
        <f t="shared" si="14"/>
        <v>700</v>
      </c>
      <c r="AP71" s="1">
        <f t="shared" si="15"/>
        <v>0</v>
      </c>
      <c r="AQ71" s="1">
        <f t="shared" si="16"/>
        <v>0</v>
      </c>
      <c r="AR71" s="1">
        <f t="shared" si="17"/>
        <v>0</v>
      </c>
    </row>
    <row r="72" spans="1:44" x14ac:dyDescent="0.2">
      <c r="A72" s="2">
        <v>36831</v>
      </c>
      <c r="B72" s="4">
        <v>0.81799999999999995</v>
      </c>
      <c r="C72" s="4">
        <v>0.92600000000000005</v>
      </c>
      <c r="D72" s="4">
        <v>0.16500000000000001</v>
      </c>
      <c r="E72" s="4">
        <v>0.74299999999999999</v>
      </c>
      <c r="F72" s="4">
        <v>0.752</v>
      </c>
      <c r="G72" s="4">
        <v>0.876</v>
      </c>
      <c r="H72" s="4">
        <v>0.247</v>
      </c>
      <c r="I72" s="4">
        <v>0.61899999999999999</v>
      </c>
      <c r="J72" s="4">
        <v>0.35675000000000001</v>
      </c>
      <c r="K72" s="1">
        <v>0</v>
      </c>
      <c r="L72" s="1">
        <v>700</v>
      </c>
      <c r="M72" s="1">
        <v>0</v>
      </c>
      <c r="N72" s="1">
        <v>0</v>
      </c>
      <c r="O72" s="1" t="str">
        <f t="shared" si="12"/>
        <v>Downturn</v>
      </c>
      <c r="P72" s="2">
        <f t="shared" si="13"/>
        <v>36860</v>
      </c>
      <c r="Q72" s="9">
        <f>VLOOKUP(P72,BB!$A$3:$D$6771, 3, 1)*100</f>
        <v>198</v>
      </c>
      <c r="R72" s="1" t="str">
        <f t="shared" si="11"/>
        <v/>
      </c>
      <c r="S72" s="1">
        <f t="shared" si="10"/>
        <v>182</v>
      </c>
      <c r="T72" s="1" t="str">
        <f t="shared" si="9"/>
        <v/>
      </c>
      <c r="AK72" s="1">
        <v>0</v>
      </c>
      <c r="AL72" s="1">
        <v>10</v>
      </c>
      <c r="AM72" s="1">
        <v>0</v>
      </c>
      <c r="AN72" s="1">
        <v>0</v>
      </c>
      <c r="AO72" s="1">
        <f t="shared" si="14"/>
        <v>0</v>
      </c>
      <c r="AP72" s="1">
        <f t="shared" si="15"/>
        <v>700</v>
      </c>
      <c r="AQ72" s="1">
        <f t="shared" si="16"/>
        <v>0</v>
      </c>
      <c r="AR72" s="1">
        <f t="shared" si="17"/>
        <v>0</v>
      </c>
    </row>
    <row r="73" spans="1:44" x14ac:dyDescent="0.2">
      <c r="A73" s="2">
        <v>36861</v>
      </c>
      <c r="B73" s="4">
        <v>0.84199999999999997</v>
      </c>
      <c r="C73" s="4">
        <v>0.89300000000000002</v>
      </c>
      <c r="D73" s="4">
        <v>4.1000000000000002E-2</v>
      </c>
      <c r="E73" s="4">
        <v>0.59499999999999997</v>
      </c>
      <c r="F73" s="4">
        <v>0.74299999999999999</v>
      </c>
      <c r="G73" s="4">
        <v>0.79300000000000004</v>
      </c>
      <c r="H73" s="4">
        <v>0.314</v>
      </c>
      <c r="I73" s="4">
        <v>0.60299999999999998</v>
      </c>
      <c r="J73" s="4">
        <v>0.39700000000000013</v>
      </c>
      <c r="K73" s="1">
        <v>0</v>
      </c>
      <c r="L73" s="1">
        <v>700</v>
      </c>
      <c r="M73" s="1">
        <v>0</v>
      </c>
      <c r="N73" s="1">
        <v>0</v>
      </c>
      <c r="O73" s="1" t="str">
        <f t="shared" si="12"/>
        <v>Downturn</v>
      </c>
      <c r="P73" s="2">
        <f t="shared" si="13"/>
        <v>36891</v>
      </c>
      <c r="Q73" s="9">
        <f>VLOOKUP(P73,BB!$A$3:$D$6771, 3, 1)*100</f>
        <v>199</v>
      </c>
      <c r="R73" s="1" t="str">
        <f t="shared" si="11"/>
        <v/>
      </c>
      <c r="S73" s="1">
        <f t="shared" si="10"/>
        <v>182</v>
      </c>
      <c r="T73" s="1" t="str">
        <f t="shared" si="9"/>
        <v/>
      </c>
      <c r="AK73" s="1">
        <v>0</v>
      </c>
      <c r="AL73" s="1">
        <v>10</v>
      </c>
      <c r="AM73" s="1">
        <v>0</v>
      </c>
      <c r="AN73" s="1">
        <v>0</v>
      </c>
      <c r="AO73" s="1">
        <f t="shared" si="14"/>
        <v>0</v>
      </c>
      <c r="AP73" s="1">
        <f t="shared" si="15"/>
        <v>700</v>
      </c>
      <c r="AQ73" s="1">
        <f t="shared" si="16"/>
        <v>0</v>
      </c>
      <c r="AR73" s="1">
        <f t="shared" si="17"/>
        <v>0</v>
      </c>
    </row>
    <row r="74" spans="1:44" x14ac:dyDescent="0.2">
      <c r="A74" s="2">
        <v>36892</v>
      </c>
      <c r="B74" s="4">
        <v>0.38</v>
      </c>
      <c r="C74" s="4">
        <v>0.48799999999999999</v>
      </c>
      <c r="D74" s="4">
        <v>2.4E-2</v>
      </c>
      <c r="E74" s="4">
        <v>0.58599999999999997</v>
      </c>
      <c r="F74" s="4">
        <v>0.76800000000000002</v>
      </c>
      <c r="G74" s="4">
        <v>0.46200000000000002</v>
      </c>
      <c r="H74" s="4">
        <v>0.40400000000000003</v>
      </c>
      <c r="I74" s="4">
        <v>0.495</v>
      </c>
      <c r="J74" s="4">
        <v>0.54912499999999997</v>
      </c>
      <c r="K74" s="1">
        <v>0</v>
      </c>
      <c r="L74" s="1">
        <v>700</v>
      </c>
      <c r="M74" s="1">
        <v>0</v>
      </c>
      <c r="N74" s="1">
        <v>0</v>
      </c>
      <c r="O74" s="1" t="str">
        <f t="shared" si="12"/>
        <v>Downturn</v>
      </c>
      <c r="P74" s="2">
        <f t="shared" si="13"/>
        <v>36922</v>
      </c>
      <c r="Q74" s="9">
        <f>VLOOKUP(P74,BB!$A$3:$D$6771, 3, 1)*100</f>
        <v>171</v>
      </c>
      <c r="R74" s="1">
        <f>IF(O74&lt;&gt;O75, Q74-S74, "")</f>
        <v>-11</v>
      </c>
      <c r="S74" s="1">
        <f t="shared" si="10"/>
        <v>182</v>
      </c>
      <c r="T74" s="1" t="str">
        <f t="shared" si="9"/>
        <v>Downturn</v>
      </c>
      <c r="AK74" s="1">
        <v>0</v>
      </c>
      <c r="AL74" s="1">
        <v>10</v>
      </c>
      <c r="AM74" s="1">
        <v>0</v>
      </c>
      <c r="AN74" s="1">
        <v>0</v>
      </c>
      <c r="AO74" s="1">
        <f t="shared" si="14"/>
        <v>0</v>
      </c>
      <c r="AP74" s="1">
        <f t="shared" si="15"/>
        <v>700</v>
      </c>
      <c r="AQ74" s="1">
        <f t="shared" si="16"/>
        <v>0</v>
      </c>
      <c r="AR74" s="1">
        <f t="shared" si="17"/>
        <v>0</v>
      </c>
    </row>
    <row r="75" spans="1:44" x14ac:dyDescent="0.2">
      <c r="A75" s="2">
        <v>36923</v>
      </c>
      <c r="B75" s="4">
        <v>0.42099999999999999</v>
      </c>
      <c r="C75" s="4">
        <v>0.496</v>
      </c>
      <c r="D75" s="4">
        <v>2.4E-2</v>
      </c>
      <c r="E75" s="4">
        <v>0.65200000000000002</v>
      </c>
      <c r="F75" s="4">
        <v>0.752</v>
      </c>
      <c r="G75" s="4">
        <v>0.72699999999999998</v>
      </c>
      <c r="H75" s="4">
        <v>0.59499999999999997</v>
      </c>
      <c r="I75" s="4">
        <v>0.48699999999999999</v>
      </c>
      <c r="J75" s="4">
        <v>0.48075000000000001</v>
      </c>
      <c r="K75" s="1">
        <v>0</v>
      </c>
      <c r="L75" s="1">
        <v>0</v>
      </c>
      <c r="M75" s="1">
        <v>700</v>
      </c>
      <c r="N75" s="1">
        <v>0</v>
      </c>
      <c r="O75" s="1" t="str">
        <f t="shared" si="12"/>
        <v>Repair</v>
      </c>
      <c r="P75" s="2">
        <f t="shared" si="13"/>
        <v>36950</v>
      </c>
      <c r="Q75" s="9">
        <f>VLOOKUP(P75,BB!$A$3:$D$6771, 3, 1)*100</f>
        <v>177</v>
      </c>
      <c r="R75" s="1" t="str">
        <f t="shared" ref="R75:R138" si="18">IF(O75&lt;&gt;O76, Q75-S75, "")</f>
        <v/>
      </c>
      <c r="S75" s="1">
        <f t="shared" si="10"/>
        <v>171</v>
      </c>
      <c r="T75" s="1" t="str">
        <f t="shared" si="9"/>
        <v/>
      </c>
      <c r="AK75" s="1">
        <v>0</v>
      </c>
      <c r="AL75" s="1">
        <v>0</v>
      </c>
      <c r="AM75" s="1">
        <v>10</v>
      </c>
      <c r="AN75" s="1">
        <v>0</v>
      </c>
      <c r="AO75" s="1">
        <f t="shared" si="14"/>
        <v>0</v>
      </c>
      <c r="AP75" s="1">
        <f t="shared" si="15"/>
        <v>0</v>
      </c>
      <c r="AQ75" s="1">
        <f t="shared" si="16"/>
        <v>700</v>
      </c>
      <c r="AR75" s="1">
        <f t="shared" si="17"/>
        <v>0</v>
      </c>
    </row>
    <row r="76" spans="1:44" x14ac:dyDescent="0.2">
      <c r="A76" s="2">
        <v>36951</v>
      </c>
      <c r="B76" s="4">
        <v>0.38800000000000001</v>
      </c>
      <c r="C76" s="4">
        <v>0.36399999999999999</v>
      </c>
      <c r="D76" s="4">
        <v>3.3000000000000002E-2</v>
      </c>
      <c r="E76" s="4">
        <v>0.47899999999999998</v>
      </c>
      <c r="F76" s="4">
        <v>0.73499999999999999</v>
      </c>
      <c r="G76" s="4">
        <v>0.40400000000000003</v>
      </c>
      <c r="H76" s="4">
        <v>0.76</v>
      </c>
      <c r="I76" s="4">
        <v>0.64400000000000002</v>
      </c>
      <c r="J76" s="4">
        <v>0.52412499999999995</v>
      </c>
      <c r="K76" s="1">
        <v>0</v>
      </c>
      <c r="L76" s="1">
        <v>0</v>
      </c>
      <c r="M76" s="1">
        <v>700</v>
      </c>
      <c r="N76" s="1">
        <v>0</v>
      </c>
      <c r="O76" s="1" t="str">
        <f t="shared" si="12"/>
        <v>Repair</v>
      </c>
      <c r="P76" s="2">
        <f t="shared" si="13"/>
        <v>36981</v>
      </c>
      <c r="Q76" s="9">
        <f>VLOOKUP(P76,BB!$A$3:$D$6771, 3, 1)*100</f>
        <v>178</v>
      </c>
      <c r="R76" s="1" t="str">
        <f t="shared" si="18"/>
        <v/>
      </c>
      <c r="S76" s="1">
        <f t="shared" si="10"/>
        <v>171</v>
      </c>
      <c r="T76" s="1" t="str">
        <f t="shared" si="9"/>
        <v/>
      </c>
      <c r="AK76" s="1">
        <v>0</v>
      </c>
      <c r="AL76" s="1">
        <v>0</v>
      </c>
      <c r="AM76" s="1">
        <v>10</v>
      </c>
      <c r="AN76" s="1">
        <v>0</v>
      </c>
      <c r="AO76" s="1">
        <f t="shared" si="14"/>
        <v>0</v>
      </c>
      <c r="AP76" s="1">
        <f t="shared" si="15"/>
        <v>0</v>
      </c>
      <c r="AQ76" s="1">
        <f t="shared" si="16"/>
        <v>700</v>
      </c>
      <c r="AR76" s="1">
        <f t="shared" si="17"/>
        <v>0</v>
      </c>
    </row>
    <row r="77" spans="1:44" x14ac:dyDescent="0.2">
      <c r="A77" s="2">
        <v>36982</v>
      </c>
      <c r="B77" s="4">
        <v>0.26400000000000001</v>
      </c>
      <c r="C77" s="4">
        <v>0.33099999999999996</v>
      </c>
      <c r="D77" s="4">
        <v>3.3000000000000002E-2</v>
      </c>
      <c r="E77" s="4">
        <v>0.35499999999999998</v>
      </c>
      <c r="F77" s="4">
        <v>0.85099999999999998</v>
      </c>
      <c r="G77" s="4">
        <v>0.34699999999999998</v>
      </c>
      <c r="H77" s="4">
        <v>0.47099999999999997</v>
      </c>
      <c r="I77" s="4">
        <v>0.58599999999999997</v>
      </c>
      <c r="J77" s="4">
        <v>0.59525000000000006</v>
      </c>
      <c r="K77" s="1">
        <v>0</v>
      </c>
      <c r="L77" s="1">
        <v>0</v>
      </c>
      <c r="M77" s="1">
        <v>700</v>
      </c>
      <c r="N77" s="1">
        <v>0</v>
      </c>
      <c r="O77" s="1" t="str">
        <f t="shared" si="12"/>
        <v>Repair</v>
      </c>
      <c r="P77" s="2">
        <f t="shared" si="13"/>
        <v>37011</v>
      </c>
      <c r="Q77" s="9">
        <f>VLOOKUP(P77,BB!$A$3:$D$6771, 3, 1)*100</f>
        <v>164</v>
      </c>
      <c r="R77" s="1" t="str">
        <f t="shared" si="18"/>
        <v/>
      </c>
      <c r="S77" s="1">
        <f t="shared" si="10"/>
        <v>171</v>
      </c>
      <c r="T77" s="1" t="str">
        <f t="shared" si="9"/>
        <v/>
      </c>
      <c r="AK77" s="1">
        <v>0</v>
      </c>
      <c r="AL77" s="1">
        <v>0</v>
      </c>
      <c r="AM77" s="1">
        <v>10</v>
      </c>
      <c r="AN77" s="1">
        <v>0</v>
      </c>
      <c r="AO77" s="1">
        <f t="shared" si="14"/>
        <v>0</v>
      </c>
      <c r="AP77" s="1">
        <f t="shared" si="15"/>
        <v>0</v>
      </c>
      <c r="AQ77" s="1">
        <f t="shared" si="16"/>
        <v>700</v>
      </c>
      <c r="AR77" s="1">
        <f t="shared" si="17"/>
        <v>0</v>
      </c>
    </row>
    <row r="78" spans="1:44" x14ac:dyDescent="0.2">
      <c r="A78" s="2">
        <v>37012</v>
      </c>
      <c r="B78" s="4">
        <v>0.20599999999999999</v>
      </c>
      <c r="C78" s="4">
        <v>0.29800000000000004</v>
      </c>
      <c r="D78" s="4">
        <v>2.4E-2</v>
      </c>
      <c r="E78" s="4">
        <v>0.33800000000000002</v>
      </c>
      <c r="F78" s="4">
        <v>0.876</v>
      </c>
      <c r="G78" s="4">
        <v>0.28899999999999998</v>
      </c>
      <c r="H78" s="4">
        <v>0.48699999999999999</v>
      </c>
      <c r="I78" s="4">
        <v>0.74299999999999999</v>
      </c>
      <c r="J78" s="4">
        <v>0.59237499999999998</v>
      </c>
      <c r="K78" s="1">
        <v>0</v>
      </c>
      <c r="L78" s="1">
        <v>0</v>
      </c>
      <c r="M78" s="1">
        <v>700</v>
      </c>
      <c r="N78" s="1">
        <v>0</v>
      </c>
      <c r="O78" s="1" t="str">
        <f t="shared" si="12"/>
        <v>Repair</v>
      </c>
      <c r="P78" s="2">
        <f t="shared" si="13"/>
        <v>37042</v>
      </c>
      <c r="Q78" s="9">
        <f>VLOOKUP(P78,BB!$A$3:$D$6771, 3, 1)*100</f>
        <v>156</v>
      </c>
      <c r="R78" s="1" t="str">
        <f t="shared" si="18"/>
        <v/>
      </c>
      <c r="S78" s="1">
        <f t="shared" si="10"/>
        <v>171</v>
      </c>
      <c r="T78" s="1" t="str">
        <f t="shared" si="9"/>
        <v/>
      </c>
      <c r="AK78" s="1">
        <v>0</v>
      </c>
      <c r="AL78" s="1">
        <v>0</v>
      </c>
      <c r="AM78" s="1">
        <v>10</v>
      </c>
      <c r="AN78" s="1">
        <v>0</v>
      </c>
      <c r="AO78" s="1">
        <f t="shared" si="14"/>
        <v>0</v>
      </c>
      <c r="AP78" s="1">
        <f t="shared" si="15"/>
        <v>0</v>
      </c>
      <c r="AQ78" s="1">
        <f t="shared" si="16"/>
        <v>700</v>
      </c>
      <c r="AR78" s="1">
        <f t="shared" si="17"/>
        <v>0</v>
      </c>
    </row>
    <row r="79" spans="1:44" x14ac:dyDescent="0.2">
      <c r="A79" s="2">
        <v>37043</v>
      </c>
      <c r="B79" s="4">
        <v>0.20599999999999999</v>
      </c>
      <c r="C79" s="4">
        <v>0.29800000000000004</v>
      </c>
      <c r="D79" s="4">
        <v>5.7000000000000002E-2</v>
      </c>
      <c r="E79" s="4">
        <v>9.9000000000000005E-2</v>
      </c>
      <c r="F79" s="4">
        <v>0.82599999999999996</v>
      </c>
      <c r="G79" s="4">
        <v>0.28899999999999998</v>
      </c>
      <c r="H79" s="4">
        <v>0.52</v>
      </c>
      <c r="I79" s="4">
        <v>0.35499999999999998</v>
      </c>
      <c r="J79" s="4">
        <v>0.66874999999999996</v>
      </c>
      <c r="K79" s="1">
        <v>0</v>
      </c>
      <c r="L79" s="1">
        <v>0</v>
      </c>
      <c r="M79" s="1">
        <v>700</v>
      </c>
      <c r="N79" s="1">
        <v>0</v>
      </c>
      <c r="O79" s="1" t="str">
        <f t="shared" si="12"/>
        <v>Repair</v>
      </c>
      <c r="P79" s="2">
        <f t="shared" si="13"/>
        <v>37072</v>
      </c>
      <c r="Q79" s="9">
        <f>VLOOKUP(P79,BB!$A$3:$D$6771, 3, 1)*100</f>
        <v>156</v>
      </c>
      <c r="R79" s="1" t="str">
        <f t="shared" si="18"/>
        <v/>
      </c>
      <c r="S79" s="1">
        <f t="shared" si="10"/>
        <v>171</v>
      </c>
      <c r="T79" s="1" t="str">
        <f t="shared" si="9"/>
        <v/>
      </c>
      <c r="AK79" s="1">
        <v>0</v>
      </c>
      <c r="AL79" s="1">
        <v>0</v>
      </c>
      <c r="AM79" s="1">
        <v>10</v>
      </c>
      <c r="AN79" s="1">
        <v>0</v>
      </c>
      <c r="AO79" s="1">
        <f t="shared" si="14"/>
        <v>0</v>
      </c>
      <c r="AP79" s="1">
        <f t="shared" si="15"/>
        <v>0</v>
      </c>
      <c r="AQ79" s="1">
        <f t="shared" si="16"/>
        <v>700</v>
      </c>
      <c r="AR79" s="1">
        <f t="shared" si="17"/>
        <v>0</v>
      </c>
    </row>
    <row r="80" spans="1:44" x14ac:dyDescent="0.2">
      <c r="A80" s="2">
        <v>37073</v>
      </c>
      <c r="B80" s="4">
        <v>0.25600000000000001</v>
      </c>
      <c r="C80" s="4">
        <v>0.28100000000000003</v>
      </c>
      <c r="D80" s="4">
        <v>4.9000000000000002E-2</v>
      </c>
      <c r="E80" s="4">
        <v>0.115</v>
      </c>
      <c r="F80" s="4">
        <v>0.98299999999999998</v>
      </c>
      <c r="G80" s="4">
        <v>0.14799999999999999</v>
      </c>
      <c r="H80" s="4">
        <v>0.65200000000000002</v>
      </c>
      <c r="I80" s="4">
        <v>0.76800000000000002</v>
      </c>
      <c r="J80" s="4">
        <v>0.59350000000000003</v>
      </c>
      <c r="K80" s="1">
        <v>0</v>
      </c>
      <c r="L80" s="1">
        <v>0</v>
      </c>
      <c r="M80" s="1">
        <v>700</v>
      </c>
      <c r="N80" s="1">
        <v>0</v>
      </c>
      <c r="O80" s="1" t="str">
        <f t="shared" si="12"/>
        <v>Repair</v>
      </c>
      <c r="P80" s="2">
        <f t="shared" si="13"/>
        <v>37103</v>
      </c>
      <c r="Q80" s="9">
        <f>VLOOKUP(P80,BB!$A$3:$D$6771, 3, 1)*100</f>
        <v>154</v>
      </c>
      <c r="R80" s="1" t="str">
        <f t="shared" si="18"/>
        <v/>
      </c>
      <c r="S80" s="1">
        <f t="shared" si="10"/>
        <v>171</v>
      </c>
      <c r="T80" s="1" t="str">
        <f t="shared" si="9"/>
        <v/>
      </c>
      <c r="AK80" s="1">
        <v>0</v>
      </c>
      <c r="AL80" s="1">
        <v>0</v>
      </c>
      <c r="AM80" s="1">
        <v>10</v>
      </c>
      <c r="AN80" s="1">
        <v>0</v>
      </c>
      <c r="AO80" s="1">
        <f t="shared" si="14"/>
        <v>0</v>
      </c>
      <c r="AP80" s="1">
        <f t="shared" si="15"/>
        <v>0</v>
      </c>
      <c r="AQ80" s="1">
        <f t="shared" si="16"/>
        <v>700</v>
      </c>
      <c r="AR80" s="1">
        <f t="shared" si="17"/>
        <v>0</v>
      </c>
    </row>
    <row r="81" spans="1:44" x14ac:dyDescent="0.2">
      <c r="A81" s="2">
        <v>37104</v>
      </c>
      <c r="B81" s="4">
        <v>0.214</v>
      </c>
      <c r="C81" s="4">
        <v>0.28100000000000003</v>
      </c>
      <c r="D81" s="4">
        <v>0.19</v>
      </c>
      <c r="E81" s="4">
        <v>0.14799999999999999</v>
      </c>
      <c r="F81" s="4">
        <v>0.97499999999999998</v>
      </c>
      <c r="G81" s="4">
        <v>0.123</v>
      </c>
      <c r="H81" s="4">
        <v>0.81799999999999995</v>
      </c>
      <c r="I81" s="4">
        <v>0.56100000000000005</v>
      </c>
      <c r="J81" s="4">
        <v>0.58624999999999994</v>
      </c>
      <c r="K81" s="1">
        <v>0</v>
      </c>
      <c r="L81" s="1">
        <v>0</v>
      </c>
      <c r="M81" s="1">
        <v>700</v>
      </c>
      <c r="N81" s="1">
        <v>0</v>
      </c>
      <c r="O81" s="1" t="str">
        <f t="shared" si="12"/>
        <v>Repair</v>
      </c>
      <c r="P81" s="2">
        <f t="shared" si="13"/>
        <v>37134</v>
      </c>
      <c r="Q81" s="9">
        <f>VLOOKUP(P81,BB!$A$3:$D$6771, 3, 1)*100</f>
        <v>156</v>
      </c>
      <c r="R81" s="1" t="str">
        <f t="shared" si="18"/>
        <v/>
      </c>
      <c r="S81" s="1">
        <f t="shared" si="10"/>
        <v>171</v>
      </c>
      <c r="T81" s="1" t="str">
        <f t="shared" si="9"/>
        <v/>
      </c>
      <c r="AK81" s="1">
        <v>0</v>
      </c>
      <c r="AL81" s="1">
        <v>0</v>
      </c>
      <c r="AM81" s="1">
        <v>10</v>
      </c>
      <c r="AN81" s="1">
        <v>0</v>
      </c>
      <c r="AO81" s="1">
        <f t="shared" si="14"/>
        <v>0</v>
      </c>
      <c r="AP81" s="1">
        <f t="shared" si="15"/>
        <v>0</v>
      </c>
      <c r="AQ81" s="1">
        <f t="shared" si="16"/>
        <v>700</v>
      </c>
      <c r="AR81" s="1">
        <f t="shared" si="17"/>
        <v>0</v>
      </c>
    </row>
    <row r="82" spans="1:44" x14ac:dyDescent="0.2">
      <c r="A82" s="2">
        <v>37135</v>
      </c>
      <c r="B82" s="4">
        <v>0.27200000000000002</v>
      </c>
      <c r="C82" s="4">
        <v>0.18200000000000005</v>
      </c>
      <c r="D82" s="4">
        <v>0.16500000000000001</v>
      </c>
      <c r="E82" s="4">
        <v>0.09</v>
      </c>
      <c r="F82" s="4">
        <v>0.96599999999999997</v>
      </c>
      <c r="G82" s="4">
        <v>0.107</v>
      </c>
      <c r="H82" s="4">
        <v>0.90900000000000003</v>
      </c>
      <c r="I82" s="4">
        <v>0.58599999999999997</v>
      </c>
      <c r="J82" s="4">
        <v>0.59037500000000009</v>
      </c>
      <c r="K82" s="1">
        <v>0</v>
      </c>
      <c r="L82" s="1">
        <v>0</v>
      </c>
      <c r="M82" s="1">
        <v>700</v>
      </c>
      <c r="N82" s="1">
        <v>0</v>
      </c>
      <c r="O82" s="1" t="str">
        <f t="shared" si="12"/>
        <v>Repair</v>
      </c>
      <c r="P82" s="2">
        <f t="shared" si="13"/>
        <v>37164</v>
      </c>
      <c r="Q82" s="9">
        <f>VLOOKUP(P82,BB!$A$3:$D$6771, 3, 1)*100</f>
        <v>195</v>
      </c>
      <c r="R82" s="1" t="str">
        <f t="shared" si="18"/>
        <v/>
      </c>
      <c r="S82" s="1">
        <f t="shared" si="10"/>
        <v>171</v>
      </c>
      <c r="T82" s="1" t="str">
        <f t="shared" si="9"/>
        <v/>
      </c>
      <c r="AK82" s="1">
        <v>0</v>
      </c>
      <c r="AL82" s="1">
        <v>0</v>
      </c>
      <c r="AM82" s="1">
        <v>10</v>
      </c>
      <c r="AN82" s="1">
        <v>0</v>
      </c>
      <c r="AO82" s="1">
        <f t="shared" si="14"/>
        <v>0</v>
      </c>
      <c r="AP82" s="1">
        <f t="shared" si="15"/>
        <v>0</v>
      </c>
      <c r="AQ82" s="1">
        <f t="shared" si="16"/>
        <v>700</v>
      </c>
      <c r="AR82" s="1">
        <f t="shared" si="17"/>
        <v>0</v>
      </c>
    </row>
    <row r="83" spans="1:44" x14ac:dyDescent="0.2">
      <c r="A83" s="2">
        <v>37165</v>
      </c>
      <c r="B83" s="4">
        <v>0.16500000000000001</v>
      </c>
      <c r="C83" s="4">
        <v>0.16600000000000004</v>
      </c>
      <c r="D83" s="4">
        <v>8.0000000000000002E-3</v>
      </c>
      <c r="E83" s="4">
        <v>0.157</v>
      </c>
      <c r="F83" s="4">
        <v>0.99099999999999999</v>
      </c>
      <c r="G83" s="4">
        <v>6.6000000000000003E-2</v>
      </c>
      <c r="H83" s="4">
        <v>0.89200000000000002</v>
      </c>
      <c r="I83" s="4">
        <v>0.33</v>
      </c>
      <c r="J83" s="4">
        <v>0.65312499999999996</v>
      </c>
      <c r="K83" s="1">
        <v>0</v>
      </c>
      <c r="L83" s="1">
        <v>0</v>
      </c>
      <c r="M83" s="1">
        <v>700</v>
      </c>
      <c r="N83" s="1">
        <v>0</v>
      </c>
      <c r="O83" s="1" t="str">
        <f t="shared" si="12"/>
        <v>Repair</v>
      </c>
      <c r="P83" s="2">
        <f t="shared" si="13"/>
        <v>37195</v>
      </c>
      <c r="Q83" s="9">
        <f>VLOOKUP(P83,BB!$A$3:$D$6771, 3, 1)*100</f>
        <v>200.99999999999997</v>
      </c>
      <c r="R83" s="1" t="str">
        <f t="shared" si="18"/>
        <v/>
      </c>
      <c r="S83" s="1">
        <f t="shared" si="10"/>
        <v>171</v>
      </c>
      <c r="T83" s="1" t="str">
        <f t="shared" si="9"/>
        <v/>
      </c>
      <c r="AK83" s="1">
        <v>0</v>
      </c>
      <c r="AL83" s="1">
        <v>0</v>
      </c>
      <c r="AM83" s="1">
        <v>10</v>
      </c>
      <c r="AN83" s="1">
        <v>0</v>
      </c>
      <c r="AO83" s="1">
        <f t="shared" si="14"/>
        <v>0</v>
      </c>
      <c r="AP83" s="1">
        <f t="shared" si="15"/>
        <v>0</v>
      </c>
      <c r="AQ83" s="1">
        <f t="shared" si="16"/>
        <v>700</v>
      </c>
      <c r="AR83" s="1">
        <f t="shared" si="17"/>
        <v>0</v>
      </c>
    </row>
    <row r="84" spans="1:44" x14ac:dyDescent="0.2">
      <c r="A84" s="2">
        <v>37196</v>
      </c>
      <c r="B84" s="4">
        <v>0.14000000000000001</v>
      </c>
      <c r="C84" s="4">
        <v>0.14900000000000002</v>
      </c>
      <c r="D84" s="4">
        <v>7.3999999999999996E-2</v>
      </c>
      <c r="E84" s="4">
        <v>6.6000000000000003E-2</v>
      </c>
      <c r="F84" s="4">
        <v>0.99099999999999999</v>
      </c>
      <c r="G84" s="4">
        <v>4.1000000000000002E-2</v>
      </c>
      <c r="H84" s="4">
        <v>0.64400000000000002</v>
      </c>
      <c r="I84" s="4">
        <v>0.61899999999999999</v>
      </c>
      <c r="J84" s="4">
        <v>0.65949999999999998</v>
      </c>
      <c r="K84" s="1">
        <v>0</v>
      </c>
      <c r="L84" s="1">
        <v>0</v>
      </c>
      <c r="M84" s="1">
        <v>700</v>
      </c>
      <c r="N84" s="1">
        <v>0</v>
      </c>
      <c r="O84" s="1" t="str">
        <f t="shared" si="12"/>
        <v>Repair</v>
      </c>
      <c r="P84" s="2">
        <f t="shared" si="13"/>
        <v>37225</v>
      </c>
      <c r="Q84" s="9">
        <f>VLOOKUP(P84,BB!$A$3:$D$6771, 3, 1)*100</f>
        <v>178</v>
      </c>
      <c r="R84" s="1" t="str">
        <f t="shared" si="18"/>
        <v/>
      </c>
      <c r="S84" s="1">
        <f t="shared" si="10"/>
        <v>171</v>
      </c>
      <c r="T84" s="1" t="str">
        <f t="shared" si="9"/>
        <v/>
      </c>
      <c r="AK84" s="1">
        <v>0</v>
      </c>
      <c r="AL84" s="1">
        <v>0</v>
      </c>
      <c r="AM84" s="1">
        <v>10</v>
      </c>
      <c r="AN84" s="1">
        <v>0</v>
      </c>
      <c r="AO84" s="1">
        <f t="shared" si="14"/>
        <v>0</v>
      </c>
      <c r="AP84" s="1">
        <f t="shared" si="15"/>
        <v>0</v>
      </c>
      <c r="AQ84" s="1">
        <f t="shared" si="16"/>
        <v>700</v>
      </c>
      <c r="AR84" s="1">
        <f t="shared" si="17"/>
        <v>0</v>
      </c>
    </row>
    <row r="85" spans="1:44" x14ac:dyDescent="0.2">
      <c r="A85" s="2">
        <v>37226</v>
      </c>
      <c r="B85" s="4">
        <v>0.14000000000000001</v>
      </c>
      <c r="C85" s="4">
        <v>0.124</v>
      </c>
      <c r="D85" s="4">
        <v>0.223</v>
      </c>
      <c r="E85" s="4">
        <v>2.4E-2</v>
      </c>
      <c r="F85" s="4">
        <v>0.99099999999999999</v>
      </c>
      <c r="G85" s="4">
        <v>8.0000000000000002E-3</v>
      </c>
      <c r="H85" s="4">
        <v>0.35499999999999998</v>
      </c>
      <c r="I85" s="4">
        <v>0.55300000000000005</v>
      </c>
      <c r="J85" s="4">
        <v>0.69774999999999998</v>
      </c>
      <c r="K85" s="1">
        <v>0</v>
      </c>
      <c r="L85" s="1">
        <v>0</v>
      </c>
      <c r="M85" s="1">
        <v>700</v>
      </c>
      <c r="N85" s="1">
        <v>0</v>
      </c>
      <c r="O85" s="1" t="str">
        <f t="shared" si="12"/>
        <v>Repair</v>
      </c>
      <c r="P85" s="2">
        <f t="shared" si="13"/>
        <v>37256</v>
      </c>
      <c r="Q85" s="9">
        <f>VLOOKUP(P85,BB!$A$3:$D$6771, 3, 1)*100</f>
        <v>174</v>
      </c>
      <c r="R85" s="1" t="str">
        <f t="shared" si="18"/>
        <v/>
      </c>
      <c r="S85" s="1">
        <f t="shared" si="10"/>
        <v>171</v>
      </c>
      <c r="T85" s="1" t="str">
        <f t="shared" si="9"/>
        <v/>
      </c>
      <c r="AK85" s="1">
        <v>0</v>
      </c>
      <c r="AL85" s="1">
        <v>0</v>
      </c>
      <c r="AM85" s="1">
        <v>10</v>
      </c>
      <c r="AN85" s="1">
        <v>0</v>
      </c>
      <c r="AO85" s="1">
        <f t="shared" si="14"/>
        <v>0</v>
      </c>
      <c r="AP85" s="1">
        <f t="shared" si="15"/>
        <v>0</v>
      </c>
      <c r="AQ85" s="1">
        <f t="shared" si="16"/>
        <v>700</v>
      </c>
      <c r="AR85" s="1">
        <f t="shared" si="17"/>
        <v>0</v>
      </c>
    </row>
    <row r="86" spans="1:44" x14ac:dyDescent="0.2">
      <c r="A86" s="2">
        <v>37257</v>
      </c>
      <c r="B86" s="4">
        <v>0.19800000000000001</v>
      </c>
      <c r="C86" s="4">
        <v>0.15800000000000003</v>
      </c>
      <c r="D86" s="4">
        <v>0.33</v>
      </c>
      <c r="E86" s="4">
        <v>2.4E-2</v>
      </c>
      <c r="F86" s="4">
        <v>0.99099999999999999</v>
      </c>
      <c r="G86" s="4">
        <v>3.3000000000000002E-2</v>
      </c>
      <c r="H86" s="4">
        <v>0.35499999999999998</v>
      </c>
      <c r="I86" s="4">
        <v>0.19800000000000001</v>
      </c>
      <c r="J86" s="4">
        <v>0.71412500000000001</v>
      </c>
      <c r="K86" s="1">
        <v>0</v>
      </c>
      <c r="L86" s="1">
        <v>0</v>
      </c>
      <c r="M86" s="1">
        <v>700</v>
      </c>
      <c r="N86" s="1">
        <v>0</v>
      </c>
      <c r="O86" s="1" t="str">
        <f t="shared" si="12"/>
        <v>Repair</v>
      </c>
      <c r="P86" s="2">
        <f t="shared" si="13"/>
        <v>37287</v>
      </c>
      <c r="Q86" s="9">
        <f>VLOOKUP(P86,BB!$A$3:$D$6771, 3, 1)*100</f>
        <v>172</v>
      </c>
      <c r="R86" s="1" t="str">
        <f t="shared" si="18"/>
        <v/>
      </c>
      <c r="S86" s="1">
        <f t="shared" si="10"/>
        <v>171</v>
      </c>
      <c r="T86" s="1" t="str">
        <f t="shared" si="9"/>
        <v/>
      </c>
      <c r="AK86" s="1">
        <v>0</v>
      </c>
      <c r="AL86" s="1">
        <v>0</v>
      </c>
      <c r="AM86" s="1">
        <v>10</v>
      </c>
      <c r="AN86" s="1">
        <v>0</v>
      </c>
      <c r="AO86" s="1">
        <f t="shared" si="14"/>
        <v>0</v>
      </c>
      <c r="AP86" s="1">
        <f t="shared" si="15"/>
        <v>0</v>
      </c>
      <c r="AQ86" s="1">
        <f t="shared" si="16"/>
        <v>700</v>
      </c>
      <c r="AR86" s="1">
        <f t="shared" si="17"/>
        <v>0</v>
      </c>
    </row>
    <row r="87" spans="1:44" x14ac:dyDescent="0.2">
      <c r="A87" s="2">
        <v>37288</v>
      </c>
      <c r="B87" s="4">
        <v>0.19800000000000001</v>
      </c>
      <c r="C87" s="4">
        <v>0.15800000000000003</v>
      </c>
      <c r="D87" s="4">
        <v>0.69399999999999995</v>
      </c>
      <c r="E87" s="4">
        <v>3.3000000000000002E-2</v>
      </c>
      <c r="F87" s="4">
        <v>0.99099999999999999</v>
      </c>
      <c r="G87" s="4">
        <v>2.4E-2</v>
      </c>
      <c r="H87" s="4">
        <v>0.45400000000000001</v>
      </c>
      <c r="I87" s="4">
        <v>0.29699999999999999</v>
      </c>
      <c r="J87" s="4">
        <v>0.64387499999999998</v>
      </c>
      <c r="K87" s="1">
        <v>0</v>
      </c>
      <c r="L87" s="1">
        <v>0</v>
      </c>
      <c r="M87" s="1">
        <v>700</v>
      </c>
      <c r="N87" s="1">
        <v>0</v>
      </c>
      <c r="O87" s="1" t="str">
        <f t="shared" si="12"/>
        <v>Repair</v>
      </c>
      <c r="P87" s="2">
        <f t="shared" si="13"/>
        <v>37315</v>
      </c>
      <c r="Q87" s="9">
        <f>VLOOKUP(P87,BB!$A$3:$D$6771, 3, 1)*100</f>
        <v>179</v>
      </c>
      <c r="R87" s="1" t="str">
        <f t="shared" si="18"/>
        <v/>
      </c>
      <c r="S87" s="1">
        <f t="shared" si="10"/>
        <v>171</v>
      </c>
      <c r="T87" s="1" t="str">
        <f t="shared" si="9"/>
        <v/>
      </c>
      <c r="AK87" s="1">
        <v>0</v>
      </c>
      <c r="AL87" s="1">
        <v>0</v>
      </c>
      <c r="AM87" s="1">
        <v>10</v>
      </c>
      <c r="AN87" s="1">
        <v>0</v>
      </c>
      <c r="AO87" s="1">
        <f t="shared" si="14"/>
        <v>0</v>
      </c>
      <c r="AP87" s="1">
        <f t="shared" si="15"/>
        <v>0</v>
      </c>
      <c r="AQ87" s="1">
        <f t="shared" si="16"/>
        <v>700</v>
      </c>
      <c r="AR87" s="1">
        <f t="shared" si="17"/>
        <v>0</v>
      </c>
    </row>
    <row r="88" spans="1:44" x14ac:dyDescent="0.2">
      <c r="A88" s="2">
        <v>37316</v>
      </c>
      <c r="B88" s="4">
        <v>0.17299999999999999</v>
      </c>
      <c r="C88" s="4">
        <v>0.18200000000000005</v>
      </c>
      <c r="D88" s="4">
        <v>0.76</v>
      </c>
      <c r="E88" s="4">
        <v>0.09</v>
      </c>
      <c r="F88" s="4">
        <v>0.99099999999999999</v>
      </c>
      <c r="G88" s="4">
        <v>1.6E-2</v>
      </c>
      <c r="H88" s="4">
        <v>0.23899999999999999</v>
      </c>
      <c r="I88" s="4">
        <v>0.19</v>
      </c>
      <c r="J88" s="4">
        <v>0.669875</v>
      </c>
      <c r="K88" s="1">
        <v>0</v>
      </c>
      <c r="L88" s="1">
        <v>0</v>
      </c>
      <c r="M88" s="1">
        <v>700</v>
      </c>
      <c r="N88" s="1">
        <v>0</v>
      </c>
      <c r="O88" s="1" t="str">
        <f t="shared" si="12"/>
        <v>Repair</v>
      </c>
      <c r="P88" s="2">
        <f t="shared" si="13"/>
        <v>37346</v>
      </c>
      <c r="Q88" s="9">
        <f>VLOOKUP(P88,BB!$A$3:$D$6771, 3, 1)*100</f>
        <v>169</v>
      </c>
      <c r="R88" s="1" t="str">
        <f t="shared" si="18"/>
        <v/>
      </c>
      <c r="S88" s="1">
        <f t="shared" si="10"/>
        <v>171</v>
      </c>
      <c r="T88" s="1" t="str">
        <f t="shared" si="9"/>
        <v/>
      </c>
      <c r="AK88" s="1">
        <v>0</v>
      </c>
      <c r="AL88" s="1">
        <v>0</v>
      </c>
      <c r="AM88" s="1">
        <v>10</v>
      </c>
      <c r="AN88" s="1">
        <v>0</v>
      </c>
      <c r="AO88" s="1">
        <f t="shared" si="14"/>
        <v>0</v>
      </c>
      <c r="AP88" s="1">
        <f t="shared" si="15"/>
        <v>0</v>
      </c>
      <c r="AQ88" s="1">
        <f t="shared" si="16"/>
        <v>700</v>
      </c>
      <c r="AR88" s="1">
        <f t="shared" si="17"/>
        <v>0</v>
      </c>
    </row>
    <row r="89" spans="1:44" x14ac:dyDescent="0.2">
      <c r="A89" s="2">
        <v>37347</v>
      </c>
      <c r="B89" s="4">
        <v>0.115</v>
      </c>
      <c r="C89" s="4">
        <v>0.14100000000000001</v>
      </c>
      <c r="D89" s="4">
        <v>0.61899999999999999</v>
      </c>
      <c r="E89" s="4">
        <v>0.14799999999999999</v>
      </c>
      <c r="F89" s="4">
        <v>0.99099999999999999</v>
      </c>
      <c r="G89" s="4">
        <v>2.4E-2</v>
      </c>
      <c r="H89" s="4">
        <v>0.33</v>
      </c>
      <c r="I89" s="4">
        <v>0.29699999999999999</v>
      </c>
      <c r="J89" s="4">
        <v>0.666875</v>
      </c>
      <c r="K89" s="1">
        <v>0</v>
      </c>
      <c r="L89" s="1">
        <v>0</v>
      </c>
      <c r="M89" s="1">
        <v>700</v>
      </c>
      <c r="N89" s="1">
        <v>0</v>
      </c>
      <c r="O89" s="1" t="str">
        <f t="shared" si="12"/>
        <v>Repair</v>
      </c>
      <c r="P89" s="2">
        <f t="shared" si="13"/>
        <v>37376</v>
      </c>
      <c r="Q89" s="9">
        <f>VLOOKUP(P89,BB!$A$3:$D$6771, 3, 1)*100</f>
        <v>187</v>
      </c>
      <c r="R89" s="1" t="str">
        <f t="shared" si="18"/>
        <v/>
      </c>
      <c r="S89" s="1">
        <f t="shared" si="10"/>
        <v>171</v>
      </c>
      <c r="T89" s="1" t="str">
        <f t="shared" si="9"/>
        <v/>
      </c>
      <c r="AK89" s="1">
        <v>0</v>
      </c>
      <c r="AL89" s="1">
        <v>0</v>
      </c>
      <c r="AM89" s="1">
        <v>10</v>
      </c>
      <c r="AN89" s="1">
        <v>0</v>
      </c>
      <c r="AO89" s="1">
        <f t="shared" si="14"/>
        <v>0</v>
      </c>
      <c r="AP89" s="1">
        <f t="shared" si="15"/>
        <v>0</v>
      </c>
      <c r="AQ89" s="1">
        <f t="shared" si="16"/>
        <v>700</v>
      </c>
      <c r="AR89" s="1">
        <f t="shared" si="17"/>
        <v>0</v>
      </c>
    </row>
    <row r="90" spans="1:44" x14ac:dyDescent="0.2">
      <c r="A90" s="2">
        <v>37377</v>
      </c>
      <c r="B90" s="4">
        <v>0.17299999999999999</v>
      </c>
      <c r="C90" s="4">
        <v>0.14100000000000001</v>
      </c>
      <c r="D90" s="4">
        <v>0.77600000000000002</v>
      </c>
      <c r="E90" s="4">
        <v>0.19</v>
      </c>
      <c r="F90" s="4">
        <v>0.99099999999999999</v>
      </c>
      <c r="G90" s="4">
        <v>2.4E-2</v>
      </c>
      <c r="H90" s="4">
        <v>0.57799999999999996</v>
      </c>
      <c r="I90" s="4">
        <v>0.314</v>
      </c>
      <c r="J90" s="4">
        <v>0.60162500000000008</v>
      </c>
      <c r="K90" s="1">
        <v>0</v>
      </c>
      <c r="L90" s="1">
        <v>0</v>
      </c>
      <c r="M90" s="1">
        <v>700</v>
      </c>
      <c r="N90" s="1">
        <v>0</v>
      </c>
      <c r="O90" s="1" t="str">
        <f t="shared" si="12"/>
        <v>Repair</v>
      </c>
      <c r="P90" s="2">
        <f t="shared" si="13"/>
        <v>37407</v>
      </c>
      <c r="Q90" s="9">
        <f>VLOOKUP(P90,BB!$A$3:$D$6771, 3, 1)*100</f>
        <v>161</v>
      </c>
      <c r="R90" s="1">
        <f t="shared" si="18"/>
        <v>-10</v>
      </c>
      <c r="S90" s="1">
        <f t="shared" si="10"/>
        <v>171</v>
      </c>
      <c r="T90" s="1" t="str">
        <f t="shared" si="9"/>
        <v>Repair</v>
      </c>
      <c r="AK90" s="1">
        <v>0</v>
      </c>
      <c r="AL90" s="1">
        <v>0</v>
      </c>
      <c r="AM90" s="1">
        <v>10</v>
      </c>
      <c r="AN90" s="1">
        <v>0</v>
      </c>
      <c r="AO90" s="1">
        <f t="shared" si="14"/>
        <v>0</v>
      </c>
      <c r="AP90" s="1">
        <f t="shared" si="15"/>
        <v>0</v>
      </c>
      <c r="AQ90" s="1">
        <f t="shared" si="16"/>
        <v>700</v>
      </c>
      <c r="AR90" s="1">
        <f t="shared" si="17"/>
        <v>0</v>
      </c>
    </row>
    <row r="91" spans="1:44" x14ac:dyDescent="0.2">
      <c r="A91" s="2">
        <v>37408</v>
      </c>
      <c r="B91" s="4">
        <v>0.19</v>
      </c>
      <c r="C91" s="4">
        <v>9.9999999999999978E-2</v>
      </c>
      <c r="D91" s="4">
        <v>0.82599999999999996</v>
      </c>
      <c r="E91" s="4">
        <v>0.247</v>
      </c>
      <c r="F91" s="4">
        <v>0.98299999999999998</v>
      </c>
      <c r="G91" s="4">
        <v>4.1000000000000002E-2</v>
      </c>
      <c r="H91" s="4">
        <v>0.71</v>
      </c>
      <c r="I91" s="4">
        <v>0.30499999999999999</v>
      </c>
      <c r="J91" s="4">
        <v>0.57474999999999998</v>
      </c>
      <c r="K91" s="1">
        <v>0</v>
      </c>
      <c r="L91" s="1">
        <v>0</v>
      </c>
      <c r="M91" s="1">
        <v>0</v>
      </c>
      <c r="N91" s="1">
        <v>700</v>
      </c>
      <c r="O91" s="1" t="str">
        <f t="shared" si="12"/>
        <v>Recovery</v>
      </c>
      <c r="P91" s="2">
        <f t="shared" si="13"/>
        <v>37437</v>
      </c>
      <c r="Q91" s="9">
        <f>VLOOKUP(P91,BB!$A$3:$D$6771, 3, 1)*100</f>
        <v>184</v>
      </c>
      <c r="R91" s="1" t="str">
        <f t="shared" si="18"/>
        <v/>
      </c>
      <c r="S91" s="1">
        <f t="shared" si="10"/>
        <v>161</v>
      </c>
      <c r="T91" s="1" t="str">
        <f t="shared" si="9"/>
        <v/>
      </c>
      <c r="AK91" s="1">
        <v>0</v>
      </c>
      <c r="AL91" s="1">
        <v>0</v>
      </c>
      <c r="AM91" s="1">
        <v>0</v>
      </c>
      <c r="AN91" s="1">
        <v>10</v>
      </c>
      <c r="AO91" s="1">
        <f t="shared" si="14"/>
        <v>0</v>
      </c>
      <c r="AP91" s="1">
        <f t="shared" si="15"/>
        <v>0</v>
      </c>
      <c r="AQ91" s="1">
        <f t="shared" si="16"/>
        <v>0</v>
      </c>
      <c r="AR91" s="1">
        <f t="shared" si="17"/>
        <v>700</v>
      </c>
    </row>
    <row r="92" spans="1:44" x14ac:dyDescent="0.2">
      <c r="A92" s="2">
        <v>37438</v>
      </c>
      <c r="B92" s="4">
        <v>0.107</v>
      </c>
      <c r="C92" s="4">
        <v>3.400000000000003E-2</v>
      </c>
      <c r="D92" s="4">
        <v>0.38</v>
      </c>
      <c r="E92" s="4">
        <v>0.35499999999999998</v>
      </c>
      <c r="F92" s="4">
        <v>0.99099999999999999</v>
      </c>
      <c r="G92" s="4">
        <v>7.3999999999999996E-2</v>
      </c>
      <c r="H92" s="4">
        <v>0.90900000000000003</v>
      </c>
      <c r="I92" s="4">
        <v>0.752</v>
      </c>
      <c r="J92" s="4">
        <v>0.54974999999999996</v>
      </c>
      <c r="K92" s="1">
        <v>0</v>
      </c>
      <c r="L92" s="1">
        <v>0</v>
      </c>
      <c r="M92" s="1">
        <v>0</v>
      </c>
      <c r="N92" s="1">
        <v>700</v>
      </c>
      <c r="O92" s="1" t="str">
        <f t="shared" si="12"/>
        <v>Recovery</v>
      </c>
      <c r="P92" s="2">
        <f t="shared" si="13"/>
        <v>37468</v>
      </c>
      <c r="Q92" s="9">
        <f>VLOOKUP(P92,BB!$A$3:$D$6771, 3, 1)*100</f>
        <v>229</v>
      </c>
      <c r="R92" s="1" t="str">
        <f t="shared" si="18"/>
        <v/>
      </c>
      <c r="S92" s="1">
        <f t="shared" si="10"/>
        <v>161</v>
      </c>
      <c r="T92" s="1" t="str">
        <f t="shared" si="9"/>
        <v/>
      </c>
      <c r="AK92" s="1">
        <v>0</v>
      </c>
      <c r="AL92" s="1">
        <v>0</v>
      </c>
      <c r="AM92" s="1">
        <v>0</v>
      </c>
      <c r="AN92" s="1">
        <v>10</v>
      </c>
      <c r="AO92" s="1">
        <f t="shared" si="14"/>
        <v>0</v>
      </c>
      <c r="AP92" s="1">
        <f t="shared" si="15"/>
        <v>0</v>
      </c>
      <c r="AQ92" s="1">
        <f t="shared" si="16"/>
        <v>0</v>
      </c>
      <c r="AR92" s="1">
        <f t="shared" si="17"/>
        <v>700</v>
      </c>
    </row>
    <row r="93" spans="1:44" x14ac:dyDescent="0.2">
      <c r="A93" s="2">
        <v>37469</v>
      </c>
      <c r="B93" s="4">
        <v>4.1000000000000002E-2</v>
      </c>
      <c r="C93" s="4">
        <v>9.099999999999997E-2</v>
      </c>
      <c r="D93" s="4">
        <v>0.38</v>
      </c>
      <c r="E93" s="4">
        <v>0.45400000000000001</v>
      </c>
      <c r="F93" s="4">
        <v>0.98299999999999998</v>
      </c>
      <c r="G93" s="4">
        <v>8.2000000000000003E-2</v>
      </c>
      <c r="H93" s="4">
        <v>0.93300000000000005</v>
      </c>
      <c r="I93" s="4">
        <v>0.27200000000000002</v>
      </c>
      <c r="J93" s="4">
        <v>0.59550000000000003</v>
      </c>
      <c r="K93" s="1">
        <v>0</v>
      </c>
      <c r="L93" s="1">
        <v>0</v>
      </c>
      <c r="M93" s="1">
        <v>0</v>
      </c>
      <c r="N93" s="1">
        <v>700</v>
      </c>
      <c r="O93" s="1" t="str">
        <f t="shared" si="12"/>
        <v>Recovery</v>
      </c>
      <c r="P93" s="2">
        <f t="shared" si="13"/>
        <v>37499</v>
      </c>
      <c r="Q93" s="9">
        <f>VLOOKUP(P93,BB!$A$3:$D$6771, 3, 1)*100</f>
        <v>224.00000000000003</v>
      </c>
      <c r="R93" s="1" t="str">
        <f t="shared" si="18"/>
        <v/>
      </c>
      <c r="S93" s="1">
        <f t="shared" si="10"/>
        <v>161</v>
      </c>
      <c r="T93" s="1" t="str">
        <f t="shared" si="9"/>
        <v/>
      </c>
      <c r="AK93" s="1">
        <v>0</v>
      </c>
      <c r="AL93" s="1">
        <v>0</v>
      </c>
      <c r="AM93" s="1">
        <v>0</v>
      </c>
      <c r="AN93" s="1">
        <v>10</v>
      </c>
      <c r="AO93" s="1">
        <f t="shared" si="14"/>
        <v>0</v>
      </c>
      <c r="AP93" s="1">
        <f t="shared" si="15"/>
        <v>0</v>
      </c>
      <c r="AQ93" s="1">
        <f t="shared" si="16"/>
        <v>0</v>
      </c>
      <c r="AR93" s="1">
        <f t="shared" si="17"/>
        <v>700</v>
      </c>
    </row>
    <row r="94" spans="1:44" x14ac:dyDescent="0.2">
      <c r="A94" s="2">
        <v>37500</v>
      </c>
      <c r="B94" s="4">
        <v>8.0000000000000002E-3</v>
      </c>
      <c r="C94" s="4">
        <v>0.10799999999999998</v>
      </c>
      <c r="D94" s="4">
        <v>0.28000000000000003</v>
      </c>
      <c r="E94" s="4">
        <v>0.74299999999999999</v>
      </c>
      <c r="F94" s="4">
        <v>0.97499999999999998</v>
      </c>
      <c r="G94" s="4">
        <v>7.3999999999999996E-2</v>
      </c>
      <c r="H94" s="4">
        <v>0.99099999999999999</v>
      </c>
      <c r="I94" s="4">
        <v>0.14799999999999999</v>
      </c>
      <c r="J94" s="4">
        <v>0.58412500000000001</v>
      </c>
      <c r="K94" s="1">
        <v>0</v>
      </c>
      <c r="L94" s="1">
        <v>0</v>
      </c>
      <c r="M94" s="1">
        <v>0</v>
      </c>
      <c r="N94" s="1">
        <v>700</v>
      </c>
      <c r="O94" s="1" t="str">
        <f t="shared" si="12"/>
        <v>Recovery</v>
      </c>
      <c r="P94" s="2">
        <f t="shared" si="13"/>
        <v>37529</v>
      </c>
      <c r="Q94" s="9">
        <f>VLOOKUP(P94,BB!$A$3:$D$6771, 3, 1)*100</f>
        <v>238</v>
      </c>
      <c r="R94" s="1" t="str">
        <f t="shared" si="18"/>
        <v/>
      </c>
      <c r="S94" s="1">
        <f t="shared" si="10"/>
        <v>161</v>
      </c>
      <c r="T94" s="1" t="str">
        <f t="shared" si="9"/>
        <v/>
      </c>
      <c r="AK94" s="1">
        <v>0</v>
      </c>
      <c r="AL94" s="1">
        <v>0</v>
      </c>
      <c r="AM94" s="1">
        <v>0</v>
      </c>
      <c r="AN94" s="1">
        <v>10</v>
      </c>
      <c r="AO94" s="1">
        <f t="shared" si="14"/>
        <v>0</v>
      </c>
      <c r="AP94" s="1">
        <f t="shared" si="15"/>
        <v>0</v>
      </c>
      <c r="AQ94" s="1">
        <f t="shared" si="16"/>
        <v>0</v>
      </c>
      <c r="AR94" s="1">
        <f t="shared" si="17"/>
        <v>700</v>
      </c>
    </row>
    <row r="95" spans="1:44" x14ac:dyDescent="0.2">
      <c r="A95" s="2">
        <v>37530</v>
      </c>
      <c r="B95" s="4">
        <v>1.6E-2</v>
      </c>
      <c r="C95" s="4">
        <v>1.7000000000000015E-2</v>
      </c>
      <c r="D95" s="4">
        <v>0.23899999999999999</v>
      </c>
      <c r="E95" s="4">
        <v>0.69399999999999995</v>
      </c>
      <c r="F95" s="4">
        <v>0.98299999999999998</v>
      </c>
      <c r="G95" s="4">
        <v>0.107</v>
      </c>
      <c r="H95" s="4">
        <v>0.98299999999999998</v>
      </c>
      <c r="I95" s="4">
        <v>2.4E-2</v>
      </c>
      <c r="J95" s="4">
        <v>0.61712499999999992</v>
      </c>
      <c r="K95" s="1">
        <v>0</v>
      </c>
      <c r="L95" s="1">
        <v>0</v>
      </c>
      <c r="M95" s="1">
        <v>0</v>
      </c>
      <c r="N95" s="1">
        <v>700</v>
      </c>
      <c r="O95" s="1" t="str">
        <f t="shared" si="12"/>
        <v>Recovery</v>
      </c>
      <c r="P95" s="2">
        <f t="shared" si="13"/>
        <v>37560</v>
      </c>
      <c r="Q95" s="9">
        <f>VLOOKUP(P95,BB!$A$3:$D$6771, 3, 1)*100</f>
        <v>247.00000000000003</v>
      </c>
      <c r="R95" s="1" t="str">
        <f t="shared" si="18"/>
        <v/>
      </c>
      <c r="S95" s="1">
        <f t="shared" si="10"/>
        <v>161</v>
      </c>
      <c r="T95" s="1" t="str">
        <f t="shared" si="9"/>
        <v/>
      </c>
      <c r="AK95" s="1">
        <v>0</v>
      </c>
      <c r="AL95" s="1">
        <v>0</v>
      </c>
      <c r="AM95" s="1">
        <v>0</v>
      </c>
      <c r="AN95" s="1">
        <v>10</v>
      </c>
      <c r="AO95" s="1">
        <f t="shared" si="14"/>
        <v>0</v>
      </c>
      <c r="AP95" s="1">
        <f t="shared" si="15"/>
        <v>0</v>
      </c>
      <c r="AQ95" s="1">
        <f t="shared" si="16"/>
        <v>0</v>
      </c>
      <c r="AR95" s="1">
        <f t="shared" si="17"/>
        <v>700</v>
      </c>
    </row>
    <row r="96" spans="1:44" x14ac:dyDescent="0.2">
      <c r="A96" s="2">
        <v>37561</v>
      </c>
      <c r="B96" s="4">
        <v>8.0000000000000002E-3</v>
      </c>
      <c r="C96" s="4">
        <v>4.2000000000000037E-2</v>
      </c>
      <c r="D96" s="4">
        <v>0.26400000000000001</v>
      </c>
      <c r="E96" s="4">
        <v>0.59499999999999997</v>
      </c>
      <c r="F96" s="4">
        <v>0.99099999999999999</v>
      </c>
      <c r="G96" s="4">
        <v>0.115</v>
      </c>
      <c r="H96" s="4">
        <v>0.97499999999999998</v>
      </c>
      <c r="I96" s="4">
        <v>0.28000000000000003</v>
      </c>
      <c r="J96" s="4">
        <v>0.59124999999999994</v>
      </c>
      <c r="K96" s="1">
        <v>0</v>
      </c>
      <c r="L96" s="1">
        <v>0</v>
      </c>
      <c r="M96" s="1">
        <v>0</v>
      </c>
      <c r="N96" s="1">
        <v>700</v>
      </c>
      <c r="O96" s="1" t="str">
        <f t="shared" si="12"/>
        <v>Recovery</v>
      </c>
      <c r="P96" s="2">
        <f t="shared" si="13"/>
        <v>37590</v>
      </c>
      <c r="Q96" s="9">
        <f>VLOOKUP(P96,BB!$A$3:$D$6771, 3, 1)*100</f>
        <v>192</v>
      </c>
      <c r="R96" s="1" t="str">
        <f t="shared" si="18"/>
        <v/>
      </c>
      <c r="S96" s="1">
        <f t="shared" si="10"/>
        <v>161</v>
      </c>
      <c r="T96" s="1" t="str">
        <f t="shared" si="9"/>
        <v/>
      </c>
      <c r="AK96" s="1">
        <v>0</v>
      </c>
      <c r="AL96" s="1">
        <v>0</v>
      </c>
      <c r="AM96" s="1">
        <v>0</v>
      </c>
      <c r="AN96" s="1">
        <v>10</v>
      </c>
      <c r="AO96" s="1">
        <f t="shared" si="14"/>
        <v>0</v>
      </c>
      <c r="AP96" s="1">
        <f t="shared" si="15"/>
        <v>0</v>
      </c>
      <c r="AQ96" s="1">
        <f t="shared" si="16"/>
        <v>0</v>
      </c>
      <c r="AR96" s="1">
        <f t="shared" si="17"/>
        <v>700</v>
      </c>
    </row>
    <row r="97" spans="1:44" x14ac:dyDescent="0.2">
      <c r="A97" s="2">
        <v>37591</v>
      </c>
      <c r="B97" s="4">
        <v>8.0000000000000002E-3</v>
      </c>
      <c r="C97" s="4">
        <v>2.5000000000000022E-2</v>
      </c>
      <c r="D97" s="4">
        <v>0.66900000000000004</v>
      </c>
      <c r="E97" s="4">
        <v>0.66900000000000004</v>
      </c>
      <c r="F97" s="4">
        <v>0.99099999999999999</v>
      </c>
      <c r="G97" s="4">
        <v>0.123</v>
      </c>
      <c r="H97" s="4">
        <v>0.99099999999999999</v>
      </c>
      <c r="I97" s="4">
        <v>0.27200000000000002</v>
      </c>
      <c r="J97" s="4">
        <v>0.53149999999999997</v>
      </c>
      <c r="K97" s="1">
        <v>0</v>
      </c>
      <c r="L97" s="1">
        <v>0</v>
      </c>
      <c r="M97" s="1">
        <v>0</v>
      </c>
      <c r="N97" s="1">
        <v>700</v>
      </c>
      <c r="O97" s="1" t="str">
        <f t="shared" si="12"/>
        <v>Recovery</v>
      </c>
      <c r="P97" s="2">
        <f t="shared" si="13"/>
        <v>37621</v>
      </c>
      <c r="Q97" s="9">
        <f>VLOOKUP(P97,BB!$A$3:$D$6771, 3, 1)*100</f>
        <v>184</v>
      </c>
      <c r="R97" s="1" t="str">
        <f t="shared" si="18"/>
        <v/>
      </c>
      <c r="S97" s="1">
        <f t="shared" si="10"/>
        <v>161</v>
      </c>
      <c r="T97" s="1" t="str">
        <f t="shared" si="9"/>
        <v/>
      </c>
      <c r="AK97" s="1">
        <v>0</v>
      </c>
      <c r="AL97" s="1">
        <v>0</v>
      </c>
      <c r="AM97" s="1">
        <v>0</v>
      </c>
      <c r="AN97" s="1">
        <v>10</v>
      </c>
      <c r="AO97" s="1">
        <f t="shared" si="14"/>
        <v>0</v>
      </c>
      <c r="AP97" s="1">
        <f t="shared" si="15"/>
        <v>0</v>
      </c>
      <c r="AQ97" s="1">
        <f t="shared" si="16"/>
        <v>0</v>
      </c>
      <c r="AR97" s="1">
        <f t="shared" si="17"/>
        <v>700</v>
      </c>
    </row>
    <row r="98" spans="1:44" x14ac:dyDescent="0.2">
      <c r="A98" s="2">
        <v>37622</v>
      </c>
      <c r="B98" s="4">
        <v>8.0000000000000002E-3</v>
      </c>
      <c r="C98" s="4">
        <v>9.000000000000008E-3</v>
      </c>
      <c r="D98" s="4">
        <v>0.61899999999999999</v>
      </c>
      <c r="E98" s="4">
        <v>0.64400000000000002</v>
      </c>
      <c r="F98" s="4">
        <v>0.98299999999999998</v>
      </c>
      <c r="G98" s="4">
        <v>0.13200000000000001</v>
      </c>
      <c r="H98" s="4">
        <v>0.99099999999999999</v>
      </c>
      <c r="I98" s="4">
        <v>0.23100000000000001</v>
      </c>
      <c r="J98" s="4">
        <v>0.547875</v>
      </c>
      <c r="K98" s="1">
        <v>0</v>
      </c>
      <c r="L98" s="1">
        <v>0</v>
      </c>
      <c r="M98" s="1">
        <v>0</v>
      </c>
      <c r="N98" s="1">
        <v>700</v>
      </c>
      <c r="O98" s="1" t="str">
        <f t="shared" si="12"/>
        <v>Recovery</v>
      </c>
      <c r="P98" s="2">
        <f t="shared" si="13"/>
        <v>37652</v>
      </c>
      <c r="Q98" s="9">
        <f>VLOOKUP(P98,BB!$A$3:$D$6771, 3, 1)*100</f>
        <v>168</v>
      </c>
      <c r="R98" s="1" t="str">
        <f t="shared" si="18"/>
        <v/>
      </c>
      <c r="S98" s="1">
        <f t="shared" si="10"/>
        <v>161</v>
      </c>
      <c r="T98" s="1" t="str">
        <f t="shared" si="9"/>
        <v/>
      </c>
      <c r="AK98" s="1">
        <v>0</v>
      </c>
      <c r="AL98" s="1">
        <v>0</v>
      </c>
      <c r="AM98" s="1">
        <v>0</v>
      </c>
      <c r="AN98" s="1">
        <v>10</v>
      </c>
      <c r="AO98" s="1">
        <f t="shared" si="14"/>
        <v>0</v>
      </c>
      <c r="AP98" s="1">
        <f t="shared" si="15"/>
        <v>0</v>
      </c>
      <c r="AQ98" s="1">
        <f t="shared" si="16"/>
        <v>0</v>
      </c>
      <c r="AR98" s="1">
        <f t="shared" si="17"/>
        <v>700</v>
      </c>
    </row>
    <row r="99" spans="1:44" x14ac:dyDescent="0.2">
      <c r="A99" s="2">
        <v>37653</v>
      </c>
      <c r="B99" s="4">
        <v>8.0000000000000002E-3</v>
      </c>
      <c r="C99" s="4">
        <v>5.0000000000000044E-2</v>
      </c>
      <c r="D99" s="4">
        <v>0.38800000000000001</v>
      </c>
      <c r="E99" s="4">
        <v>0.71</v>
      </c>
      <c r="F99" s="4">
        <v>0.99099999999999999</v>
      </c>
      <c r="G99" s="4">
        <v>0.123</v>
      </c>
      <c r="H99" s="4">
        <v>0.99099999999999999</v>
      </c>
      <c r="I99" s="4">
        <v>8.0000000000000002E-3</v>
      </c>
      <c r="J99" s="4">
        <v>0.59137499999999998</v>
      </c>
      <c r="K99" s="1">
        <v>0</v>
      </c>
      <c r="L99" s="1">
        <v>0</v>
      </c>
      <c r="M99" s="1">
        <v>0</v>
      </c>
      <c r="N99" s="1">
        <v>700</v>
      </c>
      <c r="O99" s="1" t="str">
        <f t="shared" si="12"/>
        <v>Recovery</v>
      </c>
      <c r="P99" s="2">
        <f t="shared" si="13"/>
        <v>37680</v>
      </c>
      <c r="Q99" s="9">
        <f>VLOOKUP(P99,BB!$A$3:$D$6771, 3, 1)*100</f>
        <v>164</v>
      </c>
      <c r="R99" s="1">
        <f t="shared" si="18"/>
        <v>3</v>
      </c>
      <c r="S99" s="1">
        <f t="shared" si="10"/>
        <v>161</v>
      </c>
      <c r="T99" s="1" t="str">
        <f t="shared" si="9"/>
        <v>Recovery</v>
      </c>
      <c r="AK99" s="1">
        <v>0</v>
      </c>
      <c r="AL99" s="1">
        <v>0</v>
      </c>
      <c r="AM99" s="1">
        <v>0</v>
      </c>
      <c r="AN99" s="1">
        <v>10</v>
      </c>
      <c r="AO99" s="1">
        <f t="shared" si="14"/>
        <v>0</v>
      </c>
      <c r="AP99" s="1">
        <f t="shared" si="15"/>
        <v>0</v>
      </c>
      <c r="AQ99" s="1">
        <f t="shared" si="16"/>
        <v>0</v>
      </c>
      <c r="AR99" s="1">
        <f t="shared" si="17"/>
        <v>700</v>
      </c>
    </row>
    <row r="100" spans="1:44" x14ac:dyDescent="0.2">
      <c r="A100" s="2">
        <v>37681</v>
      </c>
      <c r="B100" s="4">
        <v>8.0000000000000002E-3</v>
      </c>
      <c r="C100" s="4">
        <v>9.000000000000008E-3</v>
      </c>
      <c r="D100" s="4">
        <v>0.13200000000000001</v>
      </c>
      <c r="E100" s="4">
        <v>0.56999999999999995</v>
      </c>
      <c r="F100" s="4">
        <v>0.99099999999999999</v>
      </c>
      <c r="G100" s="4">
        <v>0.123</v>
      </c>
      <c r="H100" s="4">
        <v>0.99099999999999999</v>
      </c>
      <c r="I100" s="4">
        <v>0.107</v>
      </c>
      <c r="J100" s="4">
        <v>0.63362499999999999</v>
      </c>
      <c r="K100" s="1">
        <v>0</v>
      </c>
      <c r="L100" s="1">
        <v>0</v>
      </c>
      <c r="M100" s="1">
        <v>700</v>
      </c>
      <c r="N100" s="1">
        <v>0</v>
      </c>
      <c r="O100" s="1" t="str">
        <f t="shared" si="12"/>
        <v>Repair</v>
      </c>
      <c r="P100" s="2">
        <f t="shared" si="13"/>
        <v>37711</v>
      </c>
      <c r="Q100" s="9">
        <f>VLOOKUP(P100,BB!$A$3:$D$6771, 3, 1)*100</f>
        <v>159</v>
      </c>
      <c r="R100" s="1" t="str">
        <f t="shared" si="18"/>
        <v/>
      </c>
      <c r="S100" s="1">
        <f t="shared" si="10"/>
        <v>164</v>
      </c>
      <c r="T100" s="1" t="str">
        <f t="shared" si="9"/>
        <v/>
      </c>
      <c r="AK100" s="1">
        <v>0</v>
      </c>
      <c r="AL100" s="1">
        <v>0</v>
      </c>
      <c r="AM100" s="1">
        <v>10</v>
      </c>
      <c r="AN100" s="1">
        <v>0</v>
      </c>
      <c r="AO100" s="1">
        <f t="shared" si="14"/>
        <v>0</v>
      </c>
      <c r="AP100" s="1">
        <f t="shared" si="15"/>
        <v>0</v>
      </c>
      <c r="AQ100" s="1">
        <f t="shared" si="16"/>
        <v>700</v>
      </c>
      <c r="AR100" s="1">
        <f t="shared" si="17"/>
        <v>0</v>
      </c>
    </row>
    <row r="101" spans="1:44" x14ac:dyDescent="0.2">
      <c r="A101" s="2">
        <v>37712</v>
      </c>
      <c r="B101" s="4">
        <v>4.1000000000000002E-2</v>
      </c>
      <c r="C101" s="4">
        <v>9.000000000000008E-3</v>
      </c>
      <c r="D101" s="4">
        <v>9.9000000000000005E-2</v>
      </c>
      <c r="E101" s="4">
        <v>0.55300000000000005</v>
      </c>
      <c r="F101" s="4">
        <v>0.97499999999999998</v>
      </c>
      <c r="G101" s="4">
        <v>0.16500000000000001</v>
      </c>
      <c r="H101" s="4">
        <v>0.97499999999999998</v>
      </c>
      <c r="I101" s="4">
        <v>0.25600000000000001</v>
      </c>
      <c r="J101" s="4">
        <v>0.61587499999999995</v>
      </c>
      <c r="K101" s="1">
        <v>0</v>
      </c>
      <c r="L101" s="1">
        <v>0</v>
      </c>
      <c r="M101" s="1">
        <v>700</v>
      </c>
      <c r="N101" s="1">
        <v>0</v>
      </c>
      <c r="O101" s="1" t="str">
        <f t="shared" si="12"/>
        <v>Repair</v>
      </c>
      <c r="P101" s="2">
        <f t="shared" si="13"/>
        <v>37741</v>
      </c>
      <c r="Q101" s="9">
        <f>VLOOKUP(P101,BB!$A$3:$D$6771, 3, 1)*100</f>
        <v>133</v>
      </c>
      <c r="R101" s="1" t="str">
        <f t="shared" si="18"/>
        <v/>
      </c>
      <c r="S101" s="1">
        <f t="shared" si="10"/>
        <v>164</v>
      </c>
      <c r="T101" s="1" t="str">
        <f t="shared" si="9"/>
        <v/>
      </c>
      <c r="AK101" s="1">
        <v>0</v>
      </c>
      <c r="AL101" s="1">
        <v>0</v>
      </c>
      <c r="AM101" s="1">
        <v>10</v>
      </c>
      <c r="AN101" s="1">
        <v>0</v>
      </c>
      <c r="AO101" s="1">
        <f t="shared" si="14"/>
        <v>0</v>
      </c>
      <c r="AP101" s="1">
        <f t="shared" si="15"/>
        <v>0</v>
      </c>
      <c r="AQ101" s="1">
        <f t="shared" si="16"/>
        <v>700</v>
      </c>
      <c r="AR101" s="1">
        <f t="shared" si="17"/>
        <v>0</v>
      </c>
    </row>
    <row r="102" spans="1:44" x14ac:dyDescent="0.2">
      <c r="A102" s="2">
        <v>37742</v>
      </c>
      <c r="B102" s="4">
        <v>5.7000000000000002E-2</v>
      </c>
      <c r="C102" s="4">
        <v>7.4999999999999956E-2</v>
      </c>
      <c r="D102" s="4">
        <v>0.29699999999999999</v>
      </c>
      <c r="E102" s="4">
        <v>0.71</v>
      </c>
      <c r="F102" s="4">
        <v>0.98299999999999998</v>
      </c>
      <c r="G102" s="4">
        <v>0.18099999999999999</v>
      </c>
      <c r="H102" s="4">
        <v>0.99099999999999999</v>
      </c>
      <c r="I102" s="4">
        <v>0.09</v>
      </c>
      <c r="J102" s="4">
        <v>0.57699999999999996</v>
      </c>
      <c r="K102" s="1">
        <v>0</v>
      </c>
      <c r="L102" s="1">
        <v>0</v>
      </c>
      <c r="M102" s="1">
        <v>700</v>
      </c>
      <c r="N102" s="1">
        <v>0</v>
      </c>
      <c r="O102" s="1" t="str">
        <f t="shared" si="12"/>
        <v>Repair</v>
      </c>
      <c r="P102" s="2">
        <f t="shared" si="13"/>
        <v>37772</v>
      </c>
      <c r="Q102" s="9">
        <f>VLOOKUP(P102,BB!$A$3:$D$6771, 3, 1)*100</f>
        <v>130</v>
      </c>
      <c r="R102" s="1">
        <f t="shared" si="18"/>
        <v>-34</v>
      </c>
      <c r="S102" s="1">
        <f t="shared" si="10"/>
        <v>164</v>
      </c>
      <c r="T102" s="1" t="str">
        <f t="shared" si="9"/>
        <v>Repair</v>
      </c>
      <c r="AK102" s="1">
        <v>0</v>
      </c>
      <c r="AL102" s="1">
        <v>0</v>
      </c>
      <c r="AM102" s="1">
        <v>10</v>
      </c>
      <c r="AN102" s="1">
        <v>0</v>
      </c>
      <c r="AO102" s="1">
        <f t="shared" si="14"/>
        <v>0</v>
      </c>
      <c r="AP102" s="1">
        <f t="shared" si="15"/>
        <v>0</v>
      </c>
      <c r="AQ102" s="1">
        <f t="shared" si="16"/>
        <v>700</v>
      </c>
      <c r="AR102" s="1">
        <f t="shared" si="17"/>
        <v>0</v>
      </c>
    </row>
    <row r="103" spans="1:44" x14ac:dyDescent="0.2">
      <c r="A103" s="2">
        <v>37773</v>
      </c>
      <c r="B103" s="4">
        <v>4.1000000000000002E-2</v>
      </c>
      <c r="C103" s="4">
        <v>5.8000000000000052E-2</v>
      </c>
      <c r="D103" s="4">
        <v>0.36299999999999999</v>
      </c>
      <c r="E103" s="4">
        <v>0.72699999999999998</v>
      </c>
      <c r="F103" s="4">
        <v>0.99099999999999999</v>
      </c>
      <c r="G103" s="4">
        <v>0.16500000000000001</v>
      </c>
      <c r="H103" s="4">
        <v>0.98299999999999998</v>
      </c>
      <c r="I103" s="4">
        <v>0.26400000000000001</v>
      </c>
      <c r="J103" s="4">
        <v>0.55099999999999993</v>
      </c>
      <c r="K103" s="1">
        <v>0</v>
      </c>
      <c r="L103" s="1">
        <v>0</v>
      </c>
      <c r="M103" s="1">
        <v>0</v>
      </c>
      <c r="N103" s="1">
        <v>700</v>
      </c>
      <c r="O103" s="1" t="str">
        <f t="shared" si="12"/>
        <v>Recovery</v>
      </c>
      <c r="P103" s="2">
        <f t="shared" si="13"/>
        <v>37802</v>
      </c>
      <c r="Q103" s="9">
        <f>VLOOKUP(P103,BB!$A$3:$D$6771, 3, 1)*100</f>
        <v>123</v>
      </c>
      <c r="R103" s="1" t="str">
        <f t="shared" si="18"/>
        <v/>
      </c>
      <c r="S103" s="1">
        <f t="shared" si="10"/>
        <v>130</v>
      </c>
      <c r="T103" s="1" t="str">
        <f t="shared" si="9"/>
        <v/>
      </c>
      <c r="AK103" s="1">
        <v>0</v>
      </c>
      <c r="AL103" s="1">
        <v>0</v>
      </c>
      <c r="AM103" s="1">
        <v>0</v>
      </c>
      <c r="AN103" s="1">
        <v>10</v>
      </c>
      <c r="AO103" s="1">
        <f t="shared" si="14"/>
        <v>0</v>
      </c>
      <c r="AP103" s="1">
        <f t="shared" si="15"/>
        <v>0</v>
      </c>
      <c r="AQ103" s="1">
        <f t="shared" si="16"/>
        <v>0</v>
      </c>
      <c r="AR103" s="1">
        <f t="shared" si="17"/>
        <v>700</v>
      </c>
    </row>
    <row r="104" spans="1:44" x14ac:dyDescent="0.2">
      <c r="A104" s="2">
        <v>37803</v>
      </c>
      <c r="B104" s="4">
        <v>3.3000000000000002E-2</v>
      </c>
      <c r="C104" s="4">
        <v>9.000000000000008E-3</v>
      </c>
      <c r="D104" s="4">
        <v>0.47899999999999998</v>
      </c>
      <c r="E104" s="4">
        <v>0.47899999999999998</v>
      </c>
      <c r="F104" s="4">
        <v>0.98299999999999998</v>
      </c>
      <c r="G104" s="4">
        <v>0.19800000000000001</v>
      </c>
      <c r="H104" s="4">
        <v>0.92500000000000004</v>
      </c>
      <c r="I104" s="4">
        <v>0.30499999999999999</v>
      </c>
      <c r="J104" s="4">
        <v>0.57362500000000005</v>
      </c>
      <c r="K104" s="1">
        <v>0</v>
      </c>
      <c r="L104" s="1">
        <v>0</v>
      </c>
      <c r="M104" s="1">
        <v>0</v>
      </c>
      <c r="N104" s="1">
        <v>700</v>
      </c>
      <c r="O104" s="1" t="str">
        <f t="shared" si="12"/>
        <v>Recovery</v>
      </c>
      <c r="P104" s="2">
        <f t="shared" si="13"/>
        <v>37833</v>
      </c>
      <c r="Q104" s="9">
        <f>VLOOKUP(P104,BB!$A$3:$D$6771, 3, 1)*100</f>
        <v>119</v>
      </c>
      <c r="R104" s="1" t="str">
        <f t="shared" si="18"/>
        <v/>
      </c>
      <c r="S104" s="1">
        <f t="shared" si="10"/>
        <v>130</v>
      </c>
      <c r="T104" s="1" t="str">
        <f t="shared" si="9"/>
        <v/>
      </c>
      <c r="AK104" s="1">
        <v>0</v>
      </c>
      <c r="AL104" s="1">
        <v>0</v>
      </c>
      <c r="AM104" s="1">
        <v>0</v>
      </c>
      <c r="AN104" s="1">
        <v>10</v>
      </c>
      <c r="AO104" s="1">
        <f t="shared" si="14"/>
        <v>0</v>
      </c>
      <c r="AP104" s="1">
        <f t="shared" si="15"/>
        <v>0</v>
      </c>
      <c r="AQ104" s="1">
        <f t="shared" si="16"/>
        <v>0</v>
      </c>
      <c r="AR104" s="1">
        <f t="shared" si="17"/>
        <v>700</v>
      </c>
    </row>
    <row r="105" spans="1:44" x14ac:dyDescent="0.2">
      <c r="A105" s="2">
        <v>37834</v>
      </c>
      <c r="B105" s="4">
        <v>3.3000000000000002E-2</v>
      </c>
      <c r="C105" s="4">
        <v>1.7000000000000015E-2</v>
      </c>
      <c r="D105" s="4">
        <v>0.67700000000000005</v>
      </c>
      <c r="E105" s="4">
        <v>0.47099999999999997</v>
      </c>
      <c r="F105" s="4">
        <v>0.98299999999999998</v>
      </c>
      <c r="G105" s="4">
        <v>0.16500000000000001</v>
      </c>
      <c r="H105" s="4">
        <v>0.91700000000000004</v>
      </c>
      <c r="I105" s="4">
        <v>9.9000000000000005E-2</v>
      </c>
      <c r="J105" s="4">
        <v>0.57974999999999999</v>
      </c>
      <c r="K105" s="1">
        <v>0</v>
      </c>
      <c r="L105" s="1">
        <v>0</v>
      </c>
      <c r="M105" s="1">
        <v>0</v>
      </c>
      <c r="N105" s="1">
        <v>700</v>
      </c>
      <c r="O105" s="1" t="str">
        <f t="shared" si="12"/>
        <v>Recovery</v>
      </c>
      <c r="P105" s="2">
        <f t="shared" si="13"/>
        <v>37864</v>
      </c>
      <c r="Q105" s="9">
        <f>VLOOKUP(P105,BB!$A$3:$D$6771, 3, 1)*100</f>
        <v>117</v>
      </c>
      <c r="R105" s="1" t="str">
        <f t="shared" si="18"/>
        <v/>
      </c>
      <c r="S105" s="1">
        <f t="shared" si="10"/>
        <v>130</v>
      </c>
      <c r="T105" s="1" t="str">
        <f t="shared" si="9"/>
        <v/>
      </c>
      <c r="AK105" s="1">
        <v>0</v>
      </c>
      <c r="AL105" s="1">
        <v>0</v>
      </c>
      <c r="AM105" s="1">
        <v>0</v>
      </c>
      <c r="AN105" s="1">
        <v>10</v>
      </c>
      <c r="AO105" s="1">
        <f t="shared" si="14"/>
        <v>0</v>
      </c>
      <c r="AP105" s="1">
        <f t="shared" si="15"/>
        <v>0</v>
      </c>
      <c r="AQ105" s="1">
        <f t="shared" si="16"/>
        <v>0</v>
      </c>
      <c r="AR105" s="1">
        <f t="shared" si="17"/>
        <v>700</v>
      </c>
    </row>
    <row r="106" spans="1:44" x14ac:dyDescent="0.2">
      <c r="A106" s="2">
        <v>37865</v>
      </c>
      <c r="B106" s="4">
        <v>2.4E-2</v>
      </c>
      <c r="C106" s="4">
        <v>2.5000000000000022E-2</v>
      </c>
      <c r="D106" s="4">
        <v>0.60299999999999998</v>
      </c>
      <c r="E106" s="4">
        <v>0.90900000000000003</v>
      </c>
      <c r="F106" s="4">
        <v>0.96599999999999997</v>
      </c>
      <c r="G106" s="4">
        <v>0.26400000000000001</v>
      </c>
      <c r="H106" s="4">
        <v>0.95799999999999996</v>
      </c>
      <c r="I106" s="4">
        <v>0.27200000000000002</v>
      </c>
      <c r="J106" s="4">
        <v>0.4973749999999999</v>
      </c>
      <c r="K106" s="1">
        <v>0</v>
      </c>
      <c r="L106" s="1">
        <v>0</v>
      </c>
      <c r="M106" s="1">
        <v>0</v>
      </c>
      <c r="N106" s="1">
        <v>700</v>
      </c>
      <c r="O106" s="1" t="str">
        <f t="shared" si="12"/>
        <v>Recovery</v>
      </c>
      <c r="P106" s="2">
        <f t="shared" si="13"/>
        <v>37894</v>
      </c>
      <c r="Q106" s="9">
        <f>VLOOKUP(P106,BB!$A$3:$D$6771, 3, 1)*100</f>
        <v>111.00000000000001</v>
      </c>
      <c r="R106" s="1" t="str">
        <f t="shared" si="18"/>
        <v/>
      </c>
      <c r="S106" s="1">
        <f t="shared" si="10"/>
        <v>130</v>
      </c>
      <c r="T106" s="1" t="str">
        <f t="shared" si="9"/>
        <v/>
      </c>
      <c r="AK106" s="1">
        <v>0</v>
      </c>
      <c r="AL106" s="1">
        <v>0</v>
      </c>
      <c r="AM106" s="1">
        <v>0</v>
      </c>
      <c r="AN106" s="1">
        <v>10</v>
      </c>
      <c r="AO106" s="1">
        <f t="shared" si="14"/>
        <v>0</v>
      </c>
      <c r="AP106" s="1">
        <f t="shared" si="15"/>
        <v>0</v>
      </c>
      <c r="AQ106" s="1">
        <f t="shared" si="16"/>
        <v>0</v>
      </c>
      <c r="AR106" s="1">
        <f t="shared" si="17"/>
        <v>700</v>
      </c>
    </row>
    <row r="107" spans="1:44" x14ac:dyDescent="0.2">
      <c r="A107" s="2">
        <v>37895</v>
      </c>
      <c r="B107" s="4">
        <v>4.1000000000000002E-2</v>
      </c>
      <c r="C107" s="4">
        <v>3.400000000000003E-2</v>
      </c>
      <c r="D107" s="4">
        <v>0.88400000000000001</v>
      </c>
      <c r="E107" s="4">
        <v>0.83399999999999996</v>
      </c>
      <c r="F107" s="4">
        <v>0.95799999999999996</v>
      </c>
      <c r="G107" s="4">
        <v>0.28899999999999998</v>
      </c>
      <c r="H107" s="4">
        <v>0.93300000000000005</v>
      </c>
      <c r="I107" s="4">
        <v>0.76</v>
      </c>
      <c r="J107" s="4">
        <v>0.40837499999999993</v>
      </c>
      <c r="K107" s="1">
        <v>0</v>
      </c>
      <c r="L107" s="1">
        <v>0</v>
      </c>
      <c r="M107" s="1">
        <v>0</v>
      </c>
      <c r="N107" s="1">
        <v>700</v>
      </c>
      <c r="O107" s="1" t="str">
        <f t="shared" si="12"/>
        <v>Recovery</v>
      </c>
      <c r="P107" s="2">
        <f t="shared" si="13"/>
        <v>37925</v>
      </c>
      <c r="Q107" s="9">
        <f>VLOOKUP(P107,BB!$A$3:$D$6771, 3, 1)*100</f>
        <v>103</v>
      </c>
      <c r="R107" s="1">
        <f t="shared" si="18"/>
        <v>-27</v>
      </c>
      <c r="S107" s="1">
        <f t="shared" si="10"/>
        <v>130</v>
      </c>
      <c r="T107" s="1" t="str">
        <f t="shared" si="9"/>
        <v>Recovery</v>
      </c>
      <c r="AK107" s="1">
        <v>0</v>
      </c>
      <c r="AL107" s="1">
        <v>0</v>
      </c>
      <c r="AM107" s="1">
        <v>0</v>
      </c>
      <c r="AN107" s="1">
        <v>10</v>
      </c>
      <c r="AO107" s="1">
        <f t="shared" si="14"/>
        <v>0</v>
      </c>
      <c r="AP107" s="1">
        <f t="shared" si="15"/>
        <v>0</v>
      </c>
      <c r="AQ107" s="1">
        <f t="shared" si="16"/>
        <v>0</v>
      </c>
      <c r="AR107" s="1">
        <f t="shared" si="17"/>
        <v>700</v>
      </c>
    </row>
    <row r="108" spans="1:44" x14ac:dyDescent="0.2">
      <c r="A108" s="2">
        <v>37926</v>
      </c>
      <c r="B108" s="4">
        <v>4.1000000000000002E-2</v>
      </c>
      <c r="C108" s="4">
        <v>5.8000000000000052E-2</v>
      </c>
      <c r="D108" s="4">
        <v>0.99099999999999999</v>
      </c>
      <c r="E108" s="4">
        <v>0.81799999999999995</v>
      </c>
      <c r="F108" s="4">
        <v>0.95799999999999996</v>
      </c>
      <c r="G108" s="4">
        <v>0.28899999999999998</v>
      </c>
      <c r="H108" s="4">
        <v>0.92500000000000004</v>
      </c>
      <c r="I108" s="4">
        <v>0.56100000000000005</v>
      </c>
      <c r="J108" s="4">
        <v>0.419875</v>
      </c>
      <c r="K108" s="1">
        <v>700</v>
      </c>
      <c r="L108" s="1">
        <v>0</v>
      </c>
      <c r="M108" s="1">
        <v>0</v>
      </c>
      <c r="N108" s="1">
        <v>0</v>
      </c>
      <c r="O108" s="1" t="str">
        <f t="shared" si="12"/>
        <v>Expansion</v>
      </c>
      <c r="P108" s="2">
        <f t="shared" si="13"/>
        <v>37955</v>
      </c>
      <c r="Q108" s="9">
        <f>VLOOKUP(P108,BB!$A$3:$D$6771, 3, 1)*100</f>
        <v>98</v>
      </c>
      <c r="R108" s="1" t="str">
        <f t="shared" si="18"/>
        <v/>
      </c>
      <c r="S108" s="1">
        <f t="shared" si="10"/>
        <v>103</v>
      </c>
      <c r="T108" s="1" t="str">
        <f t="shared" si="9"/>
        <v/>
      </c>
      <c r="AK108" s="1">
        <v>10</v>
      </c>
      <c r="AL108" s="1">
        <v>0</v>
      </c>
      <c r="AM108" s="1">
        <v>0</v>
      </c>
      <c r="AN108" s="1">
        <v>0</v>
      </c>
      <c r="AO108" s="1">
        <f t="shared" si="14"/>
        <v>700</v>
      </c>
      <c r="AP108" s="1">
        <f t="shared" si="15"/>
        <v>0</v>
      </c>
      <c r="AQ108" s="1">
        <f t="shared" si="16"/>
        <v>0</v>
      </c>
      <c r="AR108" s="1">
        <f t="shared" si="17"/>
        <v>0</v>
      </c>
    </row>
    <row r="109" spans="1:44" x14ac:dyDescent="0.2">
      <c r="A109" s="2">
        <v>37956</v>
      </c>
      <c r="B109" s="4">
        <v>2.4E-2</v>
      </c>
      <c r="C109" s="4">
        <v>4.2000000000000037E-2</v>
      </c>
      <c r="D109" s="4">
        <v>0.99099999999999999</v>
      </c>
      <c r="E109" s="4">
        <v>0.97499999999999998</v>
      </c>
      <c r="F109" s="4">
        <v>0.91700000000000004</v>
      </c>
      <c r="G109" s="4">
        <v>0.33800000000000002</v>
      </c>
      <c r="H109" s="4">
        <v>0.94199999999999995</v>
      </c>
      <c r="I109" s="4">
        <v>0.28000000000000003</v>
      </c>
      <c r="J109" s="4">
        <v>0.43637499999999996</v>
      </c>
      <c r="K109" s="1">
        <v>700</v>
      </c>
      <c r="L109" s="1">
        <v>0</v>
      </c>
      <c r="M109" s="1">
        <v>0</v>
      </c>
      <c r="N109" s="1">
        <v>0</v>
      </c>
      <c r="O109" s="1" t="str">
        <f t="shared" si="12"/>
        <v>Expansion</v>
      </c>
      <c r="P109" s="2">
        <f t="shared" si="13"/>
        <v>37986</v>
      </c>
      <c r="Q109" s="9">
        <f>VLOOKUP(P109,BB!$A$3:$D$6771, 3, 1)*100</f>
        <v>95</v>
      </c>
      <c r="R109" s="1" t="str">
        <f t="shared" si="18"/>
        <v/>
      </c>
      <c r="S109" s="1">
        <f t="shared" si="10"/>
        <v>103</v>
      </c>
      <c r="T109" s="1" t="str">
        <f t="shared" si="9"/>
        <v/>
      </c>
      <c r="AK109" s="1">
        <v>10</v>
      </c>
      <c r="AL109" s="1">
        <v>0</v>
      </c>
      <c r="AM109" s="1">
        <v>0</v>
      </c>
      <c r="AN109" s="1">
        <v>0</v>
      </c>
      <c r="AO109" s="1">
        <f t="shared" si="14"/>
        <v>700</v>
      </c>
      <c r="AP109" s="1">
        <f t="shared" si="15"/>
        <v>0</v>
      </c>
      <c r="AQ109" s="1">
        <f t="shared" si="16"/>
        <v>0</v>
      </c>
      <c r="AR109" s="1">
        <f t="shared" si="17"/>
        <v>0</v>
      </c>
    </row>
    <row r="110" spans="1:44" x14ac:dyDescent="0.2">
      <c r="A110" s="2">
        <v>37987</v>
      </c>
      <c r="B110" s="4">
        <v>2.4E-2</v>
      </c>
      <c r="C110" s="4">
        <v>6.6999999999999948E-2</v>
      </c>
      <c r="D110" s="4">
        <v>0.98299999999999998</v>
      </c>
      <c r="E110" s="4">
        <v>0.97499999999999998</v>
      </c>
      <c r="F110" s="4">
        <v>0.89200000000000002</v>
      </c>
      <c r="G110" s="4">
        <v>0.33</v>
      </c>
      <c r="H110" s="4">
        <v>0.94199999999999995</v>
      </c>
      <c r="I110" s="4">
        <v>0.58599999999999997</v>
      </c>
      <c r="J110" s="4">
        <v>0.40012499999999995</v>
      </c>
      <c r="K110" s="1">
        <v>700</v>
      </c>
      <c r="L110" s="1">
        <v>0</v>
      </c>
      <c r="M110" s="1">
        <v>0</v>
      </c>
      <c r="N110" s="1">
        <v>0</v>
      </c>
      <c r="O110" s="1" t="str">
        <f t="shared" si="12"/>
        <v>Expansion</v>
      </c>
      <c r="P110" s="2">
        <f t="shared" si="13"/>
        <v>38017</v>
      </c>
      <c r="Q110" s="9">
        <f>VLOOKUP(P110,BB!$A$3:$D$6771, 3, 1)*100</f>
        <v>93</v>
      </c>
      <c r="R110" s="1" t="str">
        <f t="shared" si="18"/>
        <v/>
      </c>
      <c r="S110" s="1">
        <f t="shared" si="10"/>
        <v>103</v>
      </c>
      <c r="T110" s="1" t="str">
        <f t="shared" si="9"/>
        <v/>
      </c>
      <c r="AK110" s="1">
        <v>10</v>
      </c>
      <c r="AL110" s="1">
        <v>0</v>
      </c>
      <c r="AM110" s="1">
        <v>0</v>
      </c>
      <c r="AN110" s="1">
        <v>0</v>
      </c>
      <c r="AO110" s="1">
        <f t="shared" si="14"/>
        <v>700</v>
      </c>
      <c r="AP110" s="1">
        <f t="shared" si="15"/>
        <v>0</v>
      </c>
      <c r="AQ110" s="1">
        <f t="shared" si="16"/>
        <v>0</v>
      </c>
      <c r="AR110" s="1">
        <f t="shared" si="17"/>
        <v>0</v>
      </c>
    </row>
    <row r="111" spans="1:44" x14ac:dyDescent="0.2">
      <c r="A111" s="2">
        <v>38018</v>
      </c>
      <c r="B111" s="4">
        <v>5.7000000000000002E-2</v>
      </c>
      <c r="C111" s="4">
        <v>5.8000000000000052E-2</v>
      </c>
      <c r="D111" s="4">
        <v>0.96599999999999997</v>
      </c>
      <c r="E111" s="4">
        <v>0.99099999999999999</v>
      </c>
      <c r="F111" s="4">
        <v>0.876</v>
      </c>
      <c r="G111" s="4">
        <v>0.40400000000000003</v>
      </c>
      <c r="H111" s="4">
        <v>0.94199999999999995</v>
      </c>
      <c r="I111" s="4">
        <v>0.92500000000000004</v>
      </c>
      <c r="J111" s="4">
        <v>0.34762500000000007</v>
      </c>
      <c r="K111" s="1">
        <v>700</v>
      </c>
      <c r="L111" s="1">
        <v>0</v>
      </c>
      <c r="M111" s="1">
        <v>0</v>
      </c>
      <c r="N111" s="1">
        <v>0</v>
      </c>
      <c r="O111" s="1" t="str">
        <f t="shared" si="12"/>
        <v>Expansion</v>
      </c>
      <c r="P111" s="2">
        <f t="shared" si="13"/>
        <v>38046</v>
      </c>
      <c r="Q111" s="9">
        <f>VLOOKUP(P111,BB!$A$3:$D$6771, 3, 1)*100</f>
        <v>95</v>
      </c>
      <c r="R111" s="1" t="str">
        <f t="shared" si="18"/>
        <v/>
      </c>
      <c r="S111" s="1">
        <f t="shared" si="10"/>
        <v>103</v>
      </c>
      <c r="T111" s="1" t="str">
        <f t="shared" si="9"/>
        <v/>
      </c>
      <c r="AK111" s="1">
        <v>10</v>
      </c>
      <c r="AL111" s="1">
        <v>0</v>
      </c>
      <c r="AM111" s="1">
        <v>0</v>
      </c>
      <c r="AN111" s="1">
        <v>0</v>
      </c>
      <c r="AO111" s="1">
        <f t="shared" si="14"/>
        <v>700</v>
      </c>
      <c r="AP111" s="1">
        <f t="shared" si="15"/>
        <v>0</v>
      </c>
      <c r="AQ111" s="1">
        <f t="shared" si="16"/>
        <v>0</v>
      </c>
      <c r="AR111" s="1">
        <f t="shared" si="17"/>
        <v>0</v>
      </c>
    </row>
    <row r="112" spans="1:44" x14ac:dyDescent="0.2">
      <c r="A112" s="2">
        <v>38047</v>
      </c>
      <c r="B112" s="4">
        <v>0.13200000000000001</v>
      </c>
      <c r="C112" s="4">
        <v>9.9999999999999978E-2</v>
      </c>
      <c r="D112" s="4">
        <v>0.96599999999999997</v>
      </c>
      <c r="E112" s="4">
        <v>0.99099999999999999</v>
      </c>
      <c r="F112" s="4">
        <v>0.99099999999999999</v>
      </c>
      <c r="G112" s="4">
        <v>0.51200000000000001</v>
      </c>
      <c r="H112" s="4">
        <v>0.99099999999999999</v>
      </c>
      <c r="I112" s="4">
        <v>0.52</v>
      </c>
      <c r="J112" s="4">
        <v>0.34962500000000007</v>
      </c>
      <c r="K112" s="1">
        <v>700</v>
      </c>
      <c r="L112" s="1">
        <v>0</v>
      </c>
      <c r="M112" s="1">
        <v>0</v>
      </c>
      <c r="N112" s="1">
        <v>0</v>
      </c>
      <c r="O112" s="1" t="str">
        <f t="shared" si="12"/>
        <v>Expansion</v>
      </c>
      <c r="P112" s="2">
        <f t="shared" si="13"/>
        <v>38077</v>
      </c>
      <c r="Q112" s="9">
        <f>VLOOKUP(P112,BB!$A$3:$D$6771, 3, 1)*100</f>
        <v>97</v>
      </c>
      <c r="R112" s="1" t="str">
        <f t="shared" si="18"/>
        <v/>
      </c>
      <c r="S112" s="1">
        <f t="shared" si="10"/>
        <v>103</v>
      </c>
      <c r="T112" s="1" t="str">
        <f t="shared" si="9"/>
        <v/>
      </c>
      <c r="AK112" s="1">
        <v>10</v>
      </c>
      <c r="AL112" s="1">
        <v>0</v>
      </c>
      <c r="AM112" s="1">
        <v>0</v>
      </c>
      <c r="AN112" s="1">
        <v>0</v>
      </c>
      <c r="AO112" s="1">
        <f t="shared" si="14"/>
        <v>700</v>
      </c>
      <c r="AP112" s="1">
        <f t="shared" si="15"/>
        <v>0</v>
      </c>
      <c r="AQ112" s="1">
        <f t="shared" si="16"/>
        <v>0</v>
      </c>
      <c r="AR112" s="1">
        <f t="shared" si="17"/>
        <v>0</v>
      </c>
    </row>
    <row r="113" spans="1:44" x14ac:dyDescent="0.2">
      <c r="A113" s="2">
        <v>38078</v>
      </c>
      <c r="B113" s="4">
        <v>0.09</v>
      </c>
      <c r="C113" s="4">
        <v>0.14100000000000001</v>
      </c>
      <c r="D113" s="4">
        <v>0.95799999999999996</v>
      </c>
      <c r="E113" s="4">
        <v>0.94199999999999995</v>
      </c>
      <c r="F113" s="4">
        <v>0.99099999999999999</v>
      </c>
      <c r="G113" s="4">
        <v>0.46200000000000002</v>
      </c>
      <c r="H113" s="4">
        <v>0.92500000000000004</v>
      </c>
      <c r="I113" s="4">
        <v>0.371</v>
      </c>
      <c r="J113" s="4">
        <v>0.3899999999999999</v>
      </c>
      <c r="K113" s="1">
        <v>700</v>
      </c>
      <c r="L113" s="1">
        <v>0</v>
      </c>
      <c r="M113" s="1">
        <v>0</v>
      </c>
      <c r="N113" s="1">
        <v>0</v>
      </c>
      <c r="O113" s="1" t="str">
        <f t="shared" si="12"/>
        <v>Expansion</v>
      </c>
      <c r="P113" s="2">
        <f t="shared" si="13"/>
        <v>38107</v>
      </c>
      <c r="Q113" s="9">
        <f>VLOOKUP(P113,BB!$A$3:$D$6771, 3, 1)*100</f>
        <v>92</v>
      </c>
      <c r="R113" s="1" t="str">
        <f t="shared" si="18"/>
        <v/>
      </c>
      <c r="S113" s="1">
        <f t="shared" si="10"/>
        <v>103</v>
      </c>
      <c r="T113" s="1" t="str">
        <f t="shared" si="9"/>
        <v/>
      </c>
      <c r="AK113" s="1">
        <v>10</v>
      </c>
      <c r="AL113" s="1">
        <v>0</v>
      </c>
      <c r="AM113" s="1">
        <v>0</v>
      </c>
      <c r="AN113" s="1">
        <v>0</v>
      </c>
      <c r="AO113" s="1">
        <f t="shared" si="14"/>
        <v>700</v>
      </c>
      <c r="AP113" s="1">
        <f t="shared" si="15"/>
        <v>0</v>
      </c>
      <c r="AQ113" s="1">
        <f t="shared" si="16"/>
        <v>0</v>
      </c>
      <c r="AR113" s="1">
        <f t="shared" si="17"/>
        <v>0</v>
      </c>
    </row>
    <row r="114" spans="1:44" x14ac:dyDescent="0.2">
      <c r="A114" s="2">
        <v>38108</v>
      </c>
      <c r="B114" s="4">
        <v>8.0000000000000002E-3</v>
      </c>
      <c r="C114" s="4">
        <v>0.16600000000000004</v>
      </c>
      <c r="D114" s="4">
        <v>0.96599999999999997</v>
      </c>
      <c r="E114" s="4">
        <v>0.93300000000000005</v>
      </c>
      <c r="F114" s="4">
        <v>0.99099999999999999</v>
      </c>
      <c r="G114" s="4">
        <v>0.504</v>
      </c>
      <c r="H114" s="4">
        <v>0.88400000000000001</v>
      </c>
      <c r="I114" s="4">
        <v>0.504</v>
      </c>
      <c r="J114" s="4">
        <v>0.38049999999999984</v>
      </c>
      <c r="K114" s="1">
        <v>700</v>
      </c>
      <c r="L114" s="1">
        <v>0</v>
      </c>
      <c r="M114" s="1">
        <v>0</v>
      </c>
      <c r="N114" s="1">
        <v>0</v>
      </c>
      <c r="O114" s="1" t="str">
        <f t="shared" si="12"/>
        <v>Expansion</v>
      </c>
      <c r="P114" s="2">
        <f t="shared" si="13"/>
        <v>38138</v>
      </c>
      <c r="Q114" s="9">
        <f>VLOOKUP(P114,BB!$A$3:$D$6771, 3, 1)*100</f>
        <v>99</v>
      </c>
      <c r="R114" s="1" t="str">
        <f t="shared" si="18"/>
        <v/>
      </c>
      <c r="S114" s="1">
        <f t="shared" si="10"/>
        <v>103</v>
      </c>
      <c r="T114" s="1" t="str">
        <f t="shared" si="9"/>
        <v/>
      </c>
      <c r="AK114" s="1">
        <v>10</v>
      </c>
      <c r="AL114" s="1">
        <v>0</v>
      </c>
      <c r="AM114" s="1">
        <v>0</v>
      </c>
      <c r="AN114" s="1">
        <v>0</v>
      </c>
      <c r="AO114" s="1">
        <f t="shared" si="14"/>
        <v>700</v>
      </c>
      <c r="AP114" s="1">
        <f t="shared" si="15"/>
        <v>0</v>
      </c>
      <c r="AQ114" s="1">
        <f t="shared" si="16"/>
        <v>0</v>
      </c>
      <c r="AR114" s="1">
        <f t="shared" si="17"/>
        <v>0</v>
      </c>
    </row>
    <row r="115" spans="1:44" x14ac:dyDescent="0.2">
      <c r="A115" s="2">
        <v>38139</v>
      </c>
      <c r="B115" s="4">
        <v>3.3000000000000002E-2</v>
      </c>
      <c r="C115" s="4">
        <v>0.22399999999999998</v>
      </c>
      <c r="D115" s="4">
        <v>0.93300000000000005</v>
      </c>
      <c r="E115" s="4">
        <v>0.91700000000000004</v>
      </c>
      <c r="F115" s="4">
        <v>0.92500000000000004</v>
      </c>
      <c r="G115" s="4">
        <v>0.76</v>
      </c>
      <c r="H115" s="4">
        <v>0.89200000000000002</v>
      </c>
      <c r="I115" s="4">
        <v>0.495</v>
      </c>
      <c r="J115" s="4">
        <v>0.35262499999999997</v>
      </c>
      <c r="K115" s="1">
        <v>700</v>
      </c>
      <c r="L115" s="1">
        <v>0</v>
      </c>
      <c r="M115" s="1">
        <v>0</v>
      </c>
      <c r="N115" s="1">
        <v>0</v>
      </c>
      <c r="O115" s="1" t="str">
        <f t="shared" si="12"/>
        <v>Expansion</v>
      </c>
      <c r="P115" s="2">
        <f t="shared" si="13"/>
        <v>38168</v>
      </c>
      <c r="Q115" s="9">
        <f>VLOOKUP(P115,BB!$A$3:$D$6771, 3, 1)*100</f>
        <v>99</v>
      </c>
      <c r="R115" s="1" t="str">
        <f t="shared" si="18"/>
        <v/>
      </c>
      <c r="S115" s="1">
        <f t="shared" si="10"/>
        <v>103</v>
      </c>
      <c r="T115" s="1" t="str">
        <f t="shared" si="9"/>
        <v/>
      </c>
      <c r="AK115" s="1">
        <v>10</v>
      </c>
      <c r="AL115" s="1">
        <v>0</v>
      </c>
      <c r="AM115" s="1">
        <v>0</v>
      </c>
      <c r="AN115" s="1">
        <v>0</v>
      </c>
      <c r="AO115" s="1">
        <f t="shared" si="14"/>
        <v>700</v>
      </c>
      <c r="AP115" s="1">
        <f t="shared" si="15"/>
        <v>0</v>
      </c>
      <c r="AQ115" s="1">
        <f t="shared" si="16"/>
        <v>0</v>
      </c>
      <c r="AR115" s="1">
        <f t="shared" si="17"/>
        <v>0</v>
      </c>
    </row>
    <row r="116" spans="1:44" x14ac:dyDescent="0.2">
      <c r="A116" s="2">
        <v>38169</v>
      </c>
      <c r="B116" s="4">
        <v>4.9000000000000002E-2</v>
      </c>
      <c r="C116" s="4">
        <v>0.27300000000000002</v>
      </c>
      <c r="D116" s="4">
        <v>0.94199999999999995</v>
      </c>
      <c r="E116" s="4">
        <v>0.93300000000000005</v>
      </c>
      <c r="F116" s="4">
        <v>0.95799999999999996</v>
      </c>
      <c r="G116" s="4">
        <v>0.752</v>
      </c>
      <c r="H116" s="4">
        <v>0.94199999999999995</v>
      </c>
      <c r="I116" s="4">
        <v>0.54500000000000004</v>
      </c>
      <c r="J116" s="4">
        <v>0.32574999999999998</v>
      </c>
      <c r="K116" s="1">
        <v>700</v>
      </c>
      <c r="L116" s="1">
        <v>0</v>
      </c>
      <c r="M116" s="1">
        <v>0</v>
      </c>
      <c r="N116" s="1">
        <v>0</v>
      </c>
      <c r="O116" s="1" t="str">
        <f t="shared" si="12"/>
        <v>Expansion</v>
      </c>
      <c r="P116" s="2">
        <f t="shared" si="13"/>
        <v>38199</v>
      </c>
      <c r="Q116" s="9">
        <f>VLOOKUP(P116,BB!$A$3:$D$6771, 3, 1)*100</f>
        <v>95</v>
      </c>
      <c r="R116" s="1" t="str">
        <f t="shared" si="18"/>
        <v/>
      </c>
      <c r="S116" s="1">
        <f t="shared" si="10"/>
        <v>103</v>
      </c>
      <c r="T116" s="1" t="str">
        <f t="shared" si="9"/>
        <v/>
      </c>
      <c r="AK116" s="1">
        <v>10</v>
      </c>
      <c r="AL116" s="1">
        <v>0</v>
      </c>
      <c r="AM116" s="1">
        <v>0</v>
      </c>
      <c r="AN116" s="1">
        <v>0</v>
      </c>
      <c r="AO116" s="1">
        <f t="shared" si="14"/>
        <v>700</v>
      </c>
      <c r="AP116" s="1">
        <f t="shared" si="15"/>
        <v>0</v>
      </c>
      <c r="AQ116" s="1">
        <f t="shared" si="16"/>
        <v>0</v>
      </c>
      <c r="AR116" s="1">
        <f t="shared" si="17"/>
        <v>0</v>
      </c>
    </row>
    <row r="117" spans="1:44" x14ac:dyDescent="0.2">
      <c r="A117" s="2">
        <v>38200</v>
      </c>
      <c r="B117" s="4">
        <v>0.16500000000000001</v>
      </c>
      <c r="C117" s="4">
        <v>0.29000000000000004</v>
      </c>
      <c r="D117" s="4">
        <v>0.89200000000000002</v>
      </c>
      <c r="E117" s="4">
        <v>0.95</v>
      </c>
      <c r="F117" s="4">
        <v>0.94199999999999995</v>
      </c>
      <c r="G117" s="4">
        <v>0.80100000000000005</v>
      </c>
      <c r="H117" s="4">
        <v>0.98299999999999998</v>
      </c>
      <c r="I117" s="4">
        <v>0.45400000000000001</v>
      </c>
      <c r="J117" s="4">
        <v>0.31537500000000007</v>
      </c>
      <c r="K117" s="1">
        <v>700</v>
      </c>
      <c r="L117" s="1">
        <v>0</v>
      </c>
      <c r="M117" s="1">
        <v>0</v>
      </c>
      <c r="N117" s="1">
        <v>0</v>
      </c>
      <c r="O117" s="1" t="str">
        <f t="shared" si="12"/>
        <v>Expansion</v>
      </c>
      <c r="P117" s="2">
        <f t="shared" si="13"/>
        <v>38230</v>
      </c>
      <c r="Q117" s="9">
        <f>VLOOKUP(P117,BB!$A$3:$D$6771, 3, 1)*100</f>
        <v>95</v>
      </c>
      <c r="R117" s="1" t="str">
        <f t="shared" si="18"/>
        <v/>
      </c>
      <c r="S117" s="1">
        <f t="shared" si="10"/>
        <v>103</v>
      </c>
      <c r="T117" s="1" t="str">
        <f t="shared" si="9"/>
        <v/>
      </c>
      <c r="AK117" s="1">
        <v>10</v>
      </c>
      <c r="AL117" s="1">
        <v>0</v>
      </c>
      <c r="AM117" s="1">
        <v>0</v>
      </c>
      <c r="AN117" s="1">
        <v>0</v>
      </c>
      <c r="AO117" s="1">
        <f t="shared" si="14"/>
        <v>700</v>
      </c>
      <c r="AP117" s="1">
        <f t="shared" si="15"/>
        <v>0</v>
      </c>
      <c r="AQ117" s="1">
        <f t="shared" si="16"/>
        <v>0</v>
      </c>
      <c r="AR117" s="1">
        <f t="shared" si="17"/>
        <v>0</v>
      </c>
    </row>
    <row r="118" spans="1:44" x14ac:dyDescent="0.2">
      <c r="A118" s="2">
        <v>38231</v>
      </c>
      <c r="B118" s="4">
        <v>0.19</v>
      </c>
      <c r="C118" s="4">
        <v>0.30600000000000005</v>
      </c>
      <c r="D118" s="4">
        <v>0.88400000000000001</v>
      </c>
      <c r="E118" s="4">
        <v>0.84199999999999997</v>
      </c>
      <c r="F118" s="4">
        <v>0.9</v>
      </c>
      <c r="G118" s="4">
        <v>0.68500000000000005</v>
      </c>
      <c r="H118" s="4">
        <v>0.99099999999999999</v>
      </c>
      <c r="I118" s="4">
        <v>0.17299999999999999</v>
      </c>
      <c r="J118" s="4">
        <v>0.37862499999999999</v>
      </c>
      <c r="K118" s="1">
        <v>700</v>
      </c>
      <c r="L118" s="1">
        <v>0</v>
      </c>
      <c r="M118" s="1">
        <v>0</v>
      </c>
      <c r="N118" s="1">
        <v>0</v>
      </c>
      <c r="O118" s="1" t="str">
        <f t="shared" si="12"/>
        <v>Expansion</v>
      </c>
      <c r="P118" s="2">
        <f t="shared" si="13"/>
        <v>38260</v>
      </c>
      <c r="Q118" s="9">
        <f>VLOOKUP(P118,BB!$A$3:$D$6771, 3, 1)*100</f>
        <v>90</v>
      </c>
      <c r="R118" s="1" t="str">
        <f t="shared" si="18"/>
        <v/>
      </c>
      <c r="S118" s="1">
        <f t="shared" si="10"/>
        <v>103</v>
      </c>
      <c r="T118" s="1" t="str">
        <f t="shared" si="9"/>
        <v/>
      </c>
      <c r="AK118" s="1">
        <v>10</v>
      </c>
      <c r="AL118" s="1">
        <v>0</v>
      </c>
      <c r="AM118" s="1">
        <v>0</v>
      </c>
      <c r="AN118" s="1">
        <v>0</v>
      </c>
      <c r="AO118" s="1">
        <f t="shared" si="14"/>
        <v>700</v>
      </c>
      <c r="AP118" s="1">
        <f t="shared" si="15"/>
        <v>0</v>
      </c>
      <c r="AQ118" s="1">
        <f t="shared" si="16"/>
        <v>0</v>
      </c>
      <c r="AR118" s="1">
        <f t="shared" si="17"/>
        <v>0</v>
      </c>
    </row>
    <row r="119" spans="1:44" x14ac:dyDescent="0.2">
      <c r="A119" s="2">
        <v>38261</v>
      </c>
      <c r="B119" s="4">
        <v>0.157</v>
      </c>
      <c r="C119" s="4">
        <v>0.31499999999999995</v>
      </c>
      <c r="D119" s="4">
        <v>0.82599999999999996</v>
      </c>
      <c r="E119" s="4">
        <v>0.85899999999999999</v>
      </c>
      <c r="F119" s="4">
        <v>0.92500000000000004</v>
      </c>
      <c r="G119" s="4">
        <v>0.65200000000000002</v>
      </c>
      <c r="H119" s="4">
        <v>0.99099999999999999</v>
      </c>
      <c r="I119" s="4">
        <v>0.214</v>
      </c>
      <c r="J119" s="4">
        <v>0.38262499999999999</v>
      </c>
      <c r="K119" s="1">
        <v>700</v>
      </c>
      <c r="L119" s="1">
        <v>0</v>
      </c>
      <c r="M119" s="1">
        <v>0</v>
      </c>
      <c r="N119" s="1">
        <v>0</v>
      </c>
      <c r="O119" s="1" t="str">
        <f t="shared" si="12"/>
        <v>Expansion</v>
      </c>
      <c r="P119" s="2">
        <f t="shared" si="13"/>
        <v>38291</v>
      </c>
      <c r="Q119" s="9">
        <f>VLOOKUP(P119,BB!$A$3:$D$6771, 3, 1)*100</f>
        <v>90</v>
      </c>
      <c r="R119" s="1">
        <f t="shared" si="18"/>
        <v>-13</v>
      </c>
      <c r="S119" s="1">
        <f t="shared" si="10"/>
        <v>103</v>
      </c>
      <c r="T119" s="1" t="str">
        <f t="shared" si="9"/>
        <v>Expansion</v>
      </c>
      <c r="AK119" s="1">
        <v>10</v>
      </c>
      <c r="AL119" s="1">
        <v>0</v>
      </c>
      <c r="AM119" s="1">
        <v>0</v>
      </c>
      <c r="AN119" s="1">
        <v>0</v>
      </c>
      <c r="AO119" s="1">
        <f t="shared" si="14"/>
        <v>700</v>
      </c>
      <c r="AP119" s="1">
        <f t="shared" si="15"/>
        <v>0</v>
      </c>
      <c r="AQ119" s="1">
        <f t="shared" si="16"/>
        <v>0</v>
      </c>
      <c r="AR119" s="1">
        <f t="shared" si="17"/>
        <v>0</v>
      </c>
    </row>
    <row r="120" spans="1:44" x14ac:dyDescent="0.2">
      <c r="A120" s="2">
        <v>38292</v>
      </c>
      <c r="B120" s="4">
        <v>0.17299999999999999</v>
      </c>
      <c r="C120" s="4">
        <v>0.32299999999999995</v>
      </c>
      <c r="D120" s="4">
        <v>0.88400000000000001</v>
      </c>
      <c r="E120" s="4">
        <v>0.76800000000000002</v>
      </c>
      <c r="F120" s="4">
        <v>0.91700000000000004</v>
      </c>
      <c r="G120" s="4">
        <v>0.76</v>
      </c>
      <c r="H120" s="4">
        <v>0.90900000000000003</v>
      </c>
      <c r="I120" s="4">
        <v>0.55300000000000005</v>
      </c>
      <c r="J120" s="4">
        <v>0.33912500000000012</v>
      </c>
      <c r="K120" s="1">
        <v>0</v>
      </c>
      <c r="L120" s="1">
        <v>700</v>
      </c>
      <c r="M120" s="1">
        <v>0</v>
      </c>
      <c r="N120" s="1">
        <v>0</v>
      </c>
      <c r="O120" s="1" t="str">
        <f t="shared" si="12"/>
        <v>Downturn</v>
      </c>
      <c r="P120" s="2">
        <f t="shared" si="13"/>
        <v>38321</v>
      </c>
      <c r="Q120" s="9">
        <f>VLOOKUP(P120,BB!$A$3:$D$6771, 3, 1)*100</f>
        <v>84</v>
      </c>
      <c r="R120" s="1">
        <f t="shared" si="18"/>
        <v>-6</v>
      </c>
      <c r="S120" s="1">
        <f t="shared" si="10"/>
        <v>90</v>
      </c>
      <c r="T120" s="1" t="str">
        <f t="shared" si="9"/>
        <v>Downturn</v>
      </c>
      <c r="AK120" s="1">
        <v>0</v>
      </c>
      <c r="AL120" s="1">
        <v>10</v>
      </c>
      <c r="AM120" s="1">
        <v>0</v>
      </c>
      <c r="AN120" s="1">
        <v>0</v>
      </c>
      <c r="AO120" s="1">
        <f t="shared" si="14"/>
        <v>0</v>
      </c>
      <c r="AP120" s="1">
        <f t="shared" si="15"/>
        <v>700</v>
      </c>
      <c r="AQ120" s="1">
        <f t="shared" si="16"/>
        <v>0</v>
      </c>
      <c r="AR120" s="1">
        <f t="shared" si="17"/>
        <v>0</v>
      </c>
    </row>
    <row r="121" spans="1:44" x14ac:dyDescent="0.2">
      <c r="A121" s="2">
        <v>38322</v>
      </c>
      <c r="B121" s="4">
        <v>0.214</v>
      </c>
      <c r="C121" s="4">
        <v>0.36399999999999999</v>
      </c>
      <c r="D121" s="4">
        <v>0.9</v>
      </c>
      <c r="E121" s="4">
        <v>0.76</v>
      </c>
      <c r="F121" s="4">
        <v>0.91700000000000004</v>
      </c>
      <c r="G121" s="4">
        <v>0.59499999999999997</v>
      </c>
      <c r="H121" s="4">
        <v>0.92500000000000004</v>
      </c>
      <c r="I121" s="4">
        <v>0.92500000000000004</v>
      </c>
      <c r="J121" s="4">
        <v>0.30000000000000004</v>
      </c>
      <c r="K121" s="1">
        <v>700</v>
      </c>
      <c r="L121" s="1">
        <v>0</v>
      </c>
      <c r="M121" s="1">
        <v>0</v>
      </c>
      <c r="N121" s="1">
        <v>0</v>
      </c>
      <c r="O121" s="1" t="str">
        <f t="shared" si="12"/>
        <v>Expansion</v>
      </c>
      <c r="P121" s="2">
        <f t="shared" si="13"/>
        <v>38352</v>
      </c>
      <c r="Q121" s="9">
        <f>VLOOKUP(P121,BB!$A$3:$D$6771, 3, 1)*100</f>
        <v>81</v>
      </c>
      <c r="R121" s="1" t="str">
        <f t="shared" si="18"/>
        <v/>
      </c>
      <c r="S121" s="1">
        <f t="shared" si="10"/>
        <v>84</v>
      </c>
      <c r="T121" s="1" t="str">
        <f t="shared" si="9"/>
        <v/>
      </c>
      <c r="AK121" s="1">
        <v>10</v>
      </c>
      <c r="AL121" s="1">
        <v>0</v>
      </c>
      <c r="AM121" s="1">
        <v>0</v>
      </c>
      <c r="AN121" s="1">
        <v>0</v>
      </c>
      <c r="AO121" s="1">
        <f t="shared" si="14"/>
        <v>700</v>
      </c>
      <c r="AP121" s="1">
        <f t="shared" si="15"/>
        <v>0</v>
      </c>
      <c r="AQ121" s="1">
        <f t="shared" si="16"/>
        <v>0</v>
      </c>
      <c r="AR121" s="1">
        <f t="shared" si="17"/>
        <v>0</v>
      </c>
    </row>
    <row r="122" spans="1:44" x14ac:dyDescent="0.2">
      <c r="A122" s="2">
        <v>38353</v>
      </c>
      <c r="B122" s="4">
        <v>0.23899999999999999</v>
      </c>
      <c r="C122" s="4">
        <v>0.38100000000000001</v>
      </c>
      <c r="D122" s="4">
        <v>0.80900000000000005</v>
      </c>
      <c r="E122" s="4">
        <v>0.80900000000000005</v>
      </c>
      <c r="F122" s="4">
        <v>0.99099999999999999</v>
      </c>
      <c r="G122" s="4">
        <v>0.54500000000000004</v>
      </c>
      <c r="H122" s="4">
        <v>0.94199999999999995</v>
      </c>
      <c r="I122" s="4">
        <v>0.78500000000000003</v>
      </c>
      <c r="J122" s="4">
        <v>0.31237499999999996</v>
      </c>
      <c r="K122" s="1">
        <v>700</v>
      </c>
      <c r="L122" s="1">
        <v>0</v>
      </c>
      <c r="M122" s="1">
        <v>0</v>
      </c>
      <c r="N122" s="1">
        <v>0</v>
      </c>
      <c r="O122" s="1" t="str">
        <f t="shared" si="12"/>
        <v>Expansion</v>
      </c>
      <c r="P122" s="2">
        <f t="shared" si="13"/>
        <v>38383</v>
      </c>
      <c r="Q122" s="9">
        <f>VLOOKUP(P122,BB!$A$3:$D$6771, 3, 1)*100</f>
        <v>82</v>
      </c>
      <c r="R122" s="1" t="str">
        <f t="shared" si="18"/>
        <v/>
      </c>
      <c r="S122" s="1">
        <f t="shared" si="10"/>
        <v>84</v>
      </c>
      <c r="T122" s="1" t="str">
        <f t="shared" si="9"/>
        <v/>
      </c>
      <c r="AK122" s="1">
        <v>10</v>
      </c>
      <c r="AL122" s="1">
        <v>0</v>
      </c>
      <c r="AM122" s="1">
        <v>0</v>
      </c>
      <c r="AN122" s="1">
        <v>0</v>
      </c>
      <c r="AO122" s="1">
        <f t="shared" si="14"/>
        <v>700</v>
      </c>
      <c r="AP122" s="1">
        <f t="shared" si="15"/>
        <v>0</v>
      </c>
      <c r="AQ122" s="1">
        <f t="shared" si="16"/>
        <v>0</v>
      </c>
      <c r="AR122" s="1">
        <f t="shared" si="17"/>
        <v>0</v>
      </c>
    </row>
    <row r="123" spans="1:44" x14ac:dyDescent="0.2">
      <c r="A123" s="2">
        <v>38384</v>
      </c>
      <c r="B123" s="4">
        <v>0.247</v>
      </c>
      <c r="C123" s="4">
        <v>0.38900000000000001</v>
      </c>
      <c r="D123" s="4">
        <v>0.72699999999999998</v>
      </c>
      <c r="E123" s="4">
        <v>0.72699999999999998</v>
      </c>
      <c r="F123" s="4">
        <v>0.99099999999999999</v>
      </c>
      <c r="G123" s="4">
        <v>0.504</v>
      </c>
      <c r="H123" s="4">
        <v>0.85899999999999999</v>
      </c>
      <c r="I123" s="4">
        <v>0.44600000000000001</v>
      </c>
      <c r="J123" s="4">
        <v>0.38875000000000004</v>
      </c>
      <c r="K123" s="1">
        <v>700</v>
      </c>
      <c r="L123" s="1">
        <v>0</v>
      </c>
      <c r="M123" s="1">
        <v>0</v>
      </c>
      <c r="N123" s="1">
        <v>0</v>
      </c>
      <c r="O123" s="1" t="str">
        <f t="shared" si="12"/>
        <v>Expansion</v>
      </c>
      <c r="P123" s="2">
        <f t="shared" si="13"/>
        <v>38411</v>
      </c>
      <c r="Q123" s="9">
        <f>VLOOKUP(P123,BB!$A$3:$D$6771, 3, 1)*100</f>
        <v>77</v>
      </c>
      <c r="R123" s="1">
        <f t="shared" si="18"/>
        <v>-7</v>
      </c>
      <c r="S123" s="1">
        <f t="shared" si="10"/>
        <v>84</v>
      </c>
      <c r="T123" s="1" t="str">
        <f t="shared" si="9"/>
        <v>Expansion</v>
      </c>
      <c r="AK123" s="1">
        <v>10</v>
      </c>
      <c r="AL123" s="1">
        <v>0</v>
      </c>
      <c r="AM123" s="1">
        <v>0</v>
      </c>
      <c r="AN123" s="1">
        <v>0</v>
      </c>
      <c r="AO123" s="1">
        <f t="shared" si="14"/>
        <v>700</v>
      </c>
      <c r="AP123" s="1">
        <f t="shared" si="15"/>
        <v>0</v>
      </c>
      <c r="AQ123" s="1">
        <f t="shared" si="16"/>
        <v>0</v>
      </c>
      <c r="AR123" s="1">
        <f t="shared" si="17"/>
        <v>0</v>
      </c>
    </row>
    <row r="124" spans="1:44" x14ac:dyDescent="0.2">
      <c r="A124" s="2">
        <v>38412</v>
      </c>
      <c r="B124" s="4">
        <v>0.25600000000000001</v>
      </c>
      <c r="C124" s="4">
        <v>0.40500000000000003</v>
      </c>
      <c r="D124" s="4">
        <v>0.70199999999999996</v>
      </c>
      <c r="E124" s="4">
        <v>0.84199999999999997</v>
      </c>
      <c r="F124" s="4">
        <v>0.98299999999999998</v>
      </c>
      <c r="G124" s="4">
        <v>0.504</v>
      </c>
      <c r="H124" s="4">
        <v>0.83399999999999996</v>
      </c>
      <c r="I124" s="4">
        <v>0.495</v>
      </c>
      <c r="J124" s="4">
        <v>0.37237500000000001</v>
      </c>
      <c r="K124" s="1">
        <v>0</v>
      </c>
      <c r="L124" s="1">
        <v>700</v>
      </c>
      <c r="M124" s="1">
        <v>0</v>
      </c>
      <c r="N124" s="1">
        <v>0</v>
      </c>
      <c r="O124" s="1" t="str">
        <f t="shared" si="12"/>
        <v>Downturn</v>
      </c>
      <c r="P124" s="2">
        <f t="shared" si="13"/>
        <v>38442</v>
      </c>
      <c r="Q124" s="9">
        <f>VLOOKUP(P124,BB!$A$3:$D$6771, 3, 1)*100</f>
        <v>93</v>
      </c>
      <c r="R124" s="1" t="str">
        <f t="shared" si="18"/>
        <v/>
      </c>
      <c r="S124" s="1">
        <f t="shared" si="10"/>
        <v>77</v>
      </c>
      <c r="T124" s="1" t="str">
        <f t="shared" si="9"/>
        <v/>
      </c>
      <c r="AK124" s="1">
        <v>0</v>
      </c>
      <c r="AL124" s="1">
        <v>10</v>
      </c>
      <c r="AM124" s="1">
        <v>0</v>
      </c>
      <c r="AN124" s="1">
        <v>0</v>
      </c>
      <c r="AO124" s="1">
        <f t="shared" si="14"/>
        <v>0</v>
      </c>
      <c r="AP124" s="1">
        <f t="shared" si="15"/>
        <v>700</v>
      </c>
      <c r="AQ124" s="1">
        <f t="shared" si="16"/>
        <v>0</v>
      </c>
      <c r="AR124" s="1">
        <f t="shared" si="17"/>
        <v>0</v>
      </c>
    </row>
    <row r="125" spans="1:44" x14ac:dyDescent="0.2">
      <c r="A125" s="2">
        <v>38443</v>
      </c>
      <c r="B125" s="4">
        <v>0.23899999999999999</v>
      </c>
      <c r="C125" s="4">
        <v>0.52100000000000002</v>
      </c>
      <c r="D125" s="4">
        <v>0.55300000000000005</v>
      </c>
      <c r="E125" s="4">
        <v>0.91700000000000004</v>
      </c>
      <c r="F125" s="4">
        <v>0.96599999999999997</v>
      </c>
      <c r="G125" s="4">
        <v>0.57799999999999996</v>
      </c>
      <c r="H125" s="4">
        <v>0.88400000000000001</v>
      </c>
      <c r="I125" s="4">
        <v>0.71</v>
      </c>
      <c r="J125" s="4">
        <v>0.32899999999999996</v>
      </c>
      <c r="K125" s="1">
        <v>0</v>
      </c>
      <c r="L125" s="1">
        <v>700</v>
      </c>
      <c r="M125" s="1">
        <v>0</v>
      </c>
      <c r="N125" s="1">
        <v>0</v>
      </c>
      <c r="O125" s="1" t="str">
        <f t="shared" si="12"/>
        <v>Downturn</v>
      </c>
      <c r="P125" s="2">
        <f t="shared" si="13"/>
        <v>38472</v>
      </c>
      <c r="Q125" s="9">
        <f>VLOOKUP(P125,BB!$A$3:$D$6771, 3, 1)*100</f>
        <v>104</v>
      </c>
      <c r="R125" s="1">
        <f t="shared" si="18"/>
        <v>27</v>
      </c>
      <c r="S125" s="1">
        <f t="shared" si="10"/>
        <v>77</v>
      </c>
      <c r="T125" s="1" t="str">
        <f t="shared" si="9"/>
        <v>Downturn</v>
      </c>
      <c r="AK125" s="1">
        <v>0</v>
      </c>
      <c r="AL125" s="1">
        <v>10</v>
      </c>
      <c r="AM125" s="1">
        <v>0</v>
      </c>
      <c r="AN125" s="1">
        <v>0</v>
      </c>
      <c r="AO125" s="1">
        <f t="shared" si="14"/>
        <v>0</v>
      </c>
      <c r="AP125" s="1">
        <f t="shared" si="15"/>
        <v>700</v>
      </c>
      <c r="AQ125" s="1">
        <f t="shared" si="16"/>
        <v>0</v>
      </c>
      <c r="AR125" s="1">
        <f t="shared" si="17"/>
        <v>0</v>
      </c>
    </row>
    <row r="126" spans="1:44" x14ac:dyDescent="0.2">
      <c r="A126" s="2">
        <v>38473</v>
      </c>
      <c r="B126" s="4">
        <v>0.32200000000000001</v>
      </c>
      <c r="C126" s="4">
        <v>0.63700000000000001</v>
      </c>
      <c r="D126" s="4">
        <v>0.42899999999999999</v>
      </c>
      <c r="E126" s="4">
        <v>0.93300000000000005</v>
      </c>
      <c r="F126" s="4">
        <v>0.95799999999999996</v>
      </c>
      <c r="G126" s="4">
        <v>0.58599999999999997</v>
      </c>
      <c r="H126" s="4">
        <v>0.95</v>
      </c>
      <c r="I126" s="4">
        <v>0.56999999999999995</v>
      </c>
      <c r="J126" s="4">
        <v>0.32687500000000003</v>
      </c>
      <c r="K126" s="1">
        <v>700</v>
      </c>
      <c r="L126" s="1">
        <v>0</v>
      </c>
      <c r="M126" s="1">
        <v>0</v>
      </c>
      <c r="N126" s="1">
        <v>0</v>
      </c>
      <c r="O126" s="1" t="str">
        <f t="shared" si="12"/>
        <v>Expansion</v>
      </c>
      <c r="P126" s="2">
        <f t="shared" si="13"/>
        <v>38503</v>
      </c>
      <c r="Q126" s="9">
        <f>VLOOKUP(P126,BB!$A$3:$D$6771, 3, 1)*100</f>
        <v>87</v>
      </c>
      <c r="R126" s="1" t="str">
        <f t="shared" si="18"/>
        <v/>
      </c>
      <c r="S126" s="1">
        <f t="shared" si="10"/>
        <v>104</v>
      </c>
      <c r="T126" s="1" t="str">
        <f t="shared" ref="T126:T189" si="19">IF(ISNUMBER(R126)=TRUE, O126, "")</f>
        <v/>
      </c>
      <c r="AK126" s="1">
        <v>10</v>
      </c>
      <c r="AL126" s="1">
        <v>0</v>
      </c>
      <c r="AM126" s="1">
        <v>0</v>
      </c>
      <c r="AN126" s="1">
        <v>0</v>
      </c>
      <c r="AO126" s="1">
        <f t="shared" si="14"/>
        <v>700</v>
      </c>
      <c r="AP126" s="1">
        <f t="shared" si="15"/>
        <v>0</v>
      </c>
      <c r="AQ126" s="1">
        <f t="shared" si="16"/>
        <v>0</v>
      </c>
      <c r="AR126" s="1">
        <f t="shared" si="17"/>
        <v>0</v>
      </c>
    </row>
    <row r="127" spans="1:44" x14ac:dyDescent="0.2">
      <c r="A127" s="2">
        <v>38504</v>
      </c>
      <c r="B127" s="4">
        <v>0.35499999999999998</v>
      </c>
      <c r="C127" s="4">
        <v>0.70300000000000007</v>
      </c>
      <c r="D127" s="4">
        <v>0.58599999999999997</v>
      </c>
      <c r="E127" s="4">
        <v>0.9</v>
      </c>
      <c r="F127" s="4">
        <v>0.85099999999999998</v>
      </c>
      <c r="G127" s="4">
        <v>0.54500000000000004</v>
      </c>
      <c r="H127" s="4">
        <v>0.95799999999999996</v>
      </c>
      <c r="I127" s="4">
        <v>0.88400000000000001</v>
      </c>
      <c r="J127" s="4">
        <v>0.27725</v>
      </c>
      <c r="K127" s="1">
        <v>700</v>
      </c>
      <c r="L127" s="1">
        <v>0</v>
      </c>
      <c r="M127" s="1">
        <v>0</v>
      </c>
      <c r="N127" s="1">
        <v>0</v>
      </c>
      <c r="O127" s="1" t="str">
        <f t="shared" si="12"/>
        <v>Expansion</v>
      </c>
      <c r="P127" s="2">
        <f t="shared" si="13"/>
        <v>38533</v>
      </c>
      <c r="Q127" s="9">
        <f>VLOOKUP(P127,BB!$A$3:$D$6771, 3, 1)*100</f>
        <v>93</v>
      </c>
      <c r="R127" s="1" t="str">
        <f t="shared" si="18"/>
        <v/>
      </c>
      <c r="S127" s="1">
        <f t="shared" si="10"/>
        <v>104</v>
      </c>
      <c r="T127" s="1" t="str">
        <f t="shared" si="19"/>
        <v/>
      </c>
      <c r="AK127" s="1">
        <v>10</v>
      </c>
      <c r="AL127" s="1">
        <v>0</v>
      </c>
      <c r="AM127" s="1">
        <v>0</v>
      </c>
      <c r="AN127" s="1">
        <v>0</v>
      </c>
      <c r="AO127" s="1">
        <f t="shared" si="14"/>
        <v>700</v>
      </c>
      <c r="AP127" s="1">
        <f t="shared" si="15"/>
        <v>0</v>
      </c>
      <c r="AQ127" s="1">
        <f t="shared" si="16"/>
        <v>0</v>
      </c>
      <c r="AR127" s="1">
        <f t="shared" si="17"/>
        <v>0</v>
      </c>
    </row>
    <row r="128" spans="1:44" x14ac:dyDescent="0.2">
      <c r="A128" s="2">
        <v>38534</v>
      </c>
      <c r="B128" s="4">
        <v>0.314</v>
      </c>
      <c r="C128" s="4">
        <v>0.71100000000000008</v>
      </c>
      <c r="D128" s="4">
        <v>0.80900000000000005</v>
      </c>
      <c r="E128" s="4">
        <v>0.79300000000000004</v>
      </c>
      <c r="F128" s="4">
        <v>0.80900000000000005</v>
      </c>
      <c r="G128" s="4">
        <v>0.52</v>
      </c>
      <c r="H128" s="4">
        <v>0.84199999999999997</v>
      </c>
      <c r="I128" s="4">
        <v>0.42899999999999999</v>
      </c>
      <c r="J128" s="4">
        <v>0.34662499999999996</v>
      </c>
      <c r="K128" s="1">
        <v>700</v>
      </c>
      <c r="L128" s="1">
        <v>0</v>
      </c>
      <c r="M128" s="1">
        <v>0</v>
      </c>
      <c r="N128" s="1">
        <v>0</v>
      </c>
      <c r="O128" s="1" t="str">
        <f t="shared" si="12"/>
        <v>Expansion</v>
      </c>
      <c r="P128" s="2">
        <f t="shared" si="13"/>
        <v>38564</v>
      </c>
      <c r="Q128" s="9">
        <f>VLOOKUP(P128,BB!$A$3:$D$6771, 3, 1)*100</f>
        <v>85</v>
      </c>
      <c r="R128" s="1" t="str">
        <f t="shared" si="18"/>
        <v/>
      </c>
      <c r="S128" s="1">
        <f t="shared" ref="S128:S191" si="20">IF(O128&lt;&gt;O127,Q127,S127)</f>
        <v>104</v>
      </c>
      <c r="T128" s="1" t="str">
        <f t="shared" si="19"/>
        <v/>
      </c>
      <c r="AK128" s="1">
        <v>10</v>
      </c>
      <c r="AL128" s="1">
        <v>0</v>
      </c>
      <c r="AM128" s="1">
        <v>0</v>
      </c>
      <c r="AN128" s="1">
        <v>0</v>
      </c>
      <c r="AO128" s="1">
        <f t="shared" si="14"/>
        <v>700</v>
      </c>
      <c r="AP128" s="1">
        <f t="shared" si="15"/>
        <v>0</v>
      </c>
      <c r="AQ128" s="1">
        <f t="shared" si="16"/>
        <v>0</v>
      </c>
      <c r="AR128" s="1">
        <f t="shared" si="17"/>
        <v>0</v>
      </c>
    </row>
    <row r="129" spans="1:44" x14ac:dyDescent="0.2">
      <c r="A129" s="2">
        <v>38565</v>
      </c>
      <c r="B129" s="4">
        <v>0.28000000000000003</v>
      </c>
      <c r="C129" s="4">
        <v>0.76900000000000002</v>
      </c>
      <c r="D129" s="4">
        <v>0.55300000000000005</v>
      </c>
      <c r="E129" s="4">
        <v>0.86699999999999999</v>
      </c>
      <c r="F129" s="4">
        <v>0.81799999999999995</v>
      </c>
      <c r="G129" s="4">
        <v>0.52800000000000002</v>
      </c>
      <c r="H129" s="4">
        <v>0.94199999999999995</v>
      </c>
      <c r="I129" s="4">
        <v>0.52</v>
      </c>
      <c r="J129" s="4">
        <v>0.34037500000000009</v>
      </c>
      <c r="K129" s="1">
        <v>700</v>
      </c>
      <c r="L129" s="1">
        <v>0</v>
      </c>
      <c r="M129" s="1">
        <v>0</v>
      </c>
      <c r="N129" s="1">
        <v>0</v>
      </c>
      <c r="O129" s="1" t="str">
        <f t="shared" si="12"/>
        <v>Expansion</v>
      </c>
      <c r="P129" s="2">
        <f t="shared" si="13"/>
        <v>38595</v>
      </c>
      <c r="Q129" s="9">
        <f>VLOOKUP(P129,BB!$A$3:$D$6771, 3, 1)*100</f>
        <v>87</v>
      </c>
      <c r="R129" s="1" t="str">
        <f t="shared" si="18"/>
        <v/>
      </c>
      <c r="S129" s="1">
        <f t="shared" si="20"/>
        <v>104</v>
      </c>
      <c r="T129" s="1" t="str">
        <f t="shared" si="19"/>
        <v/>
      </c>
      <c r="AK129" s="1">
        <v>10</v>
      </c>
      <c r="AL129" s="1">
        <v>0</v>
      </c>
      <c r="AM129" s="1">
        <v>0</v>
      </c>
      <c r="AN129" s="1">
        <v>0</v>
      </c>
      <c r="AO129" s="1">
        <f t="shared" si="14"/>
        <v>700</v>
      </c>
      <c r="AP129" s="1">
        <f t="shared" si="15"/>
        <v>0</v>
      </c>
      <c r="AQ129" s="1">
        <f t="shared" si="16"/>
        <v>0</v>
      </c>
      <c r="AR129" s="1">
        <f t="shared" si="17"/>
        <v>0</v>
      </c>
    </row>
    <row r="130" spans="1:44" x14ac:dyDescent="0.2">
      <c r="A130" s="2">
        <v>38596</v>
      </c>
      <c r="B130" s="4">
        <v>0.23899999999999999</v>
      </c>
      <c r="C130" s="4">
        <v>0.79400000000000004</v>
      </c>
      <c r="D130" s="4">
        <v>0.91700000000000004</v>
      </c>
      <c r="E130" s="4">
        <v>0.69399999999999995</v>
      </c>
      <c r="F130" s="4">
        <v>0.88400000000000001</v>
      </c>
      <c r="G130" s="4">
        <v>0.66900000000000004</v>
      </c>
      <c r="H130" s="4">
        <v>0.83399999999999996</v>
      </c>
      <c r="I130" s="4">
        <v>0.56100000000000005</v>
      </c>
      <c r="J130" s="4">
        <v>0.30100000000000005</v>
      </c>
      <c r="K130" s="1">
        <v>700</v>
      </c>
      <c r="L130" s="1">
        <v>0</v>
      </c>
      <c r="M130" s="1">
        <v>0</v>
      </c>
      <c r="N130" s="1">
        <v>0</v>
      </c>
      <c r="O130" s="1" t="str">
        <f t="shared" si="12"/>
        <v>Expansion</v>
      </c>
      <c r="P130" s="2">
        <f t="shared" si="13"/>
        <v>38625</v>
      </c>
      <c r="Q130" s="9">
        <f>VLOOKUP(P130,BB!$A$3:$D$6771, 3, 1)*100</f>
        <v>88</v>
      </c>
      <c r="R130" s="1" t="str">
        <f t="shared" si="18"/>
        <v/>
      </c>
      <c r="S130" s="1">
        <f t="shared" si="20"/>
        <v>104</v>
      </c>
      <c r="T130" s="1" t="str">
        <f t="shared" si="19"/>
        <v/>
      </c>
      <c r="AK130" s="1">
        <v>10</v>
      </c>
      <c r="AL130" s="1">
        <v>0</v>
      </c>
      <c r="AM130" s="1">
        <v>0</v>
      </c>
      <c r="AN130" s="1">
        <v>0</v>
      </c>
      <c r="AO130" s="1">
        <f t="shared" si="14"/>
        <v>700</v>
      </c>
      <c r="AP130" s="1">
        <f t="shared" si="15"/>
        <v>0</v>
      </c>
      <c r="AQ130" s="1">
        <f t="shared" si="16"/>
        <v>0</v>
      </c>
      <c r="AR130" s="1">
        <f t="shared" si="17"/>
        <v>0</v>
      </c>
    </row>
    <row r="131" spans="1:44" x14ac:dyDescent="0.2">
      <c r="A131" s="2">
        <v>38626</v>
      </c>
      <c r="B131" s="4">
        <v>0.28899999999999998</v>
      </c>
      <c r="C131" s="4">
        <v>0.78600000000000003</v>
      </c>
      <c r="D131" s="4">
        <v>0.90900000000000003</v>
      </c>
      <c r="E131" s="4">
        <v>0.628</v>
      </c>
      <c r="F131" s="4">
        <v>0.81799999999999995</v>
      </c>
      <c r="G131" s="4">
        <v>0.80900000000000005</v>
      </c>
      <c r="H131" s="4">
        <v>0.80100000000000005</v>
      </c>
      <c r="I131" s="4">
        <v>0.70199999999999996</v>
      </c>
      <c r="J131" s="4">
        <v>0.28225</v>
      </c>
      <c r="K131" s="1">
        <v>700</v>
      </c>
      <c r="L131" s="1">
        <v>0</v>
      </c>
      <c r="M131" s="1">
        <v>0</v>
      </c>
      <c r="N131" s="1">
        <v>0</v>
      </c>
      <c r="O131" s="1" t="str">
        <f t="shared" ref="O131:O194" si="21">IF(K131&gt;0,$K$1,IF(L131&gt;0,$L$1,IF(M131&gt;0,$M$1,$N$1)))</f>
        <v>Expansion</v>
      </c>
      <c r="P131" s="2">
        <f t="shared" ref="P131:P194" si="22">EOMONTH(A131,0)</f>
        <v>38656</v>
      </c>
      <c r="Q131" s="9">
        <f>VLOOKUP(P131,BB!$A$3:$D$6771, 3, 1)*100</f>
        <v>93</v>
      </c>
      <c r="R131" s="1" t="str">
        <f t="shared" si="18"/>
        <v/>
      </c>
      <c r="S131" s="1">
        <f t="shared" si="20"/>
        <v>104</v>
      </c>
      <c r="T131" s="1" t="str">
        <f t="shared" si="19"/>
        <v/>
      </c>
      <c r="AK131" s="1">
        <v>10</v>
      </c>
      <c r="AL131" s="1">
        <v>0</v>
      </c>
      <c r="AM131" s="1">
        <v>0</v>
      </c>
      <c r="AN131" s="1">
        <v>0</v>
      </c>
      <c r="AO131" s="1">
        <f t="shared" ref="AO131:AO194" si="23">IF(AK131&gt;0, AK131+690, AK131)</f>
        <v>700</v>
      </c>
      <c r="AP131" s="1">
        <f t="shared" ref="AP131:AP194" si="24">IF(AL131&gt;0, AL131+690, AL131)</f>
        <v>0</v>
      </c>
      <c r="AQ131" s="1">
        <f t="shared" ref="AQ131:AQ194" si="25">IF(AM131&gt;0, AM131+690, AM131)</f>
        <v>0</v>
      </c>
      <c r="AR131" s="1">
        <f t="shared" ref="AR131:AR194" si="26">IF(AN131&gt;0, AN131+690, AN131)</f>
        <v>0</v>
      </c>
    </row>
    <row r="132" spans="1:44" x14ac:dyDescent="0.2">
      <c r="A132" s="2">
        <v>38657</v>
      </c>
      <c r="B132" s="4">
        <v>0.41299999999999998</v>
      </c>
      <c r="C132" s="4">
        <v>0.86799999999999999</v>
      </c>
      <c r="D132" s="4">
        <v>0.86699999999999999</v>
      </c>
      <c r="E132" s="4">
        <v>0.66100000000000003</v>
      </c>
      <c r="F132" s="4">
        <v>0.876</v>
      </c>
      <c r="G132" s="4">
        <v>0.70199999999999996</v>
      </c>
      <c r="H132" s="4">
        <v>0.752</v>
      </c>
      <c r="I132" s="4">
        <v>0.504</v>
      </c>
      <c r="J132" s="4">
        <v>0.29462500000000014</v>
      </c>
      <c r="K132" s="1">
        <v>700</v>
      </c>
      <c r="L132" s="1">
        <v>0</v>
      </c>
      <c r="M132" s="1">
        <v>0</v>
      </c>
      <c r="N132" s="1">
        <v>0</v>
      </c>
      <c r="O132" s="1" t="str">
        <f t="shared" si="21"/>
        <v>Expansion</v>
      </c>
      <c r="P132" s="2">
        <f t="shared" si="22"/>
        <v>38686</v>
      </c>
      <c r="Q132" s="9">
        <f>VLOOKUP(P132,BB!$A$3:$D$6771, 3, 1)*100</f>
        <v>95</v>
      </c>
      <c r="R132" s="1" t="str">
        <f t="shared" si="18"/>
        <v/>
      </c>
      <c r="S132" s="1">
        <f t="shared" si="20"/>
        <v>104</v>
      </c>
      <c r="T132" s="1" t="str">
        <f t="shared" si="19"/>
        <v/>
      </c>
      <c r="AK132" s="1">
        <v>10</v>
      </c>
      <c r="AL132" s="1">
        <v>0</v>
      </c>
      <c r="AM132" s="1">
        <v>0</v>
      </c>
      <c r="AN132" s="1">
        <v>0</v>
      </c>
      <c r="AO132" s="1">
        <f t="shared" si="23"/>
        <v>700</v>
      </c>
      <c r="AP132" s="1">
        <f t="shared" si="24"/>
        <v>0</v>
      </c>
      <c r="AQ132" s="1">
        <f t="shared" si="25"/>
        <v>0</v>
      </c>
      <c r="AR132" s="1">
        <f t="shared" si="26"/>
        <v>0</v>
      </c>
    </row>
    <row r="133" spans="1:44" x14ac:dyDescent="0.2">
      <c r="A133" s="2">
        <v>38687</v>
      </c>
      <c r="B133" s="4">
        <v>0.44600000000000001</v>
      </c>
      <c r="C133" s="4">
        <v>0.90100000000000002</v>
      </c>
      <c r="D133" s="4">
        <v>0.56999999999999995</v>
      </c>
      <c r="E133" s="4">
        <v>0.52800000000000002</v>
      </c>
      <c r="F133" s="4">
        <v>0.86699999999999999</v>
      </c>
      <c r="G133" s="4">
        <v>0.752</v>
      </c>
      <c r="H133" s="4">
        <v>0.77600000000000002</v>
      </c>
      <c r="I133" s="4">
        <v>0.77600000000000002</v>
      </c>
      <c r="J133" s="4">
        <v>0.29800000000000004</v>
      </c>
      <c r="K133" s="1">
        <v>700</v>
      </c>
      <c r="L133" s="1">
        <v>0</v>
      </c>
      <c r="M133" s="1">
        <v>0</v>
      </c>
      <c r="N133" s="1">
        <v>0</v>
      </c>
      <c r="O133" s="1" t="str">
        <f t="shared" si="21"/>
        <v>Expansion</v>
      </c>
      <c r="P133" s="2">
        <f t="shared" si="22"/>
        <v>38717</v>
      </c>
      <c r="Q133" s="9">
        <f>VLOOKUP(P133,BB!$A$3:$D$6771, 3, 1)*100</f>
        <v>90</v>
      </c>
      <c r="R133" s="1" t="str">
        <f t="shared" si="18"/>
        <v/>
      </c>
      <c r="S133" s="1">
        <f t="shared" si="20"/>
        <v>104</v>
      </c>
      <c r="T133" s="1" t="str">
        <f t="shared" si="19"/>
        <v/>
      </c>
      <c r="AK133" s="1">
        <v>10</v>
      </c>
      <c r="AL133" s="1">
        <v>0</v>
      </c>
      <c r="AM133" s="1">
        <v>0</v>
      </c>
      <c r="AN133" s="1">
        <v>0</v>
      </c>
      <c r="AO133" s="1">
        <f t="shared" si="23"/>
        <v>700</v>
      </c>
      <c r="AP133" s="1">
        <f t="shared" si="24"/>
        <v>0</v>
      </c>
      <c r="AQ133" s="1">
        <f t="shared" si="25"/>
        <v>0</v>
      </c>
      <c r="AR133" s="1">
        <f t="shared" si="26"/>
        <v>0</v>
      </c>
    </row>
    <row r="134" spans="1:44" x14ac:dyDescent="0.2">
      <c r="A134" s="2">
        <v>38718</v>
      </c>
      <c r="B134" s="4">
        <v>0.42899999999999999</v>
      </c>
      <c r="C134" s="4">
        <v>0.89300000000000002</v>
      </c>
      <c r="D134" s="4">
        <v>0.63600000000000001</v>
      </c>
      <c r="E134" s="4">
        <v>0.495</v>
      </c>
      <c r="F134" s="4">
        <v>0.70199999999999996</v>
      </c>
      <c r="G134" s="4">
        <v>0.93300000000000005</v>
      </c>
      <c r="H134" s="4">
        <v>0.752</v>
      </c>
      <c r="I134" s="4">
        <v>0.66900000000000004</v>
      </c>
      <c r="J134" s="4">
        <v>0.31137499999999996</v>
      </c>
      <c r="K134" s="1">
        <v>700</v>
      </c>
      <c r="L134" s="1">
        <v>0</v>
      </c>
      <c r="M134" s="1">
        <v>0</v>
      </c>
      <c r="N134" s="1">
        <v>0</v>
      </c>
      <c r="O134" s="1" t="str">
        <f t="shared" si="21"/>
        <v>Expansion</v>
      </c>
      <c r="P134" s="2">
        <f t="shared" si="22"/>
        <v>38748</v>
      </c>
      <c r="Q134" s="9">
        <f>VLOOKUP(P134,BB!$A$3:$D$6771, 3, 1)*100</f>
        <v>88</v>
      </c>
      <c r="R134" s="1" t="str">
        <f t="shared" si="18"/>
        <v/>
      </c>
      <c r="S134" s="1">
        <f t="shared" si="20"/>
        <v>104</v>
      </c>
      <c r="T134" s="1" t="str">
        <f t="shared" si="19"/>
        <v/>
      </c>
      <c r="AK134" s="1">
        <v>10</v>
      </c>
      <c r="AL134" s="1">
        <v>0</v>
      </c>
      <c r="AM134" s="1">
        <v>0</v>
      </c>
      <c r="AN134" s="1">
        <v>0</v>
      </c>
      <c r="AO134" s="1">
        <f t="shared" si="23"/>
        <v>700</v>
      </c>
      <c r="AP134" s="1">
        <f t="shared" si="24"/>
        <v>0</v>
      </c>
      <c r="AQ134" s="1">
        <f t="shared" si="25"/>
        <v>0</v>
      </c>
      <c r="AR134" s="1">
        <f t="shared" si="26"/>
        <v>0</v>
      </c>
    </row>
    <row r="135" spans="1:44" x14ac:dyDescent="0.2">
      <c r="A135" s="2">
        <v>38749</v>
      </c>
      <c r="B135" s="4">
        <v>0.46200000000000002</v>
      </c>
      <c r="C135" s="4">
        <v>0.91800000000000004</v>
      </c>
      <c r="D135" s="4">
        <v>0.79300000000000004</v>
      </c>
      <c r="E135" s="4">
        <v>0.47899999999999998</v>
      </c>
      <c r="F135" s="4">
        <v>0.70199999999999996</v>
      </c>
      <c r="G135" s="4">
        <v>0.95799999999999996</v>
      </c>
      <c r="H135" s="4">
        <v>0.74299999999999999</v>
      </c>
      <c r="I135" s="4">
        <v>0.44600000000000001</v>
      </c>
      <c r="J135" s="4">
        <v>0.31237499999999996</v>
      </c>
      <c r="K135" s="1">
        <v>700</v>
      </c>
      <c r="L135" s="1">
        <v>0</v>
      </c>
      <c r="M135" s="1">
        <v>0</v>
      </c>
      <c r="N135" s="1">
        <v>0</v>
      </c>
      <c r="O135" s="1" t="str">
        <f t="shared" si="21"/>
        <v>Expansion</v>
      </c>
      <c r="P135" s="2">
        <f t="shared" si="22"/>
        <v>38776</v>
      </c>
      <c r="Q135" s="9">
        <f>VLOOKUP(P135,BB!$A$3:$D$6771, 3, 1)*100</f>
        <v>85</v>
      </c>
      <c r="R135" s="1" t="str">
        <f t="shared" si="18"/>
        <v/>
      </c>
      <c r="S135" s="1">
        <f t="shared" si="20"/>
        <v>104</v>
      </c>
      <c r="T135" s="1" t="str">
        <f t="shared" si="19"/>
        <v/>
      </c>
      <c r="AK135" s="1">
        <v>10</v>
      </c>
      <c r="AL135" s="1">
        <v>0</v>
      </c>
      <c r="AM135" s="1">
        <v>0</v>
      </c>
      <c r="AN135" s="1">
        <v>0</v>
      </c>
      <c r="AO135" s="1">
        <f t="shared" si="23"/>
        <v>700</v>
      </c>
      <c r="AP135" s="1">
        <f t="shared" si="24"/>
        <v>0</v>
      </c>
      <c r="AQ135" s="1">
        <f t="shared" si="25"/>
        <v>0</v>
      </c>
      <c r="AR135" s="1">
        <f t="shared" si="26"/>
        <v>0</v>
      </c>
    </row>
    <row r="136" spans="1:44" x14ac:dyDescent="0.2">
      <c r="A136" s="2">
        <v>38777</v>
      </c>
      <c r="B136" s="4">
        <v>0.48699999999999999</v>
      </c>
      <c r="C136" s="4">
        <v>0.85199999999999998</v>
      </c>
      <c r="D136" s="4">
        <v>0.65200000000000002</v>
      </c>
      <c r="E136" s="4">
        <v>0.45400000000000001</v>
      </c>
      <c r="F136" s="4">
        <v>0.71899999999999997</v>
      </c>
      <c r="G136" s="4">
        <v>0.98299999999999998</v>
      </c>
      <c r="H136" s="4">
        <v>0.68500000000000005</v>
      </c>
      <c r="I136" s="4">
        <v>0.93300000000000005</v>
      </c>
      <c r="J136" s="4">
        <v>0.27937499999999993</v>
      </c>
      <c r="K136" s="1">
        <v>700</v>
      </c>
      <c r="L136" s="1">
        <v>0</v>
      </c>
      <c r="M136" s="1">
        <v>0</v>
      </c>
      <c r="N136" s="1">
        <v>0</v>
      </c>
      <c r="O136" s="1" t="str">
        <f t="shared" si="21"/>
        <v>Expansion</v>
      </c>
      <c r="P136" s="2">
        <f t="shared" si="22"/>
        <v>38807</v>
      </c>
      <c r="Q136" s="9">
        <f>VLOOKUP(P136,BB!$A$3:$D$6771, 3, 1)*100</f>
        <v>88</v>
      </c>
      <c r="R136" s="1" t="str">
        <f t="shared" si="18"/>
        <v/>
      </c>
      <c r="S136" s="1">
        <f t="shared" si="20"/>
        <v>104</v>
      </c>
      <c r="T136" s="1" t="str">
        <f t="shared" si="19"/>
        <v/>
      </c>
      <c r="AK136" s="1">
        <v>10</v>
      </c>
      <c r="AL136" s="1">
        <v>0</v>
      </c>
      <c r="AM136" s="1">
        <v>0</v>
      </c>
      <c r="AN136" s="1">
        <v>0</v>
      </c>
      <c r="AO136" s="1">
        <f t="shared" si="23"/>
        <v>700</v>
      </c>
      <c r="AP136" s="1">
        <f t="shared" si="24"/>
        <v>0</v>
      </c>
      <c r="AQ136" s="1">
        <f t="shared" si="25"/>
        <v>0</v>
      </c>
      <c r="AR136" s="1">
        <f t="shared" si="26"/>
        <v>0</v>
      </c>
    </row>
    <row r="137" spans="1:44" x14ac:dyDescent="0.2">
      <c r="A137" s="2">
        <v>38808</v>
      </c>
      <c r="B137" s="4">
        <v>0.48699999999999999</v>
      </c>
      <c r="C137" s="4">
        <v>0.72799999999999998</v>
      </c>
      <c r="D137" s="4">
        <v>0.84199999999999997</v>
      </c>
      <c r="E137" s="4">
        <v>0.38</v>
      </c>
      <c r="F137" s="4">
        <v>0.66100000000000003</v>
      </c>
      <c r="G137" s="4">
        <v>0.96599999999999997</v>
      </c>
      <c r="H137" s="4">
        <v>0.66100000000000003</v>
      </c>
      <c r="I137" s="4">
        <v>0.66900000000000004</v>
      </c>
      <c r="J137" s="4">
        <v>0.32574999999999998</v>
      </c>
      <c r="K137" s="1">
        <v>700</v>
      </c>
      <c r="L137" s="1">
        <v>0</v>
      </c>
      <c r="M137" s="1">
        <v>0</v>
      </c>
      <c r="N137" s="1">
        <v>0</v>
      </c>
      <c r="O137" s="1" t="str">
        <f t="shared" si="21"/>
        <v>Expansion</v>
      </c>
      <c r="P137" s="2">
        <f t="shared" si="22"/>
        <v>38837</v>
      </c>
      <c r="Q137" s="9">
        <f>VLOOKUP(P137,BB!$A$3:$D$6771, 3, 1)*100</f>
        <v>85</v>
      </c>
      <c r="R137" s="1" t="str">
        <f t="shared" si="18"/>
        <v/>
      </c>
      <c r="S137" s="1">
        <f t="shared" si="20"/>
        <v>104</v>
      </c>
      <c r="T137" s="1" t="str">
        <f t="shared" si="19"/>
        <v/>
      </c>
      <c r="AK137" s="1">
        <v>10</v>
      </c>
      <c r="AL137" s="1">
        <v>0</v>
      </c>
      <c r="AM137" s="1">
        <v>0</v>
      </c>
      <c r="AN137" s="1">
        <v>0</v>
      </c>
      <c r="AO137" s="1">
        <f t="shared" si="23"/>
        <v>700</v>
      </c>
      <c r="AP137" s="1">
        <f t="shared" si="24"/>
        <v>0</v>
      </c>
      <c r="AQ137" s="1">
        <f t="shared" si="25"/>
        <v>0</v>
      </c>
      <c r="AR137" s="1">
        <f t="shared" si="26"/>
        <v>0</v>
      </c>
    </row>
    <row r="138" spans="1:44" x14ac:dyDescent="0.2">
      <c r="A138" s="2">
        <v>38838</v>
      </c>
      <c r="B138" s="4">
        <v>0.48699999999999999</v>
      </c>
      <c r="C138" s="4">
        <v>0.81</v>
      </c>
      <c r="D138" s="4">
        <v>0.56999999999999995</v>
      </c>
      <c r="E138" s="4">
        <v>0.36299999999999999</v>
      </c>
      <c r="F138" s="4">
        <v>0.65200000000000002</v>
      </c>
      <c r="G138" s="4">
        <v>0.99099999999999999</v>
      </c>
      <c r="H138" s="4">
        <v>0.66900000000000004</v>
      </c>
      <c r="I138" s="4">
        <v>0.94199999999999995</v>
      </c>
      <c r="J138" s="4">
        <v>0.3145</v>
      </c>
      <c r="K138" s="1">
        <v>700</v>
      </c>
      <c r="L138" s="1">
        <v>0</v>
      </c>
      <c r="M138" s="1">
        <v>0</v>
      </c>
      <c r="N138" s="1">
        <v>0</v>
      </c>
      <c r="O138" s="1" t="str">
        <f t="shared" si="21"/>
        <v>Expansion</v>
      </c>
      <c r="P138" s="2">
        <f t="shared" si="22"/>
        <v>38868</v>
      </c>
      <c r="Q138" s="9">
        <f>VLOOKUP(P138,BB!$A$3:$D$6771, 3, 1)*100</f>
        <v>90</v>
      </c>
      <c r="R138" s="1">
        <f t="shared" si="18"/>
        <v>-14</v>
      </c>
      <c r="S138" s="1">
        <f t="shared" si="20"/>
        <v>104</v>
      </c>
      <c r="T138" s="1" t="str">
        <f t="shared" si="19"/>
        <v>Expansion</v>
      </c>
      <c r="AK138" s="1">
        <v>10</v>
      </c>
      <c r="AL138" s="1">
        <v>0</v>
      </c>
      <c r="AM138" s="1">
        <v>0</v>
      </c>
      <c r="AN138" s="1">
        <v>0</v>
      </c>
      <c r="AO138" s="1">
        <f t="shared" si="23"/>
        <v>700</v>
      </c>
      <c r="AP138" s="1">
        <f t="shared" si="24"/>
        <v>0</v>
      </c>
      <c r="AQ138" s="1">
        <f t="shared" si="25"/>
        <v>0</v>
      </c>
      <c r="AR138" s="1">
        <f t="shared" si="26"/>
        <v>0</v>
      </c>
    </row>
    <row r="139" spans="1:44" x14ac:dyDescent="0.2">
      <c r="A139" s="2">
        <v>38869</v>
      </c>
      <c r="B139" s="4">
        <v>0.495</v>
      </c>
      <c r="C139" s="4">
        <v>0.89300000000000002</v>
      </c>
      <c r="D139" s="4">
        <v>0.495</v>
      </c>
      <c r="E139" s="4">
        <v>0.25600000000000001</v>
      </c>
      <c r="F139" s="4">
        <v>0.64400000000000002</v>
      </c>
      <c r="G139" s="4">
        <v>0.99099999999999999</v>
      </c>
      <c r="H139" s="4">
        <v>0.68500000000000005</v>
      </c>
      <c r="I139" s="4">
        <v>0.93300000000000005</v>
      </c>
      <c r="J139" s="4">
        <v>0.32599999999999996</v>
      </c>
      <c r="K139" s="1">
        <v>0</v>
      </c>
      <c r="L139" s="1">
        <v>700</v>
      </c>
      <c r="M139" s="1">
        <v>0</v>
      </c>
      <c r="N139" s="1">
        <v>0</v>
      </c>
      <c r="O139" s="1" t="str">
        <f t="shared" si="21"/>
        <v>Downturn</v>
      </c>
      <c r="P139" s="2">
        <f t="shared" si="22"/>
        <v>38898</v>
      </c>
      <c r="Q139" s="9">
        <f>VLOOKUP(P139,BB!$A$3:$D$6771, 3, 1)*100</f>
        <v>94</v>
      </c>
      <c r="R139" s="1" t="str">
        <f t="shared" ref="R139:R202" si="27">IF(O139&lt;&gt;O140, Q139-S139, "")</f>
        <v/>
      </c>
      <c r="S139" s="1">
        <f t="shared" si="20"/>
        <v>90</v>
      </c>
      <c r="T139" s="1" t="str">
        <f t="shared" si="19"/>
        <v/>
      </c>
      <c r="AK139" s="1">
        <v>0</v>
      </c>
      <c r="AL139" s="1">
        <v>10</v>
      </c>
      <c r="AM139" s="1">
        <v>0</v>
      </c>
      <c r="AN139" s="1">
        <v>0</v>
      </c>
      <c r="AO139" s="1">
        <f t="shared" si="23"/>
        <v>0</v>
      </c>
      <c r="AP139" s="1">
        <f t="shared" si="24"/>
        <v>700</v>
      </c>
      <c r="AQ139" s="1">
        <f t="shared" si="25"/>
        <v>0</v>
      </c>
      <c r="AR139" s="1">
        <f t="shared" si="26"/>
        <v>0</v>
      </c>
    </row>
    <row r="140" spans="1:44" x14ac:dyDescent="0.2">
      <c r="A140" s="2">
        <v>38899</v>
      </c>
      <c r="B140" s="4">
        <v>0.504</v>
      </c>
      <c r="C140" s="4">
        <v>0.85199999999999998</v>
      </c>
      <c r="D140" s="4">
        <v>0.57799999999999996</v>
      </c>
      <c r="E140" s="4">
        <v>0.314</v>
      </c>
      <c r="F140" s="4">
        <v>0.53700000000000003</v>
      </c>
      <c r="G140" s="4">
        <v>0.99099999999999999</v>
      </c>
      <c r="H140" s="4">
        <v>0.72699999999999998</v>
      </c>
      <c r="I140" s="4">
        <v>0.72699999999999998</v>
      </c>
      <c r="J140" s="4">
        <v>0.34624999999999995</v>
      </c>
      <c r="K140" s="1">
        <v>0</v>
      </c>
      <c r="L140" s="1">
        <v>700</v>
      </c>
      <c r="M140" s="1">
        <v>0</v>
      </c>
      <c r="N140" s="1">
        <v>0</v>
      </c>
      <c r="O140" s="1" t="str">
        <f t="shared" si="21"/>
        <v>Downturn</v>
      </c>
      <c r="P140" s="2">
        <f t="shared" si="22"/>
        <v>38929</v>
      </c>
      <c r="Q140" s="9">
        <f>VLOOKUP(P140,BB!$A$3:$D$6771, 3, 1)*100</f>
        <v>95</v>
      </c>
      <c r="R140" s="1" t="str">
        <f t="shared" si="27"/>
        <v/>
      </c>
      <c r="S140" s="1">
        <f t="shared" si="20"/>
        <v>90</v>
      </c>
      <c r="T140" s="1" t="str">
        <f t="shared" si="19"/>
        <v/>
      </c>
      <c r="AK140" s="1">
        <v>0</v>
      </c>
      <c r="AL140" s="1">
        <v>10</v>
      </c>
      <c r="AM140" s="1">
        <v>0</v>
      </c>
      <c r="AN140" s="1">
        <v>0</v>
      </c>
      <c r="AO140" s="1">
        <f t="shared" si="23"/>
        <v>0</v>
      </c>
      <c r="AP140" s="1">
        <f t="shared" si="24"/>
        <v>700</v>
      </c>
      <c r="AQ140" s="1">
        <f t="shared" si="25"/>
        <v>0</v>
      </c>
      <c r="AR140" s="1">
        <f t="shared" si="26"/>
        <v>0</v>
      </c>
    </row>
    <row r="141" spans="1:44" x14ac:dyDescent="0.2">
      <c r="A141" s="2">
        <v>38930</v>
      </c>
      <c r="B141" s="4">
        <v>0.52800000000000002</v>
      </c>
      <c r="C141" s="4">
        <v>0.90100000000000002</v>
      </c>
      <c r="D141" s="4">
        <v>0.56999999999999995</v>
      </c>
      <c r="E141" s="4">
        <v>0.41299999999999998</v>
      </c>
      <c r="F141" s="4">
        <v>0.52800000000000002</v>
      </c>
      <c r="G141" s="4">
        <v>0.97499999999999998</v>
      </c>
      <c r="H141" s="4">
        <v>0.76800000000000002</v>
      </c>
      <c r="I141" s="4">
        <v>0.67700000000000005</v>
      </c>
      <c r="J141" s="4">
        <v>0.33000000000000007</v>
      </c>
      <c r="K141" s="1">
        <v>0</v>
      </c>
      <c r="L141" s="1">
        <v>700</v>
      </c>
      <c r="M141" s="1">
        <v>0</v>
      </c>
      <c r="N141" s="1">
        <v>0</v>
      </c>
      <c r="O141" s="1" t="str">
        <f t="shared" si="21"/>
        <v>Downturn</v>
      </c>
      <c r="P141" s="2">
        <f t="shared" si="22"/>
        <v>38960</v>
      </c>
      <c r="Q141" s="9">
        <f>VLOOKUP(P141,BB!$A$3:$D$6771, 3, 1)*100</f>
        <v>94</v>
      </c>
      <c r="R141" s="1" t="str">
        <f t="shared" si="27"/>
        <v/>
      </c>
      <c r="S141" s="1">
        <f t="shared" si="20"/>
        <v>90</v>
      </c>
      <c r="T141" s="1" t="str">
        <f t="shared" si="19"/>
        <v/>
      </c>
      <c r="AK141" s="1">
        <v>0</v>
      </c>
      <c r="AL141" s="1">
        <v>10</v>
      </c>
      <c r="AM141" s="1">
        <v>0</v>
      </c>
      <c r="AN141" s="1">
        <v>0</v>
      </c>
      <c r="AO141" s="1">
        <f t="shared" si="23"/>
        <v>0</v>
      </c>
      <c r="AP141" s="1">
        <f t="shared" si="24"/>
        <v>700</v>
      </c>
      <c r="AQ141" s="1">
        <f t="shared" si="25"/>
        <v>0</v>
      </c>
      <c r="AR141" s="1">
        <f t="shared" si="26"/>
        <v>0</v>
      </c>
    </row>
    <row r="142" spans="1:44" x14ac:dyDescent="0.2">
      <c r="A142" s="2">
        <v>38961</v>
      </c>
      <c r="B142" s="4">
        <v>0.628</v>
      </c>
      <c r="C142" s="4">
        <v>0.90100000000000002</v>
      </c>
      <c r="D142" s="4">
        <v>0.40400000000000003</v>
      </c>
      <c r="E142" s="4">
        <v>0.19800000000000001</v>
      </c>
      <c r="F142" s="4">
        <v>0.52800000000000002</v>
      </c>
      <c r="G142" s="4">
        <v>0.92500000000000004</v>
      </c>
      <c r="H142" s="4">
        <v>0.76</v>
      </c>
      <c r="I142" s="4">
        <v>0.65200000000000002</v>
      </c>
      <c r="J142" s="4">
        <v>0.37550000000000006</v>
      </c>
      <c r="K142" s="1">
        <v>0</v>
      </c>
      <c r="L142" s="1">
        <v>700</v>
      </c>
      <c r="M142" s="1">
        <v>0</v>
      </c>
      <c r="N142" s="1">
        <v>0</v>
      </c>
      <c r="O142" s="1" t="str">
        <f t="shared" si="21"/>
        <v>Downturn</v>
      </c>
      <c r="P142" s="2">
        <f t="shared" si="22"/>
        <v>38990</v>
      </c>
      <c r="Q142" s="9">
        <f>VLOOKUP(P142,BB!$A$3:$D$6771, 3, 1)*100</f>
        <v>94</v>
      </c>
      <c r="R142" s="1" t="str">
        <f t="shared" si="27"/>
        <v/>
      </c>
      <c r="S142" s="1">
        <f t="shared" si="20"/>
        <v>90</v>
      </c>
      <c r="T142" s="1" t="str">
        <f t="shared" si="19"/>
        <v/>
      </c>
      <c r="AK142" s="1">
        <v>0</v>
      </c>
      <c r="AL142" s="1">
        <v>10</v>
      </c>
      <c r="AM142" s="1">
        <v>0</v>
      </c>
      <c r="AN142" s="1">
        <v>0</v>
      </c>
      <c r="AO142" s="1">
        <f t="shared" si="23"/>
        <v>0</v>
      </c>
      <c r="AP142" s="1">
        <f t="shared" si="24"/>
        <v>700</v>
      </c>
      <c r="AQ142" s="1">
        <f t="shared" si="25"/>
        <v>0</v>
      </c>
      <c r="AR142" s="1">
        <f t="shared" si="26"/>
        <v>0</v>
      </c>
    </row>
    <row r="143" spans="1:44" x14ac:dyDescent="0.2">
      <c r="A143" s="2">
        <v>38991</v>
      </c>
      <c r="B143" s="4">
        <v>0.73499999999999999</v>
      </c>
      <c r="C143" s="4">
        <v>0.90100000000000002</v>
      </c>
      <c r="D143" s="4">
        <v>0.30499999999999999</v>
      </c>
      <c r="E143" s="4">
        <v>0.20599999999999999</v>
      </c>
      <c r="F143" s="4">
        <v>0.51200000000000001</v>
      </c>
      <c r="G143" s="4">
        <v>0.96599999999999997</v>
      </c>
      <c r="H143" s="4">
        <v>0.81799999999999995</v>
      </c>
      <c r="I143" s="4">
        <v>0.88400000000000001</v>
      </c>
      <c r="J143" s="4">
        <v>0.33412500000000001</v>
      </c>
      <c r="K143" s="1">
        <v>0</v>
      </c>
      <c r="L143" s="1">
        <v>700</v>
      </c>
      <c r="M143" s="1">
        <v>0</v>
      </c>
      <c r="N143" s="1">
        <v>0</v>
      </c>
      <c r="O143" s="1" t="str">
        <f t="shared" si="21"/>
        <v>Downturn</v>
      </c>
      <c r="P143" s="2">
        <f t="shared" si="22"/>
        <v>39021</v>
      </c>
      <c r="Q143" s="9">
        <f>VLOOKUP(P143,BB!$A$3:$D$6771, 3, 1)*100</f>
        <v>92</v>
      </c>
      <c r="R143" s="1" t="str">
        <f t="shared" si="27"/>
        <v/>
      </c>
      <c r="S143" s="1">
        <f t="shared" si="20"/>
        <v>90</v>
      </c>
      <c r="T143" s="1" t="str">
        <f t="shared" si="19"/>
        <v/>
      </c>
      <c r="AK143" s="1">
        <v>0</v>
      </c>
      <c r="AL143" s="1">
        <v>10</v>
      </c>
      <c r="AM143" s="1">
        <v>0</v>
      </c>
      <c r="AN143" s="1">
        <v>0</v>
      </c>
      <c r="AO143" s="1">
        <f t="shared" si="23"/>
        <v>0</v>
      </c>
      <c r="AP143" s="1">
        <f t="shared" si="24"/>
        <v>700</v>
      </c>
      <c r="AQ143" s="1">
        <f t="shared" si="25"/>
        <v>0</v>
      </c>
      <c r="AR143" s="1">
        <f t="shared" si="26"/>
        <v>0</v>
      </c>
    </row>
    <row r="144" spans="1:44" x14ac:dyDescent="0.2">
      <c r="A144" s="2">
        <v>39022</v>
      </c>
      <c r="B144" s="4">
        <v>0.628</v>
      </c>
      <c r="C144" s="4">
        <v>0.92600000000000005</v>
      </c>
      <c r="D144" s="4">
        <v>0.223</v>
      </c>
      <c r="E144" s="4">
        <v>0.25600000000000001</v>
      </c>
      <c r="F144" s="4">
        <v>0.51200000000000001</v>
      </c>
      <c r="G144" s="4">
        <v>0.95</v>
      </c>
      <c r="H144" s="4">
        <v>0.82599999999999996</v>
      </c>
      <c r="I144" s="4">
        <v>0.98299999999999998</v>
      </c>
      <c r="J144" s="4">
        <v>0.33700000000000008</v>
      </c>
      <c r="K144" s="1">
        <v>0</v>
      </c>
      <c r="L144" s="1">
        <v>700</v>
      </c>
      <c r="M144" s="1">
        <v>0</v>
      </c>
      <c r="N144" s="1">
        <v>0</v>
      </c>
      <c r="O144" s="1" t="str">
        <f t="shared" si="21"/>
        <v>Downturn</v>
      </c>
      <c r="P144" s="2">
        <f t="shared" si="22"/>
        <v>39051</v>
      </c>
      <c r="Q144" s="9">
        <f>VLOOKUP(P144,BB!$A$3:$D$6771, 3, 1)*100</f>
        <v>89</v>
      </c>
      <c r="R144" s="1" t="str">
        <f t="shared" si="27"/>
        <v/>
      </c>
      <c r="S144" s="1">
        <f t="shared" si="20"/>
        <v>90</v>
      </c>
      <c r="T144" s="1" t="str">
        <f t="shared" si="19"/>
        <v/>
      </c>
      <c r="AK144" s="1">
        <v>0</v>
      </c>
      <c r="AL144" s="1">
        <v>10</v>
      </c>
      <c r="AM144" s="1">
        <v>0</v>
      </c>
      <c r="AN144" s="1">
        <v>0</v>
      </c>
      <c r="AO144" s="1">
        <f t="shared" si="23"/>
        <v>0</v>
      </c>
      <c r="AP144" s="1">
        <f t="shared" si="24"/>
        <v>700</v>
      </c>
      <c r="AQ144" s="1">
        <f t="shared" si="25"/>
        <v>0</v>
      </c>
      <c r="AR144" s="1">
        <f t="shared" si="26"/>
        <v>0</v>
      </c>
    </row>
    <row r="145" spans="1:44" x14ac:dyDescent="0.2">
      <c r="A145" s="2">
        <v>39052</v>
      </c>
      <c r="B145" s="4">
        <v>0.56100000000000005</v>
      </c>
      <c r="C145" s="4">
        <v>0.89300000000000002</v>
      </c>
      <c r="D145" s="4">
        <v>0.32200000000000001</v>
      </c>
      <c r="E145" s="4">
        <v>0.28899999999999998</v>
      </c>
      <c r="F145" s="4">
        <v>0.504</v>
      </c>
      <c r="G145" s="4">
        <v>0.98299999999999998</v>
      </c>
      <c r="H145" s="4">
        <v>0.67700000000000005</v>
      </c>
      <c r="I145" s="4">
        <v>0.89200000000000002</v>
      </c>
      <c r="J145" s="4">
        <v>0.35987499999999983</v>
      </c>
      <c r="K145" s="1">
        <v>0</v>
      </c>
      <c r="L145" s="1">
        <v>700</v>
      </c>
      <c r="M145" s="1">
        <v>0</v>
      </c>
      <c r="N145" s="1">
        <v>0</v>
      </c>
      <c r="O145" s="1" t="str">
        <f t="shared" si="21"/>
        <v>Downturn</v>
      </c>
      <c r="P145" s="2">
        <f t="shared" si="22"/>
        <v>39082</v>
      </c>
      <c r="Q145" s="9">
        <f>VLOOKUP(P145,BB!$A$3:$D$6771, 3, 1)*100</f>
        <v>88</v>
      </c>
      <c r="R145" s="1" t="str">
        <f t="shared" si="27"/>
        <v/>
      </c>
      <c r="S145" s="1">
        <f t="shared" si="20"/>
        <v>90</v>
      </c>
      <c r="T145" s="1" t="str">
        <f t="shared" si="19"/>
        <v/>
      </c>
      <c r="AK145" s="1">
        <v>0</v>
      </c>
      <c r="AL145" s="1">
        <v>10</v>
      </c>
      <c r="AM145" s="1">
        <v>0</v>
      </c>
      <c r="AN145" s="1">
        <v>0</v>
      </c>
      <c r="AO145" s="1">
        <f t="shared" si="23"/>
        <v>0</v>
      </c>
      <c r="AP145" s="1">
        <f t="shared" si="24"/>
        <v>700</v>
      </c>
      <c r="AQ145" s="1">
        <f t="shared" si="25"/>
        <v>0</v>
      </c>
      <c r="AR145" s="1">
        <f t="shared" si="26"/>
        <v>0</v>
      </c>
    </row>
    <row r="146" spans="1:44" x14ac:dyDescent="0.2">
      <c r="A146" s="2">
        <v>39083</v>
      </c>
      <c r="B146" s="4">
        <v>0.60299999999999998</v>
      </c>
      <c r="C146" s="4">
        <v>0.89300000000000002</v>
      </c>
      <c r="D146" s="4">
        <v>0.19800000000000001</v>
      </c>
      <c r="E146" s="4">
        <v>0.23899999999999999</v>
      </c>
      <c r="F146" s="4">
        <v>0.56999999999999995</v>
      </c>
      <c r="G146" s="4">
        <v>0.99099999999999999</v>
      </c>
      <c r="H146" s="4">
        <v>0.66900000000000004</v>
      </c>
      <c r="I146" s="4">
        <v>0.98299999999999998</v>
      </c>
      <c r="J146" s="4">
        <v>0.35675000000000001</v>
      </c>
      <c r="K146" s="1">
        <v>0</v>
      </c>
      <c r="L146" s="1">
        <v>700</v>
      </c>
      <c r="M146" s="1">
        <v>0</v>
      </c>
      <c r="N146" s="1">
        <v>0</v>
      </c>
      <c r="O146" s="1" t="str">
        <f t="shared" si="21"/>
        <v>Downturn</v>
      </c>
      <c r="P146" s="2">
        <f t="shared" si="22"/>
        <v>39113</v>
      </c>
      <c r="Q146" s="9">
        <f>VLOOKUP(P146,BB!$A$3:$D$6771, 3, 1)*100</f>
        <v>86</v>
      </c>
      <c r="R146" s="1" t="str">
        <f t="shared" si="27"/>
        <v/>
      </c>
      <c r="S146" s="1">
        <f t="shared" si="20"/>
        <v>90</v>
      </c>
      <c r="T146" s="1" t="str">
        <f t="shared" si="19"/>
        <v/>
      </c>
      <c r="AK146" s="1">
        <v>0</v>
      </c>
      <c r="AL146" s="1">
        <v>10</v>
      </c>
      <c r="AM146" s="1">
        <v>0</v>
      </c>
      <c r="AN146" s="1">
        <v>0</v>
      </c>
      <c r="AO146" s="1">
        <f t="shared" si="23"/>
        <v>0</v>
      </c>
      <c r="AP146" s="1">
        <f t="shared" si="24"/>
        <v>700</v>
      </c>
      <c r="AQ146" s="1">
        <f t="shared" si="25"/>
        <v>0</v>
      </c>
      <c r="AR146" s="1">
        <f t="shared" si="26"/>
        <v>0</v>
      </c>
    </row>
    <row r="147" spans="1:44" x14ac:dyDescent="0.2">
      <c r="A147" s="2">
        <v>39114</v>
      </c>
      <c r="B147" s="4">
        <v>0.56100000000000005</v>
      </c>
      <c r="C147" s="4">
        <v>0.86799999999999999</v>
      </c>
      <c r="D147" s="4">
        <v>0.38</v>
      </c>
      <c r="E147" s="4">
        <v>0.34699999999999998</v>
      </c>
      <c r="F147" s="4">
        <v>0.57799999999999996</v>
      </c>
      <c r="G147" s="4">
        <v>0.97499999999999998</v>
      </c>
      <c r="H147" s="4">
        <v>0.86699999999999999</v>
      </c>
      <c r="I147" s="4">
        <v>0.93300000000000005</v>
      </c>
      <c r="J147" s="4">
        <v>0.31137499999999996</v>
      </c>
      <c r="K147" s="1">
        <v>0</v>
      </c>
      <c r="L147" s="1">
        <v>700</v>
      </c>
      <c r="M147" s="1">
        <v>0</v>
      </c>
      <c r="N147" s="1">
        <v>0</v>
      </c>
      <c r="O147" s="1" t="str">
        <f t="shared" si="21"/>
        <v>Downturn</v>
      </c>
      <c r="P147" s="2">
        <f t="shared" si="22"/>
        <v>39141</v>
      </c>
      <c r="Q147" s="9">
        <f>VLOOKUP(P147,BB!$A$3:$D$6771, 3, 1)*100</f>
        <v>85</v>
      </c>
      <c r="R147" s="1" t="str">
        <f t="shared" si="27"/>
        <v/>
      </c>
      <c r="S147" s="1">
        <f t="shared" si="20"/>
        <v>90</v>
      </c>
      <c r="T147" s="1" t="str">
        <f t="shared" si="19"/>
        <v/>
      </c>
      <c r="AK147" s="1">
        <v>0</v>
      </c>
      <c r="AL147" s="1">
        <v>10</v>
      </c>
      <c r="AM147" s="1">
        <v>0</v>
      </c>
      <c r="AN147" s="1">
        <v>0</v>
      </c>
      <c r="AO147" s="1">
        <f t="shared" si="23"/>
        <v>0</v>
      </c>
      <c r="AP147" s="1">
        <f t="shared" si="24"/>
        <v>700</v>
      </c>
      <c r="AQ147" s="1">
        <f t="shared" si="25"/>
        <v>0</v>
      </c>
      <c r="AR147" s="1">
        <f t="shared" si="26"/>
        <v>0</v>
      </c>
    </row>
    <row r="148" spans="1:44" x14ac:dyDescent="0.2">
      <c r="A148" s="2">
        <v>39142</v>
      </c>
      <c r="B148" s="4">
        <v>0.55300000000000005</v>
      </c>
      <c r="C148" s="4">
        <v>0.76900000000000002</v>
      </c>
      <c r="D148" s="4">
        <v>0.32200000000000001</v>
      </c>
      <c r="E148" s="4">
        <v>0.14000000000000001</v>
      </c>
      <c r="F148" s="4">
        <v>0.59499999999999997</v>
      </c>
      <c r="G148" s="4">
        <v>0.89200000000000002</v>
      </c>
      <c r="H148" s="4">
        <v>0.76</v>
      </c>
      <c r="I148" s="4">
        <v>0.876</v>
      </c>
      <c r="J148" s="4">
        <v>0.38662499999999989</v>
      </c>
      <c r="K148" s="1">
        <v>0</v>
      </c>
      <c r="L148" s="1">
        <v>700</v>
      </c>
      <c r="M148" s="1">
        <v>0</v>
      </c>
      <c r="N148" s="1">
        <v>0</v>
      </c>
      <c r="O148" s="1" t="str">
        <f t="shared" si="21"/>
        <v>Downturn</v>
      </c>
      <c r="P148" s="2">
        <f t="shared" si="22"/>
        <v>39172</v>
      </c>
      <c r="Q148" s="9">
        <f>VLOOKUP(P148,BB!$A$3:$D$6771, 3, 1)*100</f>
        <v>92</v>
      </c>
      <c r="R148" s="1" t="str">
        <f t="shared" si="27"/>
        <v/>
      </c>
      <c r="S148" s="1">
        <f t="shared" si="20"/>
        <v>90</v>
      </c>
      <c r="T148" s="1" t="str">
        <f t="shared" si="19"/>
        <v/>
      </c>
      <c r="AK148" s="1">
        <v>0</v>
      </c>
      <c r="AL148" s="1">
        <v>10</v>
      </c>
      <c r="AM148" s="1">
        <v>0</v>
      </c>
      <c r="AN148" s="1">
        <v>0</v>
      </c>
      <c r="AO148" s="1">
        <f t="shared" si="23"/>
        <v>0</v>
      </c>
      <c r="AP148" s="1">
        <f t="shared" si="24"/>
        <v>700</v>
      </c>
      <c r="AQ148" s="1">
        <f t="shared" si="25"/>
        <v>0</v>
      </c>
      <c r="AR148" s="1">
        <f t="shared" si="26"/>
        <v>0</v>
      </c>
    </row>
    <row r="149" spans="1:44" x14ac:dyDescent="0.2">
      <c r="A149" s="2">
        <v>39173</v>
      </c>
      <c r="B149" s="4">
        <v>0.59499999999999997</v>
      </c>
      <c r="C149" s="4">
        <v>0.76900000000000002</v>
      </c>
      <c r="D149" s="4">
        <v>0.58599999999999997</v>
      </c>
      <c r="E149" s="4">
        <v>0.14799999999999999</v>
      </c>
      <c r="F149" s="4">
        <v>0.59499999999999997</v>
      </c>
      <c r="G149" s="4">
        <v>0.99099999999999999</v>
      </c>
      <c r="H149" s="4">
        <v>0.69399999999999995</v>
      </c>
      <c r="I149" s="4">
        <v>0.95799999999999996</v>
      </c>
      <c r="J149" s="4">
        <v>0.33299999999999996</v>
      </c>
      <c r="K149" s="1">
        <v>0</v>
      </c>
      <c r="L149" s="1">
        <v>700</v>
      </c>
      <c r="M149" s="1">
        <v>0</v>
      </c>
      <c r="N149" s="1">
        <v>0</v>
      </c>
      <c r="O149" s="1" t="str">
        <f t="shared" si="21"/>
        <v>Downturn</v>
      </c>
      <c r="P149" s="2">
        <f t="shared" si="22"/>
        <v>39202</v>
      </c>
      <c r="Q149" s="9">
        <f>VLOOKUP(P149,BB!$A$3:$D$6771, 3, 1)*100</f>
        <v>92</v>
      </c>
      <c r="R149" s="1" t="str">
        <f t="shared" si="27"/>
        <v/>
      </c>
      <c r="S149" s="1">
        <f t="shared" si="20"/>
        <v>90</v>
      </c>
      <c r="T149" s="1" t="str">
        <f t="shared" si="19"/>
        <v/>
      </c>
      <c r="AK149" s="1">
        <v>0</v>
      </c>
      <c r="AL149" s="1">
        <v>10</v>
      </c>
      <c r="AM149" s="1">
        <v>0</v>
      </c>
      <c r="AN149" s="1">
        <v>0</v>
      </c>
      <c r="AO149" s="1">
        <f t="shared" si="23"/>
        <v>0</v>
      </c>
      <c r="AP149" s="1">
        <f t="shared" si="24"/>
        <v>700</v>
      </c>
      <c r="AQ149" s="1">
        <f t="shared" si="25"/>
        <v>0</v>
      </c>
      <c r="AR149" s="1">
        <f t="shared" si="26"/>
        <v>0</v>
      </c>
    </row>
    <row r="150" spans="1:44" x14ac:dyDescent="0.2">
      <c r="A150" s="2">
        <v>39203</v>
      </c>
      <c r="B150" s="4">
        <v>0.56999999999999995</v>
      </c>
      <c r="C150" s="4">
        <v>0.83499999999999996</v>
      </c>
      <c r="D150" s="4">
        <v>0.65200000000000002</v>
      </c>
      <c r="E150" s="4">
        <v>0.115</v>
      </c>
      <c r="F150" s="4">
        <v>0.59499999999999997</v>
      </c>
      <c r="G150" s="4">
        <v>0.95799999999999996</v>
      </c>
      <c r="H150" s="4">
        <v>0.54500000000000004</v>
      </c>
      <c r="I150" s="4">
        <v>0.99099999999999999</v>
      </c>
      <c r="J150" s="4">
        <v>0.34237499999999998</v>
      </c>
      <c r="K150" s="1">
        <v>0</v>
      </c>
      <c r="L150" s="1">
        <v>700</v>
      </c>
      <c r="M150" s="1">
        <v>0</v>
      </c>
      <c r="N150" s="1">
        <v>0</v>
      </c>
      <c r="O150" s="1" t="str">
        <f t="shared" si="21"/>
        <v>Downturn</v>
      </c>
      <c r="P150" s="2">
        <f t="shared" si="22"/>
        <v>39233</v>
      </c>
      <c r="Q150" s="9">
        <f>VLOOKUP(P150,BB!$A$3:$D$6771, 3, 1)*100</f>
        <v>90</v>
      </c>
      <c r="R150" s="1" t="str">
        <f t="shared" si="27"/>
        <v/>
      </c>
      <c r="S150" s="1">
        <f t="shared" si="20"/>
        <v>90</v>
      </c>
      <c r="T150" s="1" t="str">
        <f t="shared" si="19"/>
        <v/>
      </c>
      <c r="AK150" s="1">
        <v>0</v>
      </c>
      <c r="AL150" s="1">
        <v>10</v>
      </c>
      <c r="AM150" s="1">
        <v>0</v>
      </c>
      <c r="AN150" s="1">
        <v>0</v>
      </c>
      <c r="AO150" s="1">
        <f t="shared" si="23"/>
        <v>0</v>
      </c>
      <c r="AP150" s="1">
        <f t="shared" si="24"/>
        <v>700</v>
      </c>
      <c r="AQ150" s="1">
        <f t="shared" si="25"/>
        <v>0</v>
      </c>
      <c r="AR150" s="1">
        <f t="shared" si="26"/>
        <v>0</v>
      </c>
    </row>
    <row r="151" spans="1:44" x14ac:dyDescent="0.2">
      <c r="A151" s="2">
        <v>39234</v>
      </c>
      <c r="B151" s="4">
        <v>0.56999999999999995</v>
      </c>
      <c r="C151" s="4">
        <v>0.63700000000000001</v>
      </c>
      <c r="D151" s="4">
        <v>0.72699999999999998</v>
      </c>
      <c r="E151" s="4">
        <v>0.14799999999999999</v>
      </c>
      <c r="F151" s="4">
        <v>0.59499999999999997</v>
      </c>
      <c r="G151" s="4">
        <v>0.85899999999999999</v>
      </c>
      <c r="H151" s="4">
        <v>0.53700000000000003</v>
      </c>
      <c r="I151" s="4">
        <v>0.83399999999999996</v>
      </c>
      <c r="J151" s="4">
        <v>0.38662500000000011</v>
      </c>
      <c r="K151" s="1">
        <v>0</v>
      </c>
      <c r="L151" s="1">
        <v>700</v>
      </c>
      <c r="M151" s="1">
        <v>0</v>
      </c>
      <c r="N151" s="1">
        <v>0</v>
      </c>
      <c r="O151" s="1" t="str">
        <f t="shared" si="21"/>
        <v>Downturn</v>
      </c>
      <c r="P151" s="2">
        <f t="shared" si="22"/>
        <v>39263</v>
      </c>
      <c r="Q151" s="9">
        <f>VLOOKUP(P151,BB!$A$3:$D$6771, 3, 1)*100</f>
        <v>97</v>
      </c>
      <c r="R151" s="1" t="str">
        <f t="shared" si="27"/>
        <v/>
      </c>
      <c r="S151" s="1">
        <f t="shared" si="20"/>
        <v>90</v>
      </c>
      <c r="T151" s="1" t="str">
        <f t="shared" si="19"/>
        <v/>
      </c>
      <c r="AK151" s="1">
        <v>0</v>
      </c>
      <c r="AL151" s="1">
        <v>10</v>
      </c>
      <c r="AM151" s="1">
        <v>0</v>
      </c>
      <c r="AN151" s="1">
        <v>0</v>
      </c>
      <c r="AO151" s="1">
        <f t="shared" si="23"/>
        <v>0</v>
      </c>
      <c r="AP151" s="1">
        <f t="shared" si="24"/>
        <v>700</v>
      </c>
      <c r="AQ151" s="1">
        <f t="shared" si="25"/>
        <v>0</v>
      </c>
      <c r="AR151" s="1">
        <f t="shared" si="26"/>
        <v>0</v>
      </c>
    </row>
    <row r="152" spans="1:44" x14ac:dyDescent="0.2">
      <c r="A152" s="2">
        <v>39264</v>
      </c>
      <c r="B152" s="4">
        <v>0.628</v>
      </c>
      <c r="C152" s="4">
        <v>0.55400000000000005</v>
      </c>
      <c r="D152" s="4">
        <v>0.495</v>
      </c>
      <c r="E152" s="4">
        <v>0.18099999999999999</v>
      </c>
      <c r="F152" s="4">
        <v>0.63600000000000001</v>
      </c>
      <c r="G152" s="4">
        <v>0.93300000000000005</v>
      </c>
      <c r="H152" s="4">
        <v>0.60299999999999998</v>
      </c>
      <c r="I152" s="4">
        <v>0.97499999999999998</v>
      </c>
      <c r="J152" s="4">
        <v>0.37437500000000001</v>
      </c>
      <c r="K152" s="1">
        <v>0</v>
      </c>
      <c r="L152" s="1">
        <v>700</v>
      </c>
      <c r="M152" s="1">
        <v>0</v>
      </c>
      <c r="N152" s="1">
        <v>0</v>
      </c>
      <c r="O152" s="1" t="str">
        <f t="shared" si="21"/>
        <v>Downturn</v>
      </c>
      <c r="P152" s="2">
        <f t="shared" si="22"/>
        <v>39294</v>
      </c>
      <c r="Q152" s="9">
        <f>VLOOKUP(P152,BB!$A$3:$D$6771, 3, 1)*100</f>
        <v>126</v>
      </c>
      <c r="R152" s="1" t="str">
        <f t="shared" si="27"/>
        <v/>
      </c>
      <c r="S152" s="1">
        <f t="shared" si="20"/>
        <v>90</v>
      </c>
      <c r="T152" s="1" t="str">
        <f t="shared" si="19"/>
        <v/>
      </c>
      <c r="AK152" s="1">
        <v>0</v>
      </c>
      <c r="AL152" s="1">
        <v>10</v>
      </c>
      <c r="AM152" s="1">
        <v>0</v>
      </c>
      <c r="AN152" s="1">
        <v>0</v>
      </c>
      <c r="AO152" s="1">
        <f t="shared" si="23"/>
        <v>0</v>
      </c>
      <c r="AP152" s="1">
        <f t="shared" si="24"/>
        <v>700</v>
      </c>
      <c r="AQ152" s="1">
        <f t="shared" si="25"/>
        <v>0</v>
      </c>
      <c r="AR152" s="1">
        <f t="shared" si="26"/>
        <v>0</v>
      </c>
    </row>
    <row r="153" spans="1:44" x14ac:dyDescent="0.2">
      <c r="A153" s="2">
        <v>39295</v>
      </c>
      <c r="B153" s="4">
        <v>0.70199999999999996</v>
      </c>
      <c r="C153" s="4">
        <v>0.45499999999999996</v>
      </c>
      <c r="D153" s="4">
        <v>0.42899999999999999</v>
      </c>
      <c r="E153" s="4">
        <v>0.19800000000000001</v>
      </c>
      <c r="F153" s="4">
        <v>0.628</v>
      </c>
      <c r="G153" s="4">
        <v>0.97499999999999998</v>
      </c>
      <c r="H153" s="4">
        <v>0.59499999999999997</v>
      </c>
      <c r="I153" s="4">
        <v>0.23899999999999999</v>
      </c>
      <c r="J153" s="4">
        <v>0.47237499999999999</v>
      </c>
      <c r="K153" s="1">
        <v>0</v>
      </c>
      <c r="L153" s="1">
        <v>700</v>
      </c>
      <c r="M153" s="1">
        <v>0</v>
      </c>
      <c r="N153" s="1">
        <v>0</v>
      </c>
      <c r="O153" s="1" t="str">
        <f t="shared" si="21"/>
        <v>Downturn</v>
      </c>
      <c r="P153" s="2">
        <f t="shared" si="22"/>
        <v>39325</v>
      </c>
      <c r="Q153" s="9">
        <f>VLOOKUP(P153,BB!$A$3:$D$6771, 3, 1)*100</f>
        <v>145</v>
      </c>
      <c r="R153" s="1" t="str">
        <f t="shared" si="27"/>
        <v/>
      </c>
      <c r="S153" s="1">
        <f t="shared" si="20"/>
        <v>90</v>
      </c>
      <c r="T153" s="1" t="str">
        <f t="shared" si="19"/>
        <v/>
      </c>
      <c r="AK153" s="1">
        <v>0</v>
      </c>
      <c r="AL153" s="1">
        <v>10</v>
      </c>
      <c r="AM153" s="1">
        <v>0</v>
      </c>
      <c r="AN153" s="1">
        <v>0</v>
      </c>
      <c r="AO153" s="1">
        <f t="shared" si="23"/>
        <v>0</v>
      </c>
      <c r="AP153" s="1">
        <f t="shared" si="24"/>
        <v>700</v>
      </c>
      <c r="AQ153" s="1">
        <f t="shared" si="25"/>
        <v>0</v>
      </c>
      <c r="AR153" s="1">
        <f t="shared" si="26"/>
        <v>0</v>
      </c>
    </row>
    <row r="154" spans="1:44" x14ac:dyDescent="0.2">
      <c r="A154" s="2">
        <v>39326</v>
      </c>
      <c r="B154" s="4">
        <v>0.54500000000000004</v>
      </c>
      <c r="C154" s="4">
        <v>0.41400000000000003</v>
      </c>
      <c r="D154" s="4">
        <v>0.38800000000000001</v>
      </c>
      <c r="E154" s="4">
        <v>0.23899999999999999</v>
      </c>
      <c r="F154" s="4">
        <v>0.64400000000000002</v>
      </c>
      <c r="G154" s="4">
        <v>0.93300000000000005</v>
      </c>
      <c r="H154" s="4">
        <v>0.54500000000000004</v>
      </c>
      <c r="I154" s="4">
        <v>0.27200000000000002</v>
      </c>
      <c r="J154" s="4">
        <v>0.50249999999999995</v>
      </c>
      <c r="K154" s="1">
        <v>0</v>
      </c>
      <c r="L154" s="1">
        <v>700</v>
      </c>
      <c r="M154" s="1">
        <v>0</v>
      </c>
      <c r="N154" s="1">
        <v>0</v>
      </c>
      <c r="O154" s="1" t="str">
        <f t="shared" si="21"/>
        <v>Downturn</v>
      </c>
      <c r="P154" s="2">
        <f t="shared" si="22"/>
        <v>39355</v>
      </c>
      <c r="Q154" s="9">
        <f>VLOOKUP(P154,BB!$A$3:$D$6771, 3, 1)*100</f>
        <v>145</v>
      </c>
      <c r="R154" s="1">
        <f t="shared" si="27"/>
        <v>55</v>
      </c>
      <c r="S154" s="1">
        <f t="shared" si="20"/>
        <v>90</v>
      </c>
      <c r="T154" s="1" t="str">
        <f t="shared" si="19"/>
        <v>Downturn</v>
      </c>
      <c r="AK154" s="1">
        <v>0</v>
      </c>
      <c r="AL154" s="1">
        <v>10</v>
      </c>
      <c r="AM154" s="1">
        <v>0</v>
      </c>
      <c r="AN154" s="1">
        <v>0</v>
      </c>
      <c r="AO154" s="1">
        <f t="shared" si="23"/>
        <v>0</v>
      </c>
      <c r="AP154" s="1">
        <f t="shared" si="24"/>
        <v>700</v>
      </c>
      <c r="AQ154" s="1">
        <f t="shared" si="25"/>
        <v>0</v>
      </c>
      <c r="AR154" s="1">
        <f t="shared" si="26"/>
        <v>0</v>
      </c>
    </row>
    <row r="155" spans="1:44" x14ac:dyDescent="0.2">
      <c r="A155" s="2">
        <v>39356</v>
      </c>
      <c r="B155" s="4">
        <v>0.46200000000000002</v>
      </c>
      <c r="C155" s="4">
        <v>0.43899999999999995</v>
      </c>
      <c r="D155" s="4">
        <v>0.32200000000000001</v>
      </c>
      <c r="E155" s="4">
        <v>0.30499999999999999</v>
      </c>
      <c r="F155" s="4">
        <v>0.64400000000000002</v>
      </c>
      <c r="G155" s="4">
        <v>0.81799999999999995</v>
      </c>
      <c r="H155" s="4">
        <v>0.55300000000000005</v>
      </c>
      <c r="I155" s="4">
        <v>0.52</v>
      </c>
      <c r="J155" s="4">
        <v>0.49212499999999992</v>
      </c>
      <c r="K155" s="1">
        <v>0</v>
      </c>
      <c r="L155" s="1">
        <v>0</v>
      </c>
      <c r="M155" s="1">
        <v>700</v>
      </c>
      <c r="N155" s="1">
        <v>0</v>
      </c>
      <c r="O155" s="1" t="str">
        <f t="shared" si="21"/>
        <v>Repair</v>
      </c>
      <c r="P155" s="2">
        <f t="shared" si="22"/>
        <v>39386</v>
      </c>
      <c r="Q155" s="9">
        <f>VLOOKUP(P155,BB!$A$3:$D$6771, 3, 1)*100</f>
        <v>143</v>
      </c>
      <c r="R155" s="1" t="str">
        <f t="shared" si="27"/>
        <v/>
      </c>
      <c r="S155" s="1">
        <f t="shared" si="20"/>
        <v>145</v>
      </c>
      <c r="T155" s="1" t="str">
        <f t="shared" si="19"/>
        <v/>
      </c>
      <c r="AK155" s="1">
        <v>0</v>
      </c>
      <c r="AL155" s="1">
        <v>0</v>
      </c>
      <c r="AM155" s="1">
        <v>10</v>
      </c>
      <c r="AN155" s="1">
        <v>0</v>
      </c>
      <c r="AO155" s="1">
        <f t="shared" si="23"/>
        <v>0</v>
      </c>
      <c r="AP155" s="1">
        <f t="shared" si="24"/>
        <v>0</v>
      </c>
      <c r="AQ155" s="1">
        <f t="shared" si="25"/>
        <v>700</v>
      </c>
      <c r="AR155" s="1">
        <f t="shared" si="26"/>
        <v>0</v>
      </c>
    </row>
    <row r="156" spans="1:44" x14ac:dyDescent="0.2">
      <c r="A156" s="2">
        <v>39387</v>
      </c>
      <c r="B156" s="4">
        <v>0.38</v>
      </c>
      <c r="C156" s="4">
        <v>0.38100000000000001</v>
      </c>
      <c r="D156" s="4">
        <v>0.32200000000000001</v>
      </c>
      <c r="E156" s="4">
        <v>0.504</v>
      </c>
      <c r="F156" s="4">
        <v>0.60299999999999998</v>
      </c>
      <c r="G156" s="4">
        <v>0.80900000000000005</v>
      </c>
      <c r="H156" s="4">
        <v>0.68500000000000005</v>
      </c>
      <c r="I156" s="4">
        <v>0.42899999999999999</v>
      </c>
      <c r="J156" s="4">
        <v>0.48587499999999995</v>
      </c>
      <c r="K156" s="1">
        <v>0</v>
      </c>
      <c r="L156" s="1">
        <v>0</v>
      </c>
      <c r="M156" s="1">
        <v>700</v>
      </c>
      <c r="N156" s="1">
        <v>0</v>
      </c>
      <c r="O156" s="1" t="str">
        <f t="shared" si="21"/>
        <v>Repair</v>
      </c>
      <c r="P156" s="2">
        <f t="shared" si="22"/>
        <v>39416</v>
      </c>
      <c r="Q156" s="9">
        <f>VLOOKUP(P156,BB!$A$3:$D$6771, 3, 1)*100</f>
        <v>193</v>
      </c>
      <c r="R156" s="1" t="str">
        <f t="shared" si="27"/>
        <v/>
      </c>
      <c r="S156" s="1">
        <f t="shared" si="20"/>
        <v>145</v>
      </c>
      <c r="T156" s="1" t="str">
        <f t="shared" si="19"/>
        <v/>
      </c>
      <c r="AK156" s="1">
        <v>0</v>
      </c>
      <c r="AL156" s="1">
        <v>0</v>
      </c>
      <c r="AM156" s="1">
        <v>10</v>
      </c>
      <c r="AN156" s="1">
        <v>0</v>
      </c>
      <c r="AO156" s="1">
        <f t="shared" si="23"/>
        <v>0</v>
      </c>
      <c r="AP156" s="1">
        <f t="shared" si="24"/>
        <v>0</v>
      </c>
      <c r="AQ156" s="1">
        <f t="shared" si="25"/>
        <v>700</v>
      </c>
      <c r="AR156" s="1">
        <f t="shared" si="26"/>
        <v>0</v>
      </c>
    </row>
    <row r="157" spans="1:44" x14ac:dyDescent="0.2">
      <c r="A157" s="2">
        <v>39417</v>
      </c>
      <c r="B157" s="4">
        <v>0.33800000000000002</v>
      </c>
      <c r="C157" s="4">
        <v>0.38100000000000001</v>
      </c>
      <c r="D157" s="4">
        <v>0.13200000000000001</v>
      </c>
      <c r="E157" s="4">
        <v>0.38800000000000001</v>
      </c>
      <c r="F157" s="4">
        <v>0.76</v>
      </c>
      <c r="G157" s="4">
        <v>0.76800000000000002</v>
      </c>
      <c r="H157" s="4">
        <v>0.48699999999999999</v>
      </c>
      <c r="I157" s="4">
        <v>0.59499999999999997</v>
      </c>
      <c r="J157" s="4">
        <v>0.51887499999999998</v>
      </c>
      <c r="K157" s="1">
        <v>0</v>
      </c>
      <c r="L157" s="1">
        <v>0</v>
      </c>
      <c r="M157" s="1">
        <v>700</v>
      </c>
      <c r="N157" s="1">
        <v>0</v>
      </c>
      <c r="O157" s="1" t="str">
        <f t="shared" si="21"/>
        <v>Repair</v>
      </c>
      <c r="P157" s="2">
        <f t="shared" si="22"/>
        <v>39447</v>
      </c>
      <c r="Q157" s="9">
        <f>VLOOKUP(P157,BB!$A$3:$D$6771, 3, 1)*100</f>
        <v>198</v>
      </c>
      <c r="R157" s="1" t="str">
        <f t="shared" si="27"/>
        <v/>
      </c>
      <c r="S157" s="1">
        <f t="shared" si="20"/>
        <v>145</v>
      </c>
      <c r="T157" s="1" t="str">
        <f t="shared" si="19"/>
        <v/>
      </c>
      <c r="AK157" s="1">
        <v>0</v>
      </c>
      <c r="AL157" s="1">
        <v>0</v>
      </c>
      <c r="AM157" s="1">
        <v>10</v>
      </c>
      <c r="AN157" s="1">
        <v>0</v>
      </c>
      <c r="AO157" s="1">
        <f t="shared" si="23"/>
        <v>0</v>
      </c>
      <c r="AP157" s="1">
        <f t="shared" si="24"/>
        <v>0</v>
      </c>
      <c r="AQ157" s="1">
        <f t="shared" si="25"/>
        <v>700</v>
      </c>
      <c r="AR157" s="1">
        <f t="shared" si="26"/>
        <v>0</v>
      </c>
    </row>
    <row r="158" spans="1:44" x14ac:dyDescent="0.2">
      <c r="A158" s="2">
        <v>39448</v>
      </c>
      <c r="B158" s="4">
        <v>0.157</v>
      </c>
      <c r="C158" s="4">
        <v>0.31499999999999995</v>
      </c>
      <c r="D158" s="4">
        <v>0.33</v>
      </c>
      <c r="E158" s="4">
        <v>0.54500000000000004</v>
      </c>
      <c r="F158" s="4">
        <v>0.71</v>
      </c>
      <c r="G158" s="4">
        <v>0.66100000000000003</v>
      </c>
      <c r="H158" s="4">
        <v>0.68500000000000005</v>
      </c>
      <c r="I158" s="4">
        <v>0.123</v>
      </c>
      <c r="J158" s="4">
        <v>0.55925000000000002</v>
      </c>
      <c r="K158" s="1">
        <v>0</v>
      </c>
      <c r="L158" s="1">
        <v>0</v>
      </c>
      <c r="M158" s="1">
        <v>700</v>
      </c>
      <c r="N158" s="1">
        <v>0</v>
      </c>
      <c r="O158" s="1" t="str">
        <f t="shared" si="21"/>
        <v>Repair</v>
      </c>
      <c r="P158" s="2">
        <f t="shared" si="22"/>
        <v>39478</v>
      </c>
      <c r="Q158" s="9">
        <f>VLOOKUP(P158,BB!$A$3:$D$6771, 3, 1)*100</f>
        <v>225.99999999999997</v>
      </c>
      <c r="R158" s="1" t="str">
        <f t="shared" si="27"/>
        <v/>
      </c>
      <c r="S158" s="1">
        <f t="shared" si="20"/>
        <v>145</v>
      </c>
      <c r="T158" s="1" t="str">
        <f t="shared" si="19"/>
        <v/>
      </c>
      <c r="AK158" s="1">
        <v>0</v>
      </c>
      <c r="AL158" s="1">
        <v>0</v>
      </c>
      <c r="AM158" s="1">
        <v>10</v>
      </c>
      <c r="AN158" s="1">
        <v>0</v>
      </c>
      <c r="AO158" s="1">
        <f t="shared" si="23"/>
        <v>0</v>
      </c>
      <c r="AP158" s="1">
        <f t="shared" si="24"/>
        <v>0</v>
      </c>
      <c r="AQ158" s="1">
        <f t="shared" si="25"/>
        <v>700</v>
      </c>
      <c r="AR158" s="1">
        <f t="shared" si="26"/>
        <v>0</v>
      </c>
    </row>
    <row r="159" spans="1:44" x14ac:dyDescent="0.2">
      <c r="A159" s="2">
        <v>39479</v>
      </c>
      <c r="B159" s="4">
        <v>0.214</v>
      </c>
      <c r="C159" s="4">
        <v>0.23199999999999998</v>
      </c>
      <c r="D159" s="4">
        <v>0.16500000000000001</v>
      </c>
      <c r="E159" s="4">
        <v>0.58599999999999997</v>
      </c>
      <c r="F159" s="4">
        <v>0.79300000000000004</v>
      </c>
      <c r="G159" s="4">
        <v>0.438</v>
      </c>
      <c r="H159" s="4">
        <v>0.80900000000000005</v>
      </c>
      <c r="I159" s="4">
        <v>0.504</v>
      </c>
      <c r="J159" s="4">
        <v>0.53237499999999993</v>
      </c>
      <c r="K159" s="1">
        <v>0</v>
      </c>
      <c r="L159" s="1">
        <v>0</v>
      </c>
      <c r="M159" s="1">
        <v>700</v>
      </c>
      <c r="N159" s="1">
        <v>0</v>
      </c>
      <c r="O159" s="1" t="str">
        <f t="shared" si="21"/>
        <v>Repair</v>
      </c>
      <c r="P159" s="2">
        <f t="shared" si="22"/>
        <v>39507</v>
      </c>
      <c r="Q159" s="9">
        <f>VLOOKUP(P159,BB!$A$3:$D$6771, 3, 1)*100</f>
        <v>247.00000000000003</v>
      </c>
      <c r="R159" s="1" t="str">
        <f t="shared" si="27"/>
        <v/>
      </c>
      <c r="S159" s="1">
        <f t="shared" si="20"/>
        <v>145</v>
      </c>
      <c r="T159" s="1" t="str">
        <f t="shared" si="19"/>
        <v/>
      </c>
      <c r="AK159" s="1">
        <v>0</v>
      </c>
      <c r="AL159" s="1">
        <v>0</v>
      </c>
      <c r="AM159" s="1">
        <v>10</v>
      </c>
      <c r="AN159" s="1">
        <v>0</v>
      </c>
      <c r="AO159" s="1">
        <f t="shared" si="23"/>
        <v>0</v>
      </c>
      <c r="AP159" s="1">
        <f t="shared" si="24"/>
        <v>0</v>
      </c>
      <c r="AQ159" s="1">
        <f t="shared" si="25"/>
        <v>700</v>
      </c>
      <c r="AR159" s="1">
        <f t="shared" si="26"/>
        <v>0</v>
      </c>
    </row>
    <row r="160" spans="1:44" x14ac:dyDescent="0.2">
      <c r="A160" s="2">
        <v>39508</v>
      </c>
      <c r="B160" s="4">
        <v>0.115</v>
      </c>
      <c r="C160" s="4">
        <v>0.26500000000000001</v>
      </c>
      <c r="D160" s="4">
        <v>0.19800000000000001</v>
      </c>
      <c r="E160" s="4">
        <v>0.33800000000000002</v>
      </c>
      <c r="F160" s="4">
        <v>0.79300000000000004</v>
      </c>
      <c r="G160" s="4">
        <v>0.46200000000000002</v>
      </c>
      <c r="H160" s="4">
        <v>0.47099999999999997</v>
      </c>
      <c r="I160" s="4">
        <v>0.26400000000000001</v>
      </c>
      <c r="J160" s="4">
        <v>0.63674999999999993</v>
      </c>
      <c r="K160" s="1">
        <v>0</v>
      </c>
      <c r="L160" s="1">
        <v>0</v>
      </c>
      <c r="M160" s="1">
        <v>700</v>
      </c>
      <c r="N160" s="1">
        <v>0</v>
      </c>
      <c r="O160" s="1" t="str">
        <f t="shared" si="21"/>
        <v>Repair</v>
      </c>
      <c r="P160" s="2">
        <f t="shared" si="22"/>
        <v>39538</v>
      </c>
      <c r="Q160" s="9">
        <f>VLOOKUP(P160,BB!$A$3:$D$6771, 3, 1)*100</f>
        <v>289</v>
      </c>
      <c r="R160" s="1" t="str">
        <f t="shared" si="27"/>
        <v/>
      </c>
      <c r="S160" s="1">
        <f t="shared" si="20"/>
        <v>145</v>
      </c>
      <c r="T160" s="1" t="str">
        <f t="shared" si="19"/>
        <v/>
      </c>
      <c r="AK160" s="1">
        <v>0</v>
      </c>
      <c r="AL160" s="1">
        <v>0</v>
      </c>
      <c r="AM160" s="1">
        <v>10</v>
      </c>
      <c r="AN160" s="1">
        <v>0</v>
      </c>
      <c r="AO160" s="1">
        <f t="shared" si="23"/>
        <v>0</v>
      </c>
      <c r="AP160" s="1">
        <f t="shared" si="24"/>
        <v>0</v>
      </c>
      <c r="AQ160" s="1">
        <f t="shared" si="25"/>
        <v>700</v>
      </c>
      <c r="AR160" s="1">
        <f t="shared" si="26"/>
        <v>0</v>
      </c>
    </row>
    <row r="161" spans="1:44" x14ac:dyDescent="0.2">
      <c r="A161" s="2">
        <v>39539</v>
      </c>
      <c r="B161" s="4">
        <v>4.1000000000000002E-2</v>
      </c>
      <c r="C161" s="4">
        <v>0.34799999999999998</v>
      </c>
      <c r="D161" s="4">
        <v>0.19800000000000001</v>
      </c>
      <c r="E161" s="4">
        <v>0.223</v>
      </c>
      <c r="F161" s="4">
        <v>0.86699999999999999</v>
      </c>
      <c r="G161" s="4">
        <v>0.314</v>
      </c>
      <c r="H161" s="4">
        <v>0.45400000000000001</v>
      </c>
      <c r="I161" s="4">
        <v>0.61099999999999999</v>
      </c>
      <c r="J161" s="4">
        <v>0.61799999999999999</v>
      </c>
      <c r="K161" s="1">
        <v>0</v>
      </c>
      <c r="L161" s="1">
        <v>0</v>
      </c>
      <c r="M161" s="1">
        <v>700</v>
      </c>
      <c r="N161" s="1">
        <v>0</v>
      </c>
      <c r="O161" s="1" t="str">
        <f t="shared" si="21"/>
        <v>Repair</v>
      </c>
      <c r="P161" s="2">
        <f t="shared" si="22"/>
        <v>39568</v>
      </c>
      <c r="Q161" s="9">
        <f>VLOOKUP(P161,BB!$A$3:$D$6771, 3, 1)*100</f>
        <v>244</v>
      </c>
      <c r="R161" s="1" t="str">
        <f t="shared" si="27"/>
        <v/>
      </c>
      <c r="S161" s="1">
        <f t="shared" si="20"/>
        <v>145</v>
      </c>
      <c r="T161" s="1" t="str">
        <f t="shared" si="19"/>
        <v/>
      </c>
      <c r="AK161" s="1">
        <v>0</v>
      </c>
      <c r="AL161" s="1">
        <v>0</v>
      </c>
      <c r="AM161" s="1">
        <v>10</v>
      </c>
      <c r="AN161" s="1">
        <v>0</v>
      </c>
      <c r="AO161" s="1">
        <f t="shared" si="23"/>
        <v>0</v>
      </c>
      <c r="AP161" s="1">
        <f t="shared" si="24"/>
        <v>0</v>
      </c>
      <c r="AQ161" s="1">
        <f t="shared" si="25"/>
        <v>700</v>
      </c>
      <c r="AR161" s="1">
        <f t="shared" si="26"/>
        <v>0</v>
      </c>
    </row>
    <row r="162" spans="1:44" x14ac:dyDescent="0.2">
      <c r="A162" s="2">
        <v>39569</v>
      </c>
      <c r="B162" s="4">
        <v>6.6000000000000003E-2</v>
      </c>
      <c r="C162" s="4">
        <v>0.35599999999999998</v>
      </c>
      <c r="D162" s="4">
        <v>0.29699999999999999</v>
      </c>
      <c r="E162" s="4">
        <v>0.19800000000000001</v>
      </c>
      <c r="F162" s="4">
        <v>0.91700000000000004</v>
      </c>
      <c r="G162" s="4">
        <v>0.247</v>
      </c>
      <c r="H162" s="4">
        <v>0.42899999999999999</v>
      </c>
      <c r="I162" s="4">
        <v>0.95</v>
      </c>
      <c r="J162" s="4">
        <v>0.5675</v>
      </c>
      <c r="K162" s="1">
        <v>0</v>
      </c>
      <c r="L162" s="1">
        <v>0</v>
      </c>
      <c r="M162" s="1">
        <v>700</v>
      </c>
      <c r="N162" s="1">
        <v>0</v>
      </c>
      <c r="O162" s="1" t="str">
        <f t="shared" si="21"/>
        <v>Repair</v>
      </c>
      <c r="P162" s="2">
        <f t="shared" si="22"/>
        <v>39599</v>
      </c>
      <c r="Q162" s="9">
        <f>VLOOKUP(P162,BB!$A$3:$D$6771, 3, 1)*100</f>
        <v>235</v>
      </c>
      <c r="R162" s="1" t="str">
        <f t="shared" si="27"/>
        <v/>
      </c>
      <c r="S162" s="1">
        <f t="shared" si="20"/>
        <v>145</v>
      </c>
      <c r="T162" s="1" t="str">
        <f t="shared" si="19"/>
        <v/>
      </c>
      <c r="AK162" s="1">
        <v>0</v>
      </c>
      <c r="AL162" s="1">
        <v>0</v>
      </c>
      <c r="AM162" s="1">
        <v>10</v>
      </c>
      <c r="AN162" s="1">
        <v>0</v>
      </c>
      <c r="AO162" s="1">
        <f t="shared" si="23"/>
        <v>0</v>
      </c>
      <c r="AP162" s="1">
        <f t="shared" si="24"/>
        <v>0</v>
      </c>
      <c r="AQ162" s="1">
        <f t="shared" si="25"/>
        <v>700</v>
      </c>
      <c r="AR162" s="1">
        <f t="shared" si="26"/>
        <v>0</v>
      </c>
    </row>
    <row r="163" spans="1:44" x14ac:dyDescent="0.2">
      <c r="A163" s="2">
        <v>39600</v>
      </c>
      <c r="B163" s="4">
        <v>8.0000000000000002E-3</v>
      </c>
      <c r="C163" s="4">
        <v>0.36399999999999999</v>
      </c>
      <c r="D163" s="4">
        <v>0.33</v>
      </c>
      <c r="E163" s="4">
        <v>0.214</v>
      </c>
      <c r="F163" s="4">
        <v>0.95</v>
      </c>
      <c r="G163" s="4">
        <v>0.123</v>
      </c>
      <c r="H163" s="4">
        <v>0.42099999999999999</v>
      </c>
      <c r="I163" s="4">
        <v>0.85099999999999998</v>
      </c>
      <c r="J163" s="4">
        <v>0.5923750000000001</v>
      </c>
      <c r="K163" s="1">
        <v>0</v>
      </c>
      <c r="L163" s="1">
        <v>0</v>
      </c>
      <c r="M163" s="1">
        <v>700</v>
      </c>
      <c r="N163" s="1">
        <v>0</v>
      </c>
      <c r="O163" s="1" t="str">
        <f t="shared" si="21"/>
        <v>Repair</v>
      </c>
      <c r="P163" s="2">
        <f t="shared" si="22"/>
        <v>39629</v>
      </c>
      <c r="Q163" s="9">
        <f>VLOOKUP(P163,BB!$A$3:$D$6771, 3, 1)*100</f>
        <v>265</v>
      </c>
      <c r="R163" s="1" t="str">
        <f t="shared" si="27"/>
        <v/>
      </c>
      <c r="S163" s="1">
        <f t="shared" si="20"/>
        <v>145</v>
      </c>
      <c r="T163" s="1" t="str">
        <f t="shared" si="19"/>
        <v/>
      </c>
      <c r="AK163" s="1">
        <v>0</v>
      </c>
      <c r="AL163" s="1">
        <v>0</v>
      </c>
      <c r="AM163" s="1">
        <v>10</v>
      </c>
      <c r="AN163" s="1">
        <v>0</v>
      </c>
      <c r="AO163" s="1">
        <f t="shared" si="23"/>
        <v>0</v>
      </c>
      <c r="AP163" s="1">
        <f t="shared" si="24"/>
        <v>0</v>
      </c>
      <c r="AQ163" s="1">
        <f t="shared" si="25"/>
        <v>700</v>
      </c>
      <c r="AR163" s="1">
        <f t="shared" si="26"/>
        <v>0</v>
      </c>
    </row>
    <row r="164" spans="1:44" x14ac:dyDescent="0.2">
      <c r="A164" s="2">
        <v>39630</v>
      </c>
      <c r="B164" s="4">
        <v>8.0000000000000002E-3</v>
      </c>
      <c r="C164" s="4">
        <v>0.35599999999999998</v>
      </c>
      <c r="D164" s="4">
        <v>0.32200000000000001</v>
      </c>
      <c r="E164" s="4">
        <v>0.223</v>
      </c>
      <c r="F164" s="4">
        <v>0.95</v>
      </c>
      <c r="G164" s="4">
        <v>0.123</v>
      </c>
      <c r="H164" s="4">
        <v>0.40400000000000003</v>
      </c>
      <c r="I164" s="4">
        <v>0.82599999999999996</v>
      </c>
      <c r="J164" s="4">
        <v>0.59850000000000003</v>
      </c>
      <c r="K164" s="1">
        <v>0</v>
      </c>
      <c r="L164" s="1">
        <v>0</v>
      </c>
      <c r="M164" s="1">
        <v>700</v>
      </c>
      <c r="N164" s="1">
        <v>0</v>
      </c>
      <c r="O164" s="1" t="str">
        <f t="shared" si="21"/>
        <v>Repair</v>
      </c>
      <c r="P164" s="2">
        <f t="shared" si="22"/>
        <v>39660</v>
      </c>
      <c r="Q164" s="9">
        <f>VLOOKUP(P164,BB!$A$3:$D$6771, 3, 1)*100</f>
        <v>288</v>
      </c>
      <c r="R164" s="1" t="str">
        <f t="shared" si="27"/>
        <v/>
      </c>
      <c r="S164" s="1">
        <f t="shared" si="20"/>
        <v>145</v>
      </c>
      <c r="T164" s="1" t="str">
        <f t="shared" si="19"/>
        <v/>
      </c>
      <c r="AK164" s="1">
        <v>0</v>
      </c>
      <c r="AL164" s="1">
        <v>0</v>
      </c>
      <c r="AM164" s="1">
        <v>10</v>
      </c>
      <c r="AN164" s="1">
        <v>0</v>
      </c>
      <c r="AO164" s="1">
        <f t="shared" si="23"/>
        <v>0</v>
      </c>
      <c r="AP164" s="1">
        <f t="shared" si="24"/>
        <v>0</v>
      </c>
      <c r="AQ164" s="1">
        <f t="shared" si="25"/>
        <v>700</v>
      </c>
      <c r="AR164" s="1">
        <f t="shared" si="26"/>
        <v>0</v>
      </c>
    </row>
    <row r="165" spans="1:44" x14ac:dyDescent="0.2">
      <c r="A165" s="2">
        <v>39661</v>
      </c>
      <c r="B165" s="4">
        <v>8.0000000000000002E-3</v>
      </c>
      <c r="C165" s="4">
        <v>0.35599999999999998</v>
      </c>
      <c r="D165" s="4">
        <v>0.29699999999999999</v>
      </c>
      <c r="E165" s="4">
        <v>0.247</v>
      </c>
      <c r="F165" s="4">
        <v>0.95799999999999996</v>
      </c>
      <c r="G165" s="4">
        <v>0.115</v>
      </c>
      <c r="H165" s="4">
        <v>0.39600000000000002</v>
      </c>
      <c r="I165" s="4">
        <v>0.20599999999999999</v>
      </c>
      <c r="J165" s="4">
        <v>0.67712499999999998</v>
      </c>
      <c r="K165" s="1">
        <v>0</v>
      </c>
      <c r="L165" s="1">
        <v>0</v>
      </c>
      <c r="M165" s="1">
        <v>700</v>
      </c>
      <c r="N165" s="1">
        <v>0</v>
      </c>
      <c r="O165" s="1" t="str">
        <f t="shared" si="21"/>
        <v>Repair</v>
      </c>
      <c r="P165" s="2">
        <f t="shared" si="22"/>
        <v>39691</v>
      </c>
      <c r="Q165" s="9">
        <f>VLOOKUP(P165,BB!$A$3:$D$6771, 3, 1)*100</f>
        <v>304</v>
      </c>
      <c r="R165" s="1" t="str">
        <f t="shared" si="27"/>
        <v/>
      </c>
      <c r="S165" s="1">
        <f t="shared" si="20"/>
        <v>145</v>
      </c>
      <c r="T165" s="1" t="str">
        <f t="shared" si="19"/>
        <v/>
      </c>
      <c r="AK165" s="1">
        <v>0</v>
      </c>
      <c r="AL165" s="1">
        <v>0</v>
      </c>
      <c r="AM165" s="1">
        <v>10</v>
      </c>
      <c r="AN165" s="1">
        <v>0</v>
      </c>
      <c r="AO165" s="1">
        <f t="shared" si="23"/>
        <v>0</v>
      </c>
      <c r="AP165" s="1">
        <f t="shared" si="24"/>
        <v>0</v>
      </c>
      <c r="AQ165" s="1">
        <f t="shared" si="25"/>
        <v>700</v>
      </c>
      <c r="AR165" s="1">
        <f t="shared" si="26"/>
        <v>0</v>
      </c>
    </row>
    <row r="166" spans="1:44" x14ac:dyDescent="0.2">
      <c r="A166" s="2">
        <v>39692</v>
      </c>
      <c r="B166" s="4">
        <v>2.4E-2</v>
      </c>
      <c r="C166" s="4">
        <v>0.25700000000000001</v>
      </c>
      <c r="D166" s="4">
        <v>5.7000000000000002E-2</v>
      </c>
      <c r="E166" s="4">
        <v>0.107</v>
      </c>
      <c r="F166" s="4">
        <v>0.371</v>
      </c>
      <c r="G166" s="4">
        <v>3.3000000000000002E-2</v>
      </c>
      <c r="H166" s="4">
        <v>0.32200000000000001</v>
      </c>
      <c r="I166" s="4">
        <v>0.628</v>
      </c>
      <c r="J166" s="4">
        <v>0.77512500000000006</v>
      </c>
      <c r="K166" s="1">
        <v>0</v>
      </c>
      <c r="L166" s="1">
        <v>0</v>
      </c>
      <c r="M166" s="1">
        <v>700</v>
      </c>
      <c r="N166" s="1">
        <v>0</v>
      </c>
      <c r="O166" s="1" t="str">
        <f t="shared" si="21"/>
        <v>Repair</v>
      </c>
      <c r="P166" s="2">
        <f t="shared" si="22"/>
        <v>39721</v>
      </c>
      <c r="Q166" s="9">
        <f>VLOOKUP(P166,BB!$A$3:$D$6771, 3, 1)*100</f>
        <v>441</v>
      </c>
      <c r="R166" s="1" t="str">
        <f t="shared" si="27"/>
        <v/>
      </c>
      <c r="S166" s="1">
        <f t="shared" si="20"/>
        <v>145</v>
      </c>
      <c r="T166" s="1" t="str">
        <f t="shared" si="19"/>
        <v/>
      </c>
      <c r="AK166" s="1">
        <v>0</v>
      </c>
      <c r="AL166" s="1">
        <v>0</v>
      </c>
      <c r="AM166" s="1">
        <v>10</v>
      </c>
      <c r="AN166" s="1">
        <v>0</v>
      </c>
      <c r="AO166" s="1">
        <f t="shared" si="23"/>
        <v>0</v>
      </c>
      <c r="AP166" s="1">
        <f t="shared" si="24"/>
        <v>0</v>
      </c>
      <c r="AQ166" s="1">
        <f t="shared" si="25"/>
        <v>700</v>
      </c>
      <c r="AR166" s="1">
        <f t="shared" si="26"/>
        <v>0</v>
      </c>
    </row>
    <row r="167" spans="1:44" x14ac:dyDescent="0.2">
      <c r="A167" s="2">
        <v>39722</v>
      </c>
      <c r="B167" s="4">
        <v>2.4E-2</v>
      </c>
      <c r="C167" s="4">
        <v>5.0000000000000044E-2</v>
      </c>
      <c r="D167" s="4">
        <v>8.0000000000000002E-3</v>
      </c>
      <c r="E167" s="4">
        <v>0.107</v>
      </c>
      <c r="F167" s="4">
        <v>0.40400000000000003</v>
      </c>
      <c r="G167" s="4">
        <v>1.6E-2</v>
      </c>
      <c r="H167" s="4">
        <v>0.27200000000000002</v>
      </c>
      <c r="I167" s="4">
        <v>0.371</v>
      </c>
      <c r="J167" s="4">
        <v>0.84349999999999992</v>
      </c>
      <c r="K167" s="1">
        <v>0</v>
      </c>
      <c r="L167" s="1">
        <v>0</v>
      </c>
      <c r="M167" s="1">
        <v>700</v>
      </c>
      <c r="N167" s="1">
        <v>0</v>
      </c>
      <c r="O167" s="1" t="str">
        <f t="shared" si="21"/>
        <v>Repair</v>
      </c>
      <c r="P167" s="2">
        <f t="shared" si="22"/>
        <v>39752</v>
      </c>
      <c r="Q167" s="9">
        <f>VLOOKUP(P167,BB!$A$3:$D$6771, 3, 1)*100</f>
        <v>575</v>
      </c>
      <c r="R167" s="1" t="str">
        <f t="shared" si="27"/>
        <v/>
      </c>
      <c r="S167" s="1">
        <f t="shared" si="20"/>
        <v>145</v>
      </c>
      <c r="T167" s="1" t="str">
        <f t="shared" si="19"/>
        <v/>
      </c>
      <c r="AK167" s="1">
        <v>0</v>
      </c>
      <c r="AL167" s="1">
        <v>0</v>
      </c>
      <c r="AM167" s="1">
        <v>10</v>
      </c>
      <c r="AN167" s="1">
        <v>0</v>
      </c>
      <c r="AO167" s="1">
        <f t="shared" si="23"/>
        <v>0</v>
      </c>
      <c r="AP167" s="1">
        <f t="shared" si="24"/>
        <v>0</v>
      </c>
      <c r="AQ167" s="1">
        <f t="shared" si="25"/>
        <v>700</v>
      </c>
      <c r="AR167" s="1">
        <f t="shared" si="26"/>
        <v>0</v>
      </c>
    </row>
    <row r="168" spans="1:44" x14ac:dyDescent="0.2">
      <c r="A168" s="2">
        <v>39753</v>
      </c>
      <c r="B168" s="4">
        <v>0.28000000000000003</v>
      </c>
      <c r="C168" s="4">
        <v>0.21499999999999997</v>
      </c>
      <c r="D168" s="4">
        <v>8.0000000000000002E-3</v>
      </c>
      <c r="E168" s="4">
        <v>0.223</v>
      </c>
      <c r="F168" s="4">
        <v>0.40400000000000003</v>
      </c>
      <c r="G168" s="4">
        <v>8.0000000000000002E-3</v>
      </c>
      <c r="H168" s="4">
        <v>0.371</v>
      </c>
      <c r="I168" s="4">
        <v>8.0000000000000002E-3</v>
      </c>
      <c r="J168" s="4">
        <v>0.81037500000000007</v>
      </c>
      <c r="K168" s="1">
        <v>0</v>
      </c>
      <c r="L168" s="1">
        <v>0</v>
      </c>
      <c r="M168" s="1">
        <v>700</v>
      </c>
      <c r="N168" s="1">
        <v>0</v>
      </c>
      <c r="O168" s="1" t="str">
        <f t="shared" si="21"/>
        <v>Repair</v>
      </c>
      <c r="P168" s="2">
        <f t="shared" si="22"/>
        <v>39782</v>
      </c>
      <c r="Q168" s="9">
        <f>VLOOKUP(P168,BB!$A$3:$D$6771, 3, 1)*100</f>
        <v>607</v>
      </c>
      <c r="R168" s="1" t="str">
        <f t="shared" si="27"/>
        <v/>
      </c>
      <c r="S168" s="1">
        <f t="shared" si="20"/>
        <v>145</v>
      </c>
      <c r="T168" s="1" t="str">
        <f t="shared" si="19"/>
        <v/>
      </c>
      <c r="AK168" s="1">
        <v>0</v>
      </c>
      <c r="AL168" s="1">
        <v>0</v>
      </c>
      <c r="AM168" s="1">
        <v>10</v>
      </c>
      <c r="AN168" s="1">
        <v>0</v>
      </c>
      <c r="AO168" s="1">
        <f t="shared" si="23"/>
        <v>0</v>
      </c>
      <c r="AP168" s="1">
        <f t="shared" si="24"/>
        <v>0</v>
      </c>
      <c r="AQ168" s="1">
        <f t="shared" si="25"/>
        <v>700</v>
      </c>
      <c r="AR168" s="1">
        <f t="shared" si="26"/>
        <v>0</v>
      </c>
    </row>
    <row r="169" spans="1:44" x14ac:dyDescent="0.2">
      <c r="A169" s="2">
        <v>39783</v>
      </c>
      <c r="B169" s="4">
        <v>0.29699999999999999</v>
      </c>
      <c r="C169" s="4">
        <v>0.38100000000000001</v>
      </c>
      <c r="D169" s="4">
        <v>8.0000000000000002E-3</v>
      </c>
      <c r="E169" s="4">
        <v>2.4E-2</v>
      </c>
      <c r="F169" s="4">
        <v>0.38800000000000001</v>
      </c>
      <c r="G169" s="4">
        <v>8.0000000000000002E-3</v>
      </c>
      <c r="H169" s="4">
        <v>0.36299999999999999</v>
      </c>
      <c r="I169" s="4">
        <v>0.09</v>
      </c>
      <c r="J169" s="4">
        <v>0.80512499999999998</v>
      </c>
      <c r="K169" s="1">
        <v>0</v>
      </c>
      <c r="L169" s="1">
        <v>0</v>
      </c>
      <c r="M169" s="1">
        <v>700</v>
      </c>
      <c r="N169" s="1">
        <v>0</v>
      </c>
      <c r="O169" s="1" t="str">
        <f t="shared" si="21"/>
        <v>Repair</v>
      </c>
      <c r="P169" s="2">
        <f t="shared" si="22"/>
        <v>39813</v>
      </c>
      <c r="Q169" s="9">
        <f>VLOOKUP(P169,BB!$A$3:$D$6771, 3, 1)*100</f>
        <v>555</v>
      </c>
      <c r="R169" s="1" t="str">
        <f t="shared" si="27"/>
        <v/>
      </c>
      <c r="S169" s="1">
        <f t="shared" si="20"/>
        <v>145</v>
      </c>
      <c r="T169" s="1" t="str">
        <f t="shared" si="19"/>
        <v/>
      </c>
      <c r="AK169" s="1">
        <v>0</v>
      </c>
      <c r="AL169" s="1">
        <v>0</v>
      </c>
      <c r="AM169" s="1">
        <v>10</v>
      </c>
      <c r="AN169" s="1">
        <v>0</v>
      </c>
      <c r="AO169" s="1">
        <f t="shared" si="23"/>
        <v>0</v>
      </c>
      <c r="AP169" s="1">
        <f t="shared" si="24"/>
        <v>0</v>
      </c>
      <c r="AQ169" s="1">
        <f t="shared" si="25"/>
        <v>700</v>
      </c>
      <c r="AR169" s="1">
        <f t="shared" si="26"/>
        <v>0</v>
      </c>
    </row>
    <row r="170" spans="1:44" x14ac:dyDescent="0.2">
      <c r="A170" s="2">
        <v>39814</v>
      </c>
      <c r="B170" s="4">
        <v>0.28000000000000003</v>
      </c>
      <c r="C170" s="4">
        <v>0.248</v>
      </c>
      <c r="D170" s="4">
        <v>1.6E-2</v>
      </c>
      <c r="E170" s="4">
        <v>8.0000000000000002E-3</v>
      </c>
      <c r="F170" s="4">
        <v>0.28899999999999998</v>
      </c>
      <c r="G170" s="4">
        <v>8.0000000000000002E-3</v>
      </c>
      <c r="H170" s="4">
        <v>0.56100000000000005</v>
      </c>
      <c r="I170" s="4">
        <v>0.54500000000000004</v>
      </c>
      <c r="J170" s="4">
        <v>0.75562499999999999</v>
      </c>
      <c r="K170" s="1">
        <v>0</v>
      </c>
      <c r="L170" s="1">
        <v>0</v>
      </c>
      <c r="M170" s="1">
        <v>700</v>
      </c>
      <c r="N170" s="1">
        <v>0</v>
      </c>
      <c r="O170" s="1" t="str">
        <f t="shared" si="21"/>
        <v>Repair</v>
      </c>
      <c r="P170" s="2">
        <f t="shared" si="22"/>
        <v>39844</v>
      </c>
      <c r="Q170" s="9">
        <f>VLOOKUP(P170,BB!$A$3:$D$6771, 3, 1)*100</f>
        <v>480.99999999999994</v>
      </c>
      <c r="R170" s="1" t="str">
        <f t="shared" si="27"/>
        <v/>
      </c>
      <c r="S170" s="1">
        <f t="shared" si="20"/>
        <v>145</v>
      </c>
      <c r="T170" s="1" t="str">
        <f t="shared" si="19"/>
        <v/>
      </c>
      <c r="AK170" s="1">
        <v>0</v>
      </c>
      <c r="AL170" s="1">
        <v>0</v>
      </c>
      <c r="AM170" s="1">
        <v>10</v>
      </c>
      <c r="AN170" s="1">
        <v>0</v>
      </c>
      <c r="AO170" s="1">
        <f t="shared" si="23"/>
        <v>0</v>
      </c>
      <c r="AP170" s="1">
        <f t="shared" si="24"/>
        <v>0</v>
      </c>
      <c r="AQ170" s="1">
        <f t="shared" si="25"/>
        <v>700</v>
      </c>
      <c r="AR170" s="1">
        <f t="shared" si="26"/>
        <v>0</v>
      </c>
    </row>
    <row r="171" spans="1:44" x14ac:dyDescent="0.2">
      <c r="A171" s="2">
        <v>39845</v>
      </c>
      <c r="B171" s="4">
        <v>0.214</v>
      </c>
      <c r="C171" s="4">
        <v>0.19099999999999995</v>
      </c>
      <c r="D171" s="4">
        <v>2.4E-2</v>
      </c>
      <c r="E171" s="4">
        <v>8.0000000000000002E-3</v>
      </c>
      <c r="F171" s="4">
        <v>0.314</v>
      </c>
      <c r="G171" s="4">
        <v>8.0000000000000002E-3</v>
      </c>
      <c r="H171" s="4">
        <v>0.83399999999999996</v>
      </c>
      <c r="I171" s="4">
        <v>1.6E-2</v>
      </c>
      <c r="J171" s="4">
        <v>0.798875</v>
      </c>
      <c r="K171" s="1">
        <v>0</v>
      </c>
      <c r="L171" s="1">
        <v>0</v>
      </c>
      <c r="M171" s="1">
        <v>700</v>
      </c>
      <c r="N171" s="1">
        <v>0</v>
      </c>
      <c r="O171" s="1" t="str">
        <f t="shared" si="21"/>
        <v>Repair</v>
      </c>
      <c r="P171" s="2">
        <f t="shared" si="22"/>
        <v>39872</v>
      </c>
      <c r="Q171" s="9">
        <f>VLOOKUP(P171,BB!$A$3:$D$6771, 3, 1)*100</f>
        <v>505</v>
      </c>
      <c r="R171" s="1" t="str">
        <f t="shared" si="27"/>
        <v/>
      </c>
      <c r="S171" s="1">
        <f t="shared" si="20"/>
        <v>145</v>
      </c>
      <c r="T171" s="1" t="str">
        <f t="shared" si="19"/>
        <v/>
      </c>
      <c r="AK171" s="1">
        <v>0</v>
      </c>
      <c r="AL171" s="1">
        <v>0</v>
      </c>
      <c r="AM171" s="1">
        <v>10</v>
      </c>
      <c r="AN171" s="1">
        <v>0</v>
      </c>
      <c r="AO171" s="1">
        <f t="shared" si="23"/>
        <v>0</v>
      </c>
      <c r="AP171" s="1">
        <f t="shared" si="24"/>
        <v>0</v>
      </c>
      <c r="AQ171" s="1">
        <f t="shared" si="25"/>
        <v>700</v>
      </c>
      <c r="AR171" s="1">
        <f t="shared" si="26"/>
        <v>0</v>
      </c>
    </row>
    <row r="172" spans="1:44" x14ac:dyDescent="0.2">
      <c r="A172" s="2">
        <v>39873</v>
      </c>
      <c r="B172" s="4">
        <v>0.314</v>
      </c>
      <c r="C172" s="4">
        <v>0.28100000000000003</v>
      </c>
      <c r="D172" s="4">
        <v>4.1000000000000002E-2</v>
      </c>
      <c r="E172" s="4">
        <v>8.0000000000000002E-3</v>
      </c>
      <c r="F172" s="4">
        <v>0.40400000000000003</v>
      </c>
      <c r="G172" s="4">
        <v>8.0000000000000002E-3</v>
      </c>
      <c r="H172" s="4">
        <v>0.40400000000000003</v>
      </c>
      <c r="I172" s="4">
        <v>0.33</v>
      </c>
      <c r="J172" s="4">
        <v>0.77625</v>
      </c>
      <c r="K172" s="1">
        <v>0</v>
      </c>
      <c r="L172" s="1">
        <v>0</v>
      </c>
      <c r="M172" s="1">
        <v>700</v>
      </c>
      <c r="N172" s="1">
        <v>0</v>
      </c>
      <c r="O172" s="1" t="str">
        <f t="shared" si="21"/>
        <v>Repair</v>
      </c>
      <c r="P172" s="2">
        <f t="shared" si="22"/>
        <v>39903</v>
      </c>
      <c r="Q172" s="9">
        <f>VLOOKUP(P172,BB!$A$3:$D$6771, 3, 1)*100</f>
        <v>543</v>
      </c>
      <c r="R172" s="1" t="str">
        <f t="shared" si="27"/>
        <v/>
      </c>
      <c r="S172" s="1">
        <f t="shared" si="20"/>
        <v>145</v>
      </c>
      <c r="T172" s="1" t="str">
        <f t="shared" si="19"/>
        <v/>
      </c>
      <c r="AK172" s="1">
        <v>0</v>
      </c>
      <c r="AL172" s="1">
        <v>0</v>
      </c>
      <c r="AM172" s="1">
        <v>10</v>
      </c>
      <c r="AN172" s="1">
        <v>0</v>
      </c>
      <c r="AO172" s="1">
        <f t="shared" si="23"/>
        <v>0</v>
      </c>
      <c r="AP172" s="1">
        <f t="shared" si="24"/>
        <v>0</v>
      </c>
      <c r="AQ172" s="1">
        <f t="shared" si="25"/>
        <v>700</v>
      </c>
      <c r="AR172" s="1">
        <f t="shared" si="26"/>
        <v>0</v>
      </c>
    </row>
    <row r="173" spans="1:44" x14ac:dyDescent="0.2">
      <c r="A173" s="2">
        <v>39904</v>
      </c>
      <c r="B173" s="4">
        <v>0.33800000000000002</v>
      </c>
      <c r="C173" s="4">
        <v>0.13300000000000001</v>
      </c>
      <c r="D173" s="4">
        <v>6.6000000000000003E-2</v>
      </c>
      <c r="E173" s="4">
        <v>8.0000000000000002E-3</v>
      </c>
      <c r="F173" s="4">
        <v>0.40400000000000003</v>
      </c>
      <c r="G173" s="4">
        <v>1.6E-2</v>
      </c>
      <c r="H173" s="4">
        <v>0.41299999999999998</v>
      </c>
      <c r="I173" s="4">
        <v>0.23899999999999999</v>
      </c>
      <c r="J173" s="4">
        <v>0.797875</v>
      </c>
      <c r="K173" s="1">
        <v>0</v>
      </c>
      <c r="L173" s="1">
        <v>0</v>
      </c>
      <c r="M173" s="1">
        <v>700</v>
      </c>
      <c r="N173" s="1">
        <v>0</v>
      </c>
      <c r="O173" s="1" t="str">
        <f t="shared" si="21"/>
        <v>Repair</v>
      </c>
      <c r="P173" s="2">
        <f t="shared" si="22"/>
        <v>39933</v>
      </c>
      <c r="Q173" s="9">
        <f>VLOOKUP(P173,BB!$A$3:$D$6771, 3, 1)*100</f>
        <v>438.99999999999994</v>
      </c>
      <c r="R173" s="1" t="str">
        <f t="shared" si="27"/>
        <v/>
      </c>
      <c r="S173" s="1">
        <f t="shared" si="20"/>
        <v>145</v>
      </c>
      <c r="T173" s="1" t="str">
        <f t="shared" si="19"/>
        <v/>
      </c>
      <c r="AK173" s="1">
        <v>0</v>
      </c>
      <c r="AL173" s="1">
        <v>0</v>
      </c>
      <c r="AM173" s="1">
        <v>10</v>
      </c>
      <c r="AN173" s="1">
        <v>0</v>
      </c>
      <c r="AO173" s="1">
        <f t="shared" si="23"/>
        <v>0</v>
      </c>
      <c r="AP173" s="1">
        <f t="shared" si="24"/>
        <v>0</v>
      </c>
      <c r="AQ173" s="1">
        <f t="shared" si="25"/>
        <v>700</v>
      </c>
      <c r="AR173" s="1">
        <f t="shared" si="26"/>
        <v>0</v>
      </c>
    </row>
    <row r="174" spans="1:44" x14ac:dyDescent="0.2">
      <c r="A174" s="2">
        <v>39934</v>
      </c>
      <c r="B174" s="4">
        <v>0.39600000000000002</v>
      </c>
      <c r="C174" s="4">
        <v>1.7000000000000015E-2</v>
      </c>
      <c r="D174" s="4">
        <v>9.9000000000000005E-2</v>
      </c>
      <c r="E174" s="4">
        <v>8.0000000000000002E-3</v>
      </c>
      <c r="F174" s="4">
        <v>0.47099999999999997</v>
      </c>
      <c r="G174" s="4">
        <v>2.4E-2</v>
      </c>
      <c r="H174" s="4">
        <v>0.438</v>
      </c>
      <c r="I174" s="4">
        <v>0.34699999999999998</v>
      </c>
      <c r="J174" s="4">
        <v>0.77500000000000002</v>
      </c>
      <c r="K174" s="1">
        <v>0</v>
      </c>
      <c r="L174" s="1">
        <v>0</v>
      </c>
      <c r="M174" s="1">
        <v>700</v>
      </c>
      <c r="N174" s="1">
        <v>0</v>
      </c>
      <c r="O174" s="1" t="str">
        <f t="shared" si="21"/>
        <v>Repair</v>
      </c>
      <c r="P174" s="2">
        <f t="shared" si="22"/>
        <v>39964</v>
      </c>
      <c r="Q174" s="9">
        <f>VLOOKUP(P174,BB!$A$3:$D$6771, 3, 1)*100</f>
        <v>352</v>
      </c>
      <c r="R174" s="1" t="str">
        <f t="shared" si="27"/>
        <v/>
      </c>
      <c r="S174" s="1">
        <f t="shared" si="20"/>
        <v>145</v>
      </c>
      <c r="T174" s="1" t="str">
        <f t="shared" si="19"/>
        <v/>
      </c>
      <c r="AK174" s="1">
        <v>0</v>
      </c>
      <c r="AL174" s="1">
        <v>0</v>
      </c>
      <c r="AM174" s="1">
        <v>10</v>
      </c>
      <c r="AN174" s="1">
        <v>0</v>
      </c>
      <c r="AO174" s="1">
        <f t="shared" si="23"/>
        <v>0</v>
      </c>
      <c r="AP174" s="1">
        <f t="shared" si="24"/>
        <v>0</v>
      </c>
      <c r="AQ174" s="1">
        <f t="shared" si="25"/>
        <v>700</v>
      </c>
      <c r="AR174" s="1">
        <f t="shared" si="26"/>
        <v>0</v>
      </c>
    </row>
    <row r="175" spans="1:44" x14ac:dyDescent="0.2">
      <c r="A175" s="2">
        <v>39965</v>
      </c>
      <c r="B175" s="4">
        <v>0.47099999999999997</v>
      </c>
      <c r="C175" s="4">
        <v>5.8000000000000052E-2</v>
      </c>
      <c r="D175" s="4">
        <v>0.16500000000000001</v>
      </c>
      <c r="E175" s="4">
        <v>8.0000000000000002E-3</v>
      </c>
      <c r="F175" s="4">
        <v>0.55300000000000005</v>
      </c>
      <c r="G175" s="4">
        <v>2.4E-2</v>
      </c>
      <c r="H175" s="4">
        <v>0.42899999999999999</v>
      </c>
      <c r="I175" s="4">
        <v>0.23100000000000001</v>
      </c>
      <c r="J175" s="4">
        <v>0.75762499999999999</v>
      </c>
      <c r="K175" s="1">
        <v>0</v>
      </c>
      <c r="L175" s="1">
        <v>0</v>
      </c>
      <c r="M175" s="1">
        <v>700</v>
      </c>
      <c r="N175" s="1">
        <v>0</v>
      </c>
      <c r="O175" s="1" t="str">
        <f t="shared" si="21"/>
        <v>Repair</v>
      </c>
      <c r="P175" s="2">
        <f t="shared" si="22"/>
        <v>39994</v>
      </c>
      <c r="Q175" s="9">
        <f>VLOOKUP(P175,BB!$A$3:$D$6771, 3, 1)*100</f>
        <v>306</v>
      </c>
      <c r="R175" s="1">
        <f t="shared" si="27"/>
        <v>161</v>
      </c>
      <c r="S175" s="1">
        <f t="shared" si="20"/>
        <v>145</v>
      </c>
      <c r="T175" s="1" t="str">
        <f t="shared" si="19"/>
        <v>Repair</v>
      </c>
      <c r="AK175" s="1">
        <v>0</v>
      </c>
      <c r="AL175" s="1">
        <v>0</v>
      </c>
      <c r="AM175" s="1">
        <v>10</v>
      </c>
      <c r="AN175" s="1">
        <v>0</v>
      </c>
      <c r="AO175" s="1">
        <f t="shared" si="23"/>
        <v>0</v>
      </c>
      <c r="AP175" s="1">
        <f t="shared" si="24"/>
        <v>0</v>
      </c>
      <c r="AQ175" s="1">
        <f t="shared" si="25"/>
        <v>700</v>
      </c>
      <c r="AR175" s="1">
        <f t="shared" si="26"/>
        <v>0</v>
      </c>
    </row>
    <row r="176" spans="1:44" x14ac:dyDescent="0.2">
      <c r="A176" s="2">
        <v>39995</v>
      </c>
      <c r="B176" s="4">
        <v>0.56100000000000005</v>
      </c>
      <c r="C176" s="4">
        <v>7.4999999999999956E-2</v>
      </c>
      <c r="D176" s="4">
        <v>0.27200000000000002</v>
      </c>
      <c r="E176" s="4">
        <v>1.6E-2</v>
      </c>
      <c r="F176" s="4">
        <v>0.56999999999999995</v>
      </c>
      <c r="G176" s="4">
        <v>8.0000000000000002E-3</v>
      </c>
      <c r="H176" s="4">
        <v>0.44600000000000001</v>
      </c>
      <c r="I176" s="4">
        <v>0.107</v>
      </c>
      <c r="J176" s="4">
        <v>0.74312500000000004</v>
      </c>
      <c r="K176" s="1">
        <v>0</v>
      </c>
      <c r="L176" s="1">
        <v>0</v>
      </c>
      <c r="M176" s="1">
        <v>0</v>
      </c>
      <c r="N176" s="1">
        <v>700</v>
      </c>
      <c r="O176" s="1" t="str">
        <f t="shared" si="21"/>
        <v>Recovery</v>
      </c>
      <c r="P176" s="2">
        <f t="shared" si="22"/>
        <v>40025</v>
      </c>
      <c r="Q176" s="9">
        <f>VLOOKUP(P176,BB!$A$3:$D$6771, 3, 1)*100</f>
        <v>247.00000000000003</v>
      </c>
      <c r="R176" s="1" t="str">
        <f t="shared" si="27"/>
        <v/>
      </c>
      <c r="S176" s="1">
        <f t="shared" si="20"/>
        <v>306</v>
      </c>
      <c r="T176" s="1" t="str">
        <f t="shared" si="19"/>
        <v/>
      </c>
      <c r="AK176" s="1">
        <v>0</v>
      </c>
      <c r="AL176" s="1">
        <v>0</v>
      </c>
      <c r="AM176" s="1">
        <v>0</v>
      </c>
      <c r="AN176" s="1">
        <v>10</v>
      </c>
      <c r="AO176" s="1">
        <f t="shared" si="23"/>
        <v>0</v>
      </c>
      <c r="AP176" s="1">
        <f t="shared" si="24"/>
        <v>0</v>
      </c>
      <c r="AQ176" s="1">
        <f t="shared" si="25"/>
        <v>0</v>
      </c>
      <c r="AR176" s="1">
        <f t="shared" si="26"/>
        <v>700</v>
      </c>
    </row>
    <row r="177" spans="1:44" x14ac:dyDescent="0.2">
      <c r="A177" s="2">
        <v>40026</v>
      </c>
      <c r="B177" s="4">
        <v>0.48699999999999999</v>
      </c>
      <c r="C177" s="4">
        <v>5.0000000000000044E-2</v>
      </c>
      <c r="D177" s="4">
        <v>0.51200000000000001</v>
      </c>
      <c r="E177" s="4">
        <v>2.4E-2</v>
      </c>
      <c r="F177" s="4">
        <v>0.93300000000000005</v>
      </c>
      <c r="G177" s="4">
        <v>4.1000000000000002E-2</v>
      </c>
      <c r="H177" s="4">
        <v>0.42899999999999999</v>
      </c>
      <c r="I177" s="4">
        <v>3.3000000000000002E-2</v>
      </c>
      <c r="J177" s="4">
        <v>0.68637499999999996</v>
      </c>
      <c r="K177" s="1">
        <v>0</v>
      </c>
      <c r="L177" s="1">
        <v>0</v>
      </c>
      <c r="M177" s="1">
        <v>0</v>
      </c>
      <c r="N177" s="1">
        <v>700</v>
      </c>
      <c r="O177" s="1" t="str">
        <f t="shared" si="21"/>
        <v>Recovery</v>
      </c>
      <c r="P177" s="2">
        <f t="shared" si="22"/>
        <v>40056</v>
      </c>
      <c r="Q177" s="9">
        <f>VLOOKUP(P177,BB!$A$3:$D$6771, 3, 1)*100</f>
        <v>231</v>
      </c>
      <c r="R177" s="1" t="str">
        <f t="shared" si="27"/>
        <v/>
      </c>
      <c r="S177" s="1">
        <f t="shared" si="20"/>
        <v>306</v>
      </c>
      <c r="T177" s="1" t="str">
        <f t="shared" si="19"/>
        <v/>
      </c>
      <c r="AK177" s="1">
        <v>0</v>
      </c>
      <c r="AL177" s="1">
        <v>0</v>
      </c>
      <c r="AM177" s="1">
        <v>0</v>
      </c>
      <c r="AN177" s="1">
        <v>10</v>
      </c>
      <c r="AO177" s="1">
        <f t="shared" si="23"/>
        <v>0</v>
      </c>
      <c r="AP177" s="1">
        <f t="shared" si="24"/>
        <v>0</v>
      </c>
      <c r="AQ177" s="1">
        <f t="shared" si="25"/>
        <v>0</v>
      </c>
      <c r="AR177" s="1">
        <f t="shared" si="26"/>
        <v>700</v>
      </c>
    </row>
    <row r="178" spans="1:44" x14ac:dyDescent="0.2">
      <c r="A178" s="2">
        <v>40057</v>
      </c>
      <c r="B178" s="4">
        <v>0.48699999999999999</v>
      </c>
      <c r="C178" s="4">
        <v>9.099999999999997E-2</v>
      </c>
      <c r="D178" s="4">
        <v>0.51200000000000001</v>
      </c>
      <c r="E178" s="4">
        <v>4.1000000000000002E-2</v>
      </c>
      <c r="F178" s="4">
        <v>0.80900000000000005</v>
      </c>
      <c r="G178" s="4">
        <v>8.0000000000000002E-3</v>
      </c>
      <c r="H178" s="4">
        <v>0.39600000000000002</v>
      </c>
      <c r="I178" s="4">
        <v>0.40400000000000003</v>
      </c>
      <c r="J178" s="4">
        <v>0.65650000000000008</v>
      </c>
      <c r="K178" s="1">
        <v>0</v>
      </c>
      <c r="L178" s="1">
        <v>0</v>
      </c>
      <c r="M178" s="1">
        <v>0</v>
      </c>
      <c r="N178" s="1">
        <v>700</v>
      </c>
      <c r="O178" s="1" t="str">
        <f t="shared" si="21"/>
        <v>Recovery</v>
      </c>
      <c r="P178" s="2">
        <f t="shared" si="22"/>
        <v>40086</v>
      </c>
      <c r="Q178" s="9">
        <f>VLOOKUP(P178,BB!$A$3:$D$6771, 3, 1)*100</f>
        <v>218.00000000000003</v>
      </c>
      <c r="R178" s="1" t="str">
        <f t="shared" si="27"/>
        <v/>
      </c>
      <c r="S178" s="1">
        <f t="shared" si="20"/>
        <v>306</v>
      </c>
      <c r="T178" s="1" t="str">
        <f t="shared" si="19"/>
        <v/>
      </c>
      <c r="AK178" s="1">
        <v>0</v>
      </c>
      <c r="AL178" s="1">
        <v>0</v>
      </c>
      <c r="AM178" s="1">
        <v>0</v>
      </c>
      <c r="AN178" s="1">
        <v>10</v>
      </c>
      <c r="AO178" s="1">
        <f t="shared" si="23"/>
        <v>0</v>
      </c>
      <c r="AP178" s="1">
        <f t="shared" si="24"/>
        <v>0</v>
      </c>
      <c r="AQ178" s="1">
        <f t="shared" si="25"/>
        <v>0</v>
      </c>
      <c r="AR178" s="1">
        <f t="shared" si="26"/>
        <v>700</v>
      </c>
    </row>
    <row r="179" spans="1:44" x14ac:dyDescent="0.2">
      <c r="A179" s="2">
        <v>40087</v>
      </c>
      <c r="B179" s="4">
        <v>0.39600000000000002</v>
      </c>
      <c r="C179" s="4">
        <v>3.400000000000003E-2</v>
      </c>
      <c r="D179" s="4">
        <v>0.752</v>
      </c>
      <c r="E179" s="4">
        <v>4.1000000000000002E-2</v>
      </c>
      <c r="F179" s="4">
        <v>0.86699999999999999</v>
      </c>
      <c r="G179" s="4">
        <v>8.0000000000000002E-3</v>
      </c>
      <c r="H179" s="4">
        <v>0.41299999999999998</v>
      </c>
      <c r="I179" s="4">
        <v>0.157</v>
      </c>
      <c r="J179" s="4">
        <v>0.66650000000000009</v>
      </c>
      <c r="K179" s="1">
        <v>0</v>
      </c>
      <c r="L179" s="1">
        <v>0</v>
      </c>
      <c r="M179" s="1">
        <v>0</v>
      </c>
      <c r="N179" s="1">
        <v>700</v>
      </c>
      <c r="O179" s="1" t="str">
        <f t="shared" si="21"/>
        <v>Recovery</v>
      </c>
      <c r="P179" s="2">
        <f t="shared" si="22"/>
        <v>40117</v>
      </c>
      <c r="Q179" s="9">
        <f>VLOOKUP(P179,BB!$A$3:$D$6771, 3, 1)*100</f>
        <v>206</v>
      </c>
      <c r="R179" s="1" t="str">
        <f t="shared" si="27"/>
        <v/>
      </c>
      <c r="S179" s="1">
        <f t="shared" si="20"/>
        <v>306</v>
      </c>
      <c r="T179" s="1" t="str">
        <f t="shared" si="19"/>
        <v/>
      </c>
      <c r="AK179" s="1">
        <v>0</v>
      </c>
      <c r="AL179" s="1">
        <v>0</v>
      </c>
      <c r="AM179" s="1">
        <v>0</v>
      </c>
      <c r="AN179" s="1">
        <v>10</v>
      </c>
      <c r="AO179" s="1">
        <f t="shared" si="23"/>
        <v>0</v>
      </c>
      <c r="AP179" s="1">
        <f t="shared" si="24"/>
        <v>0</v>
      </c>
      <c r="AQ179" s="1">
        <f t="shared" si="25"/>
        <v>0</v>
      </c>
      <c r="AR179" s="1">
        <f t="shared" si="26"/>
        <v>700</v>
      </c>
    </row>
    <row r="180" spans="1:44" x14ac:dyDescent="0.2">
      <c r="A180" s="2">
        <v>40118</v>
      </c>
      <c r="B180" s="4">
        <v>7.3999999999999996E-2</v>
      </c>
      <c r="C180" s="4">
        <v>2.5000000000000022E-2</v>
      </c>
      <c r="D180" s="4">
        <v>0.56100000000000005</v>
      </c>
      <c r="E180" s="4">
        <v>6.6000000000000003E-2</v>
      </c>
      <c r="F180" s="4">
        <v>0.86699999999999999</v>
      </c>
      <c r="G180" s="4">
        <v>4.9000000000000002E-2</v>
      </c>
      <c r="H180" s="4">
        <v>0.41299999999999998</v>
      </c>
      <c r="I180" s="4">
        <v>0.752</v>
      </c>
      <c r="J180" s="4">
        <v>0.64912500000000006</v>
      </c>
      <c r="K180" s="1">
        <v>0</v>
      </c>
      <c r="L180" s="1">
        <v>0</v>
      </c>
      <c r="M180" s="1">
        <v>0</v>
      </c>
      <c r="N180" s="1">
        <v>700</v>
      </c>
      <c r="O180" s="1" t="str">
        <f t="shared" si="21"/>
        <v>Recovery</v>
      </c>
      <c r="P180" s="2">
        <f t="shared" si="22"/>
        <v>40147</v>
      </c>
      <c r="Q180" s="9">
        <f>VLOOKUP(P180,BB!$A$3:$D$6771, 3, 1)*100</f>
        <v>206</v>
      </c>
      <c r="R180" s="1" t="str">
        <f t="shared" si="27"/>
        <v/>
      </c>
      <c r="S180" s="1">
        <f t="shared" si="20"/>
        <v>306</v>
      </c>
      <c r="T180" s="1" t="str">
        <f t="shared" si="19"/>
        <v/>
      </c>
      <c r="AK180" s="1">
        <v>0</v>
      </c>
      <c r="AL180" s="1">
        <v>0</v>
      </c>
      <c r="AM180" s="1">
        <v>0</v>
      </c>
      <c r="AN180" s="1">
        <v>10</v>
      </c>
      <c r="AO180" s="1">
        <f t="shared" si="23"/>
        <v>0</v>
      </c>
      <c r="AP180" s="1">
        <f t="shared" si="24"/>
        <v>0</v>
      </c>
      <c r="AQ180" s="1">
        <f t="shared" si="25"/>
        <v>0</v>
      </c>
      <c r="AR180" s="1">
        <f t="shared" si="26"/>
        <v>700</v>
      </c>
    </row>
    <row r="181" spans="1:44" x14ac:dyDescent="0.2">
      <c r="A181" s="2">
        <v>40148</v>
      </c>
      <c r="B181" s="4">
        <v>4.9000000000000002E-2</v>
      </c>
      <c r="C181" s="4">
        <v>9.000000000000008E-3</v>
      </c>
      <c r="D181" s="4">
        <v>0.77600000000000002</v>
      </c>
      <c r="E181" s="4">
        <v>0.19800000000000001</v>
      </c>
      <c r="F181" s="4">
        <v>0.223</v>
      </c>
      <c r="G181" s="4">
        <v>0.107</v>
      </c>
      <c r="H181" s="4">
        <v>0.74299999999999999</v>
      </c>
      <c r="I181" s="4">
        <v>0.628</v>
      </c>
      <c r="J181" s="4">
        <v>0.65837499999999993</v>
      </c>
      <c r="K181" s="1">
        <v>0</v>
      </c>
      <c r="L181" s="1">
        <v>0</v>
      </c>
      <c r="M181" s="1">
        <v>0</v>
      </c>
      <c r="N181" s="1">
        <v>700</v>
      </c>
      <c r="O181" s="1" t="str">
        <f t="shared" si="21"/>
        <v>Recovery</v>
      </c>
      <c r="P181" s="2">
        <f t="shared" si="22"/>
        <v>40178</v>
      </c>
      <c r="Q181" s="9">
        <f>VLOOKUP(P181,BB!$A$3:$D$6771, 3, 1)*100</f>
        <v>172</v>
      </c>
      <c r="R181" s="1" t="str">
        <f t="shared" si="27"/>
        <v/>
      </c>
      <c r="S181" s="1">
        <f t="shared" si="20"/>
        <v>306</v>
      </c>
      <c r="T181" s="1" t="str">
        <f t="shared" si="19"/>
        <v/>
      </c>
      <c r="AK181" s="1">
        <v>0</v>
      </c>
      <c r="AL181" s="1">
        <v>0</v>
      </c>
      <c r="AM181" s="1">
        <v>0</v>
      </c>
      <c r="AN181" s="1">
        <v>10</v>
      </c>
      <c r="AO181" s="1">
        <f t="shared" si="23"/>
        <v>0</v>
      </c>
      <c r="AP181" s="1">
        <f t="shared" si="24"/>
        <v>0</v>
      </c>
      <c r="AQ181" s="1">
        <f t="shared" si="25"/>
        <v>0</v>
      </c>
      <c r="AR181" s="1">
        <f t="shared" si="26"/>
        <v>700</v>
      </c>
    </row>
    <row r="182" spans="1:44" x14ac:dyDescent="0.2">
      <c r="A182" s="2">
        <v>40179</v>
      </c>
      <c r="B182" s="4">
        <v>4.9000000000000002E-2</v>
      </c>
      <c r="C182" s="4">
        <v>9.000000000000008E-3</v>
      </c>
      <c r="D182" s="4">
        <v>0.876</v>
      </c>
      <c r="E182" s="4">
        <v>0.23100000000000001</v>
      </c>
      <c r="F182" s="4">
        <v>0.19</v>
      </c>
      <c r="G182" s="4">
        <v>0.19</v>
      </c>
      <c r="H182" s="4">
        <v>0.95</v>
      </c>
      <c r="I182" s="4">
        <v>0.28000000000000003</v>
      </c>
      <c r="J182" s="4">
        <v>0.65312499999999996</v>
      </c>
      <c r="K182" s="1">
        <v>0</v>
      </c>
      <c r="L182" s="1">
        <v>0</v>
      </c>
      <c r="M182" s="1">
        <v>0</v>
      </c>
      <c r="N182" s="1">
        <v>700</v>
      </c>
      <c r="O182" s="1" t="str">
        <f t="shared" si="21"/>
        <v>Recovery</v>
      </c>
      <c r="P182" s="2">
        <f t="shared" si="22"/>
        <v>40209</v>
      </c>
      <c r="Q182" s="9">
        <f>VLOOKUP(P182,BB!$A$3:$D$6771, 3, 1)*100</f>
        <v>169</v>
      </c>
      <c r="R182" s="1" t="str">
        <f t="shared" si="27"/>
        <v/>
      </c>
      <c r="S182" s="1">
        <f t="shared" si="20"/>
        <v>306</v>
      </c>
      <c r="T182" s="1" t="str">
        <f t="shared" si="19"/>
        <v/>
      </c>
      <c r="AK182" s="1">
        <v>0</v>
      </c>
      <c r="AL182" s="1">
        <v>0</v>
      </c>
      <c r="AM182" s="1">
        <v>0</v>
      </c>
      <c r="AN182" s="1">
        <v>10</v>
      </c>
      <c r="AO182" s="1">
        <f t="shared" si="23"/>
        <v>0</v>
      </c>
      <c r="AP182" s="1">
        <f t="shared" si="24"/>
        <v>0</v>
      </c>
      <c r="AQ182" s="1">
        <f t="shared" si="25"/>
        <v>0</v>
      </c>
      <c r="AR182" s="1">
        <f t="shared" si="26"/>
        <v>700</v>
      </c>
    </row>
    <row r="183" spans="1:44" x14ac:dyDescent="0.2">
      <c r="A183" s="2">
        <v>40210</v>
      </c>
      <c r="B183" s="4">
        <v>6.6000000000000003E-2</v>
      </c>
      <c r="C183" s="4">
        <v>9.000000000000008E-3</v>
      </c>
      <c r="D183" s="4">
        <v>0.80900000000000005</v>
      </c>
      <c r="E183" s="4">
        <v>0.23100000000000001</v>
      </c>
      <c r="F183" s="4">
        <v>0.16500000000000001</v>
      </c>
      <c r="G183" s="4">
        <v>0.214</v>
      </c>
      <c r="H183" s="4">
        <v>0.92500000000000004</v>
      </c>
      <c r="I183" s="4">
        <v>0.33</v>
      </c>
      <c r="J183" s="4">
        <v>0.65637499999999993</v>
      </c>
      <c r="K183" s="1">
        <v>0</v>
      </c>
      <c r="L183" s="1">
        <v>0</v>
      </c>
      <c r="M183" s="1">
        <v>0</v>
      </c>
      <c r="N183" s="1">
        <v>700</v>
      </c>
      <c r="O183" s="1" t="str">
        <f t="shared" si="21"/>
        <v>Recovery</v>
      </c>
      <c r="P183" s="2">
        <f t="shared" si="22"/>
        <v>40237</v>
      </c>
      <c r="Q183" s="9">
        <f>VLOOKUP(P183,BB!$A$3:$D$6771, 3, 1)*100</f>
        <v>173</v>
      </c>
      <c r="R183" s="1" t="str">
        <f t="shared" si="27"/>
        <v/>
      </c>
      <c r="S183" s="1">
        <f t="shared" si="20"/>
        <v>306</v>
      </c>
      <c r="T183" s="1" t="str">
        <f t="shared" si="19"/>
        <v/>
      </c>
      <c r="AK183" s="1">
        <v>0</v>
      </c>
      <c r="AL183" s="1">
        <v>0</v>
      </c>
      <c r="AM183" s="1">
        <v>0</v>
      </c>
      <c r="AN183" s="1">
        <v>10</v>
      </c>
      <c r="AO183" s="1">
        <f t="shared" si="23"/>
        <v>0</v>
      </c>
      <c r="AP183" s="1">
        <f t="shared" si="24"/>
        <v>0</v>
      </c>
      <c r="AQ183" s="1">
        <f t="shared" si="25"/>
        <v>0</v>
      </c>
      <c r="AR183" s="1">
        <f t="shared" si="26"/>
        <v>700</v>
      </c>
    </row>
    <row r="184" spans="1:44" x14ac:dyDescent="0.2">
      <c r="A184" s="2">
        <v>40238</v>
      </c>
      <c r="B184" s="4">
        <v>6.6000000000000003E-2</v>
      </c>
      <c r="C184" s="4">
        <v>9.000000000000008E-3</v>
      </c>
      <c r="D184" s="4">
        <v>0.91700000000000004</v>
      </c>
      <c r="E184" s="4">
        <v>0.504</v>
      </c>
      <c r="F184" s="4">
        <v>0.20599999999999999</v>
      </c>
      <c r="G184" s="4">
        <v>0.39600000000000002</v>
      </c>
      <c r="H184" s="4">
        <v>0.98299999999999998</v>
      </c>
      <c r="I184" s="4">
        <v>0.65200000000000002</v>
      </c>
      <c r="J184" s="4">
        <v>0.53337499999999993</v>
      </c>
      <c r="K184" s="1">
        <v>0</v>
      </c>
      <c r="L184" s="1">
        <v>0</v>
      </c>
      <c r="M184" s="1">
        <v>0</v>
      </c>
      <c r="N184" s="1">
        <v>700</v>
      </c>
      <c r="O184" s="1" t="str">
        <f t="shared" si="21"/>
        <v>Recovery</v>
      </c>
      <c r="P184" s="2">
        <f t="shared" si="22"/>
        <v>40268</v>
      </c>
      <c r="Q184" s="9">
        <f>VLOOKUP(P184,BB!$A$3:$D$6771, 3, 1)*100</f>
        <v>150</v>
      </c>
      <c r="R184" s="1" t="str">
        <f t="shared" si="27"/>
        <v/>
      </c>
      <c r="S184" s="1">
        <f t="shared" si="20"/>
        <v>306</v>
      </c>
      <c r="T184" s="1" t="str">
        <f t="shared" si="19"/>
        <v/>
      </c>
      <c r="AK184" s="1">
        <v>0</v>
      </c>
      <c r="AL184" s="1">
        <v>0</v>
      </c>
      <c r="AM184" s="1">
        <v>0</v>
      </c>
      <c r="AN184" s="1">
        <v>10</v>
      </c>
      <c r="AO184" s="1">
        <f t="shared" si="23"/>
        <v>0</v>
      </c>
      <c r="AP184" s="1">
        <f t="shared" si="24"/>
        <v>0</v>
      </c>
      <c r="AQ184" s="1">
        <f t="shared" si="25"/>
        <v>0</v>
      </c>
      <c r="AR184" s="1">
        <f t="shared" si="26"/>
        <v>700</v>
      </c>
    </row>
    <row r="185" spans="1:44" x14ac:dyDescent="0.2">
      <c r="A185" s="2">
        <v>40269</v>
      </c>
      <c r="B185" s="4">
        <v>6.6000000000000003E-2</v>
      </c>
      <c r="C185" s="4">
        <v>4.2000000000000037E-2</v>
      </c>
      <c r="D185" s="4">
        <v>0.91700000000000004</v>
      </c>
      <c r="E185" s="4">
        <v>0.57799999999999996</v>
      </c>
      <c r="F185" s="4">
        <v>0.17299999999999999</v>
      </c>
      <c r="G185" s="4">
        <v>0.40400000000000003</v>
      </c>
      <c r="H185" s="4">
        <v>0.99099999999999999</v>
      </c>
      <c r="I185" s="4">
        <v>0.53700000000000003</v>
      </c>
      <c r="J185" s="4">
        <v>0.53649999999999998</v>
      </c>
      <c r="K185" s="1">
        <v>0</v>
      </c>
      <c r="L185" s="1">
        <v>0</v>
      </c>
      <c r="M185" s="1">
        <v>0</v>
      </c>
      <c r="N185" s="1">
        <v>700</v>
      </c>
      <c r="O185" s="1" t="str">
        <f t="shared" si="21"/>
        <v>Recovery</v>
      </c>
      <c r="P185" s="2">
        <f t="shared" si="22"/>
        <v>40298</v>
      </c>
      <c r="Q185" s="9">
        <f>VLOOKUP(P185,BB!$A$3:$D$6771, 3, 1)*100</f>
        <v>143</v>
      </c>
      <c r="R185" s="1" t="str">
        <f t="shared" si="27"/>
        <v/>
      </c>
      <c r="S185" s="1">
        <f t="shared" si="20"/>
        <v>306</v>
      </c>
      <c r="T185" s="1" t="str">
        <f t="shared" si="19"/>
        <v/>
      </c>
      <c r="AK185" s="1">
        <v>0</v>
      </c>
      <c r="AL185" s="1">
        <v>0</v>
      </c>
      <c r="AM185" s="1">
        <v>0</v>
      </c>
      <c r="AN185" s="1">
        <v>10</v>
      </c>
      <c r="AO185" s="1">
        <f t="shared" si="23"/>
        <v>0</v>
      </c>
      <c r="AP185" s="1">
        <f t="shared" si="24"/>
        <v>0</v>
      </c>
      <c r="AQ185" s="1">
        <f t="shared" si="25"/>
        <v>0</v>
      </c>
      <c r="AR185" s="1">
        <f t="shared" si="26"/>
        <v>700</v>
      </c>
    </row>
    <row r="186" spans="1:44" x14ac:dyDescent="0.2">
      <c r="A186" s="2">
        <v>40299</v>
      </c>
      <c r="B186" s="4">
        <v>8.2000000000000003E-2</v>
      </c>
      <c r="C186" s="4">
        <v>7.4999999999999956E-2</v>
      </c>
      <c r="D186" s="4">
        <v>0.90900000000000003</v>
      </c>
      <c r="E186" s="4">
        <v>0.70199999999999996</v>
      </c>
      <c r="F186" s="4">
        <v>0.157</v>
      </c>
      <c r="G186" s="4">
        <v>0.38800000000000001</v>
      </c>
      <c r="H186" s="4">
        <v>0.99099999999999999</v>
      </c>
      <c r="I186" s="4">
        <v>0.32200000000000001</v>
      </c>
      <c r="J186" s="4">
        <v>0.54674999999999996</v>
      </c>
      <c r="K186" s="1">
        <v>0</v>
      </c>
      <c r="L186" s="1">
        <v>0</v>
      </c>
      <c r="M186" s="1">
        <v>0</v>
      </c>
      <c r="N186" s="1">
        <v>700</v>
      </c>
      <c r="O186" s="1" t="str">
        <f t="shared" si="21"/>
        <v>Recovery</v>
      </c>
      <c r="P186" s="2">
        <f t="shared" si="22"/>
        <v>40329</v>
      </c>
      <c r="Q186" s="9">
        <f>VLOOKUP(P186,BB!$A$3:$D$6771, 3, 1)*100</f>
        <v>187</v>
      </c>
      <c r="R186" s="1" t="str">
        <f t="shared" si="27"/>
        <v/>
      </c>
      <c r="S186" s="1">
        <f t="shared" si="20"/>
        <v>306</v>
      </c>
      <c r="T186" s="1" t="str">
        <f t="shared" si="19"/>
        <v/>
      </c>
      <c r="AK186" s="1">
        <v>0</v>
      </c>
      <c r="AL186" s="1">
        <v>0</v>
      </c>
      <c r="AM186" s="1">
        <v>0</v>
      </c>
      <c r="AN186" s="1">
        <v>10</v>
      </c>
      <c r="AO186" s="1">
        <f t="shared" si="23"/>
        <v>0</v>
      </c>
      <c r="AP186" s="1">
        <f t="shared" si="24"/>
        <v>0</v>
      </c>
      <c r="AQ186" s="1">
        <f t="shared" si="25"/>
        <v>0</v>
      </c>
      <c r="AR186" s="1">
        <f t="shared" si="26"/>
        <v>700</v>
      </c>
    </row>
    <row r="187" spans="1:44" x14ac:dyDescent="0.2">
      <c r="A187" s="2">
        <v>40330</v>
      </c>
      <c r="B187" s="4">
        <v>0.157</v>
      </c>
      <c r="C187" s="4">
        <v>0.18200000000000005</v>
      </c>
      <c r="D187" s="4">
        <v>0.76</v>
      </c>
      <c r="E187" s="4">
        <v>0.95</v>
      </c>
      <c r="F187" s="4">
        <v>0.13200000000000001</v>
      </c>
      <c r="G187" s="4">
        <v>0.64400000000000002</v>
      </c>
      <c r="H187" s="4">
        <v>0.99099999999999999</v>
      </c>
      <c r="I187" s="4">
        <v>0.32200000000000001</v>
      </c>
      <c r="J187" s="4">
        <v>0.4827499999999999</v>
      </c>
      <c r="K187" s="1">
        <v>0</v>
      </c>
      <c r="L187" s="1">
        <v>0</v>
      </c>
      <c r="M187" s="1">
        <v>0</v>
      </c>
      <c r="N187" s="1">
        <v>700</v>
      </c>
      <c r="O187" s="1" t="str">
        <f t="shared" si="21"/>
        <v>Recovery</v>
      </c>
      <c r="P187" s="2">
        <f t="shared" si="22"/>
        <v>40359</v>
      </c>
      <c r="Q187" s="9">
        <f>VLOOKUP(P187,BB!$A$3:$D$6771, 3, 1)*100</f>
        <v>193</v>
      </c>
      <c r="R187" s="1" t="str">
        <f t="shared" si="27"/>
        <v/>
      </c>
      <c r="S187" s="1">
        <f t="shared" si="20"/>
        <v>306</v>
      </c>
      <c r="T187" s="1" t="str">
        <f t="shared" si="19"/>
        <v/>
      </c>
      <c r="AK187" s="1">
        <v>0</v>
      </c>
      <c r="AL187" s="1">
        <v>0</v>
      </c>
      <c r="AM187" s="1">
        <v>0</v>
      </c>
      <c r="AN187" s="1">
        <v>10</v>
      </c>
      <c r="AO187" s="1">
        <f t="shared" si="23"/>
        <v>0</v>
      </c>
      <c r="AP187" s="1">
        <f t="shared" si="24"/>
        <v>0</v>
      </c>
      <c r="AQ187" s="1">
        <f t="shared" si="25"/>
        <v>0</v>
      </c>
      <c r="AR187" s="1">
        <f t="shared" si="26"/>
        <v>700</v>
      </c>
    </row>
    <row r="188" spans="1:44" x14ac:dyDescent="0.2">
      <c r="A188" s="2">
        <v>40360</v>
      </c>
      <c r="B188" s="4">
        <v>0.123</v>
      </c>
      <c r="C188" s="4">
        <v>0.16600000000000004</v>
      </c>
      <c r="D188" s="4">
        <v>0.71</v>
      </c>
      <c r="E188" s="4">
        <v>0.95</v>
      </c>
      <c r="F188" s="4">
        <v>0.123</v>
      </c>
      <c r="G188" s="4">
        <v>0.74299999999999999</v>
      </c>
      <c r="H188" s="4">
        <v>0.98299999999999998</v>
      </c>
      <c r="I188" s="4">
        <v>0.34699999999999998</v>
      </c>
      <c r="J188" s="4">
        <v>0.48187500000000005</v>
      </c>
      <c r="K188" s="1">
        <v>0</v>
      </c>
      <c r="L188" s="1">
        <v>0</v>
      </c>
      <c r="M188" s="1">
        <v>0</v>
      </c>
      <c r="N188" s="1">
        <v>700</v>
      </c>
      <c r="O188" s="1" t="str">
        <f t="shared" si="21"/>
        <v>Recovery</v>
      </c>
      <c r="P188" s="2">
        <f t="shared" si="22"/>
        <v>40390</v>
      </c>
      <c r="Q188" s="9">
        <f>VLOOKUP(P188,BB!$A$3:$D$6771, 3, 1)*100</f>
        <v>175</v>
      </c>
      <c r="R188" s="1" t="str">
        <f t="shared" si="27"/>
        <v/>
      </c>
      <c r="S188" s="1">
        <f t="shared" si="20"/>
        <v>306</v>
      </c>
      <c r="T188" s="1" t="str">
        <f t="shared" si="19"/>
        <v/>
      </c>
      <c r="AK188" s="1">
        <v>0</v>
      </c>
      <c r="AL188" s="1">
        <v>0</v>
      </c>
      <c r="AM188" s="1">
        <v>0</v>
      </c>
      <c r="AN188" s="1">
        <v>10</v>
      </c>
      <c r="AO188" s="1">
        <f t="shared" si="23"/>
        <v>0</v>
      </c>
      <c r="AP188" s="1">
        <f t="shared" si="24"/>
        <v>0</v>
      </c>
      <c r="AQ188" s="1">
        <f t="shared" si="25"/>
        <v>0</v>
      </c>
      <c r="AR188" s="1">
        <f t="shared" si="26"/>
        <v>700</v>
      </c>
    </row>
    <row r="189" spans="1:44" x14ac:dyDescent="0.2">
      <c r="A189" s="2">
        <v>40391</v>
      </c>
      <c r="B189" s="4">
        <v>0.123</v>
      </c>
      <c r="C189" s="4">
        <v>0.33899999999999997</v>
      </c>
      <c r="D189" s="4">
        <v>0.76800000000000002</v>
      </c>
      <c r="E189" s="4">
        <v>0.98299999999999998</v>
      </c>
      <c r="F189" s="4">
        <v>0.123</v>
      </c>
      <c r="G189" s="4">
        <v>0.55300000000000005</v>
      </c>
      <c r="H189" s="4">
        <v>0.99099999999999999</v>
      </c>
      <c r="I189" s="4">
        <v>0.34699999999999998</v>
      </c>
      <c r="J189" s="4">
        <v>0.47162499999999996</v>
      </c>
      <c r="K189" s="1">
        <v>0</v>
      </c>
      <c r="L189" s="1">
        <v>0</v>
      </c>
      <c r="M189" s="1">
        <v>0</v>
      </c>
      <c r="N189" s="1">
        <v>700</v>
      </c>
      <c r="O189" s="1" t="str">
        <f t="shared" si="21"/>
        <v>Recovery</v>
      </c>
      <c r="P189" s="2">
        <f t="shared" si="22"/>
        <v>40421</v>
      </c>
      <c r="Q189" s="9">
        <f>VLOOKUP(P189,BB!$A$3:$D$6771, 3, 1)*100</f>
        <v>186</v>
      </c>
      <c r="R189" s="1" t="str">
        <f t="shared" si="27"/>
        <v/>
      </c>
      <c r="S189" s="1">
        <f t="shared" si="20"/>
        <v>306</v>
      </c>
      <c r="T189" s="1" t="str">
        <f t="shared" si="19"/>
        <v/>
      </c>
      <c r="AK189" s="1">
        <v>0</v>
      </c>
      <c r="AL189" s="1">
        <v>0</v>
      </c>
      <c r="AM189" s="1">
        <v>0</v>
      </c>
      <c r="AN189" s="1">
        <v>10</v>
      </c>
      <c r="AO189" s="1">
        <f t="shared" si="23"/>
        <v>0</v>
      </c>
      <c r="AP189" s="1">
        <f t="shared" si="24"/>
        <v>0</v>
      </c>
      <c r="AQ189" s="1">
        <f t="shared" si="25"/>
        <v>0</v>
      </c>
      <c r="AR189" s="1">
        <f t="shared" si="26"/>
        <v>700</v>
      </c>
    </row>
    <row r="190" spans="1:44" x14ac:dyDescent="0.2">
      <c r="A190" s="2">
        <v>40422</v>
      </c>
      <c r="B190" s="4">
        <v>0.17299999999999999</v>
      </c>
      <c r="C190" s="4">
        <v>0.31499999999999995</v>
      </c>
      <c r="D190" s="4">
        <v>0.59499999999999997</v>
      </c>
      <c r="E190" s="4">
        <v>0.99099999999999999</v>
      </c>
      <c r="F190" s="4">
        <v>0.107</v>
      </c>
      <c r="G190" s="4">
        <v>0.99099999999999999</v>
      </c>
      <c r="H190" s="4">
        <v>0.98299999999999998</v>
      </c>
      <c r="I190" s="4">
        <v>0.56100000000000005</v>
      </c>
      <c r="J190" s="4">
        <v>0.41049999999999998</v>
      </c>
      <c r="K190" s="1">
        <v>0</v>
      </c>
      <c r="L190" s="1">
        <v>0</v>
      </c>
      <c r="M190" s="1">
        <v>0</v>
      </c>
      <c r="N190" s="1">
        <v>700</v>
      </c>
      <c r="O190" s="1" t="str">
        <f t="shared" si="21"/>
        <v>Recovery</v>
      </c>
      <c r="P190" s="2">
        <f t="shared" si="22"/>
        <v>40451</v>
      </c>
      <c r="Q190" s="9">
        <f>VLOOKUP(P190,BB!$A$3:$D$6771, 3, 1)*100</f>
        <v>175</v>
      </c>
      <c r="R190" s="1">
        <f t="shared" si="27"/>
        <v>-131</v>
      </c>
      <c r="S190" s="1">
        <f t="shared" si="20"/>
        <v>306</v>
      </c>
      <c r="T190" s="1" t="str">
        <f t="shared" ref="T190:T253" si="28">IF(ISNUMBER(R190)=TRUE, O190, "")</f>
        <v>Recovery</v>
      </c>
      <c r="AK190" s="1">
        <v>0</v>
      </c>
      <c r="AL190" s="1">
        <v>0</v>
      </c>
      <c r="AM190" s="1">
        <v>0</v>
      </c>
      <c r="AN190" s="1">
        <v>10</v>
      </c>
      <c r="AO190" s="1">
        <f t="shared" si="23"/>
        <v>0</v>
      </c>
      <c r="AP190" s="1">
        <f t="shared" si="24"/>
        <v>0</v>
      </c>
      <c r="AQ190" s="1">
        <f t="shared" si="25"/>
        <v>0</v>
      </c>
      <c r="AR190" s="1">
        <f t="shared" si="26"/>
        <v>700</v>
      </c>
    </row>
    <row r="191" spans="1:44" x14ac:dyDescent="0.2">
      <c r="A191" s="2">
        <v>40452</v>
      </c>
      <c r="B191" s="4">
        <v>0.223</v>
      </c>
      <c r="C191" s="4">
        <v>0.23199999999999998</v>
      </c>
      <c r="D191" s="4">
        <v>0.80900000000000005</v>
      </c>
      <c r="E191" s="4">
        <v>0.98299999999999998</v>
      </c>
      <c r="F191" s="4">
        <v>0.123</v>
      </c>
      <c r="G191" s="4">
        <v>0.99099999999999999</v>
      </c>
      <c r="H191" s="4">
        <v>0.97499999999999998</v>
      </c>
      <c r="I191" s="4">
        <v>0.39600000000000002</v>
      </c>
      <c r="J191" s="4">
        <v>0.40849999999999997</v>
      </c>
      <c r="K191" s="1">
        <v>700</v>
      </c>
      <c r="L191" s="1">
        <v>0</v>
      </c>
      <c r="M191" s="1">
        <v>0</v>
      </c>
      <c r="N191" s="1">
        <v>0</v>
      </c>
      <c r="O191" s="1" t="str">
        <f t="shared" si="21"/>
        <v>Expansion</v>
      </c>
      <c r="P191" s="2">
        <f t="shared" si="22"/>
        <v>40482</v>
      </c>
      <c r="Q191" s="9">
        <f>VLOOKUP(P191,BB!$A$3:$D$6771, 3, 1)*100</f>
        <v>168</v>
      </c>
      <c r="R191" s="1" t="str">
        <f t="shared" si="27"/>
        <v/>
      </c>
      <c r="S191" s="1">
        <f t="shared" si="20"/>
        <v>175</v>
      </c>
      <c r="T191" s="1" t="str">
        <f t="shared" si="28"/>
        <v/>
      </c>
      <c r="AK191" s="1">
        <v>10</v>
      </c>
      <c r="AL191" s="1">
        <v>0</v>
      </c>
      <c r="AM191" s="1">
        <v>0</v>
      </c>
      <c r="AN191" s="1">
        <v>0</v>
      </c>
      <c r="AO191" s="1">
        <f t="shared" si="23"/>
        <v>700</v>
      </c>
      <c r="AP191" s="1">
        <f t="shared" si="24"/>
        <v>0</v>
      </c>
      <c r="AQ191" s="1">
        <f t="shared" si="25"/>
        <v>0</v>
      </c>
      <c r="AR191" s="1">
        <f t="shared" si="26"/>
        <v>0</v>
      </c>
    </row>
    <row r="192" spans="1:44" x14ac:dyDescent="0.2">
      <c r="A192" s="2">
        <v>40483</v>
      </c>
      <c r="B192" s="4">
        <v>0.314</v>
      </c>
      <c r="C192" s="4">
        <v>0.18200000000000005</v>
      </c>
      <c r="D192" s="4">
        <v>0.77600000000000002</v>
      </c>
      <c r="E192" s="4">
        <v>0.97499999999999998</v>
      </c>
      <c r="F192" s="4">
        <v>0.123</v>
      </c>
      <c r="G192" s="4">
        <v>0.99099999999999999</v>
      </c>
      <c r="H192" s="4">
        <v>0.96599999999999997</v>
      </c>
      <c r="I192" s="4">
        <v>0.56100000000000005</v>
      </c>
      <c r="J192" s="4">
        <v>0.38900000000000001</v>
      </c>
      <c r="K192" s="1">
        <v>700</v>
      </c>
      <c r="L192" s="1">
        <v>0</v>
      </c>
      <c r="M192" s="1">
        <v>0</v>
      </c>
      <c r="N192" s="1">
        <v>0</v>
      </c>
      <c r="O192" s="1" t="str">
        <f t="shared" si="21"/>
        <v>Expansion</v>
      </c>
      <c r="P192" s="2">
        <f t="shared" si="22"/>
        <v>40512</v>
      </c>
      <c r="Q192" s="9">
        <f>VLOOKUP(P192,BB!$A$3:$D$6771, 3, 1)*100</f>
        <v>171</v>
      </c>
      <c r="R192" s="1" t="str">
        <f t="shared" si="27"/>
        <v/>
      </c>
      <c r="S192" s="1">
        <f t="shared" ref="S192:S255" si="29">IF(O192&lt;&gt;O191,Q191,S191)</f>
        <v>175</v>
      </c>
      <c r="T192" s="1" t="str">
        <f t="shared" si="28"/>
        <v/>
      </c>
      <c r="AK192" s="1">
        <v>10</v>
      </c>
      <c r="AL192" s="1">
        <v>0</v>
      </c>
      <c r="AM192" s="1">
        <v>0</v>
      </c>
      <c r="AN192" s="1">
        <v>0</v>
      </c>
      <c r="AO192" s="1">
        <f t="shared" si="23"/>
        <v>700</v>
      </c>
      <c r="AP192" s="1">
        <f t="shared" si="24"/>
        <v>0</v>
      </c>
      <c r="AQ192" s="1">
        <f t="shared" si="25"/>
        <v>0</v>
      </c>
      <c r="AR192" s="1">
        <f t="shared" si="26"/>
        <v>0</v>
      </c>
    </row>
    <row r="193" spans="1:44" x14ac:dyDescent="0.2">
      <c r="A193" s="2">
        <v>40513</v>
      </c>
      <c r="B193" s="4">
        <v>0.28000000000000003</v>
      </c>
      <c r="C193" s="4">
        <v>4.2000000000000037E-2</v>
      </c>
      <c r="D193" s="4">
        <v>0.80900000000000005</v>
      </c>
      <c r="E193" s="4">
        <v>0.83399999999999996</v>
      </c>
      <c r="F193" s="4">
        <v>3.3000000000000002E-2</v>
      </c>
      <c r="G193" s="4">
        <v>0.91700000000000004</v>
      </c>
      <c r="H193" s="4">
        <v>0.94199999999999995</v>
      </c>
      <c r="I193" s="4">
        <v>0.72699999999999998</v>
      </c>
      <c r="J193" s="4">
        <v>0.42699999999999994</v>
      </c>
      <c r="K193" s="1">
        <v>700</v>
      </c>
      <c r="L193" s="1">
        <v>0</v>
      </c>
      <c r="M193" s="1">
        <v>0</v>
      </c>
      <c r="N193" s="1">
        <v>0</v>
      </c>
      <c r="O193" s="1" t="str">
        <f t="shared" si="21"/>
        <v>Expansion</v>
      </c>
      <c r="P193" s="2">
        <f t="shared" si="22"/>
        <v>40543</v>
      </c>
      <c r="Q193" s="9">
        <f>VLOOKUP(P193,BB!$A$3:$D$6771, 3, 1)*100</f>
        <v>156</v>
      </c>
      <c r="R193" s="1" t="str">
        <f t="shared" si="27"/>
        <v/>
      </c>
      <c r="S193" s="1">
        <f t="shared" si="29"/>
        <v>175</v>
      </c>
      <c r="T193" s="1" t="str">
        <f t="shared" si="28"/>
        <v/>
      </c>
      <c r="AK193" s="1">
        <v>10</v>
      </c>
      <c r="AL193" s="1">
        <v>0</v>
      </c>
      <c r="AM193" s="1">
        <v>0</v>
      </c>
      <c r="AN193" s="1">
        <v>0</v>
      </c>
      <c r="AO193" s="1">
        <f t="shared" si="23"/>
        <v>700</v>
      </c>
      <c r="AP193" s="1">
        <f t="shared" si="24"/>
        <v>0</v>
      </c>
      <c r="AQ193" s="1">
        <f t="shared" si="25"/>
        <v>0</v>
      </c>
      <c r="AR193" s="1">
        <f t="shared" si="26"/>
        <v>0</v>
      </c>
    </row>
    <row r="194" spans="1:44" x14ac:dyDescent="0.2">
      <c r="A194" s="2">
        <v>40544</v>
      </c>
      <c r="B194" s="4">
        <v>0.28000000000000003</v>
      </c>
      <c r="C194" s="4">
        <v>1.7000000000000015E-2</v>
      </c>
      <c r="D194" s="4">
        <v>0.91700000000000004</v>
      </c>
      <c r="E194" s="4">
        <v>0.80900000000000005</v>
      </c>
      <c r="F194" s="4">
        <v>2.4E-2</v>
      </c>
      <c r="G194" s="4">
        <v>0.84199999999999997</v>
      </c>
      <c r="H194" s="4">
        <v>0.93300000000000005</v>
      </c>
      <c r="I194" s="4">
        <v>0.70199999999999996</v>
      </c>
      <c r="J194" s="4">
        <v>0.4345</v>
      </c>
      <c r="K194" s="1">
        <v>700</v>
      </c>
      <c r="L194" s="1">
        <v>0</v>
      </c>
      <c r="M194" s="1">
        <v>0</v>
      </c>
      <c r="N194" s="1">
        <v>0</v>
      </c>
      <c r="O194" s="1" t="str">
        <f t="shared" si="21"/>
        <v>Expansion</v>
      </c>
      <c r="P194" s="2">
        <f t="shared" si="22"/>
        <v>40574</v>
      </c>
      <c r="Q194" s="9">
        <f>VLOOKUP(P194,BB!$A$3:$D$6771, 3, 1)*100</f>
        <v>150</v>
      </c>
      <c r="R194" s="1" t="str">
        <f t="shared" si="27"/>
        <v/>
      </c>
      <c r="S194" s="1">
        <f t="shared" si="29"/>
        <v>175</v>
      </c>
      <c r="T194" s="1" t="str">
        <f t="shared" si="28"/>
        <v/>
      </c>
      <c r="AK194" s="1">
        <v>10</v>
      </c>
      <c r="AL194" s="1">
        <v>0</v>
      </c>
      <c r="AM194" s="1">
        <v>0</v>
      </c>
      <c r="AN194" s="1">
        <v>0</v>
      </c>
      <c r="AO194" s="1">
        <f t="shared" si="23"/>
        <v>700</v>
      </c>
      <c r="AP194" s="1">
        <f t="shared" si="24"/>
        <v>0</v>
      </c>
      <c r="AQ194" s="1">
        <f t="shared" si="25"/>
        <v>0</v>
      </c>
      <c r="AR194" s="1">
        <f t="shared" si="26"/>
        <v>0</v>
      </c>
    </row>
    <row r="195" spans="1:44" x14ac:dyDescent="0.2">
      <c r="A195" s="2">
        <v>40575</v>
      </c>
      <c r="B195" s="4">
        <v>0.107</v>
      </c>
      <c r="C195" s="4">
        <v>4.2000000000000037E-2</v>
      </c>
      <c r="D195" s="4">
        <v>0.92500000000000004</v>
      </c>
      <c r="E195" s="4">
        <v>0.79300000000000004</v>
      </c>
      <c r="F195" s="4">
        <v>1.6E-2</v>
      </c>
      <c r="G195" s="4">
        <v>0.82599999999999996</v>
      </c>
      <c r="H195" s="4">
        <v>0.92500000000000004</v>
      </c>
      <c r="I195" s="4">
        <v>0.64400000000000002</v>
      </c>
      <c r="J195" s="4">
        <v>0.46524999999999994</v>
      </c>
      <c r="K195" s="1">
        <v>700</v>
      </c>
      <c r="L195" s="1">
        <v>0</v>
      </c>
      <c r="M195" s="1">
        <v>0</v>
      </c>
      <c r="N195" s="1">
        <v>0</v>
      </c>
      <c r="O195" s="1" t="str">
        <f t="shared" ref="O195:O258" si="30">IF(K195&gt;0,$K$1,IF(L195&gt;0,$L$1,IF(M195&gt;0,$M$1,$N$1)))</f>
        <v>Expansion</v>
      </c>
      <c r="P195" s="2">
        <f t="shared" ref="P195:P258" si="31">EOMONTH(A195,0)</f>
        <v>40602</v>
      </c>
      <c r="Q195" s="9">
        <f>VLOOKUP(P195,BB!$A$3:$D$6771, 3, 1)*100</f>
        <v>139</v>
      </c>
      <c r="R195" s="1">
        <f t="shared" si="27"/>
        <v>-36</v>
      </c>
      <c r="S195" s="1">
        <f t="shared" si="29"/>
        <v>175</v>
      </c>
      <c r="T195" s="1" t="str">
        <f t="shared" si="28"/>
        <v>Expansion</v>
      </c>
      <c r="AK195" s="1">
        <v>10</v>
      </c>
      <c r="AL195" s="1">
        <v>0</v>
      </c>
      <c r="AM195" s="1">
        <v>0</v>
      </c>
      <c r="AN195" s="1">
        <v>0</v>
      </c>
      <c r="AO195" s="1">
        <f t="shared" ref="AO195:AO258" si="32">IF(AK195&gt;0, AK195+690, AK195)</f>
        <v>700</v>
      </c>
      <c r="AP195" s="1">
        <f t="shared" ref="AP195:AP258" si="33">IF(AL195&gt;0, AL195+690, AL195)</f>
        <v>0</v>
      </c>
      <c r="AQ195" s="1">
        <f t="shared" ref="AQ195:AQ258" si="34">IF(AM195&gt;0, AM195+690, AM195)</f>
        <v>0</v>
      </c>
      <c r="AR195" s="1">
        <f t="shared" ref="AR195:AR258" si="35">IF(AN195&gt;0, AN195+690, AN195)</f>
        <v>0</v>
      </c>
    </row>
    <row r="196" spans="1:44" x14ac:dyDescent="0.2">
      <c r="A196" s="2">
        <v>40603</v>
      </c>
      <c r="B196" s="4">
        <v>0.09</v>
      </c>
      <c r="C196" s="4">
        <v>8.2999999999999963E-2</v>
      </c>
      <c r="D196" s="4">
        <v>0.91700000000000004</v>
      </c>
      <c r="E196" s="4">
        <v>0.67700000000000005</v>
      </c>
      <c r="F196" s="4">
        <v>8.0000000000000002E-3</v>
      </c>
      <c r="G196" s="4">
        <v>0.752</v>
      </c>
      <c r="H196" s="4">
        <v>0.92500000000000004</v>
      </c>
      <c r="I196" s="4">
        <v>0.53700000000000003</v>
      </c>
      <c r="J196" s="4">
        <v>0.50137500000000002</v>
      </c>
      <c r="K196" s="1">
        <v>0</v>
      </c>
      <c r="L196" s="1">
        <v>0</v>
      </c>
      <c r="M196" s="1">
        <v>700</v>
      </c>
      <c r="N196" s="1">
        <v>0</v>
      </c>
      <c r="O196" s="1" t="str">
        <f t="shared" si="30"/>
        <v>Repair</v>
      </c>
      <c r="P196" s="2">
        <f t="shared" si="31"/>
        <v>40633</v>
      </c>
      <c r="Q196" s="9">
        <f>VLOOKUP(P196,BB!$A$3:$D$6771, 3, 1)*100</f>
        <v>142</v>
      </c>
      <c r="R196" s="1" t="str">
        <f t="shared" si="27"/>
        <v/>
      </c>
      <c r="S196" s="1">
        <f t="shared" si="29"/>
        <v>139</v>
      </c>
      <c r="T196" s="1" t="str">
        <f t="shared" si="28"/>
        <v/>
      </c>
      <c r="AK196" s="1">
        <v>0</v>
      </c>
      <c r="AL196" s="1">
        <v>0</v>
      </c>
      <c r="AM196" s="1">
        <v>10</v>
      </c>
      <c r="AN196" s="1">
        <v>0</v>
      </c>
      <c r="AO196" s="1">
        <f t="shared" si="32"/>
        <v>0</v>
      </c>
      <c r="AP196" s="1">
        <f t="shared" si="33"/>
        <v>0</v>
      </c>
      <c r="AQ196" s="1">
        <f t="shared" si="34"/>
        <v>700</v>
      </c>
      <c r="AR196" s="1">
        <f t="shared" si="35"/>
        <v>0</v>
      </c>
    </row>
    <row r="197" spans="1:44" x14ac:dyDescent="0.2">
      <c r="A197" s="2">
        <v>40634</v>
      </c>
      <c r="B197" s="4">
        <v>4.9000000000000002E-2</v>
      </c>
      <c r="C197" s="4">
        <v>7.4999999999999956E-2</v>
      </c>
      <c r="D197" s="4">
        <v>0.88400000000000001</v>
      </c>
      <c r="E197" s="4">
        <v>0.69399999999999995</v>
      </c>
      <c r="F197" s="4">
        <v>1.6E-2</v>
      </c>
      <c r="G197" s="4">
        <v>0.71899999999999997</v>
      </c>
      <c r="H197" s="4">
        <v>0.94199999999999995</v>
      </c>
      <c r="I197" s="4">
        <v>0.76</v>
      </c>
      <c r="J197" s="4">
        <v>0.48262500000000008</v>
      </c>
      <c r="K197" s="1">
        <v>0</v>
      </c>
      <c r="L197" s="1">
        <v>0</v>
      </c>
      <c r="M197" s="1">
        <v>700</v>
      </c>
      <c r="N197" s="1">
        <v>0</v>
      </c>
      <c r="O197" s="1" t="str">
        <f t="shared" si="30"/>
        <v>Repair</v>
      </c>
      <c r="P197" s="2">
        <f t="shared" si="31"/>
        <v>40663</v>
      </c>
      <c r="Q197" s="9">
        <f>VLOOKUP(P197,BB!$A$3:$D$6771, 3, 1)*100</f>
        <v>138</v>
      </c>
      <c r="R197" s="1" t="str">
        <f t="shared" si="27"/>
        <v/>
      </c>
      <c r="S197" s="1">
        <f t="shared" si="29"/>
        <v>139</v>
      </c>
      <c r="T197" s="1" t="str">
        <f t="shared" si="28"/>
        <v/>
      </c>
      <c r="AK197" s="1">
        <v>0</v>
      </c>
      <c r="AL197" s="1">
        <v>0</v>
      </c>
      <c r="AM197" s="1">
        <v>10</v>
      </c>
      <c r="AN197" s="1">
        <v>0</v>
      </c>
      <c r="AO197" s="1">
        <f t="shared" si="32"/>
        <v>0</v>
      </c>
      <c r="AP197" s="1">
        <f t="shared" si="33"/>
        <v>0</v>
      </c>
      <c r="AQ197" s="1">
        <f t="shared" si="34"/>
        <v>700</v>
      </c>
      <c r="AR197" s="1">
        <f t="shared" si="35"/>
        <v>0</v>
      </c>
    </row>
    <row r="198" spans="1:44" x14ac:dyDescent="0.2">
      <c r="A198" s="2">
        <v>40664</v>
      </c>
      <c r="B198" s="4">
        <v>2.4E-2</v>
      </c>
      <c r="C198" s="4">
        <v>9.9999999999999978E-2</v>
      </c>
      <c r="D198" s="4">
        <v>0.45400000000000001</v>
      </c>
      <c r="E198" s="4">
        <v>0.73499999999999999</v>
      </c>
      <c r="F198" s="4">
        <v>2.4E-2</v>
      </c>
      <c r="G198" s="4">
        <v>0.71</v>
      </c>
      <c r="H198" s="4">
        <v>0.94199999999999995</v>
      </c>
      <c r="I198" s="4">
        <v>0.69399999999999995</v>
      </c>
      <c r="J198" s="4">
        <v>0.53962500000000002</v>
      </c>
      <c r="K198" s="1">
        <v>0</v>
      </c>
      <c r="L198" s="1">
        <v>0</v>
      </c>
      <c r="M198" s="1">
        <v>700</v>
      </c>
      <c r="N198" s="1">
        <v>0</v>
      </c>
      <c r="O198" s="1" t="str">
        <f t="shared" si="30"/>
        <v>Repair</v>
      </c>
      <c r="P198" s="2">
        <f t="shared" si="31"/>
        <v>40694</v>
      </c>
      <c r="Q198" s="9">
        <f>VLOOKUP(P198,BB!$A$3:$D$6771, 3, 1)*100</f>
        <v>146</v>
      </c>
      <c r="R198" s="1" t="str">
        <f t="shared" si="27"/>
        <v/>
      </c>
      <c r="S198" s="1">
        <f t="shared" si="29"/>
        <v>139</v>
      </c>
      <c r="T198" s="1" t="str">
        <f t="shared" si="28"/>
        <v/>
      </c>
      <c r="AK198" s="1">
        <v>0</v>
      </c>
      <c r="AL198" s="1">
        <v>0</v>
      </c>
      <c r="AM198" s="1">
        <v>10</v>
      </c>
      <c r="AN198" s="1">
        <v>0</v>
      </c>
      <c r="AO198" s="1">
        <f t="shared" si="32"/>
        <v>0</v>
      </c>
      <c r="AP198" s="1">
        <f t="shared" si="33"/>
        <v>0</v>
      </c>
      <c r="AQ198" s="1">
        <f t="shared" si="34"/>
        <v>700</v>
      </c>
      <c r="AR198" s="1">
        <f t="shared" si="35"/>
        <v>0</v>
      </c>
    </row>
    <row r="199" spans="1:44" x14ac:dyDescent="0.2">
      <c r="A199" s="2">
        <v>40695</v>
      </c>
      <c r="B199" s="4">
        <v>2.4E-2</v>
      </c>
      <c r="C199" s="4">
        <v>5.0000000000000044E-2</v>
      </c>
      <c r="D199" s="4">
        <v>0.628</v>
      </c>
      <c r="E199" s="4">
        <v>0.66900000000000004</v>
      </c>
      <c r="F199" s="4">
        <v>8.0000000000000002E-3</v>
      </c>
      <c r="G199" s="4">
        <v>0.76800000000000002</v>
      </c>
      <c r="H199" s="4">
        <v>0.95</v>
      </c>
      <c r="I199" s="4">
        <v>0.68500000000000005</v>
      </c>
      <c r="J199" s="4">
        <v>0.52725</v>
      </c>
      <c r="K199" s="1">
        <v>0</v>
      </c>
      <c r="L199" s="1">
        <v>0</v>
      </c>
      <c r="M199" s="1">
        <v>700</v>
      </c>
      <c r="N199" s="1">
        <v>0</v>
      </c>
      <c r="O199" s="1" t="str">
        <f t="shared" si="30"/>
        <v>Repair</v>
      </c>
      <c r="P199" s="2">
        <f t="shared" si="31"/>
        <v>40724</v>
      </c>
      <c r="Q199" s="9">
        <f>VLOOKUP(P199,BB!$A$3:$D$6771, 3, 1)*100</f>
        <v>153</v>
      </c>
      <c r="R199" s="1" t="str">
        <f t="shared" si="27"/>
        <v/>
      </c>
      <c r="S199" s="1">
        <f t="shared" si="29"/>
        <v>139</v>
      </c>
      <c r="T199" s="1" t="str">
        <f t="shared" si="28"/>
        <v/>
      </c>
      <c r="AK199" s="1">
        <v>0</v>
      </c>
      <c r="AL199" s="1">
        <v>0</v>
      </c>
      <c r="AM199" s="1">
        <v>10</v>
      </c>
      <c r="AN199" s="1">
        <v>0</v>
      </c>
      <c r="AO199" s="1">
        <f t="shared" si="32"/>
        <v>0</v>
      </c>
      <c r="AP199" s="1">
        <f t="shared" si="33"/>
        <v>0</v>
      </c>
      <c r="AQ199" s="1">
        <f t="shared" si="34"/>
        <v>700</v>
      </c>
      <c r="AR199" s="1">
        <f t="shared" si="35"/>
        <v>0</v>
      </c>
    </row>
    <row r="200" spans="1:44" x14ac:dyDescent="0.2">
      <c r="A200" s="2">
        <v>40725</v>
      </c>
      <c r="B200" s="4">
        <v>8.0000000000000002E-3</v>
      </c>
      <c r="C200" s="4">
        <v>0.17400000000000004</v>
      </c>
      <c r="D200" s="4">
        <v>0.33</v>
      </c>
      <c r="E200" s="4">
        <v>0.71</v>
      </c>
      <c r="F200" s="4">
        <v>8.0000000000000002E-3</v>
      </c>
      <c r="G200" s="4">
        <v>0.74299999999999999</v>
      </c>
      <c r="H200" s="4">
        <v>0.98299999999999998</v>
      </c>
      <c r="I200" s="4">
        <v>0.80900000000000005</v>
      </c>
      <c r="J200" s="4">
        <v>0.52937499999999993</v>
      </c>
      <c r="K200" s="1">
        <v>0</v>
      </c>
      <c r="L200" s="1">
        <v>0</v>
      </c>
      <c r="M200" s="1">
        <v>700</v>
      </c>
      <c r="N200" s="1">
        <v>0</v>
      </c>
      <c r="O200" s="1" t="str">
        <f t="shared" si="30"/>
        <v>Repair</v>
      </c>
      <c r="P200" s="2">
        <f t="shared" si="31"/>
        <v>40755</v>
      </c>
      <c r="Q200" s="9">
        <f>VLOOKUP(P200,BB!$A$3:$D$6771, 3, 1)*100</f>
        <v>153</v>
      </c>
      <c r="R200" s="1" t="str">
        <f t="shared" si="27"/>
        <v/>
      </c>
      <c r="S200" s="1">
        <f t="shared" si="29"/>
        <v>139</v>
      </c>
      <c r="T200" s="1" t="str">
        <f t="shared" si="28"/>
        <v/>
      </c>
      <c r="AK200" s="1">
        <v>0</v>
      </c>
      <c r="AL200" s="1">
        <v>0</v>
      </c>
      <c r="AM200" s="1">
        <v>10</v>
      </c>
      <c r="AN200" s="1">
        <v>0</v>
      </c>
      <c r="AO200" s="1">
        <f t="shared" si="32"/>
        <v>0</v>
      </c>
      <c r="AP200" s="1">
        <f t="shared" si="33"/>
        <v>0</v>
      </c>
      <c r="AQ200" s="1">
        <f t="shared" si="34"/>
        <v>700</v>
      </c>
      <c r="AR200" s="1">
        <f t="shared" si="35"/>
        <v>0</v>
      </c>
    </row>
    <row r="201" spans="1:44" x14ac:dyDescent="0.2">
      <c r="A201" s="2">
        <v>40756</v>
      </c>
      <c r="B201" s="4">
        <v>8.0000000000000002E-3</v>
      </c>
      <c r="C201" s="4">
        <v>0.43000000000000005</v>
      </c>
      <c r="D201" s="4">
        <v>0.30499999999999999</v>
      </c>
      <c r="E201" s="4">
        <v>0.83399999999999996</v>
      </c>
      <c r="F201" s="4">
        <v>1.6E-2</v>
      </c>
      <c r="G201" s="4">
        <v>0.752</v>
      </c>
      <c r="H201" s="4">
        <v>0.99099999999999999</v>
      </c>
      <c r="I201" s="4">
        <v>0.48699999999999999</v>
      </c>
      <c r="J201" s="4">
        <v>0.52212499999999995</v>
      </c>
      <c r="K201" s="1">
        <v>0</v>
      </c>
      <c r="L201" s="1">
        <v>0</v>
      </c>
      <c r="M201" s="1">
        <v>700</v>
      </c>
      <c r="N201" s="1">
        <v>0</v>
      </c>
      <c r="O201" s="1" t="str">
        <f t="shared" si="30"/>
        <v>Repair</v>
      </c>
      <c r="P201" s="2">
        <f t="shared" si="31"/>
        <v>40786</v>
      </c>
      <c r="Q201" s="9">
        <f>VLOOKUP(P201,BB!$A$3:$D$6771, 3, 1)*100</f>
        <v>208</v>
      </c>
      <c r="R201" s="1" t="str">
        <f t="shared" si="27"/>
        <v/>
      </c>
      <c r="S201" s="1">
        <f t="shared" si="29"/>
        <v>139</v>
      </c>
      <c r="T201" s="1" t="str">
        <f t="shared" si="28"/>
        <v/>
      </c>
      <c r="AK201" s="1">
        <v>0</v>
      </c>
      <c r="AL201" s="1">
        <v>0</v>
      </c>
      <c r="AM201" s="1">
        <v>10</v>
      </c>
      <c r="AN201" s="1">
        <v>0</v>
      </c>
      <c r="AO201" s="1">
        <f t="shared" si="32"/>
        <v>0</v>
      </c>
      <c r="AP201" s="1">
        <f t="shared" si="33"/>
        <v>0</v>
      </c>
      <c r="AQ201" s="1">
        <f t="shared" si="34"/>
        <v>700</v>
      </c>
      <c r="AR201" s="1">
        <f t="shared" si="35"/>
        <v>0</v>
      </c>
    </row>
    <row r="202" spans="1:44" x14ac:dyDescent="0.2">
      <c r="A202" s="2">
        <v>40787</v>
      </c>
      <c r="B202" s="4">
        <v>8.0000000000000002E-3</v>
      </c>
      <c r="C202" s="4">
        <v>0.60399999999999998</v>
      </c>
      <c r="D202" s="4">
        <v>0.371</v>
      </c>
      <c r="E202" s="4">
        <v>0.72699999999999998</v>
      </c>
      <c r="F202" s="4">
        <v>8.0000000000000002E-3</v>
      </c>
      <c r="G202" s="4">
        <v>0.72699999999999998</v>
      </c>
      <c r="H202" s="4">
        <v>0.99099999999999999</v>
      </c>
      <c r="I202" s="4">
        <v>0.28000000000000003</v>
      </c>
      <c r="J202" s="4">
        <v>0.53549999999999998</v>
      </c>
      <c r="K202" s="1">
        <v>0</v>
      </c>
      <c r="L202" s="1">
        <v>0</v>
      </c>
      <c r="M202" s="1">
        <v>700</v>
      </c>
      <c r="N202" s="1">
        <v>0</v>
      </c>
      <c r="O202" s="1" t="str">
        <f t="shared" si="30"/>
        <v>Repair</v>
      </c>
      <c r="P202" s="2">
        <f t="shared" si="31"/>
        <v>40816</v>
      </c>
      <c r="Q202" s="9">
        <f>VLOOKUP(P202,BB!$A$3:$D$6771, 3, 1)*100</f>
        <v>238</v>
      </c>
      <c r="R202" s="1" t="str">
        <f t="shared" si="27"/>
        <v/>
      </c>
      <c r="S202" s="1">
        <f t="shared" si="29"/>
        <v>139</v>
      </c>
      <c r="T202" s="1" t="str">
        <f t="shared" si="28"/>
        <v/>
      </c>
      <c r="AK202" s="1">
        <v>0</v>
      </c>
      <c r="AL202" s="1">
        <v>0</v>
      </c>
      <c r="AM202" s="1">
        <v>10</v>
      </c>
      <c r="AN202" s="1">
        <v>0</v>
      </c>
      <c r="AO202" s="1">
        <f t="shared" si="32"/>
        <v>0</v>
      </c>
      <c r="AP202" s="1">
        <f t="shared" si="33"/>
        <v>0</v>
      </c>
      <c r="AQ202" s="1">
        <f t="shared" si="34"/>
        <v>700</v>
      </c>
      <c r="AR202" s="1">
        <f t="shared" si="35"/>
        <v>0</v>
      </c>
    </row>
    <row r="203" spans="1:44" x14ac:dyDescent="0.2">
      <c r="A203" s="2">
        <v>40817</v>
      </c>
      <c r="B203" s="4">
        <v>4.9000000000000002E-2</v>
      </c>
      <c r="C203" s="4">
        <v>0.51300000000000001</v>
      </c>
      <c r="D203" s="4">
        <v>0.30499999999999999</v>
      </c>
      <c r="E203" s="4">
        <v>0.66100000000000003</v>
      </c>
      <c r="F203" s="4">
        <v>8.0000000000000002E-3</v>
      </c>
      <c r="G203" s="4">
        <v>0.72699999999999998</v>
      </c>
      <c r="H203" s="4">
        <v>0.98299999999999998</v>
      </c>
      <c r="I203" s="4">
        <v>0.36299999999999999</v>
      </c>
      <c r="J203" s="4">
        <v>0.548875</v>
      </c>
      <c r="K203" s="1">
        <v>0</v>
      </c>
      <c r="L203" s="1">
        <v>0</v>
      </c>
      <c r="M203" s="1">
        <v>700</v>
      </c>
      <c r="N203" s="1">
        <v>0</v>
      </c>
      <c r="O203" s="1" t="str">
        <f t="shared" si="30"/>
        <v>Repair</v>
      </c>
      <c r="P203" s="2">
        <f t="shared" si="31"/>
        <v>40847</v>
      </c>
      <c r="Q203" s="9">
        <f>VLOOKUP(P203,BB!$A$3:$D$6771, 3, 1)*100</f>
        <v>202</v>
      </c>
      <c r="R203" s="1" t="str">
        <f t="shared" ref="R203:R266" si="36">IF(O203&lt;&gt;O204, Q203-S203, "")</f>
        <v/>
      </c>
      <c r="S203" s="1">
        <f t="shared" si="29"/>
        <v>139</v>
      </c>
      <c r="T203" s="1" t="str">
        <f t="shared" si="28"/>
        <v/>
      </c>
      <c r="AK203" s="1">
        <v>0</v>
      </c>
      <c r="AL203" s="1">
        <v>0</v>
      </c>
      <c r="AM203" s="1">
        <v>10</v>
      </c>
      <c r="AN203" s="1">
        <v>0</v>
      </c>
      <c r="AO203" s="1">
        <f t="shared" si="32"/>
        <v>0</v>
      </c>
      <c r="AP203" s="1">
        <f t="shared" si="33"/>
        <v>0</v>
      </c>
      <c r="AQ203" s="1">
        <f t="shared" si="34"/>
        <v>700</v>
      </c>
      <c r="AR203" s="1">
        <f t="shared" si="35"/>
        <v>0</v>
      </c>
    </row>
    <row r="204" spans="1:44" x14ac:dyDescent="0.2">
      <c r="A204" s="2">
        <v>40848</v>
      </c>
      <c r="B204" s="4">
        <v>6.6000000000000003E-2</v>
      </c>
      <c r="C204" s="4">
        <v>0.57099999999999995</v>
      </c>
      <c r="D204" s="4">
        <v>0.40400000000000003</v>
      </c>
      <c r="E204" s="4">
        <v>0.66100000000000003</v>
      </c>
      <c r="F204" s="4">
        <v>2.4E-2</v>
      </c>
      <c r="G204" s="4">
        <v>0.69399999999999995</v>
      </c>
      <c r="H204" s="4">
        <v>0.96599999999999997</v>
      </c>
      <c r="I204" s="4">
        <v>0.38800000000000001</v>
      </c>
      <c r="J204" s="4">
        <v>0.52825</v>
      </c>
      <c r="K204" s="1">
        <v>0</v>
      </c>
      <c r="L204" s="1">
        <v>0</v>
      </c>
      <c r="M204" s="1">
        <v>700</v>
      </c>
      <c r="N204" s="1">
        <v>0</v>
      </c>
      <c r="O204" s="1" t="str">
        <f t="shared" si="30"/>
        <v>Repair</v>
      </c>
      <c r="P204" s="2">
        <f t="shared" si="31"/>
        <v>40877</v>
      </c>
      <c r="Q204" s="9">
        <f>VLOOKUP(P204,BB!$A$3:$D$6771, 3, 1)*100</f>
        <v>243.00000000000003</v>
      </c>
      <c r="R204" s="1" t="str">
        <f t="shared" si="36"/>
        <v/>
      </c>
      <c r="S204" s="1">
        <f t="shared" si="29"/>
        <v>139</v>
      </c>
      <c r="T204" s="1" t="str">
        <f t="shared" si="28"/>
        <v/>
      </c>
      <c r="AK204" s="1">
        <v>0</v>
      </c>
      <c r="AL204" s="1">
        <v>0</v>
      </c>
      <c r="AM204" s="1">
        <v>10</v>
      </c>
      <c r="AN204" s="1">
        <v>0</v>
      </c>
      <c r="AO204" s="1">
        <f t="shared" si="32"/>
        <v>0</v>
      </c>
      <c r="AP204" s="1">
        <f t="shared" si="33"/>
        <v>0</v>
      </c>
      <c r="AQ204" s="1">
        <f t="shared" si="34"/>
        <v>700</v>
      </c>
      <c r="AR204" s="1">
        <f t="shared" si="35"/>
        <v>0</v>
      </c>
    </row>
    <row r="205" spans="1:44" x14ac:dyDescent="0.2">
      <c r="A205" s="2">
        <v>40878</v>
      </c>
      <c r="B205" s="4">
        <v>9.9000000000000005E-2</v>
      </c>
      <c r="C205" s="4">
        <v>0.60399999999999998</v>
      </c>
      <c r="D205" s="4">
        <v>0.495</v>
      </c>
      <c r="E205" s="4">
        <v>0.85099999999999998</v>
      </c>
      <c r="F205" s="4">
        <v>2.4E-2</v>
      </c>
      <c r="G205" s="4">
        <v>0.44600000000000001</v>
      </c>
      <c r="H205" s="4">
        <v>0.96599999999999997</v>
      </c>
      <c r="I205" s="4">
        <v>0.38800000000000001</v>
      </c>
      <c r="J205" s="4">
        <v>0.51587499999999997</v>
      </c>
      <c r="K205" s="1">
        <v>0</v>
      </c>
      <c r="L205" s="1">
        <v>0</v>
      </c>
      <c r="M205" s="1">
        <v>700</v>
      </c>
      <c r="N205" s="1">
        <v>0</v>
      </c>
      <c r="O205" s="1" t="str">
        <f t="shared" si="30"/>
        <v>Repair</v>
      </c>
      <c r="P205" s="2">
        <f t="shared" si="31"/>
        <v>40908</v>
      </c>
      <c r="Q205" s="9">
        <f>VLOOKUP(P205,BB!$A$3:$D$6771, 3, 1)*100</f>
        <v>234</v>
      </c>
      <c r="R205" s="1" t="str">
        <f t="shared" si="36"/>
        <v/>
      </c>
      <c r="S205" s="1">
        <f t="shared" si="29"/>
        <v>139</v>
      </c>
      <c r="T205" s="1" t="str">
        <f t="shared" si="28"/>
        <v/>
      </c>
      <c r="AK205" s="1">
        <v>0</v>
      </c>
      <c r="AL205" s="1">
        <v>0</v>
      </c>
      <c r="AM205" s="1">
        <v>10</v>
      </c>
      <c r="AN205" s="1">
        <v>0</v>
      </c>
      <c r="AO205" s="1">
        <f t="shared" si="32"/>
        <v>0</v>
      </c>
      <c r="AP205" s="1">
        <f t="shared" si="33"/>
        <v>0</v>
      </c>
      <c r="AQ205" s="1">
        <f t="shared" si="34"/>
        <v>700</v>
      </c>
      <c r="AR205" s="1">
        <f t="shared" si="35"/>
        <v>0</v>
      </c>
    </row>
    <row r="206" spans="1:44" x14ac:dyDescent="0.2">
      <c r="A206" s="2">
        <v>40909</v>
      </c>
      <c r="B206" s="4">
        <v>9.9000000000000005E-2</v>
      </c>
      <c r="C206" s="4">
        <v>0.60399999999999998</v>
      </c>
      <c r="D206" s="4">
        <v>0.51200000000000001</v>
      </c>
      <c r="E206" s="4">
        <v>0.876</v>
      </c>
      <c r="F206" s="4">
        <v>8.0000000000000002E-3</v>
      </c>
      <c r="G206" s="4">
        <v>0.438</v>
      </c>
      <c r="H206" s="4">
        <v>0.98299999999999998</v>
      </c>
      <c r="I206" s="4">
        <v>0.247</v>
      </c>
      <c r="J206" s="4">
        <v>0.52912500000000007</v>
      </c>
      <c r="K206" s="1">
        <v>0</v>
      </c>
      <c r="L206" s="1">
        <v>0</v>
      </c>
      <c r="M206" s="1">
        <v>700</v>
      </c>
      <c r="N206" s="1">
        <v>0</v>
      </c>
      <c r="O206" s="1" t="str">
        <f t="shared" si="30"/>
        <v>Repair</v>
      </c>
      <c r="P206" s="2">
        <f t="shared" si="31"/>
        <v>40939</v>
      </c>
      <c r="Q206" s="9">
        <f>VLOOKUP(P206,BB!$A$3:$D$6771, 3, 1)*100</f>
        <v>206</v>
      </c>
      <c r="R206" s="1" t="str">
        <f t="shared" si="36"/>
        <v/>
      </c>
      <c r="S206" s="1">
        <f t="shared" si="29"/>
        <v>139</v>
      </c>
      <c r="T206" s="1" t="str">
        <f t="shared" si="28"/>
        <v/>
      </c>
      <c r="AK206" s="1">
        <v>0</v>
      </c>
      <c r="AL206" s="1">
        <v>0</v>
      </c>
      <c r="AM206" s="1">
        <v>10</v>
      </c>
      <c r="AN206" s="1">
        <v>0</v>
      </c>
      <c r="AO206" s="1">
        <f t="shared" si="32"/>
        <v>0</v>
      </c>
      <c r="AP206" s="1">
        <f t="shared" si="33"/>
        <v>0</v>
      </c>
      <c r="AQ206" s="1">
        <f t="shared" si="34"/>
        <v>700</v>
      </c>
      <c r="AR206" s="1">
        <f t="shared" si="35"/>
        <v>0</v>
      </c>
    </row>
    <row r="207" spans="1:44" x14ac:dyDescent="0.2">
      <c r="A207" s="2">
        <v>40940</v>
      </c>
      <c r="B207" s="4">
        <v>0.123</v>
      </c>
      <c r="C207" s="4">
        <v>0.57899999999999996</v>
      </c>
      <c r="D207" s="4">
        <v>0.38</v>
      </c>
      <c r="E207" s="4">
        <v>0.81799999999999995</v>
      </c>
      <c r="F207" s="4">
        <v>8.0000000000000002E-3</v>
      </c>
      <c r="G207" s="4">
        <v>0.438</v>
      </c>
      <c r="H207" s="4">
        <v>0.97499999999999998</v>
      </c>
      <c r="I207" s="4">
        <v>0.27200000000000002</v>
      </c>
      <c r="J207" s="4">
        <v>0.550875</v>
      </c>
      <c r="K207" s="1">
        <v>0</v>
      </c>
      <c r="L207" s="1">
        <v>0</v>
      </c>
      <c r="M207" s="1">
        <v>700</v>
      </c>
      <c r="N207" s="1">
        <v>0</v>
      </c>
      <c r="O207" s="1" t="str">
        <f t="shared" si="30"/>
        <v>Repair</v>
      </c>
      <c r="P207" s="2">
        <f t="shared" si="31"/>
        <v>40968</v>
      </c>
      <c r="Q207" s="9">
        <f>VLOOKUP(P207,BB!$A$3:$D$6771, 3, 1)*100</f>
        <v>181</v>
      </c>
      <c r="R207" s="1" t="str">
        <f t="shared" si="36"/>
        <v/>
      </c>
      <c r="S207" s="1">
        <f t="shared" si="29"/>
        <v>139</v>
      </c>
      <c r="T207" s="1" t="str">
        <f t="shared" si="28"/>
        <v/>
      </c>
      <c r="AK207" s="1">
        <v>0</v>
      </c>
      <c r="AL207" s="1">
        <v>0</v>
      </c>
      <c r="AM207" s="1">
        <v>10</v>
      </c>
      <c r="AN207" s="1">
        <v>0</v>
      </c>
      <c r="AO207" s="1">
        <f t="shared" si="32"/>
        <v>0</v>
      </c>
      <c r="AP207" s="1">
        <f t="shared" si="33"/>
        <v>0</v>
      </c>
      <c r="AQ207" s="1">
        <f t="shared" si="34"/>
        <v>700</v>
      </c>
      <c r="AR207" s="1">
        <f t="shared" si="35"/>
        <v>0</v>
      </c>
    </row>
    <row r="208" spans="1:44" x14ac:dyDescent="0.2">
      <c r="A208" s="2">
        <v>40969</v>
      </c>
      <c r="B208" s="4">
        <v>0.14000000000000001</v>
      </c>
      <c r="C208" s="4">
        <v>0.496</v>
      </c>
      <c r="D208" s="4">
        <v>0.438</v>
      </c>
      <c r="E208" s="4">
        <v>0.95</v>
      </c>
      <c r="F208" s="4">
        <v>2.4E-2</v>
      </c>
      <c r="G208" s="4">
        <v>0.38800000000000001</v>
      </c>
      <c r="H208" s="4">
        <v>0.93300000000000005</v>
      </c>
      <c r="I208" s="4">
        <v>0.23899999999999999</v>
      </c>
      <c r="J208" s="4">
        <v>0.54900000000000004</v>
      </c>
      <c r="K208" s="1">
        <v>0</v>
      </c>
      <c r="L208" s="1">
        <v>0</v>
      </c>
      <c r="M208" s="1">
        <v>700</v>
      </c>
      <c r="N208" s="1">
        <v>0</v>
      </c>
      <c r="O208" s="1" t="str">
        <f t="shared" si="30"/>
        <v>Repair</v>
      </c>
      <c r="P208" s="2">
        <f t="shared" si="31"/>
        <v>40999</v>
      </c>
      <c r="Q208" s="9">
        <f>VLOOKUP(P208,BB!$A$3:$D$6771, 3, 1)*100</f>
        <v>176</v>
      </c>
      <c r="R208" s="1">
        <f t="shared" si="36"/>
        <v>37</v>
      </c>
      <c r="S208" s="1">
        <f t="shared" si="29"/>
        <v>139</v>
      </c>
      <c r="T208" s="1" t="str">
        <f t="shared" si="28"/>
        <v>Repair</v>
      </c>
      <c r="AK208" s="1">
        <v>0</v>
      </c>
      <c r="AL208" s="1">
        <v>0</v>
      </c>
      <c r="AM208" s="1">
        <v>10</v>
      </c>
      <c r="AN208" s="1">
        <v>0</v>
      </c>
      <c r="AO208" s="1">
        <f t="shared" si="32"/>
        <v>0</v>
      </c>
      <c r="AP208" s="1">
        <f t="shared" si="33"/>
        <v>0</v>
      </c>
      <c r="AQ208" s="1">
        <f t="shared" si="34"/>
        <v>700</v>
      </c>
      <c r="AR208" s="1">
        <f t="shared" si="35"/>
        <v>0</v>
      </c>
    </row>
    <row r="209" spans="1:44" x14ac:dyDescent="0.2">
      <c r="A209" s="2">
        <v>41000</v>
      </c>
      <c r="B209" s="4">
        <v>0.19</v>
      </c>
      <c r="C209" s="4">
        <v>0.58699999999999997</v>
      </c>
      <c r="D209" s="4">
        <v>0.59499999999999997</v>
      </c>
      <c r="E209" s="4">
        <v>0.97499999999999998</v>
      </c>
      <c r="F209" s="4">
        <v>3.3000000000000002E-2</v>
      </c>
      <c r="G209" s="4">
        <v>0.41299999999999998</v>
      </c>
      <c r="H209" s="4">
        <v>0.95799999999999996</v>
      </c>
      <c r="I209" s="4">
        <v>0.48699999999999999</v>
      </c>
      <c r="J209" s="4">
        <v>0.47025000000000006</v>
      </c>
      <c r="K209" s="1">
        <v>0</v>
      </c>
      <c r="L209" s="1">
        <v>0</v>
      </c>
      <c r="M209" s="1">
        <v>0</v>
      </c>
      <c r="N209" s="1">
        <v>700</v>
      </c>
      <c r="O209" s="1" t="str">
        <f t="shared" si="30"/>
        <v>Recovery</v>
      </c>
      <c r="P209" s="2">
        <f t="shared" si="31"/>
        <v>41029</v>
      </c>
      <c r="Q209" s="9">
        <f>VLOOKUP(P209,BB!$A$3:$D$6771, 3, 1)*100</f>
        <v>185</v>
      </c>
      <c r="R209" s="1" t="str">
        <f t="shared" si="36"/>
        <v/>
      </c>
      <c r="S209" s="1">
        <f t="shared" si="29"/>
        <v>176</v>
      </c>
      <c r="T209" s="1" t="str">
        <f t="shared" si="28"/>
        <v/>
      </c>
      <c r="AK209" s="1">
        <v>0</v>
      </c>
      <c r="AL209" s="1">
        <v>0</v>
      </c>
      <c r="AM209" s="1">
        <v>0</v>
      </c>
      <c r="AN209" s="1">
        <v>10</v>
      </c>
      <c r="AO209" s="1">
        <f t="shared" si="32"/>
        <v>0</v>
      </c>
      <c r="AP209" s="1">
        <f t="shared" si="33"/>
        <v>0</v>
      </c>
      <c r="AQ209" s="1">
        <f t="shared" si="34"/>
        <v>0</v>
      </c>
      <c r="AR209" s="1">
        <f t="shared" si="35"/>
        <v>700</v>
      </c>
    </row>
    <row r="210" spans="1:44" x14ac:dyDescent="0.2">
      <c r="A210" s="2">
        <v>41030</v>
      </c>
      <c r="B210" s="4">
        <v>0.247</v>
      </c>
      <c r="C210" s="4">
        <v>0.68599999999999994</v>
      </c>
      <c r="D210" s="4">
        <v>0.44600000000000001</v>
      </c>
      <c r="E210" s="4">
        <v>0.99099999999999999</v>
      </c>
      <c r="F210" s="4">
        <v>4.1000000000000002E-2</v>
      </c>
      <c r="G210" s="4">
        <v>0.40400000000000003</v>
      </c>
      <c r="H210" s="4">
        <v>0.98299999999999998</v>
      </c>
      <c r="I210" s="4">
        <v>0.61899999999999999</v>
      </c>
      <c r="J210" s="4">
        <v>0.44787500000000002</v>
      </c>
      <c r="K210" s="1">
        <v>0</v>
      </c>
      <c r="L210" s="1">
        <v>0</v>
      </c>
      <c r="M210" s="1">
        <v>0</v>
      </c>
      <c r="N210" s="1">
        <v>700</v>
      </c>
      <c r="O210" s="1" t="str">
        <f t="shared" si="30"/>
        <v>Recovery</v>
      </c>
      <c r="P210" s="2">
        <f t="shared" si="31"/>
        <v>41060</v>
      </c>
      <c r="Q210" s="9">
        <f>VLOOKUP(P210,BB!$A$3:$D$6771, 3, 1)*100</f>
        <v>209</v>
      </c>
      <c r="R210" s="1" t="str">
        <f t="shared" si="36"/>
        <v/>
      </c>
      <c r="S210" s="1">
        <f t="shared" si="29"/>
        <v>176</v>
      </c>
      <c r="T210" s="1" t="str">
        <f t="shared" si="28"/>
        <v/>
      </c>
      <c r="AK210" s="1">
        <v>0</v>
      </c>
      <c r="AL210" s="1">
        <v>0</v>
      </c>
      <c r="AM210" s="1">
        <v>0</v>
      </c>
      <c r="AN210" s="1">
        <v>10</v>
      </c>
      <c r="AO210" s="1">
        <f t="shared" si="32"/>
        <v>0</v>
      </c>
      <c r="AP210" s="1">
        <f t="shared" si="33"/>
        <v>0</v>
      </c>
      <c r="AQ210" s="1">
        <f t="shared" si="34"/>
        <v>0</v>
      </c>
      <c r="AR210" s="1">
        <f t="shared" si="35"/>
        <v>700</v>
      </c>
    </row>
    <row r="211" spans="1:44" x14ac:dyDescent="0.2">
      <c r="A211" s="2">
        <v>41061</v>
      </c>
      <c r="B211" s="4">
        <v>0.247</v>
      </c>
      <c r="C211" s="4">
        <v>0.67799999999999994</v>
      </c>
      <c r="D211" s="4">
        <v>0.20599999999999999</v>
      </c>
      <c r="E211" s="4">
        <v>0.97499999999999998</v>
      </c>
      <c r="F211" s="4">
        <v>4.1000000000000002E-2</v>
      </c>
      <c r="G211" s="4">
        <v>0.33800000000000002</v>
      </c>
      <c r="H211" s="4">
        <v>0.97499999999999998</v>
      </c>
      <c r="I211" s="4">
        <v>0.30499999999999999</v>
      </c>
      <c r="J211" s="4">
        <v>0.52937499999999993</v>
      </c>
      <c r="K211" s="1">
        <v>0</v>
      </c>
      <c r="L211" s="1">
        <v>0</v>
      </c>
      <c r="M211" s="1">
        <v>0</v>
      </c>
      <c r="N211" s="1">
        <v>700</v>
      </c>
      <c r="O211" s="1" t="str">
        <f t="shared" si="30"/>
        <v>Recovery</v>
      </c>
      <c r="P211" s="2">
        <f t="shared" si="31"/>
        <v>41090</v>
      </c>
      <c r="Q211" s="9">
        <f>VLOOKUP(P211,BB!$A$3:$D$6771, 3, 1)*100</f>
        <v>199</v>
      </c>
      <c r="R211" s="1" t="str">
        <f t="shared" si="36"/>
        <v/>
      </c>
      <c r="S211" s="1">
        <f t="shared" si="29"/>
        <v>176</v>
      </c>
      <c r="T211" s="1" t="str">
        <f t="shared" si="28"/>
        <v/>
      </c>
      <c r="AK211" s="1">
        <v>0</v>
      </c>
      <c r="AL211" s="1">
        <v>0</v>
      </c>
      <c r="AM211" s="1">
        <v>0</v>
      </c>
      <c r="AN211" s="1">
        <v>10</v>
      </c>
      <c r="AO211" s="1">
        <f t="shared" si="32"/>
        <v>0</v>
      </c>
      <c r="AP211" s="1">
        <f t="shared" si="33"/>
        <v>0</v>
      </c>
      <c r="AQ211" s="1">
        <f t="shared" si="34"/>
        <v>0</v>
      </c>
      <c r="AR211" s="1">
        <f t="shared" si="35"/>
        <v>700</v>
      </c>
    </row>
    <row r="212" spans="1:44" x14ac:dyDescent="0.2">
      <c r="A212" s="2">
        <v>41091</v>
      </c>
      <c r="B212" s="4">
        <v>0.36299999999999999</v>
      </c>
      <c r="C212" s="4">
        <v>0.68599999999999994</v>
      </c>
      <c r="D212" s="4">
        <v>0.214</v>
      </c>
      <c r="E212" s="4">
        <v>0.98299999999999998</v>
      </c>
      <c r="F212" s="4">
        <v>5.7000000000000002E-2</v>
      </c>
      <c r="G212" s="4">
        <v>0.29699999999999999</v>
      </c>
      <c r="H212" s="4">
        <v>0.99099999999999999</v>
      </c>
      <c r="I212" s="4">
        <v>0.57799999999999996</v>
      </c>
      <c r="J212" s="4">
        <v>0.47887499999999994</v>
      </c>
      <c r="K212" s="1">
        <v>0</v>
      </c>
      <c r="L212" s="1">
        <v>0</v>
      </c>
      <c r="M212" s="1">
        <v>0</v>
      </c>
      <c r="N212" s="1">
        <v>700</v>
      </c>
      <c r="O212" s="1" t="str">
        <f t="shared" si="30"/>
        <v>Recovery</v>
      </c>
      <c r="P212" s="2">
        <f t="shared" si="31"/>
        <v>41121</v>
      </c>
      <c r="Q212" s="9">
        <f>VLOOKUP(P212,BB!$A$3:$D$6771, 3, 1)*100</f>
        <v>178</v>
      </c>
      <c r="R212" s="1" t="str">
        <f t="shared" si="36"/>
        <v/>
      </c>
      <c r="S212" s="1">
        <f t="shared" si="29"/>
        <v>176</v>
      </c>
      <c r="T212" s="1" t="str">
        <f t="shared" si="28"/>
        <v/>
      </c>
      <c r="AK212" s="1">
        <v>0</v>
      </c>
      <c r="AL212" s="1">
        <v>0</v>
      </c>
      <c r="AM212" s="1">
        <v>0</v>
      </c>
      <c r="AN212" s="1">
        <v>10</v>
      </c>
      <c r="AO212" s="1">
        <f t="shared" si="32"/>
        <v>0</v>
      </c>
      <c r="AP212" s="1">
        <f t="shared" si="33"/>
        <v>0</v>
      </c>
      <c r="AQ212" s="1">
        <f t="shared" si="34"/>
        <v>0</v>
      </c>
      <c r="AR212" s="1">
        <f t="shared" si="35"/>
        <v>700</v>
      </c>
    </row>
    <row r="213" spans="1:44" x14ac:dyDescent="0.2">
      <c r="A213" s="2">
        <v>41122</v>
      </c>
      <c r="B213" s="4">
        <v>0.247</v>
      </c>
      <c r="C213" s="4">
        <v>0.66999999999999993</v>
      </c>
      <c r="D213" s="4">
        <v>0.19800000000000001</v>
      </c>
      <c r="E213" s="4">
        <v>0.97499999999999998</v>
      </c>
      <c r="F213" s="4">
        <v>6.6000000000000003E-2</v>
      </c>
      <c r="G213" s="4">
        <v>0.30499999999999999</v>
      </c>
      <c r="H213" s="4">
        <v>0.97499999999999998</v>
      </c>
      <c r="I213" s="4">
        <v>0.54500000000000004</v>
      </c>
      <c r="J213" s="4">
        <v>0.50237500000000002</v>
      </c>
      <c r="K213" s="1">
        <v>0</v>
      </c>
      <c r="L213" s="1">
        <v>0</v>
      </c>
      <c r="M213" s="1">
        <v>0</v>
      </c>
      <c r="N213" s="1">
        <v>700</v>
      </c>
      <c r="O213" s="1" t="str">
        <f t="shared" si="30"/>
        <v>Recovery</v>
      </c>
      <c r="P213" s="2">
        <f t="shared" si="31"/>
        <v>41152</v>
      </c>
      <c r="Q213" s="9">
        <f>VLOOKUP(P213,BB!$A$3:$D$6771, 3, 1)*100</f>
        <v>172</v>
      </c>
      <c r="R213" s="1" t="str">
        <f t="shared" si="36"/>
        <v/>
      </c>
      <c r="S213" s="1">
        <f t="shared" si="29"/>
        <v>176</v>
      </c>
      <c r="T213" s="1" t="str">
        <f t="shared" si="28"/>
        <v/>
      </c>
      <c r="AK213" s="1">
        <v>0</v>
      </c>
      <c r="AL213" s="1">
        <v>0</v>
      </c>
      <c r="AM213" s="1">
        <v>0</v>
      </c>
      <c r="AN213" s="1">
        <v>10</v>
      </c>
      <c r="AO213" s="1">
        <f t="shared" si="32"/>
        <v>0</v>
      </c>
      <c r="AP213" s="1">
        <f t="shared" si="33"/>
        <v>0</v>
      </c>
      <c r="AQ213" s="1">
        <f t="shared" si="34"/>
        <v>0</v>
      </c>
      <c r="AR213" s="1">
        <f t="shared" si="35"/>
        <v>700</v>
      </c>
    </row>
    <row r="214" spans="1:44" x14ac:dyDescent="0.2">
      <c r="A214" s="2">
        <v>41153</v>
      </c>
      <c r="B214" s="4">
        <v>0.223</v>
      </c>
      <c r="C214" s="4">
        <v>0.63700000000000001</v>
      </c>
      <c r="D214" s="4">
        <v>0.34699999999999998</v>
      </c>
      <c r="E214" s="4">
        <v>0.98299999999999998</v>
      </c>
      <c r="F214" s="4">
        <v>3.3000000000000002E-2</v>
      </c>
      <c r="G214" s="4">
        <v>0.25600000000000001</v>
      </c>
      <c r="H214" s="4">
        <v>0.95799999999999996</v>
      </c>
      <c r="I214" s="4">
        <v>0.28000000000000003</v>
      </c>
      <c r="J214" s="4">
        <v>0.53537499999999993</v>
      </c>
      <c r="K214" s="1">
        <v>0</v>
      </c>
      <c r="L214" s="1">
        <v>0</v>
      </c>
      <c r="M214" s="1">
        <v>0</v>
      </c>
      <c r="N214" s="1">
        <v>700</v>
      </c>
      <c r="O214" s="1" t="str">
        <f t="shared" si="30"/>
        <v>Recovery</v>
      </c>
      <c r="P214" s="2">
        <f t="shared" si="31"/>
        <v>41182</v>
      </c>
      <c r="Q214" s="9">
        <f>VLOOKUP(P214,BB!$A$3:$D$6771, 3, 1)*100</f>
        <v>156</v>
      </c>
      <c r="R214" s="1" t="str">
        <f t="shared" si="36"/>
        <v/>
      </c>
      <c r="S214" s="1">
        <f t="shared" si="29"/>
        <v>176</v>
      </c>
      <c r="T214" s="1" t="str">
        <f t="shared" si="28"/>
        <v/>
      </c>
      <c r="AK214" s="1">
        <v>0</v>
      </c>
      <c r="AL214" s="1">
        <v>0</v>
      </c>
      <c r="AM214" s="1">
        <v>0</v>
      </c>
      <c r="AN214" s="1">
        <v>10</v>
      </c>
      <c r="AO214" s="1">
        <f t="shared" si="32"/>
        <v>0</v>
      </c>
      <c r="AP214" s="1">
        <f t="shared" si="33"/>
        <v>0</v>
      </c>
      <c r="AQ214" s="1">
        <f t="shared" si="34"/>
        <v>0</v>
      </c>
      <c r="AR214" s="1">
        <f t="shared" si="35"/>
        <v>700</v>
      </c>
    </row>
    <row r="215" spans="1:44" x14ac:dyDescent="0.2">
      <c r="A215" s="2">
        <v>41183</v>
      </c>
      <c r="B215" s="4">
        <v>0.223</v>
      </c>
      <c r="C215" s="4">
        <v>0.629</v>
      </c>
      <c r="D215" s="4">
        <v>0.35499999999999998</v>
      </c>
      <c r="E215" s="4">
        <v>0.96599999999999997</v>
      </c>
      <c r="F215" s="4">
        <v>8.2000000000000003E-2</v>
      </c>
      <c r="G215" s="4">
        <v>0.214</v>
      </c>
      <c r="H215" s="4">
        <v>0.99099999999999999</v>
      </c>
      <c r="I215" s="4">
        <v>0.93300000000000005</v>
      </c>
      <c r="J215" s="4">
        <v>0.45087500000000003</v>
      </c>
      <c r="K215" s="1">
        <v>0</v>
      </c>
      <c r="L215" s="1">
        <v>0</v>
      </c>
      <c r="M215" s="1">
        <v>0</v>
      </c>
      <c r="N215" s="1">
        <v>700</v>
      </c>
      <c r="O215" s="1" t="str">
        <f t="shared" si="30"/>
        <v>Recovery</v>
      </c>
      <c r="P215" s="2">
        <f t="shared" si="31"/>
        <v>41213</v>
      </c>
      <c r="Q215" s="9">
        <f>VLOOKUP(P215,BB!$A$3:$D$6771, 3, 1)*100</f>
        <v>137</v>
      </c>
      <c r="R215" s="1">
        <f t="shared" si="36"/>
        <v>-39</v>
      </c>
      <c r="S215" s="1">
        <f t="shared" si="29"/>
        <v>176</v>
      </c>
      <c r="T215" s="1" t="str">
        <f t="shared" si="28"/>
        <v>Recovery</v>
      </c>
      <c r="AK215" s="1">
        <v>0</v>
      </c>
      <c r="AL215" s="1">
        <v>0</v>
      </c>
      <c r="AM215" s="1">
        <v>0</v>
      </c>
      <c r="AN215" s="1">
        <v>10</v>
      </c>
      <c r="AO215" s="1">
        <f t="shared" si="32"/>
        <v>0</v>
      </c>
      <c r="AP215" s="1">
        <f t="shared" si="33"/>
        <v>0</v>
      </c>
      <c r="AQ215" s="1">
        <f t="shared" si="34"/>
        <v>0</v>
      </c>
      <c r="AR215" s="1">
        <f t="shared" si="35"/>
        <v>700</v>
      </c>
    </row>
    <row r="216" spans="1:44" x14ac:dyDescent="0.2">
      <c r="A216" s="2">
        <v>41214</v>
      </c>
      <c r="B216" s="4">
        <v>0.33800000000000002</v>
      </c>
      <c r="C216" s="4">
        <v>0.63700000000000001</v>
      </c>
      <c r="D216" s="4">
        <v>0.16500000000000001</v>
      </c>
      <c r="E216" s="4">
        <v>0.98299999999999998</v>
      </c>
      <c r="F216" s="4">
        <v>9.9000000000000005E-2</v>
      </c>
      <c r="G216" s="4">
        <v>0.223</v>
      </c>
      <c r="H216" s="4">
        <v>0.98299999999999998</v>
      </c>
      <c r="I216" s="4">
        <v>0.26400000000000001</v>
      </c>
      <c r="J216" s="4">
        <v>0.53849999999999998</v>
      </c>
      <c r="K216" s="1">
        <v>0</v>
      </c>
      <c r="L216" s="1">
        <v>0</v>
      </c>
      <c r="M216" s="1">
        <v>700</v>
      </c>
      <c r="N216" s="1">
        <v>0</v>
      </c>
      <c r="O216" s="1" t="str">
        <f t="shared" si="30"/>
        <v>Repair</v>
      </c>
      <c r="P216" s="2">
        <f t="shared" si="31"/>
        <v>41243</v>
      </c>
      <c r="Q216" s="9">
        <f>VLOOKUP(P216,BB!$A$3:$D$6771, 3, 1)*100</f>
        <v>147</v>
      </c>
      <c r="R216" s="1">
        <f t="shared" si="36"/>
        <v>10</v>
      </c>
      <c r="S216" s="1">
        <f t="shared" si="29"/>
        <v>137</v>
      </c>
      <c r="T216" s="1" t="str">
        <f t="shared" si="28"/>
        <v>Repair</v>
      </c>
      <c r="AK216" s="1">
        <v>0</v>
      </c>
      <c r="AL216" s="1">
        <v>0</v>
      </c>
      <c r="AM216" s="1">
        <v>10</v>
      </c>
      <c r="AN216" s="1">
        <v>0</v>
      </c>
      <c r="AO216" s="1">
        <f t="shared" si="32"/>
        <v>0</v>
      </c>
      <c r="AP216" s="1">
        <f t="shared" si="33"/>
        <v>0</v>
      </c>
      <c r="AQ216" s="1">
        <f t="shared" si="34"/>
        <v>700</v>
      </c>
      <c r="AR216" s="1">
        <f t="shared" si="35"/>
        <v>0</v>
      </c>
    </row>
    <row r="217" spans="1:44" x14ac:dyDescent="0.2">
      <c r="A217" s="2">
        <v>41244</v>
      </c>
      <c r="B217" s="4">
        <v>0.39600000000000002</v>
      </c>
      <c r="C217" s="4">
        <v>0.55400000000000005</v>
      </c>
      <c r="D217" s="4">
        <v>0.26400000000000001</v>
      </c>
      <c r="E217" s="4">
        <v>0.80900000000000005</v>
      </c>
      <c r="F217" s="4">
        <v>4.1000000000000002E-2</v>
      </c>
      <c r="G217" s="4">
        <v>0.247</v>
      </c>
      <c r="H217" s="4">
        <v>0.99099999999999999</v>
      </c>
      <c r="I217" s="4">
        <v>0.80100000000000005</v>
      </c>
      <c r="J217" s="4">
        <v>0.48712500000000003</v>
      </c>
      <c r="K217" s="1">
        <v>0</v>
      </c>
      <c r="L217" s="1">
        <v>0</v>
      </c>
      <c r="M217" s="1">
        <v>0</v>
      </c>
      <c r="N217" s="1">
        <v>700</v>
      </c>
      <c r="O217" s="1" t="str">
        <f t="shared" si="30"/>
        <v>Recovery</v>
      </c>
      <c r="P217" s="2">
        <f t="shared" si="31"/>
        <v>41274</v>
      </c>
      <c r="Q217" s="9">
        <f>VLOOKUP(P217,BB!$A$3:$D$6771, 3, 1)*100</f>
        <v>141</v>
      </c>
      <c r="R217" s="1">
        <f t="shared" si="36"/>
        <v>-6</v>
      </c>
      <c r="S217" s="1">
        <f t="shared" si="29"/>
        <v>147</v>
      </c>
      <c r="T217" s="1" t="str">
        <f t="shared" si="28"/>
        <v>Recovery</v>
      </c>
      <c r="AK217" s="1">
        <v>0</v>
      </c>
      <c r="AL217" s="1">
        <v>0</v>
      </c>
      <c r="AM217" s="1">
        <v>0</v>
      </c>
      <c r="AN217" s="1">
        <v>10</v>
      </c>
      <c r="AO217" s="1">
        <f t="shared" si="32"/>
        <v>0</v>
      </c>
      <c r="AP217" s="1">
        <f t="shared" si="33"/>
        <v>0</v>
      </c>
      <c r="AQ217" s="1">
        <f t="shared" si="34"/>
        <v>0</v>
      </c>
      <c r="AR217" s="1">
        <f t="shared" si="35"/>
        <v>700</v>
      </c>
    </row>
    <row r="218" spans="1:44" x14ac:dyDescent="0.2">
      <c r="A218" s="2">
        <v>41275</v>
      </c>
      <c r="B218" s="4">
        <v>0.46200000000000002</v>
      </c>
      <c r="C218" s="4">
        <v>0.496</v>
      </c>
      <c r="D218" s="4">
        <v>0.44600000000000001</v>
      </c>
      <c r="E218" s="4">
        <v>0.72699999999999998</v>
      </c>
      <c r="F218" s="4">
        <v>3.3000000000000002E-2</v>
      </c>
      <c r="G218" s="4">
        <v>0.25600000000000001</v>
      </c>
      <c r="H218" s="4">
        <v>0.92500000000000004</v>
      </c>
      <c r="I218" s="4">
        <v>0.33</v>
      </c>
      <c r="J218" s="4">
        <v>0.54062500000000002</v>
      </c>
      <c r="K218" s="1">
        <v>0</v>
      </c>
      <c r="L218" s="1">
        <v>0</v>
      </c>
      <c r="M218" s="1">
        <v>700</v>
      </c>
      <c r="N218" s="1">
        <v>0</v>
      </c>
      <c r="O218" s="1" t="str">
        <f t="shared" si="30"/>
        <v>Repair</v>
      </c>
      <c r="P218" s="2">
        <f t="shared" si="31"/>
        <v>41305</v>
      </c>
      <c r="Q218" s="9">
        <f>VLOOKUP(P218,BB!$A$3:$D$6771, 3, 1)*100</f>
        <v>138</v>
      </c>
      <c r="R218" s="1" t="str">
        <f t="shared" si="36"/>
        <v/>
      </c>
      <c r="S218" s="1">
        <f t="shared" si="29"/>
        <v>141</v>
      </c>
      <c r="T218" s="1" t="str">
        <f t="shared" si="28"/>
        <v/>
      </c>
      <c r="AK218" s="1">
        <v>0</v>
      </c>
      <c r="AL218" s="1">
        <v>0</v>
      </c>
      <c r="AM218" s="1">
        <v>10</v>
      </c>
      <c r="AN218" s="1">
        <v>0</v>
      </c>
      <c r="AO218" s="1">
        <f t="shared" si="32"/>
        <v>0</v>
      </c>
      <c r="AP218" s="1">
        <f t="shared" si="33"/>
        <v>0</v>
      </c>
      <c r="AQ218" s="1">
        <f t="shared" si="34"/>
        <v>700</v>
      </c>
      <c r="AR218" s="1">
        <f t="shared" si="35"/>
        <v>0</v>
      </c>
    </row>
    <row r="219" spans="1:44" x14ac:dyDescent="0.2">
      <c r="A219" s="2">
        <v>41306</v>
      </c>
      <c r="B219" s="4">
        <v>0.38800000000000001</v>
      </c>
      <c r="C219" s="4">
        <v>0.52100000000000002</v>
      </c>
      <c r="D219" s="4">
        <v>0.54500000000000004</v>
      </c>
      <c r="E219" s="4">
        <v>0.76</v>
      </c>
      <c r="F219" s="4">
        <v>5.7000000000000002E-2</v>
      </c>
      <c r="G219" s="4">
        <v>0.214</v>
      </c>
      <c r="H219" s="4">
        <v>0.92500000000000004</v>
      </c>
      <c r="I219" s="4">
        <v>0.628</v>
      </c>
      <c r="J219" s="4">
        <v>0.49524999999999997</v>
      </c>
      <c r="K219" s="1">
        <v>0</v>
      </c>
      <c r="L219" s="1">
        <v>0</v>
      </c>
      <c r="M219" s="1">
        <v>700</v>
      </c>
      <c r="N219" s="1">
        <v>0</v>
      </c>
      <c r="O219" s="1" t="str">
        <f t="shared" si="30"/>
        <v>Repair</v>
      </c>
      <c r="P219" s="2">
        <f t="shared" si="31"/>
        <v>41333</v>
      </c>
      <c r="Q219" s="9">
        <f>VLOOKUP(P219,BB!$A$3:$D$6771, 3, 1)*100</f>
        <v>137</v>
      </c>
      <c r="R219" s="1" t="str">
        <f t="shared" si="36"/>
        <v/>
      </c>
      <c r="S219" s="1">
        <f t="shared" si="29"/>
        <v>141</v>
      </c>
      <c r="T219" s="1" t="str">
        <f t="shared" si="28"/>
        <v/>
      </c>
      <c r="AK219" s="1">
        <v>0</v>
      </c>
      <c r="AL219" s="1">
        <v>0</v>
      </c>
      <c r="AM219" s="1">
        <v>10</v>
      </c>
      <c r="AN219" s="1">
        <v>0</v>
      </c>
      <c r="AO219" s="1">
        <f t="shared" si="32"/>
        <v>0</v>
      </c>
      <c r="AP219" s="1">
        <f t="shared" si="33"/>
        <v>0</v>
      </c>
      <c r="AQ219" s="1">
        <f t="shared" si="34"/>
        <v>700</v>
      </c>
      <c r="AR219" s="1">
        <f t="shared" si="35"/>
        <v>0</v>
      </c>
    </row>
    <row r="220" spans="1:44" x14ac:dyDescent="0.2">
      <c r="A220" s="2">
        <v>41334</v>
      </c>
      <c r="B220" s="4">
        <v>0.504</v>
      </c>
      <c r="C220" s="4">
        <v>0.52900000000000003</v>
      </c>
      <c r="D220" s="4">
        <v>0.314</v>
      </c>
      <c r="E220" s="4">
        <v>0.81799999999999995</v>
      </c>
      <c r="F220" s="4">
        <v>0.09</v>
      </c>
      <c r="G220" s="4">
        <v>0.20599999999999999</v>
      </c>
      <c r="H220" s="4">
        <v>0.88400000000000001</v>
      </c>
      <c r="I220" s="4">
        <v>0.504</v>
      </c>
      <c r="J220" s="4">
        <v>0.51887499999999998</v>
      </c>
      <c r="K220" s="1">
        <v>0</v>
      </c>
      <c r="L220" s="1">
        <v>0</v>
      </c>
      <c r="M220" s="1">
        <v>700</v>
      </c>
      <c r="N220" s="1">
        <v>0</v>
      </c>
      <c r="O220" s="1" t="str">
        <f t="shared" si="30"/>
        <v>Repair</v>
      </c>
      <c r="P220" s="2">
        <f t="shared" si="31"/>
        <v>41364</v>
      </c>
      <c r="Q220" s="9">
        <f>VLOOKUP(P220,BB!$A$3:$D$6771, 3, 1)*100</f>
        <v>139</v>
      </c>
      <c r="R220" s="1" t="str">
        <f t="shared" si="36"/>
        <v/>
      </c>
      <c r="S220" s="1">
        <f t="shared" si="29"/>
        <v>141</v>
      </c>
      <c r="T220" s="1" t="str">
        <f t="shared" si="28"/>
        <v/>
      </c>
      <c r="AK220" s="1">
        <v>0</v>
      </c>
      <c r="AL220" s="1">
        <v>0</v>
      </c>
      <c r="AM220" s="1">
        <v>10</v>
      </c>
      <c r="AN220" s="1">
        <v>0</v>
      </c>
      <c r="AO220" s="1">
        <f t="shared" si="32"/>
        <v>0</v>
      </c>
      <c r="AP220" s="1">
        <f t="shared" si="33"/>
        <v>0</v>
      </c>
      <c r="AQ220" s="1">
        <f t="shared" si="34"/>
        <v>700</v>
      </c>
      <c r="AR220" s="1">
        <f t="shared" si="35"/>
        <v>0</v>
      </c>
    </row>
    <row r="221" spans="1:44" x14ac:dyDescent="0.2">
      <c r="A221" s="2">
        <v>41365</v>
      </c>
      <c r="B221" s="4">
        <v>0.57799999999999996</v>
      </c>
      <c r="C221" s="4">
        <v>0.57899999999999996</v>
      </c>
      <c r="D221" s="4">
        <v>0.23899999999999999</v>
      </c>
      <c r="E221" s="4">
        <v>0.84199999999999997</v>
      </c>
      <c r="F221" s="4">
        <v>0.09</v>
      </c>
      <c r="G221" s="4">
        <v>0.18099999999999999</v>
      </c>
      <c r="H221" s="4">
        <v>0.89200000000000002</v>
      </c>
      <c r="I221" s="4">
        <v>0.56100000000000005</v>
      </c>
      <c r="J221" s="4">
        <v>0.50475000000000003</v>
      </c>
      <c r="K221" s="1">
        <v>0</v>
      </c>
      <c r="L221" s="1">
        <v>0</v>
      </c>
      <c r="M221" s="1">
        <v>700</v>
      </c>
      <c r="N221" s="1">
        <v>0</v>
      </c>
      <c r="O221" s="1" t="str">
        <f t="shared" si="30"/>
        <v>Repair</v>
      </c>
      <c r="P221" s="2">
        <f t="shared" si="31"/>
        <v>41394</v>
      </c>
      <c r="Q221" s="9">
        <f>VLOOKUP(P221,BB!$A$3:$D$6771, 3, 1)*100</f>
        <v>135</v>
      </c>
      <c r="R221" s="1" t="str">
        <f t="shared" si="36"/>
        <v/>
      </c>
      <c r="S221" s="1">
        <f t="shared" si="29"/>
        <v>141</v>
      </c>
      <c r="T221" s="1" t="str">
        <f t="shared" si="28"/>
        <v/>
      </c>
      <c r="AK221" s="1">
        <v>0</v>
      </c>
      <c r="AL221" s="1">
        <v>0</v>
      </c>
      <c r="AM221" s="1">
        <v>10</v>
      </c>
      <c r="AN221" s="1">
        <v>0</v>
      </c>
      <c r="AO221" s="1">
        <f t="shared" si="32"/>
        <v>0</v>
      </c>
      <c r="AP221" s="1">
        <f t="shared" si="33"/>
        <v>0</v>
      </c>
      <c r="AQ221" s="1">
        <f t="shared" si="34"/>
        <v>700</v>
      </c>
      <c r="AR221" s="1">
        <f t="shared" si="35"/>
        <v>0</v>
      </c>
    </row>
    <row r="222" spans="1:44" x14ac:dyDescent="0.2">
      <c r="A222" s="2">
        <v>41395</v>
      </c>
      <c r="B222" s="4">
        <v>0.504</v>
      </c>
      <c r="C222" s="4">
        <v>0.43000000000000005</v>
      </c>
      <c r="D222" s="4">
        <v>0.13200000000000001</v>
      </c>
      <c r="E222" s="4">
        <v>0.71</v>
      </c>
      <c r="F222" s="4">
        <v>4.1000000000000002E-2</v>
      </c>
      <c r="G222" s="4">
        <v>0.20599999999999999</v>
      </c>
      <c r="H222" s="4">
        <v>0.82599999999999996</v>
      </c>
      <c r="I222" s="4">
        <v>0.628</v>
      </c>
      <c r="J222" s="4">
        <v>0.56537499999999996</v>
      </c>
      <c r="K222" s="1">
        <v>0</v>
      </c>
      <c r="L222" s="1">
        <v>0</v>
      </c>
      <c r="M222" s="1">
        <v>700</v>
      </c>
      <c r="N222" s="1">
        <v>0</v>
      </c>
      <c r="O222" s="1" t="str">
        <f t="shared" si="30"/>
        <v>Repair</v>
      </c>
      <c r="P222" s="2">
        <f t="shared" si="31"/>
        <v>41425</v>
      </c>
      <c r="Q222" s="9">
        <f>VLOOKUP(P222,BB!$A$3:$D$6771, 3, 1)*100</f>
        <v>132</v>
      </c>
      <c r="R222" s="1" t="str">
        <f t="shared" si="36"/>
        <v/>
      </c>
      <c r="S222" s="1">
        <f t="shared" si="29"/>
        <v>141</v>
      </c>
      <c r="T222" s="1" t="str">
        <f t="shared" si="28"/>
        <v/>
      </c>
      <c r="AK222" s="1">
        <v>0</v>
      </c>
      <c r="AL222" s="1">
        <v>0</v>
      </c>
      <c r="AM222" s="1">
        <v>10</v>
      </c>
      <c r="AN222" s="1">
        <v>0</v>
      </c>
      <c r="AO222" s="1">
        <f t="shared" si="32"/>
        <v>0</v>
      </c>
      <c r="AP222" s="1">
        <f t="shared" si="33"/>
        <v>0</v>
      </c>
      <c r="AQ222" s="1">
        <f t="shared" si="34"/>
        <v>700</v>
      </c>
      <c r="AR222" s="1">
        <f t="shared" si="35"/>
        <v>0</v>
      </c>
    </row>
    <row r="223" spans="1:44" x14ac:dyDescent="0.2">
      <c r="A223" s="2">
        <v>41426</v>
      </c>
      <c r="B223" s="4">
        <v>0.38</v>
      </c>
      <c r="C223" s="4">
        <v>0.31499999999999995</v>
      </c>
      <c r="D223" s="4">
        <v>0.27200000000000002</v>
      </c>
      <c r="E223" s="4">
        <v>0.57799999999999996</v>
      </c>
      <c r="F223" s="4">
        <v>9.9000000000000005E-2</v>
      </c>
      <c r="G223" s="4">
        <v>0.18099999999999999</v>
      </c>
      <c r="H223" s="4">
        <v>0.77600000000000002</v>
      </c>
      <c r="I223" s="4">
        <v>0.19800000000000001</v>
      </c>
      <c r="J223" s="4">
        <v>0.65012500000000006</v>
      </c>
      <c r="K223" s="1">
        <v>0</v>
      </c>
      <c r="L223" s="1">
        <v>0</v>
      </c>
      <c r="M223" s="1">
        <v>700</v>
      </c>
      <c r="N223" s="1">
        <v>0</v>
      </c>
      <c r="O223" s="1" t="str">
        <f t="shared" si="30"/>
        <v>Repair</v>
      </c>
      <c r="P223" s="2">
        <f t="shared" si="31"/>
        <v>41455</v>
      </c>
      <c r="Q223" s="9">
        <f>VLOOKUP(P223,BB!$A$3:$D$6771, 3, 1)*100</f>
        <v>152</v>
      </c>
      <c r="R223" s="1" t="str">
        <f t="shared" si="36"/>
        <v/>
      </c>
      <c r="S223" s="1">
        <f t="shared" si="29"/>
        <v>141</v>
      </c>
      <c r="T223" s="1" t="str">
        <f t="shared" si="28"/>
        <v/>
      </c>
      <c r="AK223" s="1">
        <v>0</v>
      </c>
      <c r="AL223" s="1">
        <v>0</v>
      </c>
      <c r="AM223" s="1">
        <v>10</v>
      </c>
      <c r="AN223" s="1">
        <v>0</v>
      </c>
      <c r="AO223" s="1">
        <f t="shared" si="32"/>
        <v>0</v>
      </c>
      <c r="AP223" s="1">
        <f t="shared" si="33"/>
        <v>0</v>
      </c>
      <c r="AQ223" s="1">
        <f t="shared" si="34"/>
        <v>700</v>
      </c>
      <c r="AR223" s="1">
        <f t="shared" si="35"/>
        <v>0</v>
      </c>
    </row>
    <row r="224" spans="1:44" x14ac:dyDescent="0.2">
      <c r="A224" s="2">
        <v>41456</v>
      </c>
      <c r="B224" s="4">
        <v>0.32200000000000001</v>
      </c>
      <c r="C224" s="4">
        <v>0.27300000000000002</v>
      </c>
      <c r="D224" s="4">
        <v>0.66100000000000003</v>
      </c>
      <c r="E224" s="4">
        <v>0.52800000000000002</v>
      </c>
      <c r="F224" s="4">
        <v>3.3000000000000002E-2</v>
      </c>
      <c r="G224" s="4">
        <v>0.28000000000000003</v>
      </c>
      <c r="H224" s="4">
        <v>0.76800000000000002</v>
      </c>
      <c r="I224" s="4">
        <v>0.59499999999999997</v>
      </c>
      <c r="J224" s="4">
        <v>0.5675</v>
      </c>
      <c r="K224" s="1">
        <v>0</v>
      </c>
      <c r="L224" s="1">
        <v>0</v>
      </c>
      <c r="M224" s="1">
        <v>700</v>
      </c>
      <c r="N224" s="1">
        <v>0</v>
      </c>
      <c r="O224" s="1" t="str">
        <f t="shared" si="30"/>
        <v>Repair</v>
      </c>
      <c r="P224" s="2">
        <f t="shared" si="31"/>
        <v>41486</v>
      </c>
      <c r="Q224" s="9">
        <f>VLOOKUP(P224,BB!$A$3:$D$6771, 3, 1)*100</f>
        <v>138</v>
      </c>
      <c r="R224" s="1" t="str">
        <f t="shared" si="36"/>
        <v/>
      </c>
      <c r="S224" s="1">
        <f t="shared" si="29"/>
        <v>141</v>
      </c>
      <c r="T224" s="1" t="str">
        <f t="shared" si="28"/>
        <v/>
      </c>
      <c r="AK224" s="1">
        <v>0</v>
      </c>
      <c r="AL224" s="1">
        <v>0</v>
      </c>
      <c r="AM224" s="1">
        <v>10</v>
      </c>
      <c r="AN224" s="1">
        <v>0</v>
      </c>
      <c r="AO224" s="1">
        <f t="shared" si="32"/>
        <v>0</v>
      </c>
      <c r="AP224" s="1">
        <f t="shared" si="33"/>
        <v>0</v>
      </c>
      <c r="AQ224" s="1">
        <f t="shared" si="34"/>
        <v>700</v>
      </c>
      <c r="AR224" s="1">
        <f t="shared" si="35"/>
        <v>0</v>
      </c>
    </row>
    <row r="225" spans="1:44" x14ac:dyDescent="0.2">
      <c r="A225" s="2">
        <v>41487</v>
      </c>
      <c r="B225" s="4">
        <v>0.46200000000000002</v>
      </c>
      <c r="C225" s="4">
        <v>0.19899999999999995</v>
      </c>
      <c r="D225" s="4">
        <v>0.66900000000000004</v>
      </c>
      <c r="E225" s="4">
        <v>0.47099999999999997</v>
      </c>
      <c r="F225" s="4">
        <v>4.1000000000000002E-2</v>
      </c>
      <c r="G225" s="4">
        <v>0.26400000000000001</v>
      </c>
      <c r="H225" s="4">
        <v>0.76800000000000002</v>
      </c>
      <c r="I225" s="4">
        <v>0.14000000000000001</v>
      </c>
      <c r="J225" s="4">
        <v>0.62325000000000008</v>
      </c>
      <c r="K225" s="1">
        <v>0</v>
      </c>
      <c r="L225" s="1">
        <v>0</v>
      </c>
      <c r="M225" s="1">
        <v>700</v>
      </c>
      <c r="N225" s="1">
        <v>0</v>
      </c>
      <c r="O225" s="1" t="str">
        <f t="shared" si="30"/>
        <v>Repair</v>
      </c>
      <c r="P225" s="2">
        <f t="shared" si="31"/>
        <v>41517</v>
      </c>
      <c r="Q225" s="9">
        <f>VLOOKUP(P225,BB!$A$3:$D$6771, 3, 1)*100</f>
        <v>140</v>
      </c>
      <c r="R225" s="1" t="str">
        <f t="shared" si="36"/>
        <v/>
      </c>
      <c r="S225" s="1">
        <f t="shared" si="29"/>
        <v>141</v>
      </c>
      <c r="T225" s="1" t="str">
        <f t="shared" si="28"/>
        <v/>
      </c>
      <c r="AK225" s="1">
        <v>0</v>
      </c>
      <c r="AL225" s="1">
        <v>0</v>
      </c>
      <c r="AM225" s="1">
        <v>10</v>
      </c>
      <c r="AN225" s="1">
        <v>0</v>
      </c>
      <c r="AO225" s="1">
        <f t="shared" si="32"/>
        <v>0</v>
      </c>
      <c r="AP225" s="1">
        <f t="shared" si="33"/>
        <v>0</v>
      </c>
      <c r="AQ225" s="1">
        <f t="shared" si="34"/>
        <v>700</v>
      </c>
      <c r="AR225" s="1">
        <f t="shared" si="35"/>
        <v>0</v>
      </c>
    </row>
    <row r="226" spans="1:44" x14ac:dyDescent="0.2">
      <c r="A226" s="2">
        <v>41518</v>
      </c>
      <c r="B226" s="4">
        <v>0.53700000000000003</v>
      </c>
      <c r="C226" s="4">
        <v>0.25700000000000001</v>
      </c>
      <c r="D226" s="4">
        <v>0.69399999999999995</v>
      </c>
      <c r="E226" s="4">
        <v>0.71899999999999997</v>
      </c>
      <c r="F226" s="4">
        <v>2.4E-2</v>
      </c>
      <c r="G226" s="4">
        <v>0.33</v>
      </c>
      <c r="H226" s="4">
        <v>0.76</v>
      </c>
      <c r="I226" s="4">
        <v>0.96599999999999997</v>
      </c>
      <c r="J226" s="4">
        <v>0.46412500000000001</v>
      </c>
      <c r="K226" s="1">
        <v>0</v>
      </c>
      <c r="L226" s="1">
        <v>0</v>
      </c>
      <c r="M226" s="1">
        <v>700</v>
      </c>
      <c r="N226" s="1">
        <v>0</v>
      </c>
      <c r="O226" s="1" t="str">
        <f t="shared" si="30"/>
        <v>Repair</v>
      </c>
      <c r="P226" s="2">
        <f t="shared" si="31"/>
        <v>41547</v>
      </c>
      <c r="Q226" s="9">
        <f>VLOOKUP(P226,BB!$A$3:$D$6771, 3, 1)*100</f>
        <v>141</v>
      </c>
      <c r="R226" s="1">
        <f t="shared" si="36"/>
        <v>0</v>
      </c>
      <c r="S226" s="1">
        <f t="shared" si="29"/>
        <v>141</v>
      </c>
      <c r="T226" s="1" t="str">
        <f t="shared" si="28"/>
        <v>Repair</v>
      </c>
      <c r="AK226" s="1">
        <v>0</v>
      </c>
      <c r="AL226" s="1">
        <v>0</v>
      </c>
      <c r="AM226" s="1">
        <v>10</v>
      </c>
      <c r="AN226" s="1">
        <v>0</v>
      </c>
      <c r="AO226" s="1">
        <f t="shared" si="32"/>
        <v>0</v>
      </c>
      <c r="AP226" s="1">
        <f t="shared" si="33"/>
        <v>0</v>
      </c>
      <c r="AQ226" s="1">
        <f t="shared" si="34"/>
        <v>700</v>
      </c>
      <c r="AR226" s="1">
        <f t="shared" si="35"/>
        <v>0</v>
      </c>
    </row>
    <row r="227" spans="1:44" x14ac:dyDescent="0.2">
      <c r="A227" s="2">
        <v>41548</v>
      </c>
      <c r="B227" s="4">
        <v>0.56999999999999995</v>
      </c>
      <c r="C227" s="4">
        <v>0.29000000000000004</v>
      </c>
      <c r="D227" s="4">
        <v>0.71899999999999997</v>
      </c>
      <c r="E227" s="4">
        <v>0.74299999999999999</v>
      </c>
      <c r="F227" s="4">
        <v>1.6E-2</v>
      </c>
      <c r="G227" s="4">
        <v>0.36299999999999999</v>
      </c>
      <c r="H227" s="4">
        <v>0.74299999999999999</v>
      </c>
      <c r="I227" s="4">
        <v>0.61099999999999999</v>
      </c>
      <c r="J227" s="4">
        <v>0.49312500000000004</v>
      </c>
      <c r="K227" s="1">
        <v>0</v>
      </c>
      <c r="L227" s="1">
        <v>0</v>
      </c>
      <c r="M227" s="1">
        <v>0</v>
      </c>
      <c r="N227" s="1">
        <v>700</v>
      </c>
      <c r="O227" s="1" t="str">
        <f t="shared" si="30"/>
        <v>Recovery</v>
      </c>
      <c r="P227" s="2">
        <f t="shared" si="31"/>
        <v>41578</v>
      </c>
      <c r="Q227" s="9">
        <f>VLOOKUP(P227,BB!$A$3:$D$6771, 3, 1)*100</f>
        <v>131</v>
      </c>
      <c r="R227" s="1" t="str">
        <f t="shared" si="36"/>
        <v/>
      </c>
      <c r="S227" s="1">
        <f t="shared" si="29"/>
        <v>141</v>
      </c>
      <c r="T227" s="1" t="str">
        <f t="shared" si="28"/>
        <v/>
      </c>
      <c r="AK227" s="1">
        <v>0</v>
      </c>
      <c r="AL227" s="1">
        <v>0</v>
      </c>
      <c r="AM227" s="1">
        <v>0</v>
      </c>
      <c r="AN227" s="1">
        <v>10</v>
      </c>
      <c r="AO227" s="1">
        <f t="shared" si="32"/>
        <v>0</v>
      </c>
      <c r="AP227" s="1">
        <f t="shared" si="33"/>
        <v>0</v>
      </c>
      <c r="AQ227" s="1">
        <f t="shared" si="34"/>
        <v>0</v>
      </c>
      <c r="AR227" s="1">
        <f t="shared" si="35"/>
        <v>700</v>
      </c>
    </row>
    <row r="228" spans="1:44" x14ac:dyDescent="0.2">
      <c r="A228" s="2">
        <v>41579</v>
      </c>
      <c r="B228" s="4">
        <v>0.52</v>
      </c>
      <c r="C228" s="4">
        <v>0.14100000000000001</v>
      </c>
      <c r="D228" s="4">
        <v>0.79300000000000004</v>
      </c>
      <c r="E228" s="4">
        <v>0.66100000000000003</v>
      </c>
      <c r="F228" s="4">
        <v>8.0000000000000002E-3</v>
      </c>
      <c r="G228" s="4">
        <v>0.38800000000000001</v>
      </c>
      <c r="H228" s="4">
        <v>0.70199999999999996</v>
      </c>
      <c r="I228" s="4">
        <v>0.28899999999999998</v>
      </c>
      <c r="J228" s="4">
        <v>0.56224999999999992</v>
      </c>
      <c r="K228" s="1">
        <v>0</v>
      </c>
      <c r="L228" s="1">
        <v>0</v>
      </c>
      <c r="M228" s="1">
        <v>0</v>
      </c>
      <c r="N228" s="1">
        <v>700</v>
      </c>
      <c r="O228" s="1" t="str">
        <f t="shared" si="30"/>
        <v>Recovery</v>
      </c>
      <c r="P228" s="2">
        <f t="shared" si="31"/>
        <v>41608</v>
      </c>
      <c r="Q228" s="9">
        <f>VLOOKUP(P228,BB!$A$3:$D$6771, 3, 1)*100</f>
        <v>125</v>
      </c>
      <c r="R228" s="1" t="str">
        <f t="shared" si="36"/>
        <v/>
      </c>
      <c r="S228" s="1">
        <f t="shared" si="29"/>
        <v>141</v>
      </c>
      <c r="T228" s="1" t="str">
        <f t="shared" si="28"/>
        <v/>
      </c>
      <c r="AK228" s="1">
        <v>0</v>
      </c>
      <c r="AL228" s="1">
        <v>0</v>
      </c>
      <c r="AM228" s="1">
        <v>0</v>
      </c>
      <c r="AN228" s="1">
        <v>10</v>
      </c>
      <c r="AO228" s="1">
        <f t="shared" si="32"/>
        <v>0</v>
      </c>
      <c r="AP228" s="1">
        <f t="shared" si="33"/>
        <v>0</v>
      </c>
      <c r="AQ228" s="1">
        <f t="shared" si="34"/>
        <v>0</v>
      </c>
      <c r="AR228" s="1">
        <f t="shared" si="35"/>
        <v>700</v>
      </c>
    </row>
    <row r="229" spans="1:44" x14ac:dyDescent="0.2">
      <c r="A229" s="2">
        <v>41609</v>
      </c>
      <c r="B229" s="4">
        <v>0.47099999999999997</v>
      </c>
      <c r="C229" s="4">
        <v>9.9999999999999978E-2</v>
      </c>
      <c r="D229" s="4">
        <v>0.78500000000000003</v>
      </c>
      <c r="E229" s="4">
        <v>0.82599999999999996</v>
      </c>
      <c r="F229" s="4">
        <v>8.0000000000000002E-3</v>
      </c>
      <c r="G229" s="4">
        <v>0.59499999999999997</v>
      </c>
      <c r="H229" s="4">
        <v>0.66900000000000004</v>
      </c>
      <c r="I229" s="4">
        <v>0.61099999999999999</v>
      </c>
      <c r="J229" s="4">
        <v>0.49187499999999995</v>
      </c>
      <c r="K229" s="1">
        <v>0</v>
      </c>
      <c r="L229" s="1">
        <v>0</v>
      </c>
      <c r="M229" s="1">
        <v>0</v>
      </c>
      <c r="N229" s="1">
        <v>700</v>
      </c>
      <c r="O229" s="1" t="str">
        <f t="shared" si="30"/>
        <v>Recovery</v>
      </c>
      <c r="P229" s="2">
        <f t="shared" si="31"/>
        <v>41639</v>
      </c>
      <c r="Q229" s="9">
        <f>VLOOKUP(P229,BB!$A$3:$D$6771, 3, 1)*100</f>
        <v>113.99999999999999</v>
      </c>
      <c r="R229" s="1" t="str">
        <f t="shared" si="36"/>
        <v/>
      </c>
      <c r="S229" s="1">
        <f t="shared" si="29"/>
        <v>141</v>
      </c>
      <c r="T229" s="1" t="str">
        <f t="shared" si="28"/>
        <v/>
      </c>
      <c r="AK229" s="1">
        <v>0</v>
      </c>
      <c r="AL229" s="1">
        <v>0</v>
      </c>
      <c r="AM229" s="1">
        <v>0</v>
      </c>
      <c r="AN229" s="1">
        <v>10</v>
      </c>
      <c r="AO229" s="1">
        <f t="shared" si="32"/>
        <v>0</v>
      </c>
      <c r="AP229" s="1">
        <f t="shared" si="33"/>
        <v>0</v>
      </c>
      <c r="AQ229" s="1">
        <f t="shared" si="34"/>
        <v>0</v>
      </c>
      <c r="AR229" s="1">
        <f t="shared" si="35"/>
        <v>700</v>
      </c>
    </row>
    <row r="230" spans="1:44" x14ac:dyDescent="0.2">
      <c r="A230" s="2">
        <v>41640</v>
      </c>
      <c r="B230" s="4">
        <v>0.42099999999999999</v>
      </c>
      <c r="C230" s="4">
        <v>0.248</v>
      </c>
      <c r="D230" s="4">
        <v>0.314</v>
      </c>
      <c r="E230" s="4">
        <v>0.876</v>
      </c>
      <c r="F230" s="4">
        <v>1.6E-2</v>
      </c>
      <c r="G230" s="4">
        <v>0.52</v>
      </c>
      <c r="H230" s="4">
        <v>0.76</v>
      </c>
      <c r="I230" s="4">
        <v>0.60299999999999998</v>
      </c>
      <c r="J230" s="4">
        <v>0.53025</v>
      </c>
      <c r="K230" s="1">
        <v>0</v>
      </c>
      <c r="L230" s="1">
        <v>0</v>
      </c>
      <c r="M230" s="1">
        <v>0</v>
      </c>
      <c r="N230" s="1">
        <v>700</v>
      </c>
      <c r="O230" s="1" t="str">
        <f t="shared" si="30"/>
        <v>Recovery</v>
      </c>
      <c r="P230" s="2">
        <f t="shared" si="31"/>
        <v>41670</v>
      </c>
      <c r="Q230" s="9">
        <f>VLOOKUP(P230,BB!$A$3:$D$6771, 3, 1)*100</f>
        <v>115.99999999999999</v>
      </c>
      <c r="R230" s="1" t="str">
        <f t="shared" si="36"/>
        <v/>
      </c>
      <c r="S230" s="1">
        <f t="shared" si="29"/>
        <v>141</v>
      </c>
      <c r="T230" s="1" t="str">
        <f t="shared" si="28"/>
        <v/>
      </c>
      <c r="AK230" s="1">
        <v>0</v>
      </c>
      <c r="AL230" s="1">
        <v>0</v>
      </c>
      <c r="AM230" s="1">
        <v>0</v>
      </c>
      <c r="AN230" s="1">
        <v>10</v>
      </c>
      <c r="AO230" s="1">
        <f t="shared" si="32"/>
        <v>0</v>
      </c>
      <c r="AP230" s="1">
        <f t="shared" si="33"/>
        <v>0</v>
      </c>
      <c r="AQ230" s="1">
        <f t="shared" si="34"/>
        <v>0</v>
      </c>
      <c r="AR230" s="1">
        <f t="shared" si="35"/>
        <v>700</v>
      </c>
    </row>
    <row r="231" spans="1:44" x14ac:dyDescent="0.2">
      <c r="A231" s="2">
        <v>41671</v>
      </c>
      <c r="B231" s="4">
        <v>0.51200000000000001</v>
      </c>
      <c r="C231" s="4">
        <v>0.23199999999999998</v>
      </c>
      <c r="D231" s="4">
        <v>0.44600000000000001</v>
      </c>
      <c r="E231" s="4">
        <v>0.86699999999999999</v>
      </c>
      <c r="F231" s="4">
        <v>8.0000000000000002E-3</v>
      </c>
      <c r="G231" s="4">
        <v>0.61899999999999999</v>
      </c>
      <c r="H231" s="4">
        <v>0.71899999999999997</v>
      </c>
      <c r="I231" s="4">
        <v>0.85899999999999999</v>
      </c>
      <c r="J231" s="4">
        <v>0.46724999999999994</v>
      </c>
      <c r="K231" s="1">
        <v>0</v>
      </c>
      <c r="L231" s="1">
        <v>0</v>
      </c>
      <c r="M231" s="1">
        <v>0</v>
      </c>
      <c r="N231" s="1">
        <v>700</v>
      </c>
      <c r="O231" s="1" t="str">
        <f t="shared" si="30"/>
        <v>Recovery</v>
      </c>
      <c r="P231" s="2">
        <f t="shared" si="31"/>
        <v>41698</v>
      </c>
      <c r="Q231" s="9">
        <f>VLOOKUP(P231,BB!$A$3:$D$6771, 3, 1)*100</f>
        <v>109.00000000000001</v>
      </c>
      <c r="R231" s="1" t="str">
        <f t="shared" si="36"/>
        <v/>
      </c>
      <c r="S231" s="1">
        <f t="shared" si="29"/>
        <v>141</v>
      </c>
      <c r="T231" s="1" t="str">
        <f t="shared" si="28"/>
        <v/>
      </c>
      <c r="AK231" s="1">
        <v>0</v>
      </c>
      <c r="AL231" s="1">
        <v>0</v>
      </c>
      <c r="AM231" s="1">
        <v>0</v>
      </c>
      <c r="AN231" s="1">
        <v>10</v>
      </c>
      <c r="AO231" s="1">
        <f t="shared" si="32"/>
        <v>0</v>
      </c>
      <c r="AP231" s="1">
        <f t="shared" si="33"/>
        <v>0</v>
      </c>
      <c r="AQ231" s="1">
        <f t="shared" si="34"/>
        <v>0</v>
      </c>
      <c r="AR231" s="1">
        <f t="shared" si="35"/>
        <v>700</v>
      </c>
    </row>
    <row r="232" spans="1:44" x14ac:dyDescent="0.2">
      <c r="A232" s="2">
        <v>41699</v>
      </c>
      <c r="B232" s="4">
        <v>0.46200000000000002</v>
      </c>
      <c r="C232" s="4">
        <v>0.25700000000000001</v>
      </c>
      <c r="D232" s="4">
        <v>0.504</v>
      </c>
      <c r="E232" s="4">
        <v>0.51200000000000001</v>
      </c>
      <c r="F232" s="4">
        <v>3.3000000000000002E-2</v>
      </c>
      <c r="G232" s="4">
        <v>0.71899999999999997</v>
      </c>
      <c r="H232" s="4">
        <v>0.69399999999999995</v>
      </c>
      <c r="I232" s="4">
        <v>0.40400000000000003</v>
      </c>
      <c r="J232" s="4">
        <v>0.551875</v>
      </c>
      <c r="K232" s="1">
        <v>0</v>
      </c>
      <c r="L232" s="1">
        <v>0</v>
      </c>
      <c r="M232" s="1">
        <v>0</v>
      </c>
      <c r="N232" s="1">
        <v>700</v>
      </c>
      <c r="O232" s="1" t="str">
        <f t="shared" si="30"/>
        <v>Recovery</v>
      </c>
      <c r="P232" s="2">
        <f t="shared" si="31"/>
        <v>41729</v>
      </c>
      <c r="Q232" s="9">
        <f>VLOOKUP(P232,BB!$A$3:$D$6771, 3, 1)*100</f>
        <v>106</v>
      </c>
      <c r="R232" s="1" t="str">
        <f t="shared" si="36"/>
        <v/>
      </c>
      <c r="S232" s="1">
        <f t="shared" si="29"/>
        <v>141</v>
      </c>
      <c r="T232" s="1" t="str">
        <f t="shared" si="28"/>
        <v/>
      </c>
      <c r="AK232" s="1">
        <v>0</v>
      </c>
      <c r="AL232" s="1">
        <v>0</v>
      </c>
      <c r="AM232" s="1">
        <v>0</v>
      </c>
      <c r="AN232" s="1">
        <v>10</v>
      </c>
      <c r="AO232" s="1">
        <f t="shared" si="32"/>
        <v>0</v>
      </c>
      <c r="AP232" s="1">
        <f t="shared" si="33"/>
        <v>0</v>
      </c>
      <c r="AQ232" s="1">
        <f t="shared" si="34"/>
        <v>0</v>
      </c>
      <c r="AR232" s="1">
        <f t="shared" si="35"/>
        <v>700</v>
      </c>
    </row>
    <row r="233" spans="1:44" x14ac:dyDescent="0.2">
      <c r="A233" s="2">
        <v>41730</v>
      </c>
      <c r="B233" s="4">
        <v>0.23899999999999999</v>
      </c>
      <c r="C233" s="4">
        <v>0.29800000000000004</v>
      </c>
      <c r="D233" s="4">
        <v>0.628</v>
      </c>
      <c r="E233" s="4">
        <v>0.56100000000000005</v>
      </c>
      <c r="F233" s="4">
        <v>4.1000000000000002E-2</v>
      </c>
      <c r="G233" s="4">
        <v>0.67700000000000005</v>
      </c>
      <c r="H233" s="4">
        <v>0.70199999999999996</v>
      </c>
      <c r="I233" s="4">
        <v>0.88400000000000001</v>
      </c>
      <c r="J233" s="4">
        <v>0.49624999999999997</v>
      </c>
      <c r="K233" s="1">
        <v>0</v>
      </c>
      <c r="L233" s="1">
        <v>0</v>
      </c>
      <c r="M233" s="1">
        <v>0</v>
      </c>
      <c r="N233" s="1">
        <v>700</v>
      </c>
      <c r="O233" s="1" t="str">
        <f t="shared" si="30"/>
        <v>Recovery</v>
      </c>
      <c r="P233" s="2">
        <f t="shared" si="31"/>
        <v>41759</v>
      </c>
      <c r="Q233" s="9">
        <f>VLOOKUP(P233,BB!$A$3:$D$6771, 3, 1)*100</f>
        <v>101</v>
      </c>
      <c r="R233" s="1" t="str">
        <f t="shared" si="36"/>
        <v/>
      </c>
      <c r="S233" s="1">
        <f t="shared" si="29"/>
        <v>141</v>
      </c>
      <c r="T233" s="1" t="str">
        <f t="shared" si="28"/>
        <v/>
      </c>
      <c r="AK233" s="1">
        <v>0</v>
      </c>
      <c r="AL233" s="1">
        <v>0</v>
      </c>
      <c r="AM233" s="1">
        <v>0</v>
      </c>
      <c r="AN233" s="1">
        <v>10</v>
      </c>
      <c r="AO233" s="1">
        <f t="shared" si="32"/>
        <v>0</v>
      </c>
      <c r="AP233" s="1">
        <f t="shared" si="33"/>
        <v>0</v>
      </c>
      <c r="AQ233" s="1">
        <f t="shared" si="34"/>
        <v>0</v>
      </c>
      <c r="AR233" s="1">
        <f t="shared" si="35"/>
        <v>700</v>
      </c>
    </row>
    <row r="234" spans="1:44" x14ac:dyDescent="0.2">
      <c r="A234" s="2">
        <v>41760</v>
      </c>
      <c r="B234" s="4">
        <v>0.19</v>
      </c>
      <c r="C234" s="4">
        <v>0.32299999999999995</v>
      </c>
      <c r="D234" s="4">
        <v>0.67700000000000005</v>
      </c>
      <c r="E234" s="4">
        <v>0.61099999999999999</v>
      </c>
      <c r="F234" s="4">
        <v>4.9000000000000002E-2</v>
      </c>
      <c r="G234" s="4">
        <v>0.64400000000000002</v>
      </c>
      <c r="H234" s="4">
        <v>0.71899999999999997</v>
      </c>
      <c r="I234" s="4">
        <v>0.9</v>
      </c>
      <c r="J234" s="4">
        <v>0.48587500000000006</v>
      </c>
      <c r="K234" s="1">
        <v>0</v>
      </c>
      <c r="L234" s="1">
        <v>0</v>
      </c>
      <c r="M234" s="1">
        <v>0</v>
      </c>
      <c r="N234" s="1">
        <v>700</v>
      </c>
      <c r="O234" s="1" t="str">
        <f t="shared" si="30"/>
        <v>Recovery</v>
      </c>
      <c r="P234" s="2">
        <f t="shared" si="31"/>
        <v>41790</v>
      </c>
      <c r="Q234" s="9">
        <f>VLOOKUP(P234,BB!$A$3:$D$6771, 3, 1)*100</f>
        <v>101</v>
      </c>
      <c r="R234" s="1" t="str">
        <f t="shared" si="36"/>
        <v/>
      </c>
      <c r="S234" s="1">
        <f t="shared" si="29"/>
        <v>141</v>
      </c>
      <c r="T234" s="1" t="str">
        <f t="shared" si="28"/>
        <v/>
      </c>
      <c r="AK234" s="1">
        <v>0</v>
      </c>
      <c r="AL234" s="1">
        <v>0</v>
      </c>
      <c r="AM234" s="1">
        <v>0</v>
      </c>
      <c r="AN234" s="1">
        <v>10</v>
      </c>
      <c r="AO234" s="1">
        <f t="shared" si="32"/>
        <v>0</v>
      </c>
      <c r="AP234" s="1">
        <f t="shared" si="33"/>
        <v>0</v>
      </c>
      <c r="AQ234" s="1">
        <f t="shared" si="34"/>
        <v>0</v>
      </c>
      <c r="AR234" s="1">
        <f t="shared" si="35"/>
        <v>700</v>
      </c>
    </row>
    <row r="235" spans="1:44" x14ac:dyDescent="0.2">
      <c r="A235" s="2">
        <v>41791</v>
      </c>
      <c r="B235" s="4">
        <v>0.23899999999999999</v>
      </c>
      <c r="C235" s="4">
        <v>0.33899999999999997</v>
      </c>
      <c r="D235" s="4">
        <v>0.66100000000000003</v>
      </c>
      <c r="E235" s="4">
        <v>0.86699999999999999</v>
      </c>
      <c r="F235" s="4">
        <v>3.3000000000000002E-2</v>
      </c>
      <c r="G235" s="4">
        <v>0.78500000000000003</v>
      </c>
      <c r="H235" s="4">
        <v>0.67700000000000005</v>
      </c>
      <c r="I235" s="4">
        <v>0.9</v>
      </c>
      <c r="J235" s="4">
        <v>0.43737499999999996</v>
      </c>
      <c r="K235" s="1">
        <v>0</v>
      </c>
      <c r="L235" s="1">
        <v>0</v>
      </c>
      <c r="M235" s="1">
        <v>0</v>
      </c>
      <c r="N235" s="1">
        <v>700</v>
      </c>
      <c r="O235" s="1" t="str">
        <f t="shared" si="30"/>
        <v>Recovery</v>
      </c>
      <c r="P235" s="2">
        <f t="shared" si="31"/>
        <v>41820</v>
      </c>
      <c r="Q235" s="9">
        <f>VLOOKUP(P235,BB!$A$3:$D$6771, 3, 1)*100</f>
        <v>99</v>
      </c>
      <c r="R235" s="1">
        <f t="shared" si="36"/>
        <v>-42</v>
      </c>
      <c r="S235" s="1">
        <f t="shared" si="29"/>
        <v>141</v>
      </c>
      <c r="T235" s="1" t="str">
        <f t="shared" si="28"/>
        <v>Recovery</v>
      </c>
      <c r="AK235" s="1">
        <v>0</v>
      </c>
      <c r="AL235" s="1">
        <v>0</v>
      </c>
      <c r="AM235" s="1">
        <v>0</v>
      </c>
      <c r="AN235" s="1">
        <v>10</v>
      </c>
      <c r="AO235" s="1">
        <f t="shared" si="32"/>
        <v>0</v>
      </c>
      <c r="AP235" s="1">
        <f t="shared" si="33"/>
        <v>0</v>
      </c>
      <c r="AQ235" s="1">
        <f t="shared" si="34"/>
        <v>0</v>
      </c>
      <c r="AR235" s="1">
        <f t="shared" si="35"/>
        <v>700</v>
      </c>
    </row>
    <row r="236" spans="1:44" x14ac:dyDescent="0.2">
      <c r="A236" s="2">
        <v>41821</v>
      </c>
      <c r="B236" s="4">
        <v>0.23899999999999999</v>
      </c>
      <c r="C236" s="4">
        <v>0.35599999999999998</v>
      </c>
      <c r="D236" s="4">
        <v>0.85099999999999998</v>
      </c>
      <c r="E236" s="4">
        <v>0.85899999999999999</v>
      </c>
      <c r="F236" s="4">
        <v>3.3000000000000002E-2</v>
      </c>
      <c r="G236" s="4">
        <v>0.66900000000000004</v>
      </c>
      <c r="H236" s="4">
        <v>0.68500000000000005</v>
      </c>
      <c r="I236" s="4">
        <v>0.92500000000000004</v>
      </c>
      <c r="J236" s="4">
        <v>0.422875</v>
      </c>
      <c r="K236" s="1">
        <v>700</v>
      </c>
      <c r="L236" s="1">
        <v>0</v>
      </c>
      <c r="M236" s="1">
        <v>0</v>
      </c>
      <c r="N236" s="1">
        <v>0</v>
      </c>
      <c r="O236" s="1" t="str">
        <f t="shared" si="30"/>
        <v>Expansion</v>
      </c>
      <c r="P236" s="2">
        <f t="shared" si="31"/>
        <v>41851</v>
      </c>
      <c r="Q236" s="9">
        <f>VLOOKUP(P236,BB!$A$3:$D$6771, 3, 1)*100</f>
        <v>99</v>
      </c>
      <c r="R236" s="1" t="str">
        <f t="shared" si="36"/>
        <v/>
      </c>
      <c r="S236" s="1">
        <f t="shared" si="29"/>
        <v>99</v>
      </c>
      <c r="T236" s="1" t="str">
        <f t="shared" si="28"/>
        <v/>
      </c>
      <c r="AK236" s="1">
        <v>10</v>
      </c>
      <c r="AL236" s="1">
        <v>0</v>
      </c>
      <c r="AM236" s="1">
        <v>0</v>
      </c>
      <c r="AN236" s="1">
        <v>0</v>
      </c>
      <c r="AO236" s="1">
        <f t="shared" si="32"/>
        <v>700</v>
      </c>
      <c r="AP236" s="1">
        <f t="shared" si="33"/>
        <v>0</v>
      </c>
      <c r="AQ236" s="1">
        <f t="shared" si="34"/>
        <v>0</v>
      </c>
      <c r="AR236" s="1">
        <f t="shared" si="35"/>
        <v>0</v>
      </c>
    </row>
    <row r="237" spans="1:44" x14ac:dyDescent="0.2">
      <c r="A237" s="2">
        <v>41852</v>
      </c>
      <c r="B237" s="4">
        <v>0.27200000000000002</v>
      </c>
      <c r="C237" s="4">
        <v>0.43899999999999995</v>
      </c>
      <c r="D237" s="4">
        <v>0.91700000000000004</v>
      </c>
      <c r="E237" s="4">
        <v>0.86699999999999999</v>
      </c>
      <c r="F237" s="4">
        <v>4.9000000000000002E-2</v>
      </c>
      <c r="G237" s="4">
        <v>0.67700000000000005</v>
      </c>
      <c r="H237" s="4">
        <v>0.64400000000000002</v>
      </c>
      <c r="I237" s="4">
        <v>0.85099999999999998</v>
      </c>
      <c r="J237" s="4">
        <v>0.41049999999999998</v>
      </c>
      <c r="K237" s="1">
        <v>700</v>
      </c>
      <c r="L237" s="1">
        <v>0</v>
      </c>
      <c r="M237" s="1">
        <v>0</v>
      </c>
      <c r="N237" s="1">
        <v>0</v>
      </c>
      <c r="O237" s="1" t="str">
        <f t="shared" si="30"/>
        <v>Expansion</v>
      </c>
      <c r="P237" s="2">
        <f t="shared" si="31"/>
        <v>41882</v>
      </c>
      <c r="Q237" s="9">
        <f>VLOOKUP(P237,BB!$A$3:$D$6771, 3, 1)*100</f>
        <v>102</v>
      </c>
      <c r="R237" s="1" t="str">
        <f t="shared" si="36"/>
        <v/>
      </c>
      <c r="S237" s="1">
        <f t="shared" si="29"/>
        <v>99</v>
      </c>
      <c r="T237" s="1" t="str">
        <f t="shared" si="28"/>
        <v/>
      </c>
      <c r="AK237" s="1">
        <v>10</v>
      </c>
      <c r="AL237" s="1">
        <v>0</v>
      </c>
      <c r="AM237" s="1">
        <v>0</v>
      </c>
      <c r="AN237" s="1">
        <v>0</v>
      </c>
      <c r="AO237" s="1">
        <f t="shared" si="32"/>
        <v>700</v>
      </c>
      <c r="AP237" s="1">
        <f t="shared" si="33"/>
        <v>0</v>
      </c>
      <c r="AQ237" s="1">
        <f t="shared" si="34"/>
        <v>0</v>
      </c>
      <c r="AR237" s="1">
        <f t="shared" si="35"/>
        <v>0</v>
      </c>
    </row>
    <row r="238" spans="1:44" x14ac:dyDescent="0.2">
      <c r="A238" s="2">
        <v>41883</v>
      </c>
      <c r="B238" s="4">
        <v>0.33800000000000002</v>
      </c>
      <c r="C238" s="4">
        <v>0.38900000000000001</v>
      </c>
      <c r="D238" s="4">
        <v>0.79300000000000004</v>
      </c>
      <c r="E238" s="4">
        <v>0.90900000000000003</v>
      </c>
      <c r="F238" s="4">
        <v>3.3000000000000002E-2</v>
      </c>
      <c r="G238" s="4">
        <v>0.63600000000000001</v>
      </c>
      <c r="H238" s="4">
        <v>0.628</v>
      </c>
      <c r="I238" s="4">
        <v>0.76</v>
      </c>
      <c r="J238" s="4">
        <v>0.43924999999999992</v>
      </c>
      <c r="K238" s="1">
        <v>700</v>
      </c>
      <c r="L238" s="1">
        <v>0</v>
      </c>
      <c r="M238" s="1">
        <v>0</v>
      </c>
      <c r="N238" s="1">
        <v>0</v>
      </c>
      <c r="O238" s="1" t="str">
        <f t="shared" si="30"/>
        <v>Expansion</v>
      </c>
      <c r="P238" s="2">
        <f t="shared" si="31"/>
        <v>41912</v>
      </c>
      <c r="Q238" s="9">
        <f>VLOOKUP(P238,BB!$A$3:$D$6771, 3, 1)*100</f>
        <v>112.00000000000001</v>
      </c>
      <c r="R238" s="1" t="str">
        <f t="shared" si="36"/>
        <v/>
      </c>
      <c r="S238" s="1">
        <f t="shared" si="29"/>
        <v>99</v>
      </c>
      <c r="T238" s="1" t="str">
        <f t="shared" si="28"/>
        <v/>
      </c>
      <c r="AK238" s="1">
        <v>10</v>
      </c>
      <c r="AL238" s="1">
        <v>0</v>
      </c>
      <c r="AM238" s="1">
        <v>0</v>
      </c>
      <c r="AN238" s="1">
        <v>0</v>
      </c>
      <c r="AO238" s="1">
        <f t="shared" si="32"/>
        <v>700</v>
      </c>
      <c r="AP238" s="1">
        <f t="shared" si="33"/>
        <v>0</v>
      </c>
      <c r="AQ238" s="1">
        <f t="shared" si="34"/>
        <v>0</v>
      </c>
      <c r="AR238" s="1">
        <f t="shared" si="35"/>
        <v>0</v>
      </c>
    </row>
    <row r="239" spans="1:44" x14ac:dyDescent="0.2">
      <c r="A239" s="2">
        <v>41913</v>
      </c>
      <c r="B239" s="4">
        <v>0.33800000000000002</v>
      </c>
      <c r="C239" s="4">
        <v>0.45499999999999996</v>
      </c>
      <c r="D239" s="4">
        <v>0.90900000000000003</v>
      </c>
      <c r="E239" s="4">
        <v>0.90900000000000003</v>
      </c>
      <c r="F239" s="4">
        <v>4.1000000000000002E-2</v>
      </c>
      <c r="G239" s="4">
        <v>0.59499999999999997</v>
      </c>
      <c r="H239" s="4">
        <v>0.61099999999999999</v>
      </c>
      <c r="I239" s="4">
        <v>0.76800000000000002</v>
      </c>
      <c r="J239" s="4">
        <v>0.42175000000000007</v>
      </c>
      <c r="K239" s="1">
        <v>700</v>
      </c>
      <c r="L239" s="1">
        <v>0</v>
      </c>
      <c r="M239" s="1">
        <v>0</v>
      </c>
      <c r="N239" s="1">
        <v>0</v>
      </c>
      <c r="O239" s="1" t="str">
        <f t="shared" si="30"/>
        <v>Expansion</v>
      </c>
      <c r="P239" s="2">
        <f t="shared" si="31"/>
        <v>41943</v>
      </c>
      <c r="Q239" s="9">
        <f>VLOOKUP(P239,BB!$A$3:$D$6771, 3, 1)*100</f>
        <v>118</v>
      </c>
      <c r="R239" s="1" t="str">
        <f t="shared" si="36"/>
        <v/>
      </c>
      <c r="S239" s="1">
        <f t="shared" si="29"/>
        <v>99</v>
      </c>
      <c r="T239" s="1" t="str">
        <f t="shared" si="28"/>
        <v/>
      </c>
      <c r="AK239" s="1">
        <v>10</v>
      </c>
      <c r="AL239" s="1">
        <v>0</v>
      </c>
      <c r="AM239" s="1">
        <v>0</v>
      </c>
      <c r="AN239" s="1">
        <v>0</v>
      </c>
      <c r="AO239" s="1">
        <f t="shared" si="32"/>
        <v>700</v>
      </c>
      <c r="AP239" s="1">
        <f t="shared" si="33"/>
        <v>0</v>
      </c>
      <c r="AQ239" s="1">
        <f t="shared" si="34"/>
        <v>0</v>
      </c>
      <c r="AR239" s="1">
        <f t="shared" si="35"/>
        <v>0</v>
      </c>
    </row>
    <row r="240" spans="1:44" x14ac:dyDescent="0.2">
      <c r="A240" s="2">
        <v>41944</v>
      </c>
      <c r="B240" s="4">
        <v>0.44600000000000001</v>
      </c>
      <c r="C240" s="4">
        <v>0.496</v>
      </c>
      <c r="D240" s="4">
        <v>0.9</v>
      </c>
      <c r="E240" s="4">
        <v>0.95799999999999996</v>
      </c>
      <c r="F240" s="4">
        <v>6.6000000000000003E-2</v>
      </c>
      <c r="G240" s="4">
        <v>0.57799999999999996</v>
      </c>
      <c r="H240" s="4">
        <v>0.57799999999999996</v>
      </c>
      <c r="I240" s="4">
        <v>0.90900000000000003</v>
      </c>
      <c r="J240" s="4">
        <v>0.3836250000000001</v>
      </c>
      <c r="K240" s="1">
        <v>700</v>
      </c>
      <c r="L240" s="1">
        <v>0</v>
      </c>
      <c r="M240" s="1">
        <v>0</v>
      </c>
      <c r="N240" s="1">
        <v>0</v>
      </c>
      <c r="O240" s="1" t="str">
        <f t="shared" si="30"/>
        <v>Expansion</v>
      </c>
      <c r="P240" s="2">
        <f t="shared" si="31"/>
        <v>41973</v>
      </c>
      <c r="Q240" s="9">
        <f>VLOOKUP(P240,BB!$A$3:$D$6771, 3, 1)*100</f>
        <v>124</v>
      </c>
      <c r="R240" s="1" t="str">
        <f t="shared" si="36"/>
        <v/>
      </c>
      <c r="S240" s="1">
        <f t="shared" si="29"/>
        <v>99</v>
      </c>
      <c r="T240" s="1" t="str">
        <f t="shared" si="28"/>
        <v/>
      </c>
      <c r="AK240" s="1">
        <v>10</v>
      </c>
      <c r="AL240" s="1">
        <v>0</v>
      </c>
      <c r="AM240" s="1">
        <v>0</v>
      </c>
      <c r="AN240" s="1">
        <v>0</v>
      </c>
      <c r="AO240" s="1">
        <f t="shared" si="32"/>
        <v>700</v>
      </c>
      <c r="AP240" s="1">
        <f t="shared" si="33"/>
        <v>0</v>
      </c>
      <c r="AQ240" s="1">
        <f t="shared" si="34"/>
        <v>0</v>
      </c>
      <c r="AR240" s="1">
        <f t="shared" si="35"/>
        <v>0</v>
      </c>
    </row>
    <row r="241" spans="1:44" x14ac:dyDescent="0.2">
      <c r="A241" s="2">
        <v>41974</v>
      </c>
      <c r="B241" s="4">
        <v>0.57799999999999996</v>
      </c>
      <c r="C241" s="4">
        <v>0.57099999999999995</v>
      </c>
      <c r="D241" s="4">
        <v>0.70199999999999996</v>
      </c>
      <c r="E241" s="4">
        <v>0.876</v>
      </c>
      <c r="F241" s="4">
        <v>0.107</v>
      </c>
      <c r="G241" s="4">
        <v>0.28899999999999998</v>
      </c>
      <c r="H241" s="4">
        <v>0.55300000000000005</v>
      </c>
      <c r="I241" s="4">
        <v>0.71899999999999997</v>
      </c>
      <c r="J241" s="4">
        <v>0.45062499999999994</v>
      </c>
      <c r="K241" s="1">
        <v>700</v>
      </c>
      <c r="L241" s="1">
        <v>0</v>
      </c>
      <c r="M241" s="1">
        <v>0</v>
      </c>
      <c r="N241" s="1">
        <v>0</v>
      </c>
      <c r="O241" s="1" t="str">
        <f t="shared" si="30"/>
        <v>Expansion</v>
      </c>
      <c r="P241" s="2">
        <f t="shared" si="31"/>
        <v>42004</v>
      </c>
      <c r="Q241" s="9">
        <f>VLOOKUP(P241,BB!$A$3:$D$6771, 3, 1)*100</f>
        <v>131</v>
      </c>
      <c r="R241" s="1" t="str">
        <f t="shared" si="36"/>
        <v/>
      </c>
      <c r="S241" s="1">
        <f t="shared" si="29"/>
        <v>99</v>
      </c>
      <c r="T241" s="1" t="str">
        <f t="shared" si="28"/>
        <v/>
      </c>
      <c r="AK241" s="1">
        <v>10</v>
      </c>
      <c r="AL241" s="1">
        <v>0</v>
      </c>
      <c r="AM241" s="1">
        <v>0</v>
      </c>
      <c r="AN241" s="1">
        <v>0</v>
      </c>
      <c r="AO241" s="1">
        <f t="shared" si="32"/>
        <v>700</v>
      </c>
      <c r="AP241" s="1">
        <f t="shared" si="33"/>
        <v>0</v>
      </c>
      <c r="AQ241" s="1">
        <f t="shared" si="34"/>
        <v>0</v>
      </c>
      <c r="AR241" s="1">
        <f t="shared" si="35"/>
        <v>0</v>
      </c>
    </row>
    <row r="242" spans="1:44" x14ac:dyDescent="0.2">
      <c r="A242" s="2">
        <v>42005</v>
      </c>
      <c r="B242" s="4">
        <v>0.66900000000000004</v>
      </c>
      <c r="C242" s="4">
        <v>0.70300000000000007</v>
      </c>
      <c r="D242" s="4">
        <v>0.47099999999999997</v>
      </c>
      <c r="E242" s="4">
        <v>0.98299999999999998</v>
      </c>
      <c r="F242" s="4">
        <v>0.115</v>
      </c>
      <c r="G242" s="4">
        <v>0.28000000000000003</v>
      </c>
      <c r="H242" s="4">
        <v>0.74299999999999999</v>
      </c>
      <c r="I242" s="4">
        <v>0.56999999999999995</v>
      </c>
      <c r="J242" s="4">
        <v>0.43325000000000002</v>
      </c>
      <c r="K242" s="1">
        <v>700</v>
      </c>
      <c r="L242" s="1">
        <v>0</v>
      </c>
      <c r="M242" s="1">
        <v>0</v>
      </c>
      <c r="N242" s="1">
        <v>0</v>
      </c>
      <c r="O242" s="1" t="str">
        <f t="shared" si="30"/>
        <v>Expansion</v>
      </c>
      <c r="P242" s="2">
        <f t="shared" si="31"/>
        <v>42035</v>
      </c>
      <c r="Q242" s="9">
        <f>VLOOKUP(P242,BB!$A$3:$D$6771, 3, 1)*100</f>
        <v>136</v>
      </c>
      <c r="R242" s="1">
        <f t="shared" si="36"/>
        <v>37</v>
      </c>
      <c r="S242" s="1">
        <f t="shared" si="29"/>
        <v>99</v>
      </c>
      <c r="T242" s="1" t="str">
        <f t="shared" si="28"/>
        <v>Expansion</v>
      </c>
      <c r="AK242" s="1">
        <v>10</v>
      </c>
      <c r="AL242" s="1">
        <v>0</v>
      </c>
      <c r="AM242" s="1">
        <v>0</v>
      </c>
      <c r="AN242" s="1">
        <v>0</v>
      </c>
      <c r="AO242" s="1">
        <f t="shared" si="32"/>
        <v>700</v>
      </c>
      <c r="AP242" s="1">
        <f t="shared" si="33"/>
        <v>0</v>
      </c>
      <c r="AQ242" s="1">
        <f t="shared" si="34"/>
        <v>0</v>
      </c>
      <c r="AR242" s="1">
        <f t="shared" si="35"/>
        <v>0</v>
      </c>
    </row>
    <row r="243" spans="1:44" x14ac:dyDescent="0.2">
      <c r="A243" s="2">
        <v>42036</v>
      </c>
      <c r="B243" s="4">
        <v>0.65200000000000002</v>
      </c>
      <c r="C243" s="4">
        <v>0.65300000000000002</v>
      </c>
      <c r="D243" s="4">
        <v>0.41299999999999998</v>
      </c>
      <c r="E243" s="4">
        <v>0.88400000000000001</v>
      </c>
      <c r="F243" s="4">
        <v>0.115</v>
      </c>
      <c r="G243" s="4">
        <v>0.26400000000000001</v>
      </c>
      <c r="H243" s="4">
        <v>0.56100000000000005</v>
      </c>
      <c r="I243" s="4">
        <v>0.72699999999999998</v>
      </c>
      <c r="J243" s="4">
        <v>0.46637499999999987</v>
      </c>
      <c r="K243" s="1">
        <v>0</v>
      </c>
      <c r="L243" s="1">
        <v>0</v>
      </c>
      <c r="M243" s="1">
        <v>700</v>
      </c>
      <c r="N243" s="1">
        <v>0</v>
      </c>
      <c r="O243" s="1" t="str">
        <f t="shared" si="30"/>
        <v>Repair</v>
      </c>
      <c r="P243" s="2">
        <f t="shared" si="31"/>
        <v>42063</v>
      </c>
      <c r="Q243" s="9">
        <f>VLOOKUP(P243,BB!$A$3:$D$6771, 3, 1)*100</f>
        <v>123</v>
      </c>
      <c r="R243" s="1">
        <f t="shared" si="36"/>
        <v>-13</v>
      </c>
      <c r="S243" s="1">
        <f t="shared" si="29"/>
        <v>136</v>
      </c>
      <c r="T243" s="1" t="str">
        <f t="shared" si="28"/>
        <v>Repair</v>
      </c>
      <c r="AK243" s="1">
        <v>0</v>
      </c>
      <c r="AL243" s="1">
        <v>0</v>
      </c>
      <c r="AM243" s="1">
        <v>10</v>
      </c>
      <c r="AN243" s="1">
        <v>0</v>
      </c>
      <c r="AO243" s="1">
        <f t="shared" si="32"/>
        <v>0</v>
      </c>
      <c r="AP243" s="1">
        <f t="shared" si="33"/>
        <v>0</v>
      </c>
      <c r="AQ243" s="1">
        <f t="shared" si="34"/>
        <v>700</v>
      </c>
      <c r="AR243" s="1">
        <f t="shared" si="35"/>
        <v>0</v>
      </c>
    </row>
    <row r="244" spans="1:44" x14ac:dyDescent="0.2">
      <c r="A244" s="2">
        <v>42064</v>
      </c>
      <c r="B244" s="4">
        <v>0.65200000000000002</v>
      </c>
      <c r="C244" s="4">
        <v>0.66999999999999993</v>
      </c>
      <c r="D244" s="4">
        <v>0.34699999999999998</v>
      </c>
      <c r="E244" s="4">
        <v>0.99099999999999999</v>
      </c>
      <c r="F244" s="4">
        <v>0.19</v>
      </c>
      <c r="G244" s="4">
        <v>0.17299999999999999</v>
      </c>
      <c r="H244" s="4">
        <v>0.60299999999999998</v>
      </c>
      <c r="I244" s="4">
        <v>0.97499999999999998</v>
      </c>
      <c r="J244" s="4">
        <v>0.424875</v>
      </c>
      <c r="K244" s="1">
        <v>0</v>
      </c>
      <c r="L244" s="1">
        <v>700</v>
      </c>
      <c r="M244" s="1">
        <v>0</v>
      </c>
      <c r="N244" s="1">
        <v>0</v>
      </c>
      <c r="O244" s="1" t="str">
        <f t="shared" si="30"/>
        <v>Downturn</v>
      </c>
      <c r="P244" s="2">
        <f t="shared" si="31"/>
        <v>42094</v>
      </c>
      <c r="Q244" s="9">
        <f>VLOOKUP(P244,BB!$A$3:$D$6771, 3, 1)*100</f>
        <v>129</v>
      </c>
      <c r="R244" s="1">
        <f t="shared" si="36"/>
        <v>6</v>
      </c>
      <c r="S244" s="1">
        <f t="shared" si="29"/>
        <v>123</v>
      </c>
      <c r="T244" s="1" t="str">
        <f t="shared" si="28"/>
        <v>Downturn</v>
      </c>
      <c r="AK244" s="1">
        <v>0</v>
      </c>
      <c r="AL244" s="1">
        <v>10</v>
      </c>
      <c r="AM244" s="1">
        <v>0</v>
      </c>
      <c r="AN244" s="1">
        <v>0</v>
      </c>
      <c r="AO244" s="1">
        <f t="shared" si="32"/>
        <v>0</v>
      </c>
      <c r="AP244" s="1">
        <f t="shared" si="33"/>
        <v>700</v>
      </c>
      <c r="AQ244" s="1">
        <f t="shared" si="34"/>
        <v>0</v>
      </c>
      <c r="AR244" s="1">
        <f t="shared" si="35"/>
        <v>0</v>
      </c>
    </row>
    <row r="245" spans="1:44" x14ac:dyDescent="0.2">
      <c r="A245" s="2">
        <v>42095</v>
      </c>
      <c r="B245" s="4">
        <v>0.69399999999999995</v>
      </c>
      <c r="C245" s="4">
        <v>0.59599999999999997</v>
      </c>
      <c r="D245" s="4">
        <v>0.34699999999999998</v>
      </c>
      <c r="E245" s="4">
        <v>0.98299999999999998</v>
      </c>
      <c r="F245" s="4">
        <v>0.19800000000000001</v>
      </c>
      <c r="G245" s="4">
        <v>0.19</v>
      </c>
      <c r="H245" s="4">
        <v>0.52800000000000002</v>
      </c>
      <c r="I245" s="4">
        <v>0.76</v>
      </c>
      <c r="J245" s="4">
        <v>0.46299999999999997</v>
      </c>
      <c r="K245" s="1">
        <v>0</v>
      </c>
      <c r="L245" s="1">
        <v>0</v>
      </c>
      <c r="M245" s="1">
        <v>700</v>
      </c>
      <c r="N245" s="1">
        <v>0</v>
      </c>
      <c r="O245" s="1" t="str">
        <f t="shared" si="30"/>
        <v>Repair</v>
      </c>
      <c r="P245" s="2">
        <f t="shared" si="31"/>
        <v>42124</v>
      </c>
      <c r="Q245" s="9">
        <f>VLOOKUP(P245,BB!$A$3:$D$6771, 3, 1)*100</f>
        <v>128</v>
      </c>
      <c r="R245" s="1">
        <f t="shared" si="36"/>
        <v>-1</v>
      </c>
      <c r="S245" s="1">
        <f t="shared" si="29"/>
        <v>129</v>
      </c>
      <c r="T245" s="1" t="str">
        <f t="shared" si="28"/>
        <v>Repair</v>
      </c>
      <c r="AK245" s="1">
        <v>0</v>
      </c>
      <c r="AL245" s="1">
        <v>0</v>
      </c>
      <c r="AM245" s="1">
        <v>10</v>
      </c>
      <c r="AN245" s="1">
        <v>0</v>
      </c>
      <c r="AO245" s="1">
        <f t="shared" si="32"/>
        <v>0</v>
      </c>
      <c r="AP245" s="1">
        <f t="shared" si="33"/>
        <v>0</v>
      </c>
      <c r="AQ245" s="1">
        <f t="shared" si="34"/>
        <v>700</v>
      </c>
      <c r="AR245" s="1">
        <f t="shared" si="35"/>
        <v>0</v>
      </c>
    </row>
    <row r="246" spans="1:44" x14ac:dyDescent="0.2">
      <c r="A246" s="2">
        <v>42125</v>
      </c>
      <c r="B246" s="4">
        <v>0.67700000000000005</v>
      </c>
      <c r="C246" s="4">
        <v>0.56200000000000006</v>
      </c>
      <c r="D246" s="4">
        <v>0.42099999999999999</v>
      </c>
      <c r="E246" s="4">
        <v>0.97499999999999998</v>
      </c>
      <c r="F246" s="4">
        <v>0.19800000000000001</v>
      </c>
      <c r="G246" s="4">
        <v>0.19800000000000001</v>
      </c>
      <c r="H246" s="4">
        <v>0.504</v>
      </c>
      <c r="I246" s="4">
        <v>0.96599999999999997</v>
      </c>
      <c r="J246" s="4">
        <v>0.43737499999999996</v>
      </c>
      <c r="K246" s="1">
        <v>0</v>
      </c>
      <c r="L246" s="1">
        <v>700</v>
      </c>
      <c r="M246" s="1">
        <v>0</v>
      </c>
      <c r="N246" s="1">
        <v>0</v>
      </c>
      <c r="O246" s="1" t="str">
        <f t="shared" si="30"/>
        <v>Downturn</v>
      </c>
      <c r="P246" s="2">
        <f t="shared" si="31"/>
        <v>42155</v>
      </c>
      <c r="Q246" s="9">
        <f>VLOOKUP(P246,BB!$A$3:$D$6771, 3, 1)*100</f>
        <v>133</v>
      </c>
      <c r="R246" s="1">
        <f t="shared" si="36"/>
        <v>5</v>
      </c>
      <c r="S246" s="1">
        <f t="shared" si="29"/>
        <v>128</v>
      </c>
      <c r="T246" s="1" t="str">
        <f t="shared" si="28"/>
        <v>Downturn</v>
      </c>
      <c r="AK246" s="1">
        <v>0</v>
      </c>
      <c r="AL246" s="1">
        <v>10</v>
      </c>
      <c r="AM246" s="1">
        <v>0</v>
      </c>
      <c r="AN246" s="1">
        <v>0</v>
      </c>
      <c r="AO246" s="1">
        <f t="shared" si="32"/>
        <v>0</v>
      </c>
      <c r="AP246" s="1">
        <f t="shared" si="33"/>
        <v>700</v>
      </c>
      <c r="AQ246" s="1">
        <f t="shared" si="34"/>
        <v>0</v>
      </c>
      <c r="AR246" s="1">
        <f t="shared" si="35"/>
        <v>0</v>
      </c>
    </row>
    <row r="247" spans="1:44" x14ac:dyDescent="0.2">
      <c r="A247" s="2">
        <v>42156</v>
      </c>
      <c r="B247" s="4">
        <v>0.65200000000000002</v>
      </c>
      <c r="C247" s="4">
        <v>0.496</v>
      </c>
      <c r="D247" s="4">
        <v>0.48699999999999999</v>
      </c>
      <c r="E247" s="4">
        <v>0.92500000000000004</v>
      </c>
      <c r="F247" s="4">
        <v>0.38</v>
      </c>
      <c r="G247" s="4">
        <v>0.157</v>
      </c>
      <c r="H247" s="4">
        <v>0.495</v>
      </c>
      <c r="I247" s="4">
        <v>0.76800000000000002</v>
      </c>
      <c r="J247" s="4">
        <v>0.45499999999999996</v>
      </c>
      <c r="K247" s="1">
        <v>0</v>
      </c>
      <c r="L247" s="1">
        <v>0</v>
      </c>
      <c r="M247" s="1">
        <v>700</v>
      </c>
      <c r="N247" s="1">
        <v>0</v>
      </c>
      <c r="O247" s="1" t="str">
        <f t="shared" si="30"/>
        <v>Repair</v>
      </c>
      <c r="P247" s="2">
        <f t="shared" si="31"/>
        <v>42185</v>
      </c>
      <c r="Q247" s="9">
        <f>VLOOKUP(P247,BB!$A$3:$D$6771, 3, 1)*100</f>
        <v>145</v>
      </c>
      <c r="R247" s="1">
        <f t="shared" si="36"/>
        <v>12</v>
      </c>
      <c r="S247" s="1">
        <f t="shared" si="29"/>
        <v>133</v>
      </c>
      <c r="T247" s="1" t="str">
        <f t="shared" si="28"/>
        <v>Repair</v>
      </c>
      <c r="AK247" s="1">
        <v>0</v>
      </c>
      <c r="AL247" s="1">
        <v>0</v>
      </c>
      <c r="AM247" s="1">
        <v>10</v>
      </c>
      <c r="AN247" s="1">
        <v>0</v>
      </c>
      <c r="AO247" s="1">
        <f t="shared" si="32"/>
        <v>0</v>
      </c>
      <c r="AP247" s="1">
        <f t="shared" si="33"/>
        <v>0</v>
      </c>
      <c r="AQ247" s="1">
        <f t="shared" si="34"/>
        <v>700</v>
      </c>
      <c r="AR247" s="1">
        <f t="shared" si="35"/>
        <v>0</v>
      </c>
    </row>
    <row r="248" spans="1:44" x14ac:dyDescent="0.2">
      <c r="A248" s="2">
        <v>42186</v>
      </c>
      <c r="B248" s="4">
        <v>0.65200000000000002</v>
      </c>
      <c r="C248" s="4">
        <v>0.57099999999999995</v>
      </c>
      <c r="D248" s="4">
        <v>0.41299999999999998</v>
      </c>
      <c r="E248" s="4">
        <v>0.96599999999999997</v>
      </c>
      <c r="F248" s="4">
        <v>0.38800000000000001</v>
      </c>
      <c r="G248" s="4">
        <v>0.16500000000000001</v>
      </c>
      <c r="H248" s="4">
        <v>0.48699999999999999</v>
      </c>
      <c r="I248" s="4">
        <v>0.99099999999999999</v>
      </c>
      <c r="J248" s="4">
        <v>0.420875</v>
      </c>
      <c r="K248" s="1">
        <v>0</v>
      </c>
      <c r="L248" s="1">
        <v>700</v>
      </c>
      <c r="M248" s="1">
        <v>0</v>
      </c>
      <c r="N248" s="1">
        <v>0</v>
      </c>
      <c r="O248" s="1" t="str">
        <f t="shared" si="30"/>
        <v>Downturn</v>
      </c>
      <c r="P248" s="2">
        <f t="shared" si="31"/>
        <v>42216</v>
      </c>
      <c r="Q248" s="9">
        <f>VLOOKUP(P248,BB!$A$3:$D$6771, 3, 1)*100</f>
        <v>154</v>
      </c>
      <c r="R248" s="1" t="str">
        <f t="shared" si="36"/>
        <v/>
      </c>
      <c r="S248" s="1">
        <f t="shared" si="29"/>
        <v>145</v>
      </c>
      <c r="T248" s="1" t="str">
        <f t="shared" si="28"/>
        <v/>
      </c>
      <c r="AK248" s="1">
        <v>0</v>
      </c>
      <c r="AL248" s="1">
        <v>10</v>
      </c>
      <c r="AM248" s="1">
        <v>0</v>
      </c>
      <c r="AN248" s="1">
        <v>0</v>
      </c>
      <c r="AO248" s="1">
        <f t="shared" si="32"/>
        <v>0</v>
      </c>
      <c r="AP248" s="1">
        <f t="shared" si="33"/>
        <v>700</v>
      </c>
      <c r="AQ248" s="1">
        <f t="shared" si="34"/>
        <v>0</v>
      </c>
      <c r="AR248" s="1">
        <f t="shared" si="35"/>
        <v>0</v>
      </c>
    </row>
    <row r="249" spans="1:44" x14ac:dyDescent="0.2">
      <c r="A249" s="2">
        <v>42217</v>
      </c>
      <c r="B249" s="4">
        <v>0.65200000000000002</v>
      </c>
      <c r="C249" s="4">
        <v>0.61199999999999999</v>
      </c>
      <c r="D249" s="4">
        <v>0.30499999999999999</v>
      </c>
      <c r="E249" s="4">
        <v>0.95</v>
      </c>
      <c r="F249" s="4">
        <v>0.39600000000000002</v>
      </c>
      <c r="G249" s="4">
        <v>0.17299999999999999</v>
      </c>
      <c r="H249" s="4">
        <v>0.495</v>
      </c>
      <c r="I249" s="4">
        <v>0.86699999999999999</v>
      </c>
      <c r="J249" s="4">
        <v>0.44374999999999998</v>
      </c>
      <c r="K249" s="1">
        <v>0</v>
      </c>
      <c r="L249" s="1">
        <v>700</v>
      </c>
      <c r="M249" s="1">
        <v>0</v>
      </c>
      <c r="N249" s="1">
        <v>0</v>
      </c>
      <c r="O249" s="1" t="str">
        <f t="shared" si="30"/>
        <v>Downturn</v>
      </c>
      <c r="P249" s="2">
        <f t="shared" si="31"/>
        <v>42247</v>
      </c>
      <c r="Q249" s="9">
        <f>VLOOKUP(P249,BB!$A$3:$D$6771, 3, 1)*100</f>
        <v>163</v>
      </c>
      <c r="R249" s="1" t="str">
        <f t="shared" si="36"/>
        <v/>
      </c>
      <c r="S249" s="1">
        <f t="shared" si="29"/>
        <v>145</v>
      </c>
      <c r="T249" s="1" t="str">
        <f t="shared" si="28"/>
        <v/>
      </c>
      <c r="AK249" s="1">
        <v>0</v>
      </c>
      <c r="AL249" s="1">
        <v>10</v>
      </c>
      <c r="AM249" s="1">
        <v>0</v>
      </c>
      <c r="AN249" s="1">
        <v>0</v>
      </c>
      <c r="AO249" s="1">
        <f t="shared" si="32"/>
        <v>0</v>
      </c>
      <c r="AP249" s="1">
        <f t="shared" si="33"/>
        <v>700</v>
      </c>
      <c r="AQ249" s="1">
        <f t="shared" si="34"/>
        <v>0</v>
      </c>
      <c r="AR249" s="1">
        <f t="shared" si="35"/>
        <v>0</v>
      </c>
    </row>
    <row r="250" spans="1:44" x14ac:dyDescent="0.2">
      <c r="A250" s="2">
        <v>42248</v>
      </c>
      <c r="B250" s="4">
        <v>0.69399999999999995</v>
      </c>
      <c r="C250" s="4">
        <v>0.68599999999999994</v>
      </c>
      <c r="D250" s="4">
        <v>0.214</v>
      </c>
      <c r="E250" s="4">
        <v>0.78500000000000003</v>
      </c>
      <c r="F250" s="4">
        <v>0.40400000000000003</v>
      </c>
      <c r="G250" s="4">
        <v>0.157</v>
      </c>
      <c r="H250" s="4">
        <v>0.52</v>
      </c>
      <c r="I250" s="4">
        <v>0.90900000000000003</v>
      </c>
      <c r="J250" s="4">
        <v>0.45387500000000003</v>
      </c>
      <c r="K250" s="1">
        <v>0</v>
      </c>
      <c r="L250" s="1">
        <v>700</v>
      </c>
      <c r="M250" s="1">
        <v>0</v>
      </c>
      <c r="N250" s="1">
        <v>0</v>
      </c>
      <c r="O250" s="1" t="str">
        <f t="shared" si="30"/>
        <v>Downturn</v>
      </c>
      <c r="P250" s="2">
        <f t="shared" si="31"/>
        <v>42277</v>
      </c>
      <c r="Q250" s="9">
        <f>VLOOKUP(P250,BB!$A$3:$D$6771, 3, 1)*100</f>
        <v>169</v>
      </c>
      <c r="R250" s="1">
        <f t="shared" si="36"/>
        <v>24</v>
      </c>
      <c r="S250" s="1">
        <f t="shared" si="29"/>
        <v>145</v>
      </c>
      <c r="T250" s="1" t="str">
        <f t="shared" si="28"/>
        <v>Downturn</v>
      </c>
      <c r="AK250" s="1">
        <v>0</v>
      </c>
      <c r="AL250" s="1">
        <v>10</v>
      </c>
      <c r="AM250" s="1">
        <v>0</v>
      </c>
      <c r="AN250" s="1">
        <v>0</v>
      </c>
      <c r="AO250" s="1">
        <f t="shared" si="32"/>
        <v>0</v>
      </c>
      <c r="AP250" s="1">
        <f t="shared" si="33"/>
        <v>700</v>
      </c>
      <c r="AQ250" s="1">
        <f t="shared" si="34"/>
        <v>0</v>
      </c>
      <c r="AR250" s="1">
        <f t="shared" si="35"/>
        <v>0</v>
      </c>
    </row>
    <row r="251" spans="1:44" x14ac:dyDescent="0.2">
      <c r="A251" s="2">
        <v>42278</v>
      </c>
      <c r="B251" s="4">
        <v>0.69399999999999995</v>
      </c>
      <c r="C251" s="4">
        <v>0.67799999999999994</v>
      </c>
      <c r="D251" s="4">
        <v>0.214</v>
      </c>
      <c r="E251" s="4">
        <v>0.752</v>
      </c>
      <c r="F251" s="4">
        <v>0.42099999999999999</v>
      </c>
      <c r="G251" s="4">
        <v>0.157</v>
      </c>
      <c r="H251" s="4">
        <v>0.46200000000000002</v>
      </c>
      <c r="I251" s="4">
        <v>0.92500000000000004</v>
      </c>
      <c r="J251" s="4">
        <v>0.46212500000000001</v>
      </c>
      <c r="K251" s="1">
        <v>0</v>
      </c>
      <c r="L251" s="1">
        <v>0</v>
      </c>
      <c r="M251" s="1">
        <v>700</v>
      </c>
      <c r="N251" s="1">
        <v>0</v>
      </c>
      <c r="O251" s="1" t="str">
        <f t="shared" si="30"/>
        <v>Repair</v>
      </c>
      <c r="P251" s="2">
        <f t="shared" si="31"/>
        <v>42308</v>
      </c>
      <c r="Q251" s="9">
        <f>VLOOKUP(P251,BB!$A$3:$D$6771, 3, 1)*100</f>
        <v>159</v>
      </c>
      <c r="R251" s="1" t="str">
        <f t="shared" si="36"/>
        <v/>
      </c>
      <c r="S251" s="1">
        <f t="shared" si="29"/>
        <v>169</v>
      </c>
      <c r="T251" s="1" t="str">
        <f t="shared" si="28"/>
        <v/>
      </c>
      <c r="AK251" s="1">
        <v>0</v>
      </c>
      <c r="AL251" s="1">
        <v>0</v>
      </c>
      <c r="AM251" s="1">
        <v>10</v>
      </c>
      <c r="AN251" s="1">
        <v>0</v>
      </c>
      <c r="AO251" s="1">
        <f t="shared" si="32"/>
        <v>0</v>
      </c>
      <c r="AP251" s="1">
        <f t="shared" si="33"/>
        <v>0</v>
      </c>
      <c r="AQ251" s="1">
        <f t="shared" si="34"/>
        <v>700</v>
      </c>
      <c r="AR251" s="1">
        <f t="shared" si="35"/>
        <v>0</v>
      </c>
    </row>
    <row r="252" spans="1:44" x14ac:dyDescent="0.2">
      <c r="A252" s="2">
        <v>42309</v>
      </c>
      <c r="B252" s="4">
        <v>0.64400000000000002</v>
      </c>
      <c r="C252" s="4">
        <v>0.76900000000000002</v>
      </c>
      <c r="D252" s="4">
        <v>0.107</v>
      </c>
      <c r="E252" s="4">
        <v>0.74299999999999999</v>
      </c>
      <c r="F252" s="4">
        <v>0.40400000000000003</v>
      </c>
      <c r="G252" s="4">
        <v>0.17299999999999999</v>
      </c>
      <c r="H252" s="4">
        <v>0.45400000000000001</v>
      </c>
      <c r="I252" s="4">
        <v>0.99099999999999999</v>
      </c>
      <c r="J252" s="4">
        <v>0.46437499999999998</v>
      </c>
      <c r="K252" s="1">
        <v>0</v>
      </c>
      <c r="L252" s="1">
        <v>0</v>
      </c>
      <c r="M252" s="1">
        <v>700</v>
      </c>
      <c r="N252" s="1">
        <v>0</v>
      </c>
      <c r="O252" s="1" t="str">
        <f t="shared" si="30"/>
        <v>Repair</v>
      </c>
      <c r="P252" s="2">
        <f t="shared" si="31"/>
        <v>42338</v>
      </c>
      <c r="Q252" s="9">
        <f>VLOOKUP(P252,BB!$A$3:$D$6771, 3, 1)*100</f>
        <v>155</v>
      </c>
      <c r="R252" s="1" t="str">
        <f t="shared" si="36"/>
        <v/>
      </c>
      <c r="S252" s="1">
        <f t="shared" si="29"/>
        <v>169</v>
      </c>
      <c r="T252" s="1" t="str">
        <f t="shared" si="28"/>
        <v/>
      </c>
      <c r="AK252" s="1">
        <v>0</v>
      </c>
      <c r="AL252" s="1">
        <v>0</v>
      </c>
      <c r="AM252" s="1">
        <v>10</v>
      </c>
      <c r="AN252" s="1">
        <v>0</v>
      </c>
      <c r="AO252" s="1">
        <f t="shared" si="32"/>
        <v>0</v>
      </c>
      <c r="AP252" s="1">
        <f t="shared" si="33"/>
        <v>0</v>
      </c>
      <c r="AQ252" s="1">
        <f t="shared" si="34"/>
        <v>700</v>
      </c>
      <c r="AR252" s="1">
        <f t="shared" si="35"/>
        <v>0</v>
      </c>
    </row>
    <row r="253" spans="1:44" x14ac:dyDescent="0.2">
      <c r="A253" s="2">
        <v>42339</v>
      </c>
      <c r="B253" s="4">
        <v>0.66100000000000003</v>
      </c>
      <c r="C253" s="4">
        <v>0.78600000000000003</v>
      </c>
      <c r="D253" s="4">
        <v>9.9000000000000005E-2</v>
      </c>
      <c r="E253" s="4">
        <v>0.67700000000000005</v>
      </c>
      <c r="F253" s="4">
        <v>0.41299999999999998</v>
      </c>
      <c r="G253" s="4">
        <v>0.18099999999999999</v>
      </c>
      <c r="H253" s="4">
        <v>0.44600000000000001</v>
      </c>
      <c r="I253" s="4">
        <v>0.84199999999999997</v>
      </c>
      <c r="J253" s="4">
        <v>0.48687500000000006</v>
      </c>
      <c r="K253" s="1">
        <v>0</v>
      </c>
      <c r="L253" s="1">
        <v>0</v>
      </c>
      <c r="M253" s="1">
        <v>700</v>
      </c>
      <c r="N253" s="1">
        <v>0</v>
      </c>
      <c r="O253" s="1" t="str">
        <f t="shared" si="30"/>
        <v>Repair</v>
      </c>
      <c r="P253" s="2">
        <f t="shared" si="31"/>
        <v>42369</v>
      </c>
      <c r="Q253" s="9">
        <f>VLOOKUP(P253,BB!$A$3:$D$6771, 3, 1)*100</f>
        <v>165</v>
      </c>
      <c r="R253" s="1" t="str">
        <f t="shared" si="36"/>
        <v/>
      </c>
      <c r="S253" s="1">
        <f t="shared" si="29"/>
        <v>169</v>
      </c>
      <c r="T253" s="1" t="str">
        <f t="shared" si="28"/>
        <v/>
      </c>
      <c r="AK253" s="1">
        <v>0</v>
      </c>
      <c r="AL253" s="1">
        <v>0</v>
      </c>
      <c r="AM253" s="1">
        <v>10</v>
      </c>
      <c r="AN253" s="1">
        <v>0</v>
      </c>
      <c r="AO253" s="1">
        <f t="shared" si="32"/>
        <v>0</v>
      </c>
      <c r="AP253" s="1">
        <f t="shared" si="33"/>
        <v>0</v>
      </c>
      <c r="AQ253" s="1">
        <f t="shared" si="34"/>
        <v>700</v>
      </c>
      <c r="AR253" s="1">
        <f t="shared" si="35"/>
        <v>0</v>
      </c>
    </row>
    <row r="254" spans="1:44" x14ac:dyDescent="0.2">
      <c r="A254" s="2">
        <v>42370</v>
      </c>
      <c r="B254" s="4">
        <v>0.51200000000000001</v>
      </c>
      <c r="C254" s="4">
        <v>0.80200000000000005</v>
      </c>
      <c r="D254" s="4">
        <v>9.9000000000000005E-2</v>
      </c>
      <c r="E254" s="4">
        <v>0.73499999999999999</v>
      </c>
      <c r="F254" s="4">
        <v>0.44600000000000001</v>
      </c>
      <c r="G254" s="4">
        <v>0.18099999999999999</v>
      </c>
      <c r="H254" s="4">
        <v>0.47099999999999997</v>
      </c>
      <c r="I254" s="4">
        <v>0.69399999999999995</v>
      </c>
      <c r="J254" s="4">
        <v>0.50749999999999995</v>
      </c>
      <c r="K254" s="1">
        <v>0</v>
      </c>
      <c r="L254" s="1">
        <v>0</v>
      </c>
      <c r="M254" s="1">
        <v>700</v>
      </c>
      <c r="N254" s="1">
        <v>0</v>
      </c>
      <c r="O254" s="1" t="str">
        <f t="shared" si="30"/>
        <v>Repair</v>
      </c>
      <c r="P254" s="2">
        <f t="shared" si="31"/>
        <v>42400</v>
      </c>
      <c r="Q254" s="9">
        <f>VLOOKUP(P254,BB!$A$3:$D$6771, 3, 1)*100</f>
        <v>193</v>
      </c>
      <c r="R254" s="1" t="str">
        <f t="shared" si="36"/>
        <v/>
      </c>
      <c r="S254" s="1">
        <f t="shared" si="29"/>
        <v>169</v>
      </c>
      <c r="T254" s="1" t="str">
        <f t="shared" ref="T254:T317" si="37">IF(ISNUMBER(R254)=TRUE, O254, "")</f>
        <v/>
      </c>
      <c r="AK254" s="1">
        <v>0</v>
      </c>
      <c r="AL254" s="1">
        <v>0</v>
      </c>
      <c r="AM254" s="1">
        <v>10</v>
      </c>
      <c r="AN254" s="1">
        <v>0</v>
      </c>
      <c r="AO254" s="1">
        <f t="shared" si="32"/>
        <v>0</v>
      </c>
      <c r="AP254" s="1">
        <f t="shared" si="33"/>
        <v>0</v>
      </c>
      <c r="AQ254" s="1">
        <f t="shared" si="34"/>
        <v>700</v>
      </c>
      <c r="AR254" s="1">
        <f t="shared" si="35"/>
        <v>0</v>
      </c>
    </row>
    <row r="255" spans="1:44" x14ac:dyDescent="0.2">
      <c r="A255" s="2">
        <v>42401</v>
      </c>
      <c r="B255" s="4">
        <v>0.58599999999999997</v>
      </c>
      <c r="C255" s="4">
        <v>0.81899999999999995</v>
      </c>
      <c r="D255" s="4">
        <v>0.17299999999999999</v>
      </c>
      <c r="E255" s="4">
        <v>0.77600000000000002</v>
      </c>
      <c r="F255" s="4">
        <v>0.47099999999999997</v>
      </c>
      <c r="G255" s="4">
        <v>0.18099999999999999</v>
      </c>
      <c r="H255" s="4">
        <v>0.47899999999999998</v>
      </c>
      <c r="I255" s="4">
        <v>0.66900000000000004</v>
      </c>
      <c r="J255" s="4">
        <v>0.48075000000000001</v>
      </c>
      <c r="K255" s="1">
        <v>0</v>
      </c>
      <c r="L255" s="1">
        <v>0</v>
      </c>
      <c r="M255" s="1">
        <v>700</v>
      </c>
      <c r="N255" s="1">
        <v>0</v>
      </c>
      <c r="O255" s="1" t="str">
        <f t="shared" si="30"/>
        <v>Repair</v>
      </c>
      <c r="P255" s="2">
        <f t="shared" si="31"/>
        <v>42429</v>
      </c>
      <c r="Q255" s="9">
        <f>VLOOKUP(P255,BB!$A$3:$D$6771, 3, 1)*100</f>
        <v>197</v>
      </c>
      <c r="R255" s="1" t="str">
        <f t="shared" si="36"/>
        <v/>
      </c>
      <c r="S255" s="1">
        <f t="shared" si="29"/>
        <v>169</v>
      </c>
      <c r="T255" s="1" t="str">
        <f t="shared" si="37"/>
        <v/>
      </c>
      <c r="AK255" s="1">
        <v>0</v>
      </c>
      <c r="AL255" s="1">
        <v>0</v>
      </c>
      <c r="AM255" s="1">
        <v>10</v>
      </c>
      <c r="AN255" s="1">
        <v>0</v>
      </c>
      <c r="AO255" s="1">
        <f t="shared" si="32"/>
        <v>0</v>
      </c>
      <c r="AP255" s="1">
        <f t="shared" si="33"/>
        <v>0</v>
      </c>
      <c r="AQ255" s="1">
        <f t="shared" si="34"/>
        <v>700</v>
      </c>
      <c r="AR255" s="1">
        <f t="shared" si="35"/>
        <v>0</v>
      </c>
    </row>
    <row r="256" spans="1:44" x14ac:dyDescent="0.2">
      <c r="A256" s="2">
        <v>42430</v>
      </c>
      <c r="B256" s="4">
        <v>0.66100000000000003</v>
      </c>
      <c r="C256" s="4">
        <v>0.81</v>
      </c>
      <c r="D256" s="4">
        <v>0.438</v>
      </c>
      <c r="E256" s="4">
        <v>0.69399999999999995</v>
      </c>
      <c r="F256" s="4">
        <v>0.504</v>
      </c>
      <c r="G256" s="4">
        <v>0.20599999999999999</v>
      </c>
      <c r="H256" s="4">
        <v>0.44600000000000001</v>
      </c>
      <c r="I256" s="4">
        <v>0.58599999999999997</v>
      </c>
      <c r="J256" s="4">
        <v>0.45687500000000003</v>
      </c>
      <c r="K256" s="1">
        <v>0</v>
      </c>
      <c r="L256" s="1">
        <v>0</v>
      </c>
      <c r="M256" s="1">
        <v>700</v>
      </c>
      <c r="N256" s="1">
        <v>0</v>
      </c>
      <c r="O256" s="1" t="str">
        <f t="shared" si="30"/>
        <v>Repair</v>
      </c>
      <c r="P256" s="2">
        <f t="shared" si="31"/>
        <v>42460</v>
      </c>
      <c r="Q256" s="9">
        <f>VLOOKUP(P256,BB!$A$3:$D$6771, 3, 1)*100</f>
        <v>163</v>
      </c>
      <c r="R256" s="1" t="str">
        <f t="shared" si="36"/>
        <v/>
      </c>
      <c r="S256" s="1">
        <f t="shared" ref="S256:S319" si="38">IF(O256&lt;&gt;O255,Q255,S255)</f>
        <v>169</v>
      </c>
      <c r="T256" s="1" t="str">
        <f t="shared" si="37"/>
        <v/>
      </c>
      <c r="AK256" s="1">
        <v>0</v>
      </c>
      <c r="AL256" s="1">
        <v>0</v>
      </c>
      <c r="AM256" s="1">
        <v>10</v>
      </c>
      <c r="AN256" s="1">
        <v>0</v>
      </c>
      <c r="AO256" s="1">
        <f t="shared" si="32"/>
        <v>0</v>
      </c>
      <c r="AP256" s="1">
        <f t="shared" si="33"/>
        <v>0</v>
      </c>
      <c r="AQ256" s="1">
        <f t="shared" si="34"/>
        <v>700</v>
      </c>
      <c r="AR256" s="1">
        <f t="shared" si="35"/>
        <v>0</v>
      </c>
    </row>
    <row r="257" spans="1:44" x14ac:dyDescent="0.2">
      <c r="A257" s="2">
        <v>42461</v>
      </c>
      <c r="B257" s="4">
        <v>0.58599999999999997</v>
      </c>
      <c r="C257" s="4">
        <v>0.81</v>
      </c>
      <c r="D257" s="4">
        <v>0.30499999999999999</v>
      </c>
      <c r="E257" s="4">
        <v>0.66100000000000003</v>
      </c>
      <c r="F257" s="4">
        <v>0.504</v>
      </c>
      <c r="G257" s="4">
        <v>0.23899999999999999</v>
      </c>
      <c r="H257" s="4">
        <v>0.47099999999999997</v>
      </c>
      <c r="I257" s="4">
        <v>0.68500000000000005</v>
      </c>
      <c r="J257" s="4">
        <v>0.46737499999999998</v>
      </c>
      <c r="K257" s="1">
        <v>0</v>
      </c>
      <c r="L257" s="1">
        <v>0</v>
      </c>
      <c r="M257" s="1">
        <v>700</v>
      </c>
      <c r="N257" s="1">
        <v>0</v>
      </c>
      <c r="O257" s="1" t="str">
        <f t="shared" si="30"/>
        <v>Repair</v>
      </c>
      <c r="P257" s="2">
        <f t="shared" si="31"/>
        <v>42490</v>
      </c>
      <c r="Q257" s="9">
        <f>VLOOKUP(P257,BB!$A$3:$D$6771, 3, 1)*100</f>
        <v>146</v>
      </c>
      <c r="R257" s="1">
        <f t="shared" si="36"/>
        <v>-23</v>
      </c>
      <c r="S257" s="1">
        <f t="shared" si="38"/>
        <v>169</v>
      </c>
      <c r="T257" s="1" t="str">
        <f t="shared" si="37"/>
        <v>Repair</v>
      </c>
      <c r="AK257" s="1">
        <v>0</v>
      </c>
      <c r="AL257" s="1">
        <v>0</v>
      </c>
      <c r="AM257" s="1">
        <v>10</v>
      </c>
      <c r="AN257" s="1">
        <v>0</v>
      </c>
      <c r="AO257" s="1">
        <f t="shared" si="32"/>
        <v>0</v>
      </c>
      <c r="AP257" s="1">
        <f t="shared" si="33"/>
        <v>0</v>
      </c>
      <c r="AQ257" s="1">
        <f t="shared" si="34"/>
        <v>700</v>
      </c>
      <c r="AR257" s="1">
        <f t="shared" si="35"/>
        <v>0</v>
      </c>
    </row>
    <row r="258" spans="1:44" x14ac:dyDescent="0.2">
      <c r="A258" s="2">
        <v>42491</v>
      </c>
      <c r="B258" s="4">
        <v>0.63600000000000001</v>
      </c>
      <c r="C258" s="4">
        <v>0.83499999999999996</v>
      </c>
      <c r="D258" s="4">
        <v>0.38</v>
      </c>
      <c r="E258" s="4">
        <v>0.65200000000000002</v>
      </c>
      <c r="F258" s="4">
        <v>0.52</v>
      </c>
      <c r="G258" s="4">
        <v>0.223</v>
      </c>
      <c r="H258" s="4">
        <v>0.42899999999999999</v>
      </c>
      <c r="I258" s="4">
        <v>0.86699999999999999</v>
      </c>
      <c r="J258" s="4">
        <v>0.43225000000000002</v>
      </c>
      <c r="K258" s="1">
        <v>0</v>
      </c>
      <c r="L258" s="1">
        <v>0</v>
      </c>
      <c r="M258" s="1">
        <v>0</v>
      </c>
      <c r="N258" s="1">
        <v>700</v>
      </c>
      <c r="O258" s="1" t="str">
        <f t="shared" si="30"/>
        <v>Recovery</v>
      </c>
      <c r="P258" s="2">
        <f t="shared" si="31"/>
        <v>42521</v>
      </c>
      <c r="Q258" s="9">
        <f>VLOOKUP(P258,BB!$A$3:$D$6771, 3, 1)*100</f>
        <v>149</v>
      </c>
      <c r="R258" s="1">
        <f t="shared" si="36"/>
        <v>3</v>
      </c>
      <c r="S258" s="1">
        <f t="shared" si="38"/>
        <v>146</v>
      </c>
      <c r="T258" s="1" t="str">
        <f t="shared" si="37"/>
        <v>Recovery</v>
      </c>
      <c r="AK258" s="1">
        <v>0</v>
      </c>
      <c r="AL258" s="1">
        <v>0</v>
      </c>
      <c r="AM258" s="1">
        <v>0</v>
      </c>
      <c r="AN258" s="1">
        <v>10</v>
      </c>
      <c r="AO258" s="1">
        <f t="shared" si="32"/>
        <v>0</v>
      </c>
      <c r="AP258" s="1">
        <f t="shared" si="33"/>
        <v>0</v>
      </c>
      <c r="AQ258" s="1">
        <f t="shared" si="34"/>
        <v>0</v>
      </c>
      <c r="AR258" s="1">
        <f t="shared" si="35"/>
        <v>700</v>
      </c>
    </row>
    <row r="259" spans="1:44" x14ac:dyDescent="0.2">
      <c r="A259" s="2">
        <v>42522</v>
      </c>
      <c r="B259" s="4">
        <v>0.63600000000000001</v>
      </c>
      <c r="C259" s="4">
        <v>0.86</v>
      </c>
      <c r="D259" s="4">
        <v>0.56100000000000005</v>
      </c>
      <c r="E259" s="4">
        <v>0.68500000000000005</v>
      </c>
      <c r="F259" s="4">
        <v>0.55300000000000005</v>
      </c>
      <c r="G259" s="4">
        <v>0.26400000000000001</v>
      </c>
      <c r="H259" s="4">
        <v>0.47899999999999998</v>
      </c>
      <c r="I259" s="4">
        <v>0.73499999999999999</v>
      </c>
      <c r="J259" s="4">
        <v>0.40337499999999993</v>
      </c>
      <c r="K259" s="1">
        <v>700</v>
      </c>
      <c r="L259" s="1">
        <v>0</v>
      </c>
      <c r="M259" s="1">
        <v>0</v>
      </c>
      <c r="N259" s="1">
        <v>0</v>
      </c>
      <c r="O259" s="1" t="str">
        <f t="shared" ref="O259:O322" si="39">IF(K259&gt;0,$K$1,IF(L259&gt;0,$L$1,IF(M259&gt;0,$M$1,$N$1)))</f>
        <v>Expansion</v>
      </c>
      <c r="P259" s="2">
        <f t="shared" ref="P259:P322" si="40">EOMONTH(A259,0)</f>
        <v>42551</v>
      </c>
      <c r="Q259" s="9">
        <f>VLOOKUP(P259,BB!$A$3:$D$6771, 3, 1)*100</f>
        <v>156</v>
      </c>
      <c r="R259" s="1" t="str">
        <f t="shared" si="36"/>
        <v/>
      </c>
      <c r="S259" s="1">
        <f t="shared" si="38"/>
        <v>149</v>
      </c>
      <c r="T259" s="1" t="str">
        <f t="shared" si="37"/>
        <v/>
      </c>
      <c r="AK259" s="1">
        <v>10</v>
      </c>
      <c r="AL259" s="1">
        <v>0</v>
      </c>
      <c r="AM259" s="1">
        <v>0</v>
      </c>
      <c r="AN259" s="1">
        <v>0</v>
      </c>
      <c r="AO259" s="1">
        <f t="shared" ref="AO259:AO322" si="41">IF(AK259&gt;0, AK259+690, AK259)</f>
        <v>700</v>
      </c>
      <c r="AP259" s="1">
        <f t="shared" ref="AP259:AP322" si="42">IF(AL259&gt;0, AL259+690, AL259)</f>
        <v>0</v>
      </c>
      <c r="AQ259" s="1">
        <f t="shared" ref="AQ259:AQ322" si="43">IF(AM259&gt;0, AM259+690, AM259)</f>
        <v>0</v>
      </c>
      <c r="AR259" s="1">
        <f t="shared" ref="AR259:AR322" si="44">IF(AN259&gt;0, AN259+690, AN259)</f>
        <v>0</v>
      </c>
    </row>
    <row r="260" spans="1:44" x14ac:dyDescent="0.2">
      <c r="A260" s="2">
        <v>42552</v>
      </c>
      <c r="B260" s="4">
        <v>0.68500000000000005</v>
      </c>
      <c r="C260" s="4">
        <v>0.86799999999999999</v>
      </c>
      <c r="D260" s="4">
        <v>0.48699999999999999</v>
      </c>
      <c r="E260" s="4">
        <v>0.70199999999999996</v>
      </c>
      <c r="F260" s="4">
        <v>0.56100000000000005</v>
      </c>
      <c r="G260" s="4">
        <v>0.26400000000000001</v>
      </c>
      <c r="H260" s="4">
        <v>0.47099999999999997</v>
      </c>
      <c r="I260" s="4">
        <v>0.68500000000000005</v>
      </c>
      <c r="J260" s="4">
        <v>0.40962499999999991</v>
      </c>
      <c r="K260" s="1">
        <v>700</v>
      </c>
      <c r="L260" s="1">
        <v>0</v>
      </c>
      <c r="M260" s="1">
        <v>0</v>
      </c>
      <c r="N260" s="1">
        <v>0</v>
      </c>
      <c r="O260" s="1" t="str">
        <f t="shared" si="39"/>
        <v>Expansion</v>
      </c>
      <c r="P260" s="2">
        <f t="shared" si="40"/>
        <v>42582</v>
      </c>
      <c r="Q260" s="9">
        <f>VLOOKUP(P260,BB!$A$3:$D$6771, 3, 1)*100</f>
        <v>145</v>
      </c>
      <c r="R260" s="1" t="str">
        <f t="shared" si="36"/>
        <v/>
      </c>
      <c r="S260" s="1">
        <f t="shared" si="38"/>
        <v>149</v>
      </c>
      <c r="T260" s="1" t="str">
        <f t="shared" si="37"/>
        <v/>
      </c>
      <c r="AK260" s="1">
        <v>10</v>
      </c>
      <c r="AL260" s="1">
        <v>0</v>
      </c>
      <c r="AM260" s="1">
        <v>0</v>
      </c>
      <c r="AN260" s="1">
        <v>0</v>
      </c>
      <c r="AO260" s="1">
        <f t="shared" si="41"/>
        <v>700</v>
      </c>
      <c r="AP260" s="1">
        <f t="shared" si="42"/>
        <v>0</v>
      </c>
      <c r="AQ260" s="1">
        <f t="shared" si="43"/>
        <v>0</v>
      </c>
      <c r="AR260" s="1">
        <f t="shared" si="44"/>
        <v>0</v>
      </c>
    </row>
    <row r="261" spans="1:44" x14ac:dyDescent="0.2">
      <c r="A261" s="2">
        <v>42583</v>
      </c>
      <c r="B261" s="4">
        <v>0.59499999999999997</v>
      </c>
      <c r="C261" s="4">
        <v>0.877</v>
      </c>
      <c r="D261" s="4">
        <v>0.17299999999999999</v>
      </c>
      <c r="E261" s="4">
        <v>0.628</v>
      </c>
      <c r="F261" s="4">
        <v>0.55300000000000005</v>
      </c>
      <c r="G261" s="4">
        <v>0.28899999999999998</v>
      </c>
      <c r="H261" s="4">
        <v>0.46200000000000002</v>
      </c>
      <c r="I261" s="4">
        <v>0.66100000000000003</v>
      </c>
      <c r="J261" s="4">
        <v>0.47024999999999995</v>
      </c>
      <c r="K261" s="1">
        <v>700</v>
      </c>
      <c r="L261" s="1">
        <v>0</v>
      </c>
      <c r="M261" s="1">
        <v>0</v>
      </c>
      <c r="N261" s="1">
        <v>0</v>
      </c>
      <c r="O261" s="1" t="str">
        <f t="shared" si="39"/>
        <v>Expansion</v>
      </c>
      <c r="P261" s="2">
        <f t="shared" si="40"/>
        <v>42613</v>
      </c>
      <c r="Q261" s="9">
        <f>VLOOKUP(P261,BB!$A$3:$D$6771, 3, 1)*100</f>
        <v>135</v>
      </c>
      <c r="R261" s="1" t="str">
        <f t="shared" si="36"/>
        <v/>
      </c>
      <c r="S261" s="1">
        <f t="shared" si="38"/>
        <v>149</v>
      </c>
      <c r="T261" s="1" t="str">
        <f t="shared" si="37"/>
        <v/>
      </c>
      <c r="AK261" s="1">
        <v>10</v>
      </c>
      <c r="AL261" s="1">
        <v>0</v>
      </c>
      <c r="AM261" s="1">
        <v>0</v>
      </c>
      <c r="AN261" s="1">
        <v>0</v>
      </c>
      <c r="AO261" s="1">
        <f t="shared" si="41"/>
        <v>700</v>
      </c>
      <c r="AP261" s="1">
        <f t="shared" si="42"/>
        <v>0</v>
      </c>
      <c r="AQ261" s="1">
        <f t="shared" si="43"/>
        <v>0</v>
      </c>
      <c r="AR261" s="1">
        <f t="shared" si="44"/>
        <v>0</v>
      </c>
    </row>
    <row r="262" spans="1:44" x14ac:dyDescent="0.2">
      <c r="A262" s="2">
        <v>42614</v>
      </c>
      <c r="B262" s="4">
        <v>0.56100000000000005</v>
      </c>
      <c r="C262" s="4">
        <v>0.86799999999999999</v>
      </c>
      <c r="D262" s="4">
        <v>0.42099999999999999</v>
      </c>
      <c r="E262" s="4">
        <v>0.72699999999999998</v>
      </c>
      <c r="F262" s="4">
        <v>0.55300000000000005</v>
      </c>
      <c r="G262" s="4">
        <v>0.39600000000000002</v>
      </c>
      <c r="H262" s="4">
        <v>0.438</v>
      </c>
      <c r="I262" s="4">
        <v>0.71899999999999997</v>
      </c>
      <c r="J262" s="4">
        <v>0.41462500000000002</v>
      </c>
      <c r="K262" s="1">
        <v>700</v>
      </c>
      <c r="L262" s="1">
        <v>0</v>
      </c>
      <c r="M262" s="1">
        <v>0</v>
      </c>
      <c r="N262" s="1">
        <v>0</v>
      </c>
      <c r="O262" s="1" t="str">
        <f t="shared" si="39"/>
        <v>Expansion</v>
      </c>
      <c r="P262" s="2">
        <f t="shared" si="40"/>
        <v>42643</v>
      </c>
      <c r="Q262" s="9">
        <f>VLOOKUP(P262,BB!$A$3:$D$6771, 3, 1)*100</f>
        <v>138</v>
      </c>
      <c r="R262" s="1" t="str">
        <f t="shared" si="36"/>
        <v/>
      </c>
      <c r="S262" s="1">
        <f t="shared" si="38"/>
        <v>149</v>
      </c>
      <c r="T262" s="1" t="str">
        <f t="shared" si="37"/>
        <v/>
      </c>
      <c r="AK262" s="1">
        <v>10</v>
      </c>
      <c r="AL262" s="1">
        <v>0</v>
      </c>
      <c r="AM262" s="1">
        <v>0</v>
      </c>
      <c r="AN262" s="1">
        <v>0</v>
      </c>
      <c r="AO262" s="1">
        <f t="shared" si="41"/>
        <v>700</v>
      </c>
      <c r="AP262" s="1">
        <f t="shared" si="42"/>
        <v>0</v>
      </c>
      <c r="AQ262" s="1">
        <f t="shared" si="43"/>
        <v>0</v>
      </c>
      <c r="AR262" s="1">
        <f t="shared" si="44"/>
        <v>0</v>
      </c>
    </row>
    <row r="263" spans="1:44" x14ac:dyDescent="0.2">
      <c r="A263" s="2">
        <v>42644</v>
      </c>
      <c r="B263" s="4">
        <v>0.495</v>
      </c>
      <c r="C263" s="4">
        <v>0.82699999999999996</v>
      </c>
      <c r="D263" s="4">
        <v>0.47099999999999997</v>
      </c>
      <c r="E263" s="4">
        <v>0.63600000000000001</v>
      </c>
      <c r="F263" s="4">
        <v>0.54500000000000004</v>
      </c>
      <c r="G263" s="4">
        <v>0.42899999999999999</v>
      </c>
      <c r="H263" s="4">
        <v>0.42099999999999999</v>
      </c>
      <c r="I263" s="4">
        <v>0.98299999999999998</v>
      </c>
      <c r="J263" s="4">
        <v>0.39912500000000006</v>
      </c>
      <c r="K263" s="1">
        <v>700</v>
      </c>
      <c r="L263" s="1">
        <v>0</v>
      </c>
      <c r="M263" s="1">
        <v>0</v>
      </c>
      <c r="N263" s="1">
        <v>0</v>
      </c>
      <c r="O263" s="1" t="str">
        <f t="shared" si="39"/>
        <v>Expansion</v>
      </c>
      <c r="P263" s="2">
        <f t="shared" si="40"/>
        <v>42674</v>
      </c>
      <c r="Q263" s="9">
        <f>VLOOKUP(P263,BB!$A$3:$D$6771, 3, 1)*100</f>
        <v>132</v>
      </c>
      <c r="R263" s="1" t="str">
        <f t="shared" si="36"/>
        <v/>
      </c>
      <c r="S263" s="1">
        <f t="shared" si="38"/>
        <v>149</v>
      </c>
      <c r="T263" s="1" t="str">
        <f t="shared" si="37"/>
        <v/>
      </c>
      <c r="AK263" s="1">
        <v>10</v>
      </c>
      <c r="AL263" s="1">
        <v>0</v>
      </c>
      <c r="AM263" s="1">
        <v>0</v>
      </c>
      <c r="AN263" s="1">
        <v>0</v>
      </c>
      <c r="AO263" s="1">
        <f t="shared" si="41"/>
        <v>700</v>
      </c>
      <c r="AP263" s="1">
        <f t="shared" si="42"/>
        <v>0</v>
      </c>
      <c r="AQ263" s="1">
        <f t="shared" si="43"/>
        <v>0</v>
      </c>
      <c r="AR263" s="1">
        <f t="shared" si="44"/>
        <v>0</v>
      </c>
    </row>
    <row r="264" spans="1:44" x14ac:dyDescent="0.2">
      <c r="A264" s="2">
        <v>42675</v>
      </c>
      <c r="B264" s="4">
        <v>0.495</v>
      </c>
      <c r="C264" s="4">
        <v>0.77700000000000002</v>
      </c>
      <c r="D264" s="4">
        <v>0.56999999999999995</v>
      </c>
      <c r="E264" s="4">
        <v>0.48699999999999999</v>
      </c>
      <c r="F264" s="4">
        <v>0.51200000000000001</v>
      </c>
      <c r="G264" s="4">
        <v>0.45400000000000001</v>
      </c>
      <c r="H264" s="4">
        <v>0.34699999999999998</v>
      </c>
      <c r="I264" s="4">
        <v>0.74299999999999999</v>
      </c>
      <c r="J264" s="4">
        <v>0.45187499999999992</v>
      </c>
      <c r="K264" s="1">
        <v>700</v>
      </c>
      <c r="L264" s="1">
        <v>0</v>
      </c>
      <c r="M264" s="1">
        <v>0</v>
      </c>
      <c r="N264" s="1">
        <v>0</v>
      </c>
      <c r="O264" s="1" t="str">
        <f t="shared" si="39"/>
        <v>Expansion</v>
      </c>
      <c r="P264" s="2">
        <f t="shared" si="40"/>
        <v>42704</v>
      </c>
      <c r="Q264" s="9">
        <f>VLOOKUP(P264,BB!$A$3:$D$6771, 3, 1)*100</f>
        <v>129</v>
      </c>
      <c r="R264" s="1" t="str">
        <f t="shared" si="36"/>
        <v/>
      </c>
      <c r="S264" s="1">
        <f t="shared" si="38"/>
        <v>149</v>
      </c>
      <c r="T264" s="1" t="str">
        <f t="shared" si="37"/>
        <v/>
      </c>
      <c r="AK264" s="1">
        <v>10</v>
      </c>
      <c r="AL264" s="1">
        <v>0</v>
      </c>
      <c r="AM264" s="1">
        <v>0</v>
      </c>
      <c r="AN264" s="1">
        <v>0</v>
      </c>
      <c r="AO264" s="1">
        <f t="shared" si="41"/>
        <v>700</v>
      </c>
      <c r="AP264" s="1">
        <f t="shared" si="42"/>
        <v>0</v>
      </c>
      <c r="AQ264" s="1">
        <f t="shared" si="43"/>
        <v>0</v>
      </c>
      <c r="AR264" s="1">
        <f t="shared" si="44"/>
        <v>0</v>
      </c>
    </row>
    <row r="265" spans="1:44" x14ac:dyDescent="0.2">
      <c r="A265" s="2">
        <v>42705</v>
      </c>
      <c r="B265" s="4">
        <v>0.51200000000000001</v>
      </c>
      <c r="C265" s="4">
        <v>0.79400000000000004</v>
      </c>
      <c r="D265" s="4">
        <v>0.68500000000000005</v>
      </c>
      <c r="E265" s="4">
        <v>0.56999999999999995</v>
      </c>
      <c r="F265" s="4">
        <v>0.495</v>
      </c>
      <c r="G265" s="4">
        <v>0.52800000000000002</v>
      </c>
      <c r="H265" s="4">
        <v>0.33800000000000002</v>
      </c>
      <c r="I265" s="4">
        <v>0.65200000000000002</v>
      </c>
      <c r="J265" s="4">
        <v>0.42825000000000002</v>
      </c>
      <c r="K265" s="1">
        <v>700</v>
      </c>
      <c r="L265" s="1">
        <v>0</v>
      </c>
      <c r="M265" s="1">
        <v>0</v>
      </c>
      <c r="N265" s="1">
        <v>0</v>
      </c>
      <c r="O265" s="1" t="str">
        <f t="shared" si="39"/>
        <v>Expansion</v>
      </c>
      <c r="P265" s="2">
        <f t="shared" si="40"/>
        <v>42735</v>
      </c>
      <c r="Q265" s="9">
        <f>VLOOKUP(P265,BB!$A$3:$D$6771, 3, 1)*100</f>
        <v>123</v>
      </c>
      <c r="R265" s="1" t="str">
        <f t="shared" si="36"/>
        <v/>
      </c>
      <c r="S265" s="1">
        <f t="shared" si="38"/>
        <v>149</v>
      </c>
      <c r="T265" s="1" t="str">
        <f t="shared" si="37"/>
        <v/>
      </c>
      <c r="AK265" s="1">
        <v>10</v>
      </c>
      <c r="AL265" s="1">
        <v>0</v>
      </c>
      <c r="AM265" s="1">
        <v>0</v>
      </c>
      <c r="AN265" s="1">
        <v>0</v>
      </c>
      <c r="AO265" s="1">
        <f t="shared" si="41"/>
        <v>700</v>
      </c>
      <c r="AP265" s="1">
        <f t="shared" si="42"/>
        <v>0</v>
      </c>
      <c r="AQ265" s="1">
        <f t="shared" si="43"/>
        <v>0</v>
      </c>
      <c r="AR265" s="1">
        <f t="shared" si="44"/>
        <v>0</v>
      </c>
    </row>
    <row r="266" spans="1:44" x14ac:dyDescent="0.2">
      <c r="A266" s="2">
        <v>42736</v>
      </c>
      <c r="B266" s="4">
        <v>0.33800000000000002</v>
      </c>
      <c r="C266" s="4">
        <v>0.80200000000000005</v>
      </c>
      <c r="D266" s="4">
        <v>0.79300000000000004</v>
      </c>
      <c r="E266" s="4">
        <v>0.56100000000000005</v>
      </c>
      <c r="F266" s="4">
        <v>0.40400000000000003</v>
      </c>
      <c r="G266" s="4">
        <v>0.65200000000000002</v>
      </c>
      <c r="H266" s="4">
        <v>0.33800000000000002</v>
      </c>
      <c r="I266" s="4">
        <v>0.81799999999999995</v>
      </c>
      <c r="J266" s="4">
        <v>0.41174999999999995</v>
      </c>
      <c r="K266" s="1">
        <v>700</v>
      </c>
      <c r="L266" s="1">
        <v>0</v>
      </c>
      <c r="M266" s="1">
        <v>0</v>
      </c>
      <c r="N266" s="1">
        <v>0</v>
      </c>
      <c r="O266" s="1" t="str">
        <f t="shared" si="39"/>
        <v>Expansion</v>
      </c>
      <c r="P266" s="2">
        <f t="shared" si="40"/>
        <v>42766</v>
      </c>
      <c r="Q266" s="9">
        <f>VLOOKUP(P266,BB!$A$3:$D$6771, 3, 1)*100</f>
        <v>121</v>
      </c>
      <c r="R266" s="1" t="str">
        <f t="shared" si="36"/>
        <v/>
      </c>
      <c r="S266" s="1">
        <f t="shared" si="38"/>
        <v>149</v>
      </c>
      <c r="T266" s="1" t="str">
        <f t="shared" si="37"/>
        <v/>
      </c>
      <c r="AK266" s="1">
        <v>10</v>
      </c>
      <c r="AL266" s="1">
        <v>0</v>
      </c>
      <c r="AM266" s="1">
        <v>0</v>
      </c>
      <c r="AN266" s="1">
        <v>0</v>
      </c>
      <c r="AO266" s="1">
        <f t="shared" si="41"/>
        <v>700</v>
      </c>
      <c r="AP266" s="1">
        <f t="shared" si="42"/>
        <v>0</v>
      </c>
      <c r="AQ266" s="1">
        <f t="shared" si="43"/>
        <v>0</v>
      </c>
      <c r="AR266" s="1">
        <f t="shared" si="44"/>
        <v>0</v>
      </c>
    </row>
    <row r="267" spans="1:44" x14ac:dyDescent="0.2">
      <c r="A267" s="2">
        <v>42767</v>
      </c>
      <c r="B267" s="4">
        <v>0.23899999999999999</v>
      </c>
      <c r="C267" s="4">
        <v>0.83499999999999996</v>
      </c>
      <c r="D267" s="4">
        <v>0.9</v>
      </c>
      <c r="E267" s="4">
        <v>0.57799999999999996</v>
      </c>
      <c r="F267" s="4">
        <v>0.40400000000000003</v>
      </c>
      <c r="G267" s="4">
        <v>0.68500000000000005</v>
      </c>
      <c r="H267" s="4">
        <v>0.32200000000000001</v>
      </c>
      <c r="I267" s="4">
        <v>0.61099999999999999</v>
      </c>
      <c r="J267" s="4">
        <v>0.42825000000000002</v>
      </c>
      <c r="K267" s="1">
        <v>700</v>
      </c>
      <c r="L267" s="1">
        <v>0</v>
      </c>
      <c r="M267" s="1">
        <v>0</v>
      </c>
      <c r="N267" s="1">
        <v>0</v>
      </c>
      <c r="O267" s="1" t="str">
        <f t="shared" si="39"/>
        <v>Expansion</v>
      </c>
      <c r="P267" s="2">
        <f t="shared" si="40"/>
        <v>42794</v>
      </c>
      <c r="Q267" s="9">
        <f>VLOOKUP(P267,BB!$A$3:$D$6771, 3, 1)*100</f>
        <v>114.99999999999999</v>
      </c>
      <c r="R267" s="1" t="str">
        <f t="shared" ref="R267:R330" si="45">IF(O267&lt;&gt;O268, Q267-S267, "")</f>
        <v/>
      </c>
      <c r="S267" s="1">
        <f t="shared" si="38"/>
        <v>149</v>
      </c>
      <c r="T267" s="1" t="str">
        <f t="shared" si="37"/>
        <v/>
      </c>
      <c r="AK267" s="1">
        <v>10</v>
      </c>
      <c r="AL267" s="1">
        <v>0</v>
      </c>
      <c r="AM267" s="1">
        <v>0</v>
      </c>
      <c r="AN267" s="1">
        <v>0</v>
      </c>
      <c r="AO267" s="1">
        <f t="shared" si="41"/>
        <v>700</v>
      </c>
      <c r="AP267" s="1">
        <f t="shared" si="42"/>
        <v>0</v>
      </c>
      <c r="AQ267" s="1">
        <f t="shared" si="43"/>
        <v>0</v>
      </c>
      <c r="AR267" s="1">
        <f t="shared" si="44"/>
        <v>0</v>
      </c>
    </row>
    <row r="268" spans="1:44" x14ac:dyDescent="0.2">
      <c r="A268" s="2">
        <v>42795</v>
      </c>
      <c r="B268" s="4">
        <v>0.55300000000000005</v>
      </c>
      <c r="C268" s="4">
        <v>0.83499999999999996</v>
      </c>
      <c r="D268" s="4">
        <v>0.88400000000000001</v>
      </c>
      <c r="E268" s="4">
        <v>0.54500000000000004</v>
      </c>
      <c r="F268" s="4">
        <v>0.40400000000000003</v>
      </c>
      <c r="G268" s="4">
        <v>0.84199999999999997</v>
      </c>
      <c r="H268" s="4">
        <v>0.33800000000000002</v>
      </c>
      <c r="I268" s="4">
        <v>0.93300000000000005</v>
      </c>
      <c r="J268" s="4">
        <v>0.33325000000000005</v>
      </c>
      <c r="K268" s="1">
        <v>700</v>
      </c>
      <c r="L268" s="1">
        <v>0</v>
      </c>
      <c r="M268" s="1">
        <v>0</v>
      </c>
      <c r="N268" s="1">
        <v>0</v>
      </c>
      <c r="O268" s="1" t="str">
        <f t="shared" si="39"/>
        <v>Expansion</v>
      </c>
      <c r="P268" s="2">
        <f t="shared" si="40"/>
        <v>42825</v>
      </c>
      <c r="Q268" s="9">
        <f>VLOOKUP(P268,BB!$A$3:$D$6771, 3, 1)*100</f>
        <v>118</v>
      </c>
      <c r="R268" s="1" t="str">
        <f t="shared" si="45"/>
        <v/>
      </c>
      <c r="S268" s="1">
        <f t="shared" si="38"/>
        <v>149</v>
      </c>
      <c r="T268" s="1" t="str">
        <f t="shared" si="37"/>
        <v/>
      </c>
      <c r="AK268" s="1">
        <v>10</v>
      </c>
      <c r="AL268" s="1">
        <v>0</v>
      </c>
      <c r="AM268" s="1">
        <v>0</v>
      </c>
      <c r="AN268" s="1">
        <v>0</v>
      </c>
      <c r="AO268" s="1">
        <f t="shared" si="41"/>
        <v>700</v>
      </c>
      <c r="AP268" s="1">
        <f t="shared" si="42"/>
        <v>0</v>
      </c>
      <c r="AQ268" s="1">
        <f t="shared" si="43"/>
        <v>0</v>
      </c>
      <c r="AR268" s="1">
        <f t="shared" si="44"/>
        <v>0</v>
      </c>
    </row>
    <row r="269" spans="1:44" x14ac:dyDescent="0.2">
      <c r="A269" s="2">
        <v>42826</v>
      </c>
      <c r="B269" s="4">
        <v>0.61099999999999999</v>
      </c>
      <c r="C269" s="4">
        <v>0.86799999999999999</v>
      </c>
      <c r="D269" s="4">
        <v>0.66900000000000004</v>
      </c>
      <c r="E269" s="4">
        <v>0.58599999999999997</v>
      </c>
      <c r="F269" s="4">
        <v>0.41299999999999998</v>
      </c>
      <c r="G269" s="4">
        <v>0.83399999999999996</v>
      </c>
      <c r="H269" s="4">
        <v>0.34699999999999998</v>
      </c>
      <c r="I269" s="4">
        <v>0.70199999999999996</v>
      </c>
      <c r="J269" s="4">
        <v>0.37125000000000008</v>
      </c>
      <c r="K269" s="1">
        <v>700</v>
      </c>
      <c r="L269" s="1">
        <v>0</v>
      </c>
      <c r="M269" s="1">
        <v>0</v>
      </c>
      <c r="N269" s="1">
        <v>0</v>
      </c>
      <c r="O269" s="1" t="str">
        <f t="shared" si="39"/>
        <v>Expansion</v>
      </c>
      <c r="P269" s="2">
        <f t="shared" si="40"/>
        <v>42855</v>
      </c>
      <c r="Q269" s="9">
        <f>VLOOKUP(P269,BB!$A$3:$D$6771, 3, 1)*100</f>
        <v>115.99999999999999</v>
      </c>
      <c r="R269" s="1" t="str">
        <f t="shared" si="45"/>
        <v/>
      </c>
      <c r="S269" s="1">
        <f t="shared" si="38"/>
        <v>149</v>
      </c>
      <c r="T269" s="1" t="str">
        <f t="shared" si="37"/>
        <v/>
      </c>
      <c r="AK269" s="1">
        <v>10</v>
      </c>
      <c r="AL269" s="1">
        <v>0</v>
      </c>
      <c r="AM269" s="1">
        <v>0</v>
      </c>
      <c r="AN269" s="1">
        <v>0</v>
      </c>
      <c r="AO269" s="1">
        <f t="shared" si="41"/>
        <v>700</v>
      </c>
      <c r="AP269" s="1">
        <f t="shared" si="42"/>
        <v>0</v>
      </c>
      <c r="AQ269" s="1">
        <f t="shared" si="43"/>
        <v>0</v>
      </c>
      <c r="AR269" s="1">
        <f t="shared" si="44"/>
        <v>0</v>
      </c>
    </row>
    <row r="270" spans="1:44" x14ac:dyDescent="0.2">
      <c r="A270" s="2">
        <v>42856</v>
      </c>
      <c r="B270" s="4">
        <v>0.72699999999999998</v>
      </c>
      <c r="C270" s="4">
        <v>0.91800000000000004</v>
      </c>
      <c r="D270" s="4">
        <v>0.68500000000000005</v>
      </c>
      <c r="E270" s="4">
        <v>0.60299999999999998</v>
      </c>
      <c r="F270" s="4">
        <v>0.42099999999999999</v>
      </c>
      <c r="G270" s="4">
        <v>0.83399999999999996</v>
      </c>
      <c r="H270" s="4">
        <v>0.34699999999999998</v>
      </c>
      <c r="I270" s="4">
        <v>0.65200000000000002</v>
      </c>
      <c r="J270" s="4">
        <v>0.35162499999999997</v>
      </c>
      <c r="K270" s="1">
        <v>700</v>
      </c>
      <c r="L270" s="1">
        <v>0</v>
      </c>
      <c r="M270" s="1">
        <v>0</v>
      </c>
      <c r="N270" s="1">
        <v>0</v>
      </c>
      <c r="O270" s="1" t="str">
        <f t="shared" si="39"/>
        <v>Expansion</v>
      </c>
      <c r="P270" s="2">
        <f t="shared" si="40"/>
        <v>42886</v>
      </c>
      <c r="Q270" s="9">
        <f>VLOOKUP(P270,BB!$A$3:$D$6771, 3, 1)*100</f>
        <v>112.99999999999999</v>
      </c>
      <c r="R270" s="1" t="str">
        <f t="shared" si="45"/>
        <v/>
      </c>
      <c r="S270" s="1">
        <f t="shared" si="38"/>
        <v>149</v>
      </c>
      <c r="T270" s="1" t="str">
        <f t="shared" si="37"/>
        <v/>
      </c>
      <c r="AK270" s="1">
        <v>10</v>
      </c>
      <c r="AL270" s="1">
        <v>0</v>
      </c>
      <c r="AM270" s="1">
        <v>0</v>
      </c>
      <c r="AN270" s="1">
        <v>0</v>
      </c>
      <c r="AO270" s="1">
        <f t="shared" si="41"/>
        <v>700</v>
      </c>
      <c r="AP270" s="1">
        <f t="shared" si="42"/>
        <v>0</v>
      </c>
      <c r="AQ270" s="1">
        <f t="shared" si="43"/>
        <v>0</v>
      </c>
      <c r="AR270" s="1">
        <f t="shared" si="44"/>
        <v>0</v>
      </c>
    </row>
    <row r="271" spans="1:44" x14ac:dyDescent="0.2">
      <c r="A271" s="2">
        <v>42887</v>
      </c>
      <c r="B271" s="4">
        <v>0.80100000000000005</v>
      </c>
      <c r="C271" s="4">
        <v>0.91800000000000004</v>
      </c>
      <c r="D271" s="4">
        <v>0.9</v>
      </c>
      <c r="E271" s="4">
        <v>0.67700000000000005</v>
      </c>
      <c r="F271" s="4">
        <v>0.41299999999999998</v>
      </c>
      <c r="G271" s="4">
        <v>0.93300000000000005</v>
      </c>
      <c r="H271" s="4">
        <v>0.35499999999999998</v>
      </c>
      <c r="I271" s="4">
        <v>0.71899999999999997</v>
      </c>
      <c r="J271" s="4">
        <v>0.28549999999999998</v>
      </c>
      <c r="K271" s="1">
        <v>700</v>
      </c>
      <c r="L271" s="1">
        <v>0</v>
      </c>
      <c r="M271" s="1">
        <v>0</v>
      </c>
      <c r="N271" s="1">
        <v>0</v>
      </c>
      <c r="O271" s="1" t="str">
        <f t="shared" si="39"/>
        <v>Expansion</v>
      </c>
      <c r="P271" s="2">
        <f t="shared" si="40"/>
        <v>42916</v>
      </c>
      <c r="Q271" s="9">
        <f>VLOOKUP(P271,BB!$A$3:$D$6771, 3, 1)*100</f>
        <v>109.00000000000001</v>
      </c>
      <c r="R271" s="1" t="str">
        <f t="shared" si="45"/>
        <v/>
      </c>
      <c r="S271" s="1">
        <f t="shared" si="38"/>
        <v>149</v>
      </c>
      <c r="T271" s="1" t="str">
        <f t="shared" si="37"/>
        <v/>
      </c>
      <c r="AK271" s="1">
        <v>10</v>
      </c>
      <c r="AL271" s="1">
        <v>0</v>
      </c>
      <c r="AM271" s="1">
        <v>0</v>
      </c>
      <c r="AN271" s="1">
        <v>0</v>
      </c>
      <c r="AO271" s="1">
        <f t="shared" si="41"/>
        <v>700</v>
      </c>
      <c r="AP271" s="1">
        <f t="shared" si="42"/>
        <v>0</v>
      </c>
      <c r="AQ271" s="1">
        <f t="shared" si="43"/>
        <v>0</v>
      </c>
      <c r="AR271" s="1">
        <f t="shared" si="44"/>
        <v>0</v>
      </c>
    </row>
    <row r="272" spans="1:44" x14ac:dyDescent="0.2">
      <c r="A272" s="2">
        <v>42917</v>
      </c>
      <c r="B272" s="4">
        <v>0.80100000000000005</v>
      </c>
      <c r="C272" s="4">
        <v>0.91</v>
      </c>
      <c r="D272" s="4">
        <v>0.79300000000000004</v>
      </c>
      <c r="E272" s="4">
        <v>0.68500000000000005</v>
      </c>
      <c r="F272" s="4">
        <v>0.42899999999999999</v>
      </c>
      <c r="G272" s="4">
        <v>0.94199999999999995</v>
      </c>
      <c r="H272" s="4">
        <v>0.35499999999999998</v>
      </c>
      <c r="I272" s="4">
        <v>0.63600000000000001</v>
      </c>
      <c r="J272" s="4">
        <v>0.30612500000000009</v>
      </c>
      <c r="K272" s="1">
        <v>700</v>
      </c>
      <c r="L272" s="1">
        <v>0</v>
      </c>
      <c r="M272" s="1">
        <v>0</v>
      </c>
      <c r="N272" s="1">
        <v>0</v>
      </c>
      <c r="O272" s="1" t="str">
        <f t="shared" si="39"/>
        <v>Expansion</v>
      </c>
      <c r="P272" s="2">
        <f t="shared" si="40"/>
        <v>42947</v>
      </c>
      <c r="Q272" s="9">
        <f>VLOOKUP(P272,BB!$A$3:$D$6771, 3, 1)*100</f>
        <v>102</v>
      </c>
      <c r="R272" s="1" t="str">
        <f t="shared" si="45"/>
        <v/>
      </c>
      <c r="S272" s="1">
        <f t="shared" si="38"/>
        <v>149</v>
      </c>
      <c r="T272" s="1" t="str">
        <f t="shared" si="37"/>
        <v/>
      </c>
      <c r="AK272" s="1">
        <v>10</v>
      </c>
      <c r="AL272" s="1">
        <v>0</v>
      </c>
      <c r="AM272" s="1">
        <v>0</v>
      </c>
      <c r="AN272" s="1">
        <v>0</v>
      </c>
      <c r="AO272" s="1">
        <f t="shared" si="41"/>
        <v>700</v>
      </c>
      <c r="AP272" s="1">
        <f t="shared" si="42"/>
        <v>0</v>
      </c>
      <c r="AQ272" s="1">
        <f t="shared" si="43"/>
        <v>0</v>
      </c>
      <c r="AR272" s="1">
        <f t="shared" si="44"/>
        <v>0</v>
      </c>
    </row>
    <row r="273" spans="1:44" x14ac:dyDescent="0.2">
      <c r="A273" s="2">
        <v>42948</v>
      </c>
      <c r="B273" s="4">
        <v>0.80100000000000005</v>
      </c>
      <c r="C273" s="4">
        <v>0.96699999999999997</v>
      </c>
      <c r="D273" s="4">
        <v>0.91700000000000004</v>
      </c>
      <c r="E273" s="4">
        <v>0.72699999999999998</v>
      </c>
      <c r="F273" s="4">
        <v>0.44600000000000001</v>
      </c>
      <c r="G273" s="4">
        <v>0.91700000000000004</v>
      </c>
      <c r="H273" s="4">
        <v>0.35499999999999998</v>
      </c>
      <c r="I273" s="4">
        <v>0.70199999999999996</v>
      </c>
      <c r="J273" s="4">
        <v>0.27099999999999991</v>
      </c>
      <c r="K273" s="1">
        <v>700</v>
      </c>
      <c r="L273" s="1">
        <v>0</v>
      </c>
      <c r="M273" s="1">
        <v>0</v>
      </c>
      <c r="N273" s="1">
        <v>0</v>
      </c>
      <c r="O273" s="1" t="str">
        <f t="shared" si="39"/>
        <v>Expansion</v>
      </c>
      <c r="P273" s="2">
        <f t="shared" si="40"/>
        <v>42978</v>
      </c>
      <c r="Q273" s="9">
        <f>VLOOKUP(P273,BB!$A$3:$D$6771, 3, 1)*100</f>
        <v>110.00000000000001</v>
      </c>
      <c r="R273" s="1" t="str">
        <f t="shared" si="45"/>
        <v/>
      </c>
      <c r="S273" s="1">
        <f t="shared" si="38"/>
        <v>149</v>
      </c>
      <c r="T273" s="1" t="str">
        <f t="shared" si="37"/>
        <v/>
      </c>
      <c r="AK273" s="1">
        <v>10</v>
      </c>
      <c r="AL273" s="1">
        <v>0</v>
      </c>
      <c r="AM273" s="1">
        <v>0</v>
      </c>
      <c r="AN273" s="1">
        <v>0</v>
      </c>
      <c r="AO273" s="1">
        <f t="shared" si="41"/>
        <v>700</v>
      </c>
      <c r="AP273" s="1">
        <f t="shared" si="42"/>
        <v>0</v>
      </c>
      <c r="AQ273" s="1">
        <f t="shared" si="43"/>
        <v>0</v>
      </c>
      <c r="AR273" s="1">
        <f t="shared" si="44"/>
        <v>0</v>
      </c>
    </row>
    <row r="274" spans="1:44" x14ac:dyDescent="0.2">
      <c r="A274" s="2">
        <v>42979</v>
      </c>
      <c r="B274" s="4">
        <v>0.752</v>
      </c>
      <c r="C274" s="4">
        <v>0.95099999999999996</v>
      </c>
      <c r="D274" s="4">
        <v>0.96599999999999997</v>
      </c>
      <c r="E274" s="4">
        <v>0.68500000000000005</v>
      </c>
      <c r="F274" s="4">
        <v>0.40400000000000003</v>
      </c>
      <c r="G274" s="4">
        <v>0.83399999999999996</v>
      </c>
      <c r="H274" s="4">
        <v>0.29699999999999999</v>
      </c>
      <c r="I274" s="4">
        <v>0.73499999999999999</v>
      </c>
      <c r="J274" s="4">
        <v>0.29700000000000004</v>
      </c>
      <c r="K274" s="1">
        <v>700</v>
      </c>
      <c r="L274" s="1">
        <v>0</v>
      </c>
      <c r="M274" s="1">
        <v>0</v>
      </c>
      <c r="N274" s="1">
        <v>0</v>
      </c>
      <c r="O274" s="1" t="str">
        <f t="shared" si="39"/>
        <v>Expansion</v>
      </c>
      <c r="P274" s="2">
        <f t="shared" si="40"/>
        <v>43008</v>
      </c>
      <c r="Q274" s="9">
        <f>VLOOKUP(P274,BB!$A$3:$D$6771, 3, 1)*100</f>
        <v>101</v>
      </c>
      <c r="R274" s="1" t="str">
        <f t="shared" si="45"/>
        <v/>
      </c>
      <c r="S274" s="1">
        <f t="shared" si="38"/>
        <v>149</v>
      </c>
      <c r="T274" s="1" t="str">
        <f t="shared" si="37"/>
        <v/>
      </c>
      <c r="AK274" s="1">
        <v>10</v>
      </c>
      <c r="AL274" s="1">
        <v>0</v>
      </c>
      <c r="AM274" s="1">
        <v>0</v>
      </c>
      <c r="AN274" s="1">
        <v>0</v>
      </c>
      <c r="AO274" s="1">
        <f t="shared" si="41"/>
        <v>700</v>
      </c>
      <c r="AP274" s="1">
        <f t="shared" si="42"/>
        <v>0</v>
      </c>
      <c r="AQ274" s="1">
        <f t="shared" si="43"/>
        <v>0</v>
      </c>
      <c r="AR274" s="1">
        <f t="shared" si="44"/>
        <v>0</v>
      </c>
    </row>
    <row r="275" spans="1:44" x14ac:dyDescent="0.2">
      <c r="A275" s="2">
        <v>43009</v>
      </c>
      <c r="B275" s="4">
        <v>0.752</v>
      </c>
      <c r="C275" s="4">
        <v>0.98399999999999999</v>
      </c>
      <c r="D275" s="4">
        <v>0.89200000000000002</v>
      </c>
      <c r="E275" s="4">
        <v>0.66100000000000003</v>
      </c>
      <c r="F275" s="4">
        <v>0.40400000000000003</v>
      </c>
      <c r="G275" s="4">
        <v>0.91700000000000004</v>
      </c>
      <c r="H275" s="4">
        <v>0.28899999999999998</v>
      </c>
      <c r="I275" s="4">
        <v>0.53700000000000003</v>
      </c>
      <c r="J275" s="4">
        <v>0.32050000000000001</v>
      </c>
      <c r="K275" s="1">
        <v>700</v>
      </c>
      <c r="L275" s="1">
        <v>0</v>
      </c>
      <c r="M275" s="1">
        <v>0</v>
      </c>
      <c r="N275" s="1">
        <v>0</v>
      </c>
      <c r="O275" s="1" t="str">
        <f t="shared" si="39"/>
        <v>Expansion</v>
      </c>
      <c r="P275" s="2">
        <f t="shared" si="40"/>
        <v>43039</v>
      </c>
      <c r="Q275" s="9">
        <f>VLOOKUP(P275,BB!$A$3:$D$6771, 3, 1)*100</f>
        <v>95</v>
      </c>
      <c r="R275" s="1" t="str">
        <f t="shared" si="45"/>
        <v/>
      </c>
      <c r="S275" s="1">
        <f t="shared" si="38"/>
        <v>149</v>
      </c>
      <c r="T275" s="1" t="str">
        <f t="shared" si="37"/>
        <v/>
      </c>
      <c r="AK275" s="1">
        <v>10</v>
      </c>
      <c r="AL275" s="1">
        <v>0</v>
      </c>
      <c r="AM275" s="1">
        <v>0</v>
      </c>
      <c r="AN275" s="1">
        <v>0</v>
      </c>
      <c r="AO275" s="1">
        <f t="shared" si="41"/>
        <v>700</v>
      </c>
      <c r="AP275" s="1">
        <f t="shared" si="42"/>
        <v>0</v>
      </c>
      <c r="AQ275" s="1">
        <f t="shared" si="43"/>
        <v>0</v>
      </c>
      <c r="AR275" s="1">
        <f t="shared" si="44"/>
        <v>0</v>
      </c>
    </row>
    <row r="276" spans="1:44" x14ac:dyDescent="0.2">
      <c r="A276" s="2">
        <v>43040</v>
      </c>
      <c r="B276" s="4">
        <v>0.66100000000000003</v>
      </c>
      <c r="C276" s="4">
        <v>0.99199999999999999</v>
      </c>
      <c r="D276" s="4">
        <v>0.876</v>
      </c>
      <c r="E276" s="4">
        <v>0.61099999999999999</v>
      </c>
      <c r="F276" s="4">
        <v>0.40400000000000003</v>
      </c>
      <c r="G276" s="4">
        <v>0.9</v>
      </c>
      <c r="H276" s="4">
        <v>0.23899999999999999</v>
      </c>
      <c r="I276" s="4">
        <v>0.84199999999999997</v>
      </c>
      <c r="J276" s="4">
        <v>0.30937500000000007</v>
      </c>
      <c r="K276" s="1">
        <v>700</v>
      </c>
      <c r="L276" s="1">
        <v>0</v>
      </c>
      <c r="M276" s="1">
        <v>0</v>
      </c>
      <c r="N276" s="1">
        <v>0</v>
      </c>
      <c r="O276" s="1" t="str">
        <f t="shared" si="39"/>
        <v>Expansion</v>
      </c>
      <c r="P276" s="2">
        <f t="shared" si="40"/>
        <v>43069</v>
      </c>
      <c r="Q276" s="9">
        <f>VLOOKUP(P276,BB!$A$3:$D$6771, 3, 1)*100</f>
        <v>97</v>
      </c>
      <c r="R276" s="1" t="str">
        <f t="shared" si="45"/>
        <v/>
      </c>
      <c r="S276" s="1">
        <f t="shared" si="38"/>
        <v>149</v>
      </c>
      <c r="T276" s="1" t="str">
        <f t="shared" si="37"/>
        <v/>
      </c>
      <c r="AK276" s="1">
        <v>10</v>
      </c>
      <c r="AL276" s="1">
        <v>0</v>
      </c>
      <c r="AM276" s="1">
        <v>0</v>
      </c>
      <c r="AN276" s="1">
        <v>0</v>
      </c>
      <c r="AO276" s="1">
        <f t="shared" si="41"/>
        <v>700</v>
      </c>
      <c r="AP276" s="1">
        <f t="shared" si="42"/>
        <v>0</v>
      </c>
      <c r="AQ276" s="1">
        <f t="shared" si="43"/>
        <v>0</v>
      </c>
      <c r="AR276" s="1">
        <f t="shared" si="44"/>
        <v>0</v>
      </c>
    </row>
    <row r="277" spans="1:44" x14ac:dyDescent="0.2">
      <c r="A277" s="2">
        <v>43070</v>
      </c>
      <c r="B277" s="4">
        <v>0.80900000000000005</v>
      </c>
      <c r="C277" s="4">
        <v>0.99199999999999999</v>
      </c>
      <c r="D277" s="4">
        <v>0.93300000000000005</v>
      </c>
      <c r="E277" s="4">
        <v>0.82599999999999996</v>
      </c>
      <c r="F277" s="4">
        <v>0.40400000000000003</v>
      </c>
      <c r="G277" s="4">
        <v>0.88400000000000001</v>
      </c>
      <c r="H277" s="4">
        <v>0.23100000000000001</v>
      </c>
      <c r="I277" s="4">
        <v>0.85899999999999999</v>
      </c>
      <c r="J277" s="4">
        <v>0.25775000000000003</v>
      </c>
      <c r="K277" s="1">
        <v>700</v>
      </c>
      <c r="L277" s="1">
        <v>0</v>
      </c>
      <c r="M277" s="1">
        <v>0</v>
      </c>
      <c r="N277" s="1">
        <v>0</v>
      </c>
      <c r="O277" s="1" t="str">
        <f t="shared" si="39"/>
        <v>Expansion</v>
      </c>
      <c r="P277" s="2">
        <f t="shared" si="40"/>
        <v>43100</v>
      </c>
      <c r="Q277" s="9">
        <f>VLOOKUP(P277,BB!$A$3:$D$6771, 3, 1)*100</f>
        <v>93</v>
      </c>
      <c r="R277" s="1" t="str">
        <f t="shared" si="45"/>
        <v/>
      </c>
      <c r="S277" s="1">
        <f t="shared" si="38"/>
        <v>149</v>
      </c>
      <c r="T277" s="1" t="str">
        <f t="shared" si="37"/>
        <v/>
      </c>
      <c r="AK277" s="1">
        <v>10</v>
      </c>
      <c r="AL277" s="1">
        <v>0</v>
      </c>
      <c r="AM277" s="1">
        <v>0</v>
      </c>
      <c r="AN277" s="1">
        <v>0</v>
      </c>
      <c r="AO277" s="1">
        <f t="shared" si="41"/>
        <v>700</v>
      </c>
      <c r="AP277" s="1">
        <f t="shared" si="42"/>
        <v>0</v>
      </c>
      <c r="AQ277" s="1">
        <f t="shared" si="43"/>
        <v>0</v>
      </c>
      <c r="AR277" s="1">
        <f t="shared" si="44"/>
        <v>0</v>
      </c>
    </row>
    <row r="278" spans="1:44" x14ac:dyDescent="0.2">
      <c r="A278" s="2">
        <v>43101</v>
      </c>
      <c r="B278" s="4">
        <v>0.80100000000000005</v>
      </c>
      <c r="C278" s="4">
        <v>0.98399999999999999</v>
      </c>
      <c r="D278" s="4">
        <v>0.91700000000000004</v>
      </c>
      <c r="E278" s="4">
        <v>0.72699999999999998</v>
      </c>
      <c r="F278" s="4">
        <v>0.36299999999999999</v>
      </c>
      <c r="G278" s="4">
        <v>0.752</v>
      </c>
      <c r="H278" s="4">
        <v>0.214</v>
      </c>
      <c r="I278" s="4">
        <v>0.76</v>
      </c>
      <c r="J278" s="4">
        <v>0.31025000000000003</v>
      </c>
      <c r="K278" s="1">
        <v>700</v>
      </c>
      <c r="L278" s="1">
        <v>0</v>
      </c>
      <c r="M278" s="1">
        <v>0</v>
      </c>
      <c r="N278" s="1">
        <v>0</v>
      </c>
      <c r="O278" s="1" t="str">
        <f t="shared" si="39"/>
        <v>Expansion</v>
      </c>
      <c r="P278" s="2">
        <f t="shared" si="40"/>
        <v>43131</v>
      </c>
      <c r="Q278" s="9">
        <f>VLOOKUP(P278,BB!$A$3:$D$6771, 3, 1)*100</f>
        <v>86</v>
      </c>
      <c r="R278" s="1" t="str">
        <f t="shared" si="45"/>
        <v/>
      </c>
      <c r="S278" s="1">
        <f t="shared" si="38"/>
        <v>149</v>
      </c>
      <c r="T278" s="1" t="str">
        <f t="shared" si="37"/>
        <v/>
      </c>
      <c r="AK278" s="1">
        <v>10</v>
      </c>
      <c r="AL278" s="1">
        <v>0</v>
      </c>
      <c r="AM278" s="1">
        <v>0</v>
      </c>
      <c r="AN278" s="1">
        <v>0</v>
      </c>
      <c r="AO278" s="1">
        <f t="shared" si="41"/>
        <v>700</v>
      </c>
      <c r="AP278" s="1">
        <f t="shared" si="42"/>
        <v>0</v>
      </c>
      <c r="AQ278" s="1">
        <f t="shared" si="43"/>
        <v>0</v>
      </c>
      <c r="AR278" s="1">
        <f t="shared" si="44"/>
        <v>0</v>
      </c>
    </row>
    <row r="279" spans="1:44" x14ac:dyDescent="0.2">
      <c r="A279" s="2">
        <v>43132</v>
      </c>
      <c r="B279" s="4">
        <v>0.77600000000000002</v>
      </c>
      <c r="C279" s="4">
        <v>0.97599999999999998</v>
      </c>
      <c r="D279" s="4">
        <v>0.95799999999999996</v>
      </c>
      <c r="E279" s="4">
        <v>0.67700000000000005</v>
      </c>
      <c r="F279" s="4">
        <v>0.35499999999999998</v>
      </c>
      <c r="G279" s="4">
        <v>0.76</v>
      </c>
      <c r="H279" s="4">
        <v>0.20599999999999999</v>
      </c>
      <c r="I279" s="4">
        <v>0.52800000000000002</v>
      </c>
      <c r="J279" s="4">
        <v>0.34549999999999992</v>
      </c>
      <c r="K279" s="1">
        <v>700</v>
      </c>
      <c r="L279" s="1">
        <v>0</v>
      </c>
      <c r="M279" s="1">
        <v>0</v>
      </c>
      <c r="N279" s="1">
        <v>0</v>
      </c>
      <c r="O279" s="1" t="str">
        <f t="shared" si="39"/>
        <v>Expansion</v>
      </c>
      <c r="P279" s="2">
        <f t="shared" si="40"/>
        <v>43159</v>
      </c>
      <c r="Q279" s="9">
        <f>VLOOKUP(P279,BB!$A$3:$D$6771, 3, 1)*100</f>
        <v>96</v>
      </c>
      <c r="R279" s="1">
        <f t="shared" si="45"/>
        <v>-53</v>
      </c>
      <c r="S279" s="1">
        <f t="shared" si="38"/>
        <v>149</v>
      </c>
      <c r="T279" s="1" t="str">
        <f t="shared" si="37"/>
        <v>Expansion</v>
      </c>
      <c r="AK279" s="1">
        <v>10</v>
      </c>
      <c r="AL279" s="1">
        <v>0</v>
      </c>
      <c r="AM279" s="1">
        <v>0</v>
      </c>
      <c r="AN279" s="1">
        <v>0</v>
      </c>
      <c r="AO279" s="1">
        <f t="shared" si="41"/>
        <v>700</v>
      </c>
      <c r="AP279" s="1">
        <f t="shared" si="42"/>
        <v>0</v>
      </c>
      <c r="AQ279" s="1">
        <f t="shared" si="43"/>
        <v>0</v>
      </c>
      <c r="AR279" s="1">
        <f t="shared" si="44"/>
        <v>0</v>
      </c>
    </row>
    <row r="280" spans="1:44" x14ac:dyDescent="0.2">
      <c r="A280" s="2">
        <v>43160</v>
      </c>
      <c r="B280" s="4">
        <v>0.79300000000000004</v>
      </c>
      <c r="C280" s="4">
        <v>0.99199999999999999</v>
      </c>
      <c r="D280" s="4">
        <v>0.90900000000000003</v>
      </c>
      <c r="E280" s="4">
        <v>0.82599999999999996</v>
      </c>
      <c r="F280" s="4">
        <v>0.33800000000000002</v>
      </c>
      <c r="G280" s="4">
        <v>0.628</v>
      </c>
      <c r="H280" s="4">
        <v>0.214</v>
      </c>
      <c r="I280" s="4">
        <v>0.95</v>
      </c>
      <c r="J280" s="4">
        <v>0.29374999999999996</v>
      </c>
      <c r="K280" s="1">
        <v>0</v>
      </c>
      <c r="L280" s="1">
        <v>700</v>
      </c>
      <c r="M280" s="1">
        <v>0</v>
      </c>
      <c r="N280" s="1">
        <v>0</v>
      </c>
      <c r="O280" s="1" t="str">
        <f t="shared" si="39"/>
        <v>Downturn</v>
      </c>
      <c r="P280" s="2">
        <f t="shared" si="40"/>
        <v>43190</v>
      </c>
      <c r="Q280" s="9">
        <f>VLOOKUP(P280,BB!$A$3:$D$6771, 3, 1)*100</f>
        <v>109.00000000000001</v>
      </c>
      <c r="R280" s="1" t="str">
        <f t="shared" si="45"/>
        <v/>
      </c>
      <c r="S280" s="1">
        <f t="shared" si="38"/>
        <v>96</v>
      </c>
      <c r="T280" s="1" t="str">
        <f t="shared" si="37"/>
        <v/>
      </c>
      <c r="AK280" s="1">
        <v>0</v>
      </c>
      <c r="AL280" s="1">
        <v>10</v>
      </c>
      <c r="AM280" s="1">
        <v>0</v>
      </c>
      <c r="AN280" s="1">
        <v>0</v>
      </c>
      <c r="AO280" s="1">
        <f t="shared" si="41"/>
        <v>0</v>
      </c>
      <c r="AP280" s="1">
        <f t="shared" si="42"/>
        <v>700</v>
      </c>
      <c r="AQ280" s="1">
        <f t="shared" si="43"/>
        <v>0</v>
      </c>
      <c r="AR280" s="1">
        <f t="shared" si="44"/>
        <v>0</v>
      </c>
    </row>
    <row r="281" spans="1:44" x14ac:dyDescent="0.2">
      <c r="A281" s="2">
        <v>43191</v>
      </c>
      <c r="B281" s="4">
        <v>0.78500000000000003</v>
      </c>
      <c r="C281" s="4">
        <v>0.99199999999999999</v>
      </c>
      <c r="D281" s="4">
        <v>0.80900000000000005</v>
      </c>
      <c r="E281" s="4">
        <v>0.752</v>
      </c>
      <c r="F281" s="4">
        <v>0.40400000000000003</v>
      </c>
      <c r="G281" s="4">
        <v>0.66100000000000003</v>
      </c>
      <c r="H281" s="4">
        <v>0.223</v>
      </c>
      <c r="I281" s="4">
        <v>0.82599999999999996</v>
      </c>
      <c r="J281" s="4">
        <v>0.31850000000000001</v>
      </c>
      <c r="K281" s="1">
        <v>0</v>
      </c>
      <c r="L281" s="1">
        <v>700</v>
      </c>
      <c r="M281" s="1">
        <v>0</v>
      </c>
      <c r="N281" s="1">
        <v>0</v>
      </c>
      <c r="O281" s="1" t="str">
        <f t="shared" si="39"/>
        <v>Downturn</v>
      </c>
      <c r="P281" s="2">
        <f t="shared" si="40"/>
        <v>43220</v>
      </c>
      <c r="Q281" s="9">
        <f>VLOOKUP(P281,BB!$A$3:$D$6771, 3, 1)*100</f>
        <v>108</v>
      </c>
      <c r="R281" s="1" t="str">
        <f t="shared" si="45"/>
        <v/>
      </c>
      <c r="S281" s="1">
        <f t="shared" si="38"/>
        <v>96</v>
      </c>
      <c r="T281" s="1" t="str">
        <f t="shared" si="37"/>
        <v/>
      </c>
      <c r="AK281" s="1">
        <v>0</v>
      </c>
      <c r="AL281" s="1">
        <v>10</v>
      </c>
      <c r="AM281" s="1">
        <v>0</v>
      </c>
      <c r="AN281" s="1">
        <v>0</v>
      </c>
      <c r="AO281" s="1">
        <f t="shared" si="41"/>
        <v>0</v>
      </c>
      <c r="AP281" s="1">
        <f t="shared" si="42"/>
        <v>700</v>
      </c>
      <c r="AQ281" s="1">
        <f t="shared" si="43"/>
        <v>0</v>
      </c>
      <c r="AR281" s="1">
        <f t="shared" si="44"/>
        <v>0</v>
      </c>
    </row>
    <row r="282" spans="1:44" x14ac:dyDescent="0.2">
      <c r="A282" s="2">
        <v>43221</v>
      </c>
      <c r="B282" s="4">
        <v>0.63600000000000001</v>
      </c>
      <c r="C282" s="4">
        <v>0.99199999999999999</v>
      </c>
      <c r="D282" s="4">
        <v>0.85099999999999998</v>
      </c>
      <c r="E282" s="4">
        <v>0.78500000000000003</v>
      </c>
      <c r="F282" s="4">
        <v>0.40400000000000003</v>
      </c>
      <c r="G282" s="4">
        <v>0.65200000000000002</v>
      </c>
      <c r="H282" s="4">
        <v>0.20599999999999999</v>
      </c>
      <c r="I282" s="4">
        <v>0.96599999999999997</v>
      </c>
      <c r="J282" s="4">
        <v>0.31349999999999989</v>
      </c>
      <c r="K282" s="1">
        <v>0</v>
      </c>
      <c r="L282" s="1">
        <v>700</v>
      </c>
      <c r="M282" s="1">
        <v>0</v>
      </c>
      <c r="N282" s="1">
        <v>0</v>
      </c>
      <c r="O282" s="1" t="str">
        <f t="shared" si="39"/>
        <v>Downturn</v>
      </c>
      <c r="P282" s="2">
        <f t="shared" si="40"/>
        <v>43251</v>
      </c>
      <c r="Q282" s="9">
        <f>VLOOKUP(P282,BB!$A$3:$D$6771, 3, 1)*100</f>
        <v>114.99999999999999</v>
      </c>
      <c r="R282" s="1" t="str">
        <f t="shared" si="45"/>
        <v/>
      </c>
      <c r="S282" s="1">
        <f t="shared" si="38"/>
        <v>96</v>
      </c>
      <c r="T282" s="1" t="str">
        <f t="shared" si="37"/>
        <v/>
      </c>
      <c r="AK282" s="1">
        <v>0</v>
      </c>
      <c r="AL282" s="1">
        <v>10</v>
      </c>
      <c r="AM282" s="1">
        <v>0</v>
      </c>
      <c r="AN282" s="1">
        <v>0</v>
      </c>
      <c r="AO282" s="1">
        <f t="shared" si="41"/>
        <v>0</v>
      </c>
      <c r="AP282" s="1">
        <f t="shared" si="42"/>
        <v>700</v>
      </c>
      <c r="AQ282" s="1">
        <f t="shared" si="43"/>
        <v>0</v>
      </c>
      <c r="AR282" s="1">
        <f t="shared" si="44"/>
        <v>0</v>
      </c>
    </row>
    <row r="283" spans="1:44" x14ac:dyDescent="0.2">
      <c r="A283" s="2">
        <v>43252</v>
      </c>
      <c r="B283" s="4">
        <v>0.79300000000000004</v>
      </c>
      <c r="C283" s="4">
        <v>0.99199999999999999</v>
      </c>
      <c r="D283" s="4">
        <v>0.93300000000000005</v>
      </c>
      <c r="E283" s="4">
        <v>0.76800000000000002</v>
      </c>
      <c r="F283" s="4">
        <v>0.33</v>
      </c>
      <c r="G283" s="4">
        <v>0.57799999999999996</v>
      </c>
      <c r="H283" s="4">
        <v>0.16500000000000001</v>
      </c>
      <c r="I283" s="4">
        <v>0.76800000000000002</v>
      </c>
      <c r="J283" s="4">
        <v>0.33412500000000001</v>
      </c>
      <c r="K283" s="1">
        <v>0</v>
      </c>
      <c r="L283" s="1">
        <v>700</v>
      </c>
      <c r="M283" s="1">
        <v>0</v>
      </c>
      <c r="N283" s="1">
        <v>0</v>
      </c>
      <c r="O283" s="1" t="str">
        <f t="shared" si="39"/>
        <v>Downturn</v>
      </c>
      <c r="P283" s="2">
        <f t="shared" si="40"/>
        <v>43281</v>
      </c>
      <c r="Q283" s="9">
        <f>VLOOKUP(P283,BB!$A$3:$D$6771, 3, 1)*100</f>
        <v>123</v>
      </c>
      <c r="R283" s="1" t="str">
        <f t="shared" si="45"/>
        <v/>
      </c>
      <c r="S283" s="1">
        <f t="shared" si="38"/>
        <v>96</v>
      </c>
      <c r="T283" s="1" t="str">
        <f t="shared" si="37"/>
        <v/>
      </c>
      <c r="AK283" s="1">
        <v>0</v>
      </c>
      <c r="AL283" s="1">
        <v>10</v>
      </c>
      <c r="AM283" s="1">
        <v>0</v>
      </c>
      <c r="AN283" s="1">
        <v>0</v>
      </c>
      <c r="AO283" s="1">
        <f t="shared" si="41"/>
        <v>0</v>
      </c>
      <c r="AP283" s="1">
        <f t="shared" si="42"/>
        <v>700</v>
      </c>
      <c r="AQ283" s="1">
        <f t="shared" si="43"/>
        <v>0</v>
      </c>
      <c r="AR283" s="1">
        <f t="shared" si="44"/>
        <v>0</v>
      </c>
    </row>
    <row r="284" spans="1:44" x14ac:dyDescent="0.2">
      <c r="A284" s="2">
        <v>43282</v>
      </c>
      <c r="B284" s="4">
        <v>0.76800000000000002</v>
      </c>
      <c r="C284" s="4">
        <v>0.99199999999999999</v>
      </c>
      <c r="D284" s="4">
        <v>0.81799999999999995</v>
      </c>
      <c r="E284" s="4">
        <v>0.70199999999999996</v>
      </c>
      <c r="F284" s="4">
        <v>0.17299999999999999</v>
      </c>
      <c r="G284" s="4">
        <v>0.67700000000000005</v>
      </c>
      <c r="H284" s="4">
        <v>0.18099999999999999</v>
      </c>
      <c r="I284" s="4">
        <v>0.77600000000000002</v>
      </c>
      <c r="J284" s="4">
        <v>0.36412500000000003</v>
      </c>
      <c r="K284" s="1">
        <v>0</v>
      </c>
      <c r="L284" s="1">
        <v>700</v>
      </c>
      <c r="M284" s="1">
        <v>0</v>
      </c>
      <c r="N284" s="1">
        <v>0</v>
      </c>
      <c r="O284" s="1" t="str">
        <f t="shared" si="39"/>
        <v>Downturn</v>
      </c>
      <c r="P284" s="2">
        <f t="shared" si="40"/>
        <v>43312</v>
      </c>
      <c r="Q284" s="9">
        <f>VLOOKUP(P284,BB!$A$3:$D$6771, 3, 1)*100</f>
        <v>109.00000000000001</v>
      </c>
      <c r="R284" s="1" t="str">
        <f t="shared" si="45"/>
        <v/>
      </c>
      <c r="S284" s="1">
        <f t="shared" si="38"/>
        <v>96</v>
      </c>
      <c r="T284" s="1" t="str">
        <f t="shared" si="37"/>
        <v/>
      </c>
      <c r="AK284" s="1">
        <v>0</v>
      </c>
      <c r="AL284" s="1">
        <v>10</v>
      </c>
      <c r="AM284" s="1">
        <v>0</v>
      </c>
      <c r="AN284" s="1">
        <v>0</v>
      </c>
      <c r="AO284" s="1">
        <f t="shared" si="41"/>
        <v>0</v>
      </c>
      <c r="AP284" s="1">
        <f t="shared" si="42"/>
        <v>700</v>
      </c>
      <c r="AQ284" s="1">
        <f t="shared" si="43"/>
        <v>0</v>
      </c>
      <c r="AR284" s="1">
        <f t="shared" si="44"/>
        <v>0</v>
      </c>
    </row>
    <row r="285" spans="1:44" x14ac:dyDescent="0.2">
      <c r="A285" s="2">
        <v>43313</v>
      </c>
      <c r="B285" s="4">
        <v>0.78500000000000003</v>
      </c>
      <c r="C285" s="4">
        <v>0.99199999999999999</v>
      </c>
      <c r="D285" s="4">
        <v>0.98299999999999998</v>
      </c>
      <c r="E285" s="4">
        <v>0.76</v>
      </c>
      <c r="F285" s="4">
        <v>0.17299999999999999</v>
      </c>
      <c r="G285" s="4">
        <v>0.67700000000000005</v>
      </c>
      <c r="H285" s="4">
        <v>0.14799999999999999</v>
      </c>
      <c r="I285" s="4">
        <v>0.90900000000000003</v>
      </c>
      <c r="J285" s="4">
        <v>0.32162499999999994</v>
      </c>
      <c r="K285" s="1">
        <v>0</v>
      </c>
      <c r="L285" s="1">
        <v>700</v>
      </c>
      <c r="M285" s="1">
        <v>0</v>
      </c>
      <c r="N285" s="1">
        <v>0</v>
      </c>
      <c r="O285" s="1" t="str">
        <f t="shared" si="39"/>
        <v>Downturn</v>
      </c>
      <c r="P285" s="2">
        <f t="shared" si="40"/>
        <v>43343</v>
      </c>
      <c r="Q285" s="9">
        <f>VLOOKUP(P285,BB!$A$3:$D$6771, 3, 1)*100</f>
        <v>113.99999999999999</v>
      </c>
      <c r="R285" s="1" t="str">
        <f t="shared" si="45"/>
        <v/>
      </c>
      <c r="S285" s="1">
        <f t="shared" si="38"/>
        <v>96</v>
      </c>
      <c r="T285" s="1" t="str">
        <f t="shared" si="37"/>
        <v/>
      </c>
      <c r="AK285" s="1">
        <v>0</v>
      </c>
      <c r="AL285" s="1">
        <v>10</v>
      </c>
      <c r="AM285" s="1">
        <v>0</v>
      </c>
      <c r="AN285" s="1">
        <v>0</v>
      </c>
      <c r="AO285" s="1">
        <f t="shared" si="41"/>
        <v>0</v>
      </c>
      <c r="AP285" s="1">
        <f t="shared" si="42"/>
        <v>700</v>
      </c>
      <c r="AQ285" s="1">
        <f t="shared" si="43"/>
        <v>0</v>
      </c>
      <c r="AR285" s="1">
        <f t="shared" si="44"/>
        <v>0</v>
      </c>
    </row>
    <row r="286" spans="1:44" x14ac:dyDescent="0.2">
      <c r="A286" s="2">
        <v>43344</v>
      </c>
      <c r="B286" s="4">
        <v>0.95799999999999996</v>
      </c>
      <c r="C286" s="4">
        <v>0.98399999999999999</v>
      </c>
      <c r="D286" s="4">
        <v>0.91700000000000004</v>
      </c>
      <c r="E286" s="4">
        <v>0.60299999999999998</v>
      </c>
      <c r="F286" s="4">
        <v>0.18099999999999999</v>
      </c>
      <c r="G286" s="4">
        <v>0.65200000000000002</v>
      </c>
      <c r="H286" s="4">
        <v>0.13200000000000001</v>
      </c>
      <c r="I286" s="4">
        <v>0.54500000000000004</v>
      </c>
      <c r="J286" s="4">
        <v>0.37850000000000006</v>
      </c>
      <c r="K286" s="1">
        <v>0</v>
      </c>
      <c r="L286" s="1">
        <v>700</v>
      </c>
      <c r="M286" s="1">
        <v>0</v>
      </c>
      <c r="N286" s="1">
        <v>0</v>
      </c>
      <c r="O286" s="1" t="str">
        <f t="shared" si="39"/>
        <v>Downturn</v>
      </c>
      <c r="P286" s="2">
        <f t="shared" si="40"/>
        <v>43373</v>
      </c>
      <c r="Q286" s="9">
        <f>VLOOKUP(P286,BB!$A$3:$D$6771, 3, 1)*100</f>
        <v>106</v>
      </c>
      <c r="R286" s="1" t="str">
        <f t="shared" si="45"/>
        <v/>
      </c>
      <c r="S286" s="1">
        <f t="shared" si="38"/>
        <v>96</v>
      </c>
      <c r="T286" s="1" t="str">
        <f t="shared" si="37"/>
        <v/>
      </c>
      <c r="AK286" s="1">
        <v>0</v>
      </c>
      <c r="AL286" s="1">
        <v>10</v>
      </c>
      <c r="AM286" s="1">
        <v>0</v>
      </c>
      <c r="AN286" s="1">
        <v>0</v>
      </c>
      <c r="AO286" s="1">
        <f t="shared" si="41"/>
        <v>0</v>
      </c>
      <c r="AP286" s="1">
        <f t="shared" si="42"/>
        <v>700</v>
      </c>
      <c r="AQ286" s="1">
        <f t="shared" si="43"/>
        <v>0</v>
      </c>
      <c r="AR286" s="1">
        <f t="shared" si="44"/>
        <v>0</v>
      </c>
    </row>
    <row r="287" spans="1:44" x14ac:dyDescent="0.2">
      <c r="A287" s="2">
        <v>43374</v>
      </c>
      <c r="B287" s="4">
        <v>0.95</v>
      </c>
      <c r="C287" s="4">
        <v>0.97599999999999998</v>
      </c>
      <c r="D287" s="4">
        <v>0.77600000000000002</v>
      </c>
      <c r="E287" s="4">
        <v>0.52</v>
      </c>
      <c r="F287" s="4">
        <v>0.13200000000000001</v>
      </c>
      <c r="G287" s="4">
        <v>0.65200000000000002</v>
      </c>
      <c r="H287" s="4">
        <v>0.223</v>
      </c>
      <c r="I287" s="4">
        <v>0.72699999999999998</v>
      </c>
      <c r="J287" s="4">
        <v>0.38049999999999995</v>
      </c>
      <c r="K287" s="1">
        <v>0</v>
      </c>
      <c r="L287" s="1">
        <v>700</v>
      </c>
      <c r="M287" s="1">
        <v>0</v>
      </c>
      <c r="N287" s="1">
        <v>0</v>
      </c>
      <c r="O287" s="1" t="str">
        <f t="shared" si="39"/>
        <v>Downturn</v>
      </c>
      <c r="P287" s="2">
        <f t="shared" si="40"/>
        <v>43404</v>
      </c>
      <c r="Q287" s="9">
        <f>VLOOKUP(P287,BB!$A$3:$D$6771, 3, 1)*100</f>
        <v>118</v>
      </c>
      <c r="R287" s="1" t="str">
        <f t="shared" si="45"/>
        <v/>
      </c>
      <c r="S287" s="1">
        <f t="shared" si="38"/>
        <v>96</v>
      </c>
      <c r="T287" s="1" t="str">
        <f t="shared" si="37"/>
        <v/>
      </c>
      <c r="AK287" s="1">
        <v>0</v>
      </c>
      <c r="AL287" s="1">
        <v>10</v>
      </c>
      <c r="AM287" s="1">
        <v>0</v>
      </c>
      <c r="AN287" s="1">
        <v>0</v>
      </c>
      <c r="AO287" s="1">
        <f t="shared" si="41"/>
        <v>0</v>
      </c>
      <c r="AP287" s="1">
        <f t="shared" si="42"/>
        <v>700</v>
      </c>
      <c r="AQ287" s="1">
        <f t="shared" si="43"/>
        <v>0</v>
      </c>
      <c r="AR287" s="1">
        <f t="shared" si="44"/>
        <v>0</v>
      </c>
    </row>
    <row r="288" spans="1:44" x14ac:dyDescent="0.2">
      <c r="A288" s="2">
        <v>43405</v>
      </c>
      <c r="B288" s="4">
        <v>0.95799999999999996</v>
      </c>
      <c r="C288" s="4">
        <v>0.99199999999999999</v>
      </c>
      <c r="D288" s="4">
        <v>0.876</v>
      </c>
      <c r="E288" s="4">
        <v>0.628</v>
      </c>
      <c r="F288" s="4">
        <v>0.13200000000000001</v>
      </c>
      <c r="G288" s="4">
        <v>0.64400000000000002</v>
      </c>
      <c r="H288" s="4">
        <v>0.19</v>
      </c>
      <c r="I288" s="4">
        <v>0.76</v>
      </c>
      <c r="J288" s="4">
        <v>0.35249999999999992</v>
      </c>
      <c r="K288" s="1">
        <v>0</v>
      </c>
      <c r="L288" s="1">
        <v>700</v>
      </c>
      <c r="M288" s="1">
        <v>0</v>
      </c>
      <c r="N288" s="1">
        <v>0</v>
      </c>
      <c r="O288" s="1" t="str">
        <f t="shared" si="39"/>
        <v>Downturn</v>
      </c>
      <c r="P288" s="2">
        <f t="shared" si="40"/>
        <v>43434</v>
      </c>
      <c r="Q288" s="9">
        <f>VLOOKUP(P288,BB!$A$3:$D$6771, 3, 1)*100</f>
        <v>137</v>
      </c>
      <c r="R288" s="1" t="str">
        <f t="shared" si="45"/>
        <v/>
      </c>
      <c r="S288" s="1">
        <f t="shared" si="38"/>
        <v>96</v>
      </c>
      <c r="T288" s="1" t="str">
        <f t="shared" si="37"/>
        <v/>
      </c>
      <c r="AK288" s="1">
        <v>0</v>
      </c>
      <c r="AL288" s="1">
        <v>10</v>
      </c>
      <c r="AM288" s="1">
        <v>0</v>
      </c>
      <c r="AN288" s="1">
        <v>0</v>
      </c>
      <c r="AO288" s="1">
        <f t="shared" si="41"/>
        <v>0</v>
      </c>
      <c r="AP288" s="1">
        <f t="shared" si="42"/>
        <v>700</v>
      </c>
      <c r="AQ288" s="1">
        <f t="shared" si="43"/>
        <v>0</v>
      </c>
      <c r="AR288" s="1">
        <f t="shared" si="44"/>
        <v>0</v>
      </c>
    </row>
    <row r="289" spans="1:44" x14ac:dyDescent="0.2">
      <c r="A289" s="2">
        <v>43435</v>
      </c>
      <c r="B289" s="4">
        <v>0.98299999999999998</v>
      </c>
      <c r="C289" s="4">
        <v>0.99199999999999999</v>
      </c>
      <c r="D289" s="4">
        <v>0.48699999999999999</v>
      </c>
      <c r="E289" s="4">
        <v>0.28899999999999998</v>
      </c>
      <c r="F289" s="4">
        <v>0.18099999999999999</v>
      </c>
      <c r="G289" s="4">
        <v>0.57799999999999996</v>
      </c>
      <c r="H289" s="4">
        <v>0.36299999999999999</v>
      </c>
      <c r="I289" s="4">
        <v>0.51200000000000001</v>
      </c>
      <c r="J289" s="4">
        <v>0.45187500000000003</v>
      </c>
      <c r="K289" s="1">
        <v>0</v>
      </c>
      <c r="L289" s="1">
        <v>700</v>
      </c>
      <c r="M289" s="1">
        <v>0</v>
      </c>
      <c r="N289" s="1">
        <v>0</v>
      </c>
      <c r="O289" s="1" t="str">
        <f t="shared" si="39"/>
        <v>Downturn</v>
      </c>
      <c r="P289" s="2">
        <f t="shared" si="40"/>
        <v>43465</v>
      </c>
      <c r="Q289" s="9">
        <f>VLOOKUP(P289,BB!$A$3:$D$6771, 3, 1)*100</f>
        <v>153</v>
      </c>
      <c r="R289" s="1" t="str">
        <f t="shared" si="45"/>
        <v/>
      </c>
      <c r="S289" s="1">
        <f t="shared" si="38"/>
        <v>96</v>
      </c>
      <c r="T289" s="1" t="str">
        <f t="shared" si="37"/>
        <v/>
      </c>
      <c r="AK289" s="1">
        <v>0</v>
      </c>
      <c r="AL289" s="1">
        <v>10</v>
      </c>
      <c r="AM289" s="1">
        <v>0</v>
      </c>
      <c r="AN289" s="1">
        <v>0</v>
      </c>
      <c r="AO289" s="1">
        <f t="shared" si="41"/>
        <v>0</v>
      </c>
      <c r="AP289" s="1">
        <f t="shared" si="42"/>
        <v>700</v>
      </c>
      <c r="AQ289" s="1">
        <f t="shared" si="43"/>
        <v>0</v>
      </c>
      <c r="AR289" s="1">
        <f t="shared" si="44"/>
        <v>0</v>
      </c>
    </row>
    <row r="290" spans="1:44" x14ac:dyDescent="0.2">
      <c r="A290" s="2">
        <v>43466</v>
      </c>
      <c r="B290" s="4">
        <v>0.99099999999999999</v>
      </c>
      <c r="C290" s="4">
        <v>0.99199999999999999</v>
      </c>
      <c r="D290" s="4">
        <v>0.68500000000000005</v>
      </c>
      <c r="E290" s="4">
        <v>0.30499999999999999</v>
      </c>
      <c r="F290" s="4">
        <v>0.14799999999999999</v>
      </c>
      <c r="G290" s="4">
        <v>0.51200000000000001</v>
      </c>
      <c r="H290" s="4">
        <v>0.33800000000000002</v>
      </c>
      <c r="I290" s="4">
        <v>0.90900000000000003</v>
      </c>
      <c r="J290" s="4">
        <v>0.3899999999999999</v>
      </c>
      <c r="K290" s="1">
        <v>0</v>
      </c>
      <c r="L290" s="1">
        <v>700</v>
      </c>
      <c r="M290" s="1">
        <v>0</v>
      </c>
      <c r="N290" s="1">
        <v>0</v>
      </c>
      <c r="O290" s="1" t="str">
        <f t="shared" si="39"/>
        <v>Downturn</v>
      </c>
      <c r="P290" s="2">
        <f t="shared" si="40"/>
        <v>43496</v>
      </c>
      <c r="Q290" s="9">
        <f>VLOOKUP(P290,BB!$A$3:$D$6771, 3, 1)*100</f>
        <v>128</v>
      </c>
      <c r="R290" s="1" t="str">
        <f t="shared" si="45"/>
        <v/>
      </c>
      <c r="S290" s="1">
        <f t="shared" si="38"/>
        <v>96</v>
      </c>
      <c r="T290" s="1" t="str">
        <f t="shared" si="37"/>
        <v/>
      </c>
      <c r="AK290" s="1">
        <v>0</v>
      </c>
      <c r="AL290" s="1">
        <v>10</v>
      </c>
      <c r="AM290" s="1">
        <v>0</v>
      </c>
      <c r="AN290" s="1">
        <v>0</v>
      </c>
      <c r="AO290" s="1">
        <f t="shared" si="41"/>
        <v>0</v>
      </c>
      <c r="AP290" s="1">
        <f t="shared" si="42"/>
        <v>700</v>
      </c>
      <c r="AQ290" s="1">
        <f t="shared" si="43"/>
        <v>0</v>
      </c>
      <c r="AR290" s="1">
        <f t="shared" si="44"/>
        <v>0</v>
      </c>
    </row>
    <row r="291" spans="1:44" x14ac:dyDescent="0.2">
      <c r="A291" s="2">
        <v>43497</v>
      </c>
      <c r="B291" s="4">
        <v>0.99099999999999999</v>
      </c>
      <c r="C291" s="4">
        <v>0.97599999999999998</v>
      </c>
      <c r="D291" s="4">
        <v>0.48699999999999999</v>
      </c>
      <c r="E291" s="4">
        <v>0.26400000000000001</v>
      </c>
      <c r="F291" s="4">
        <v>0.18099999999999999</v>
      </c>
      <c r="G291" s="4">
        <v>0.495</v>
      </c>
      <c r="H291" s="4">
        <v>0.28899999999999998</v>
      </c>
      <c r="I291" s="4">
        <v>0.71</v>
      </c>
      <c r="J291" s="4">
        <v>0.45087499999999991</v>
      </c>
      <c r="K291" s="1">
        <v>0</v>
      </c>
      <c r="L291" s="1">
        <v>700</v>
      </c>
      <c r="M291" s="1">
        <v>0</v>
      </c>
      <c r="N291" s="1">
        <v>0</v>
      </c>
      <c r="O291" s="1" t="str">
        <f t="shared" si="39"/>
        <v>Downturn</v>
      </c>
      <c r="P291" s="2">
        <f t="shared" si="40"/>
        <v>43524</v>
      </c>
      <c r="Q291" s="9">
        <f>VLOOKUP(P291,BB!$A$3:$D$6771, 3, 1)*100</f>
        <v>121</v>
      </c>
      <c r="R291" s="1" t="str">
        <f t="shared" si="45"/>
        <v/>
      </c>
      <c r="S291" s="1">
        <f t="shared" si="38"/>
        <v>96</v>
      </c>
      <c r="T291" s="1" t="str">
        <f t="shared" si="37"/>
        <v/>
      </c>
      <c r="AK291" s="1">
        <v>0</v>
      </c>
      <c r="AL291" s="1">
        <v>10</v>
      </c>
      <c r="AM291" s="1">
        <v>0</v>
      </c>
      <c r="AN291" s="1">
        <v>0</v>
      </c>
      <c r="AO291" s="1">
        <f t="shared" si="41"/>
        <v>0</v>
      </c>
      <c r="AP291" s="1">
        <f t="shared" si="42"/>
        <v>700</v>
      </c>
      <c r="AQ291" s="1">
        <f t="shared" si="43"/>
        <v>0</v>
      </c>
      <c r="AR291" s="1">
        <f t="shared" si="44"/>
        <v>0</v>
      </c>
    </row>
    <row r="292" spans="1:44" x14ac:dyDescent="0.2">
      <c r="A292" s="2">
        <v>43525</v>
      </c>
      <c r="B292" s="4">
        <v>0.96599999999999997</v>
      </c>
      <c r="C292" s="4">
        <v>0.99199999999999999</v>
      </c>
      <c r="D292" s="4">
        <v>0.54500000000000004</v>
      </c>
      <c r="E292" s="4">
        <v>0.28000000000000003</v>
      </c>
      <c r="F292" s="4">
        <v>0.19</v>
      </c>
      <c r="G292" s="4">
        <v>0.48699999999999999</v>
      </c>
      <c r="H292" s="4">
        <v>0.35499999999999998</v>
      </c>
      <c r="I292" s="4">
        <v>0.80900000000000005</v>
      </c>
      <c r="J292" s="4">
        <v>0.42199999999999993</v>
      </c>
      <c r="K292" s="1">
        <v>0</v>
      </c>
      <c r="L292" s="1">
        <v>700</v>
      </c>
      <c r="M292" s="1">
        <v>0</v>
      </c>
      <c r="N292" s="1">
        <v>0</v>
      </c>
      <c r="O292" s="1" t="str">
        <f t="shared" si="39"/>
        <v>Downturn</v>
      </c>
      <c r="P292" s="2">
        <f t="shared" si="40"/>
        <v>43555</v>
      </c>
      <c r="Q292" s="9">
        <f>VLOOKUP(P292,BB!$A$3:$D$6771, 3, 1)*100</f>
        <v>119</v>
      </c>
      <c r="R292" s="1" t="str">
        <f t="shared" si="45"/>
        <v/>
      </c>
      <c r="S292" s="1">
        <f t="shared" si="38"/>
        <v>96</v>
      </c>
      <c r="T292" s="1" t="str">
        <f t="shared" si="37"/>
        <v/>
      </c>
      <c r="AK292" s="1">
        <v>0</v>
      </c>
      <c r="AL292" s="1">
        <v>10</v>
      </c>
      <c r="AM292" s="1">
        <v>0</v>
      </c>
      <c r="AN292" s="1">
        <v>0</v>
      </c>
      <c r="AO292" s="1">
        <f t="shared" si="41"/>
        <v>0</v>
      </c>
      <c r="AP292" s="1">
        <f t="shared" si="42"/>
        <v>700</v>
      </c>
      <c r="AQ292" s="1">
        <f t="shared" si="43"/>
        <v>0</v>
      </c>
      <c r="AR292" s="1">
        <f t="shared" si="44"/>
        <v>0</v>
      </c>
    </row>
    <row r="293" spans="1:44" x14ac:dyDescent="0.2">
      <c r="A293" s="2">
        <v>43556</v>
      </c>
      <c r="B293" s="4">
        <v>0.95799999999999996</v>
      </c>
      <c r="C293" s="4">
        <v>0.94299999999999995</v>
      </c>
      <c r="D293" s="4">
        <v>0.33</v>
      </c>
      <c r="E293" s="4">
        <v>0.23899999999999999</v>
      </c>
      <c r="F293" s="4">
        <v>0.52</v>
      </c>
      <c r="G293" s="4">
        <v>0.56999999999999995</v>
      </c>
      <c r="H293" s="4">
        <v>0.28899999999999998</v>
      </c>
      <c r="I293" s="4">
        <v>0.79300000000000004</v>
      </c>
      <c r="J293" s="4">
        <v>0.41975000000000007</v>
      </c>
      <c r="K293" s="1">
        <v>0</v>
      </c>
      <c r="L293" s="1">
        <v>700</v>
      </c>
      <c r="M293" s="1">
        <v>0</v>
      </c>
      <c r="N293" s="1">
        <v>0</v>
      </c>
      <c r="O293" s="1" t="str">
        <f t="shared" si="39"/>
        <v>Downturn</v>
      </c>
      <c r="P293" s="2">
        <f t="shared" si="40"/>
        <v>43585</v>
      </c>
      <c r="Q293" s="9">
        <f>VLOOKUP(P293,BB!$A$3:$D$6771, 3, 1)*100</f>
        <v>111.00000000000001</v>
      </c>
      <c r="R293" s="1" t="str">
        <f t="shared" si="45"/>
        <v/>
      </c>
      <c r="S293" s="1">
        <f t="shared" si="38"/>
        <v>96</v>
      </c>
      <c r="T293" s="1" t="str">
        <f t="shared" si="37"/>
        <v/>
      </c>
      <c r="AK293" s="1">
        <v>0</v>
      </c>
      <c r="AL293" s="1">
        <v>10</v>
      </c>
      <c r="AM293" s="1">
        <v>0</v>
      </c>
      <c r="AN293" s="1">
        <v>0</v>
      </c>
      <c r="AO293" s="1">
        <f t="shared" si="41"/>
        <v>0</v>
      </c>
      <c r="AP293" s="1">
        <f t="shared" si="42"/>
        <v>700</v>
      </c>
      <c r="AQ293" s="1">
        <f t="shared" si="43"/>
        <v>0</v>
      </c>
      <c r="AR293" s="1">
        <f t="shared" si="44"/>
        <v>0</v>
      </c>
    </row>
    <row r="294" spans="1:44" x14ac:dyDescent="0.2">
      <c r="A294" s="2">
        <v>43586</v>
      </c>
      <c r="B294" s="4">
        <v>0.95</v>
      </c>
      <c r="C294" s="4">
        <v>0.95099999999999996</v>
      </c>
      <c r="D294" s="4">
        <v>0.28000000000000003</v>
      </c>
      <c r="E294" s="4">
        <v>0.38</v>
      </c>
      <c r="F294" s="4">
        <v>0.53700000000000003</v>
      </c>
      <c r="G294" s="4">
        <v>0.56999999999999995</v>
      </c>
      <c r="H294" s="4">
        <v>0.41299999999999998</v>
      </c>
      <c r="I294" s="4">
        <v>0.82599999999999996</v>
      </c>
      <c r="J294" s="4">
        <v>0.38662500000000011</v>
      </c>
      <c r="K294" s="1">
        <v>0</v>
      </c>
      <c r="L294" s="1">
        <v>700</v>
      </c>
      <c r="M294" s="1">
        <v>0</v>
      </c>
      <c r="N294" s="1">
        <v>0</v>
      </c>
      <c r="O294" s="1" t="str">
        <f t="shared" si="39"/>
        <v>Downturn</v>
      </c>
      <c r="P294" s="2">
        <f t="shared" si="40"/>
        <v>43616</v>
      </c>
      <c r="Q294" s="9">
        <f>VLOOKUP(P294,BB!$A$3:$D$6771, 3, 1)*100</f>
        <v>128</v>
      </c>
      <c r="R294" s="1">
        <f t="shared" si="45"/>
        <v>32</v>
      </c>
      <c r="S294" s="1">
        <f t="shared" si="38"/>
        <v>96</v>
      </c>
      <c r="T294" s="1" t="str">
        <f t="shared" si="37"/>
        <v>Downturn</v>
      </c>
      <c r="AK294" s="1">
        <v>0</v>
      </c>
      <c r="AL294" s="1">
        <v>10</v>
      </c>
      <c r="AM294" s="1">
        <v>0</v>
      </c>
      <c r="AN294" s="1">
        <v>0</v>
      </c>
      <c r="AO294" s="1">
        <f t="shared" si="41"/>
        <v>0</v>
      </c>
      <c r="AP294" s="1">
        <f t="shared" si="42"/>
        <v>700</v>
      </c>
      <c r="AQ294" s="1">
        <f t="shared" si="43"/>
        <v>0</v>
      </c>
      <c r="AR294" s="1">
        <f t="shared" si="44"/>
        <v>0</v>
      </c>
    </row>
    <row r="295" spans="1:44" x14ac:dyDescent="0.2">
      <c r="A295" s="2">
        <v>43617</v>
      </c>
      <c r="B295" s="4">
        <v>0.97499999999999998</v>
      </c>
      <c r="C295" s="4">
        <v>0.91800000000000004</v>
      </c>
      <c r="D295" s="4">
        <v>0.247</v>
      </c>
      <c r="E295" s="4">
        <v>0.628</v>
      </c>
      <c r="F295" s="4">
        <v>0.55300000000000005</v>
      </c>
      <c r="G295" s="4">
        <v>0.53700000000000003</v>
      </c>
      <c r="H295" s="4">
        <v>0.39600000000000002</v>
      </c>
      <c r="I295" s="4">
        <v>0.95799999999999996</v>
      </c>
      <c r="J295" s="4">
        <v>0.34849999999999992</v>
      </c>
      <c r="K295" s="1">
        <v>700</v>
      </c>
      <c r="L295" s="1">
        <v>0</v>
      </c>
      <c r="M295" s="1">
        <v>0</v>
      </c>
      <c r="N295" s="1">
        <v>0</v>
      </c>
      <c r="O295" s="1" t="str">
        <f t="shared" si="39"/>
        <v>Expansion</v>
      </c>
      <c r="P295" s="2">
        <f t="shared" si="40"/>
        <v>43646</v>
      </c>
      <c r="Q295" s="9">
        <f>VLOOKUP(P295,BB!$A$3:$D$6771, 3, 1)*100</f>
        <v>114.99999999999999</v>
      </c>
      <c r="R295" s="1" t="str">
        <f t="shared" si="45"/>
        <v/>
      </c>
      <c r="S295" s="1">
        <f t="shared" si="38"/>
        <v>128</v>
      </c>
      <c r="T295" s="1" t="str">
        <f t="shared" si="37"/>
        <v/>
      </c>
      <c r="AK295" s="1">
        <v>10</v>
      </c>
      <c r="AL295" s="1">
        <v>0</v>
      </c>
      <c r="AM295" s="1">
        <v>0</v>
      </c>
      <c r="AN295" s="1">
        <v>0</v>
      </c>
      <c r="AO295" s="1">
        <f t="shared" si="41"/>
        <v>700</v>
      </c>
      <c r="AP295" s="1">
        <f t="shared" si="42"/>
        <v>0</v>
      </c>
      <c r="AQ295" s="1">
        <f t="shared" si="43"/>
        <v>0</v>
      </c>
      <c r="AR295" s="1">
        <f t="shared" si="44"/>
        <v>0</v>
      </c>
    </row>
    <row r="296" spans="1:44" x14ac:dyDescent="0.2">
      <c r="A296" s="2">
        <v>43647</v>
      </c>
      <c r="B296" s="4">
        <v>0.94199999999999995</v>
      </c>
      <c r="C296" s="4">
        <v>0.99199999999999999</v>
      </c>
      <c r="D296" s="4">
        <v>0.17299999999999999</v>
      </c>
      <c r="E296" s="4">
        <v>0.61099999999999999</v>
      </c>
      <c r="F296" s="4">
        <v>0.53700000000000003</v>
      </c>
      <c r="G296" s="4">
        <v>0.504</v>
      </c>
      <c r="H296" s="4">
        <v>0.38</v>
      </c>
      <c r="I296" s="4">
        <v>0.69399999999999995</v>
      </c>
      <c r="J296" s="4">
        <v>0.39587499999999998</v>
      </c>
      <c r="K296" s="1">
        <v>700</v>
      </c>
      <c r="L296" s="1">
        <v>0</v>
      </c>
      <c r="M296" s="1">
        <v>0</v>
      </c>
      <c r="N296" s="1">
        <v>0</v>
      </c>
      <c r="O296" s="1" t="str">
        <f t="shared" si="39"/>
        <v>Expansion</v>
      </c>
      <c r="P296" s="2">
        <f t="shared" si="40"/>
        <v>43677</v>
      </c>
      <c r="Q296" s="9">
        <f>VLOOKUP(P296,BB!$A$3:$D$6771, 3, 1)*100</f>
        <v>108</v>
      </c>
      <c r="R296" s="1" t="str">
        <f t="shared" si="45"/>
        <v/>
      </c>
      <c r="S296" s="1">
        <f t="shared" si="38"/>
        <v>128</v>
      </c>
      <c r="T296" s="1" t="str">
        <f t="shared" si="37"/>
        <v/>
      </c>
      <c r="AK296" s="1">
        <v>10</v>
      </c>
      <c r="AL296" s="1">
        <v>0</v>
      </c>
      <c r="AM296" s="1">
        <v>0</v>
      </c>
      <c r="AN296" s="1">
        <v>0</v>
      </c>
      <c r="AO296" s="1">
        <f t="shared" si="41"/>
        <v>700</v>
      </c>
      <c r="AP296" s="1">
        <f t="shared" si="42"/>
        <v>0</v>
      </c>
      <c r="AQ296" s="1">
        <f t="shared" si="43"/>
        <v>0</v>
      </c>
      <c r="AR296" s="1">
        <f t="shared" si="44"/>
        <v>0</v>
      </c>
    </row>
    <row r="297" spans="1:44" x14ac:dyDescent="0.2">
      <c r="A297" s="2">
        <v>43678</v>
      </c>
      <c r="B297" s="4">
        <v>0.93300000000000005</v>
      </c>
      <c r="C297" s="4">
        <v>0.99199999999999999</v>
      </c>
      <c r="D297" s="4">
        <v>4.1000000000000002E-2</v>
      </c>
      <c r="E297" s="4">
        <v>0.82599999999999996</v>
      </c>
      <c r="F297" s="4">
        <v>0.55300000000000005</v>
      </c>
      <c r="G297" s="4">
        <v>0.46200000000000002</v>
      </c>
      <c r="H297" s="4">
        <v>0.52</v>
      </c>
      <c r="I297" s="4">
        <v>0.85899999999999999</v>
      </c>
      <c r="J297" s="4">
        <v>0.35175000000000001</v>
      </c>
      <c r="K297" s="1">
        <v>700</v>
      </c>
      <c r="L297" s="1">
        <v>0</v>
      </c>
      <c r="M297" s="1">
        <v>0</v>
      </c>
      <c r="N297" s="1">
        <v>0</v>
      </c>
      <c r="O297" s="1" t="str">
        <f t="shared" si="39"/>
        <v>Expansion</v>
      </c>
      <c r="P297" s="2">
        <f t="shared" si="40"/>
        <v>43708</v>
      </c>
      <c r="Q297" s="9">
        <f>VLOOKUP(P297,BB!$A$3:$D$6771, 3, 1)*100</f>
        <v>120</v>
      </c>
      <c r="R297" s="1" t="str">
        <f t="shared" si="45"/>
        <v/>
      </c>
      <c r="S297" s="1">
        <f t="shared" si="38"/>
        <v>128</v>
      </c>
      <c r="T297" s="1" t="str">
        <f t="shared" si="37"/>
        <v/>
      </c>
      <c r="AK297" s="1">
        <v>10</v>
      </c>
      <c r="AL297" s="1">
        <v>0</v>
      </c>
      <c r="AM297" s="1">
        <v>0</v>
      </c>
      <c r="AN297" s="1">
        <v>0</v>
      </c>
      <c r="AO297" s="1">
        <f t="shared" si="41"/>
        <v>700</v>
      </c>
      <c r="AP297" s="1">
        <f t="shared" si="42"/>
        <v>0</v>
      </c>
      <c r="AQ297" s="1">
        <f t="shared" si="43"/>
        <v>0</v>
      </c>
      <c r="AR297" s="1">
        <f t="shared" si="44"/>
        <v>0</v>
      </c>
    </row>
    <row r="298" spans="1:44" x14ac:dyDescent="0.2">
      <c r="A298" s="2">
        <v>43709</v>
      </c>
      <c r="B298" s="4">
        <v>0.91700000000000004</v>
      </c>
      <c r="C298" s="4">
        <v>0.98399999999999999</v>
      </c>
      <c r="D298" s="4">
        <v>8.0000000000000002E-3</v>
      </c>
      <c r="E298" s="4">
        <v>0.93300000000000005</v>
      </c>
      <c r="F298" s="4">
        <v>0.44600000000000001</v>
      </c>
      <c r="G298" s="4">
        <v>0.63600000000000001</v>
      </c>
      <c r="H298" s="4">
        <v>0.46200000000000002</v>
      </c>
      <c r="I298" s="4">
        <v>0.29699999999999999</v>
      </c>
      <c r="J298" s="4">
        <v>0.41462500000000002</v>
      </c>
      <c r="K298" s="1">
        <v>700</v>
      </c>
      <c r="L298" s="1">
        <v>0</v>
      </c>
      <c r="M298" s="1">
        <v>0</v>
      </c>
      <c r="N298" s="1">
        <v>0</v>
      </c>
      <c r="O298" s="1" t="str">
        <f t="shared" si="39"/>
        <v>Expansion</v>
      </c>
      <c r="P298" s="2">
        <f t="shared" si="40"/>
        <v>43738</v>
      </c>
      <c r="Q298" s="9">
        <f>VLOOKUP(P298,BB!$A$3:$D$6771, 3, 1)*100</f>
        <v>114.99999999999999</v>
      </c>
      <c r="R298" s="1" t="str">
        <f t="shared" si="45"/>
        <v/>
      </c>
      <c r="S298" s="1">
        <f t="shared" si="38"/>
        <v>128</v>
      </c>
      <c r="T298" s="1" t="str">
        <f t="shared" si="37"/>
        <v/>
      </c>
      <c r="AK298" s="1">
        <v>10</v>
      </c>
      <c r="AL298" s="1">
        <v>0</v>
      </c>
      <c r="AM298" s="1">
        <v>0</v>
      </c>
      <c r="AN298" s="1">
        <v>0</v>
      </c>
      <c r="AO298" s="1">
        <f t="shared" si="41"/>
        <v>700</v>
      </c>
      <c r="AP298" s="1">
        <f t="shared" si="42"/>
        <v>0</v>
      </c>
      <c r="AQ298" s="1">
        <f t="shared" si="43"/>
        <v>0</v>
      </c>
      <c r="AR298" s="1">
        <f t="shared" si="44"/>
        <v>0</v>
      </c>
    </row>
    <row r="299" spans="1:44" x14ac:dyDescent="0.2">
      <c r="A299" s="2">
        <v>43739</v>
      </c>
      <c r="B299" s="4">
        <v>0.9</v>
      </c>
      <c r="C299" s="4">
        <v>0.95899999999999996</v>
      </c>
      <c r="D299" s="4">
        <v>3.3000000000000002E-2</v>
      </c>
      <c r="E299" s="4">
        <v>0.92500000000000004</v>
      </c>
      <c r="F299" s="4">
        <v>0.42099999999999999</v>
      </c>
      <c r="G299" s="4">
        <v>0.46200000000000002</v>
      </c>
      <c r="H299" s="4">
        <v>0.45400000000000001</v>
      </c>
      <c r="I299" s="4">
        <v>0.628</v>
      </c>
      <c r="J299" s="4">
        <v>0.40225</v>
      </c>
      <c r="K299" s="1">
        <v>700</v>
      </c>
      <c r="L299" s="1">
        <v>0</v>
      </c>
      <c r="M299" s="1">
        <v>0</v>
      </c>
      <c r="N299" s="1">
        <v>0</v>
      </c>
      <c r="O299" s="1" t="str">
        <f t="shared" si="39"/>
        <v>Expansion</v>
      </c>
      <c r="P299" s="2">
        <f t="shared" si="40"/>
        <v>43769</v>
      </c>
      <c r="Q299" s="9">
        <f>VLOOKUP(P299,BB!$A$3:$D$6771, 3, 1)*100</f>
        <v>110.00000000000001</v>
      </c>
      <c r="R299" s="1">
        <f t="shared" si="45"/>
        <v>-17.999999999999986</v>
      </c>
      <c r="S299" s="1">
        <f t="shared" si="38"/>
        <v>128</v>
      </c>
      <c r="T299" s="1" t="str">
        <f t="shared" si="37"/>
        <v>Expansion</v>
      </c>
      <c r="AK299" s="1">
        <v>10</v>
      </c>
      <c r="AL299" s="1">
        <v>0</v>
      </c>
      <c r="AM299" s="1">
        <v>0</v>
      </c>
      <c r="AN299" s="1">
        <v>0</v>
      </c>
      <c r="AO299" s="1">
        <f t="shared" si="41"/>
        <v>700</v>
      </c>
      <c r="AP299" s="1">
        <f t="shared" si="42"/>
        <v>0</v>
      </c>
      <c r="AQ299" s="1">
        <f t="shared" si="43"/>
        <v>0</v>
      </c>
      <c r="AR299" s="1">
        <f t="shared" si="44"/>
        <v>0</v>
      </c>
    </row>
    <row r="300" spans="1:44" x14ac:dyDescent="0.2">
      <c r="A300" s="2">
        <v>43770</v>
      </c>
      <c r="B300" s="4">
        <v>0.876</v>
      </c>
      <c r="C300" s="4">
        <v>0.95899999999999996</v>
      </c>
      <c r="D300" s="4">
        <v>1.6E-2</v>
      </c>
      <c r="E300" s="4">
        <v>0.876</v>
      </c>
      <c r="F300" s="4">
        <v>0.47899999999999998</v>
      </c>
      <c r="G300" s="4">
        <v>0.42899999999999999</v>
      </c>
      <c r="H300" s="4">
        <v>0.33</v>
      </c>
      <c r="I300" s="4">
        <v>0.71</v>
      </c>
      <c r="J300" s="4">
        <v>0.41562500000000002</v>
      </c>
      <c r="K300" s="1">
        <v>0</v>
      </c>
      <c r="L300" s="1">
        <v>700</v>
      </c>
      <c r="M300" s="1">
        <v>0</v>
      </c>
      <c r="N300" s="1">
        <v>0</v>
      </c>
      <c r="O300" s="1" t="str">
        <f t="shared" si="39"/>
        <v>Downturn</v>
      </c>
      <c r="P300" s="2">
        <f t="shared" si="40"/>
        <v>43799</v>
      </c>
      <c r="Q300" s="9">
        <f>VLOOKUP(P300,BB!$A$3:$D$6771, 3, 1)*100</f>
        <v>105</v>
      </c>
      <c r="R300" s="1" t="str">
        <f t="shared" si="45"/>
        <v/>
      </c>
      <c r="S300" s="1">
        <f t="shared" si="38"/>
        <v>110.00000000000001</v>
      </c>
      <c r="T300" s="1" t="str">
        <f t="shared" si="37"/>
        <v/>
      </c>
      <c r="AK300" s="1">
        <v>0</v>
      </c>
      <c r="AL300" s="1">
        <v>10</v>
      </c>
      <c r="AM300" s="1">
        <v>0</v>
      </c>
      <c r="AN300" s="1">
        <v>0</v>
      </c>
      <c r="AO300" s="1">
        <f t="shared" si="41"/>
        <v>0</v>
      </c>
      <c r="AP300" s="1">
        <f t="shared" si="42"/>
        <v>700</v>
      </c>
      <c r="AQ300" s="1">
        <f t="shared" si="43"/>
        <v>0</v>
      </c>
      <c r="AR300" s="1">
        <f t="shared" si="44"/>
        <v>0</v>
      </c>
    </row>
    <row r="301" spans="1:44" x14ac:dyDescent="0.2">
      <c r="A301" s="2">
        <v>43800</v>
      </c>
      <c r="B301" s="4">
        <v>0.85899999999999999</v>
      </c>
      <c r="C301" s="4">
        <v>0.84299999999999997</v>
      </c>
      <c r="D301" s="4">
        <v>8.0000000000000002E-3</v>
      </c>
      <c r="E301" s="4">
        <v>0.96599999999999997</v>
      </c>
      <c r="F301" s="4">
        <v>0.14799999999999999</v>
      </c>
      <c r="G301" s="4">
        <v>0.86699999999999999</v>
      </c>
      <c r="H301" s="4">
        <v>0.314</v>
      </c>
      <c r="I301" s="4">
        <v>0.52800000000000002</v>
      </c>
      <c r="J301" s="4">
        <v>0.43337500000000007</v>
      </c>
      <c r="K301" s="1">
        <v>0</v>
      </c>
      <c r="L301" s="1">
        <v>700</v>
      </c>
      <c r="M301" s="1">
        <v>0</v>
      </c>
      <c r="N301" s="1">
        <v>0</v>
      </c>
      <c r="O301" s="1" t="str">
        <f t="shared" si="39"/>
        <v>Downturn</v>
      </c>
      <c r="P301" s="2">
        <f t="shared" si="40"/>
        <v>43830</v>
      </c>
      <c r="Q301" s="9">
        <f>VLOOKUP(P301,BB!$A$3:$D$6771, 3, 1)*100</f>
        <v>93</v>
      </c>
      <c r="R301" s="1" t="str">
        <f t="shared" si="45"/>
        <v/>
      </c>
      <c r="S301" s="1">
        <f t="shared" si="38"/>
        <v>110.00000000000001</v>
      </c>
      <c r="T301" s="1" t="str">
        <f t="shared" si="37"/>
        <v/>
      </c>
      <c r="AK301" s="1">
        <v>0</v>
      </c>
      <c r="AL301" s="1">
        <v>10</v>
      </c>
      <c r="AM301" s="1">
        <v>0</v>
      </c>
      <c r="AN301" s="1">
        <v>0</v>
      </c>
      <c r="AO301" s="1">
        <f t="shared" si="41"/>
        <v>0</v>
      </c>
      <c r="AP301" s="1">
        <f t="shared" si="42"/>
        <v>700</v>
      </c>
      <c r="AQ301" s="1">
        <f t="shared" si="43"/>
        <v>0</v>
      </c>
      <c r="AR301" s="1">
        <f t="shared" si="44"/>
        <v>0</v>
      </c>
    </row>
    <row r="302" spans="1:44" x14ac:dyDescent="0.2">
      <c r="A302" s="2">
        <v>43831</v>
      </c>
      <c r="B302" s="4">
        <v>0.85099999999999998</v>
      </c>
      <c r="C302" s="4">
        <v>0.93399999999999994</v>
      </c>
      <c r="D302" s="4">
        <v>0.19</v>
      </c>
      <c r="E302" s="4">
        <v>0.96599999999999997</v>
      </c>
      <c r="F302" s="4">
        <v>0.157</v>
      </c>
      <c r="G302" s="4">
        <v>0.76800000000000002</v>
      </c>
      <c r="H302" s="4">
        <v>0.45400000000000001</v>
      </c>
      <c r="I302" s="4">
        <v>0.45400000000000001</v>
      </c>
      <c r="J302" s="4">
        <v>0.40325000000000011</v>
      </c>
      <c r="K302" s="1">
        <v>0</v>
      </c>
      <c r="L302" s="1">
        <v>700</v>
      </c>
      <c r="M302" s="1">
        <v>0</v>
      </c>
      <c r="N302" s="1">
        <v>0</v>
      </c>
      <c r="O302" s="1" t="str">
        <f t="shared" si="39"/>
        <v>Downturn</v>
      </c>
      <c r="P302" s="2">
        <f t="shared" si="40"/>
        <v>43861</v>
      </c>
      <c r="Q302" s="9">
        <f>VLOOKUP(P302,BB!$A$3:$D$6771, 3, 1)*100</f>
        <v>102</v>
      </c>
      <c r="R302" s="1" t="str">
        <f t="shared" si="45"/>
        <v/>
      </c>
      <c r="S302" s="1">
        <f t="shared" si="38"/>
        <v>110.00000000000001</v>
      </c>
      <c r="T302" s="1" t="str">
        <f t="shared" si="37"/>
        <v/>
      </c>
      <c r="AK302" s="1">
        <v>0</v>
      </c>
      <c r="AL302" s="1">
        <v>10</v>
      </c>
      <c r="AM302" s="1">
        <v>0</v>
      </c>
      <c r="AN302" s="1">
        <v>0</v>
      </c>
      <c r="AO302" s="1">
        <f t="shared" si="41"/>
        <v>0</v>
      </c>
      <c r="AP302" s="1">
        <f t="shared" si="42"/>
        <v>700</v>
      </c>
      <c r="AQ302" s="1">
        <f t="shared" si="43"/>
        <v>0</v>
      </c>
      <c r="AR302" s="1">
        <f t="shared" si="44"/>
        <v>0</v>
      </c>
    </row>
    <row r="303" spans="1:44" x14ac:dyDescent="0.2">
      <c r="A303" s="2">
        <v>43862</v>
      </c>
      <c r="B303" s="4">
        <v>0.76800000000000002</v>
      </c>
      <c r="C303" s="4">
        <v>0.88500000000000001</v>
      </c>
      <c r="D303" s="4">
        <v>0.13200000000000001</v>
      </c>
      <c r="E303" s="4">
        <v>0.98299999999999998</v>
      </c>
      <c r="F303" s="4">
        <v>0.16500000000000001</v>
      </c>
      <c r="G303" s="4">
        <v>0.79300000000000004</v>
      </c>
      <c r="H303" s="4">
        <v>0.71</v>
      </c>
      <c r="I303" s="4">
        <v>0.66900000000000004</v>
      </c>
      <c r="J303" s="4">
        <v>0.36187499999999995</v>
      </c>
      <c r="K303" s="1">
        <v>0</v>
      </c>
      <c r="L303" s="1">
        <v>700</v>
      </c>
      <c r="M303" s="1">
        <v>0</v>
      </c>
      <c r="N303" s="1">
        <v>0</v>
      </c>
      <c r="O303" s="1" t="str">
        <f t="shared" si="39"/>
        <v>Downturn</v>
      </c>
      <c r="P303" s="2">
        <f t="shared" si="40"/>
        <v>43890</v>
      </c>
      <c r="Q303" s="9">
        <f>VLOOKUP(P303,BB!$A$3:$D$6771, 3, 1)*100</f>
        <v>122</v>
      </c>
      <c r="R303" s="1" t="str">
        <f t="shared" si="45"/>
        <v/>
      </c>
      <c r="S303" s="1">
        <f t="shared" si="38"/>
        <v>110.00000000000001</v>
      </c>
      <c r="T303" s="1" t="str">
        <f t="shared" si="37"/>
        <v/>
      </c>
      <c r="AK303" s="1">
        <v>0</v>
      </c>
      <c r="AL303" s="1">
        <v>10</v>
      </c>
      <c r="AM303" s="1">
        <v>0</v>
      </c>
      <c r="AN303" s="1">
        <v>0</v>
      </c>
      <c r="AO303" s="1">
        <f t="shared" si="41"/>
        <v>0</v>
      </c>
      <c r="AP303" s="1">
        <f t="shared" si="42"/>
        <v>700</v>
      </c>
      <c r="AQ303" s="1">
        <f t="shared" si="43"/>
        <v>0</v>
      </c>
      <c r="AR303" s="1">
        <f t="shared" si="44"/>
        <v>0</v>
      </c>
    </row>
    <row r="304" spans="1:44" x14ac:dyDescent="0.2">
      <c r="A304" s="2">
        <v>43891</v>
      </c>
      <c r="B304" s="4">
        <v>0.314</v>
      </c>
      <c r="C304" s="4">
        <v>0.81899999999999995</v>
      </c>
      <c r="D304" s="4">
        <v>7.3999999999999996E-2</v>
      </c>
      <c r="E304" s="4">
        <v>0.74299999999999999</v>
      </c>
      <c r="F304" s="4">
        <v>0.92500000000000004</v>
      </c>
      <c r="G304" s="4">
        <v>0.25600000000000001</v>
      </c>
      <c r="H304" s="4">
        <v>0.438</v>
      </c>
      <c r="I304" s="4">
        <v>0.56100000000000005</v>
      </c>
      <c r="J304" s="4">
        <v>0.4837499999999999</v>
      </c>
      <c r="K304" s="1">
        <v>0</v>
      </c>
      <c r="L304" s="1">
        <v>700</v>
      </c>
      <c r="M304" s="1">
        <v>0</v>
      </c>
      <c r="N304" s="1">
        <v>0</v>
      </c>
      <c r="O304" s="1" t="str">
        <f t="shared" si="39"/>
        <v>Downturn</v>
      </c>
      <c r="P304" s="2">
        <f t="shared" si="40"/>
        <v>43921</v>
      </c>
      <c r="Q304" s="9">
        <f>VLOOKUP(P304,BB!$A$3:$D$6771, 3, 1)*100</f>
        <v>272</v>
      </c>
      <c r="R304" s="1">
        <f t="shared" si="45"/>
        <v>162</v>
      </c>
      <c r="S304" s="1">
        <f t="shared" si="38"/>
        <v>110.00000000000001</v>
      </c>
      <c r="T304" s="1" t="str">
        <f t="shared" si="37"/>
        <v>Downturn</v>
      </c>
      <c r="AK304" s="1">
        <v>0</v>
      </c>
      <c r="AL304" s="1">
        <v>10</v>
      </c>
      <c r="AM304" s="1">
        <v>0</v>
      </c>
      <c r="AN304" s="1">
        <v>0</v>
      </c>
      <c r="AO304" s="1">
        <f t="shared" si="41"/>
        <v>0</v>
      </c>
      <c r="AP304" s="1">
        <f t="shared" si="42"/>
        <v>700</v>
      </c>
      <c r="AQ304" s="1">
        <f t="shared" si="43"/>
        <v>0</v>
      </c>
      <c r="AR304" s="1">
        <f t="shared" si="44"/>
        <v>0</v>
      </c>
    </row>
    <row r="305" spans="1:44" x14ac:dyDescent="0.2">
      <c r="A305" s="2">
        <v>43922</v>
      </c>
      <c r="B305" s="4">
        <v>0.66900000000000004</v>
      </c>
      <c r="C305" s="4">
        <v>0.80200000000000005</v>
      </c>
      <c r="D305" s="4">
        <v>8.0000000000000002E-3</v>
      </c>
      <c r="E305" s="4">
        <v>0.752</v>
      </c>
      <c r="F305" s="4">
        <v>0.93300000000000005</v>
      </c>
      <c r="G305" s="4">
        <v>0.14799999999999999</v>
      </c>
      <c r="H305" s="4">
        <v>0.48699999999999999</v>
      </c>
      <c r="I305" s="4">
        <v>8.0000000000000002E-3</v>
      </c>
      <c r="J305" s="4">
        <v>0.52412499999999995</v>
      </c>
      <c r="K305" s="1">
        <v>0</v>
      </c>
      <c r="L305" s="1">
        <v>0</v>
      </c>
      <c r="M305" s="1">
        <v>700</v>
      </c>
      <c r="N305" s="1">
        <v>0</v>
      </c>
      <c r="O305" s="1" t="str">
        <f t="shared" si="39"/>
        <v>Repair</v>
      </c>
      <c r="P305" s="2">
        <f t="shared" si="40"/>
        <v>43951</v>
      </c>
      <c r="Q305" s="9">
        <f>VLOOKUP(P305,BB!$A$3:$D$6771, 3, 1)*100</f>
        <v>202</v>
      </c>
      <c r="R305" s="1" t="str">
        <f t="shared" si="45"/>
        <v/>
      </c>
      <c r="S305" s="1">
        <f t="shared" si="38"/>
        <v>272</v>
      </c>
      <c r="T305" s="1" t="str">
        <f t="shared" si="37"/>
        <v/>
      </c>
      <c r="AK305" s="1">
        <v>0</v>
      </c>
      <c r="AL305" s="1">
        <v>0</v>
      </c>
      <c r="AM305" s="1">
        <v>10</v>
      </c>
      <c r="AN305" s="1">
        <v>0</v>
      </c>
      <c r="AO305" s="1">
        <f t="shared" si="41"/>
        <v>0</v>
      </c>
      <c r="AP305" s="1">
        <f t="shared" si="42"/>
        <v>0</v>
      </c>
      <c r="AQ305" s="1">
        <f t="shared" si="43"/>
        <v>700</v>
      </c>
      <c r="AR305" s="1">
        <f t="shared" si="44"/>
        <v>0</v>
      </c>
    </row>
    <row r="306" spans="1:44" x14ac:dyDescent="0.2">
      <c r="A306" s="2">
        <v>43952</v>
      </c>
      <c r="B306" s="4">
        <v>0.66100000000000003</v>
      </c>
      <c r="C306" s="4">
        <v>0.77700000000000002</v>
      </c>
      <c r="D306" s="4">
        <v>1.6E-2</v>
      </c>
      <c r="E306" s="4">
        <v>0.74299999999999999</v>
      </c>
      <c r="F306" s="4">
        <v>0.94199999999999995</v>
      </c>
      <c r="G306" s="4">
        <v>0.13200000000000001</v>
      </c>
      <c r="H306" s="4">
        <v>0.48699999999999999</v>
      </c>
      <c r="I306" s="4">
        <v>1.6E-2</v>
      </c>
      <c r="J306" s="4">
        <v>0.52824999999999989</v>
      </c>
      <c r="K306" s="1">
        <v>0</v>
      </c>
      <c r="L306" s="1">
        <v>0</v>
      </c>
      <c r="M306" s="1">
        <v>700</v>
      </c>
      <c r="N306" s="1">
        <v>0</v>
      </c>
      <c r="O306" s="1" t="str">
        <f t="shared" si="39"/>
        <v>Repair</v>
      </c>
      <c r="P306" s="2">
        <f t="shared" si="40"/>
        <v>43982</v>
      </c>
      <c r="Q306" s="9">
        <f>VLOOKUP(P306,BB!$A$3:$D$6771, 3, 1)*100</f>
        <v>174</v>
      </c>
      <c r="R306" s="1" t="str">
        <f t="shared" si="45"/>
        <v/>
      </c>
      <c r="S306" s="1">
        <f t="shared" si="38"/>
        <v>272</v>
      </c>
      <c r="T306" s="1" t="str">
        <f t="shared" si="37"/>
        <v/>
      </c>
      <c r="AK306" s="1">
        <v>0</v>
      </c>
      <c r="AL306" s="1">
        <v>0</v>
      </c>
      <c r="AM306" s="1">
        <v>10</v>
      </c>
      <c r="AN306" s="1">
        <v>0</v>
      </c>
      <c r="AO306" s="1">
        <f t="shared" si="41"/>
        <v>0</v>
      </c>
      <c r="AP306" s="1">
        <f t="shared" si="42"/>
        <v>0</v>
      </c>
      <c r="AQ306" s="1">
        <f t="shared" si="43"/>
        <v>700</v>
      </c>
      <c r="AR306" s="1">
        <f t="shared" si="44"/>
        <v>0</v>
      </c>
    </row>
    <row r="307" spans="1:44" x14ac:dyDescent="0.2">
      <c r="A307" s="2">
        <v>43983</v>
      </c>
      <c r="B307" s="4">
        <v>0.52</v>
      </c>
      <c r="C307" s="4">
        <v>0.76900000000000002</v>
      </c>
      <c r="D307" s="4">
        <v>0.38</v>
      </c>
      <c r="E307" s="4">
        <v>8.0000000000000002E-3</v>
      </c>
      <c r="F307" s="4">
        <v>0.99099999999999999</v>
      </c>
      <c r="G307" s="4">
        <v>8.0000000000000002E-3</v>
      </c>
      <c r="H307" s="4">
        <v>0.33800000000000002</v>
      </c>
      <c r="I307" s="4">
        <v>6.6000000000000003E-2</v>
      </c>
      <c r="J307" s="4">
        <v>0.61499999999999999</v>
      </c>
      <c r="K307" s="1">
        <v>0</v>
      </c>
      <c r="L307" s="1">
        <v>0</v>
      </c>
      <c r="M307" s="1">
        <v>700</v>
      </c>
      <c r="N307" s="1">
        <v>0</v>
      </c>
      <c r="O307" s="1" t="str">
        <f t="shared" si="39"/>
        <v>Repair</v>
      </c>
      <c r="P307" s="2">
        <f t="shared" si="40"/>
        <v>44012</v>
      </c>
      <c r="Q307" s="9">
        <f>VLOOKUP(P307,BB!$A$3:$D$6771, 3, 1)*100</f>
        <v>150</v>
      </c>
      <c r="R307" s="1" t="str">
        <f t="shared" si="45"/>
        <v/>
      </c>
      <c r="S307" s="1">
        <f t="shared" si="38"/>
        <v>272</v>
      </c>
      <c r="T307" s="1" t="str">
        <f t="shared" si="37"/>
        <v/>
      </c>
      <c r="AK307" s="1">
        <v>0</v>
      </c>
      <c r="AL307" s="1">
        <v>0</v>
      </c>
      <c r="AM307" s="1">
        <v>10</v>
      </c>
      <c r="AN307" s="1">
        <v>0</v>
      </c>
      <c r="AO307" s="1">
        <f t="shared" si="41"/>
        <v>0</v>
      </c>
      <c r="AP307" s="1">
        <f t="shared" si="42"/>
        <v>0</v>
      </c>
      <c r="AQ307" s="1">
        <f t="shared" si="43"/>
        <v>700</v>
      </c>
      <c r="AR307" s="1">
        <f t="shared" si="44"/>
        <v>0</v>
      </c>
    </row>
    <row r="308" spans="1:44" x14ac:dyDescent="0.2">
      <c r="A308" s="2">
        <v>44013</v>
      </c>
      <c r="B308" s="4">
        <v>0.438</v>
      </c>
      <c r="C308" s="4">
        <v>0.81899999999999995</v>
      </c>
      <c r="D308" s="4">
        <v>0.54500000000000004</v>
      </c>
      <c r="E308" s="4">
        <v>1.6E-2</v>
      </c>
      <c r="F308" s="4">
        <v>0.98299999999999998</v>
      </c>
      <c r="G308" s="4">
        <v>8.0000000000000002E-3</v>
      </c>
      <c r="H308" s="4">
        <v>0.38800000000000001</v>
      </c>
      <c r="I308" s="4">
        <v>0.54500000000000004</v>
      </c>
      <c r="J308" s="4">
        <v>0.53225</v>
      </c>
      <c r="K308" s="1">
        <v>0</v>
      </c>
      <c r="L308" s="1">
        <v>0</v>
      </c>
      <c r="M308" s="1">
        <v>700</v>
      </c>
      <c r="N308" s="1">
        <v>0</v>
      </c>
      <c r="O308" s="1" t="str">
        <f t="shared" si="39"/>
        <v>Repair</v>
      </c>
      <c r="P308" s="2">
        <f t="shared" si="40"/>
        <v>44043</v>
      </c>
      <c r="Q308" s="9">
        <f>VLOOKUP(P308,BB!$A$3:$D$6771, 3, 1)*100</f>
        <v>133</v>
      </c>
      <c r="R308" s="1" t="str">
        <f t="shared" si="45"/>
        <v/>
      </c>
      <c r="S308" s="1">
        <f t="shared" si="38"/>
        <v>272</v>
      </c>
      <c r="T308" s="1" t="str">
        <f t="shared" si="37"/>
        <v/>
      </c>
      <c r="AK308" s="1">
        <v>0</v>
      </c>
      <c r="AL308" s="1">
        <v>0</v>
      </c>
      <c r="AM308" s="1">
        <v>10</v>
      </c>
      <c r="AN308" s="1">
        <v>0</v>
      </c>
      <c r="AO308" s="1">
        <f t="shared" si="41"/>
        <v>0</v>
      </c>
      <c r="AP308" s="1">
        <f t="shared" si="42"/>
        <v>0</v>
      </c>
      <c r="AQ308" s="1">
        <f t="shared" si="43"/>
        <v>700</v>
      </c>
      <c r="AR308" s="1">
        <f t="shared" si="44"/>
        <v>0</v>
      </c>
    </row>
    <row r="309" spans="1:44" x14ac:dyDescent="0.2">
      <c r="A309" s="2">
        <v>44044</v>
      </c>
      <c r="B309" s="4">
        <v>0.223</v>
      </c>
      <c r="C309" s="4">
        <v>0.73599999999999999</v>
      </c>
      <c r="D309" s="4">
        <v>0.67700000000000005</v>
      </c>
      <c r="E309" s="4">
        <v>8.0000000000000002E-3</v>
      </c>
      <c r="F309" s="4">
        <v>0.99099999999999999</v>
      </c>
      <c r="G309" s="4">
        <v>1.6E-2</v>
      </c>
      <c r="H309" s="4">
        <v>0.25600000000000001</v>
      </c>
      <c r="I309" s="4">
        <v>0.71</v>
      </c>
      <c r="J309" s="4">
        <v>0.547875</v>
      </c>
      <c r="K309" s="1">
        <v>0</v>
      </c>
      <c r="L309" s="1">
        <v>0</v>
      </c>
      <c r="M309" s="1">
        <v>700</v>
      </c>
      <c r="N309" s="1">
        <v>0</v>
      </c>
      <c r="O309" s="1" t="str">
        <f t="shared" si="39"/>
        <v>Repair</v>
      </c>
      <c r="P309" s="2">
        <f t="shared" si="40"/>
        <v>44074</v>
      </c>
      <c r="Q309" s="9">
        <f>VLOOKUP(P309,BB!$A$3:$D$6771, 3, 1)*100</f>
        <v>129</v>
      </c>
      <c r="R309" s="1" t="str">
        <f t="shared" si="45"/>
        <v/>
      </c>
      <c r="S309" s="1">
        <f t="shared" si="38"/>
        <v>272</v>
      </c>
      <c r="T309" s="1" t="str">
        <f t="shared" si="37"/>
        <v/>
      </c>
      <c r="AK309" s="1">
        <v>0</v>
      </c>
      <c r="AL309" s="1">
        <v>0</v>
      </c>
      <c r="AM309" s="1">
        <v>10</v>
      </c>
      <c r="AN309" s="1">
        <v>0</v>
      </c>
      <c r="AO309" s="1">
        <f t="shared" si="41"/>
        <v>0</v>
      </c>
      <c r="AP309" s="1">
        <f t="shared" si="42"/>
        <v>0</v>
      </c>
      <c r="AQ309" s="1">
        <f t="shared" si="43"/>
        <v>700</v>
      </c>
      <c r="AR309" s="1">
        <f t="shared" si="44"/>
        <v>0</v>
      </c>
    </row>
    <row r="310" spans="1:44" x14ac:dyDescent="0.2">
      <c r="A310" s="2">
        <v>44075</v>
      </c>
      <c r="B310" s="4">
        <v>0.223</v>
      </c>
      <c r="C310" s="4">
        <v>0.74399999999999999</v>
      </c>
      <c r="D310" s="4">
        <v>0.63600000000000001</v>
      </c>
      <c r="E310" s="4">
        <v>3.3000000000000002E-2</v>
      </c>
      <c r="F310" s="4">
        <v>0.99099999999999999</v>
      </c>
      <c r="G310" s="4">
        <v>8.0000000000000002E-3</v>
      </c>
      <c r="H310" s="4">
        <v>0.25600000000000001</v>
      </c>
      <c r="I310" s="4">
        <v>0.84199999999999997</v>
      </c>
      <c r="J310" s="4">
        <v>0.53337499999999993</v>
      </c>
      <c r="K310" s="1">
        <v>0</v>
      </c>
      <c r="L310" s="1">
        <v>0</v>
      </c>
      <c r="M310" s="1">
        <v>700</v>
      </c>
      <c r="N310" s="1">
        <v>0</v>
      </c>
      <c r="O310" s="1" t="str">
        <f t="shared" si="39"/>
        <v>Repair</v>
      </c>
      <c r="P310" s="2">
        <f t="shared" si="40"/>
        <v>44104</v>
      </c>
      <c r="Q310" s="9">
        <f>VLOOKUP(P310,BB!$A$3:$D$6771, 3, 1)*100</f>
        <v>136</v>
      </c>
      <c r="R310" s="1" t="str">
        <f t="shared" si="45"/>
        <v/>
      </c>
      <c r="S310" s="1">
        <f t="shared" si="38"/>
        <v>272</v>
      </c>
      <c r="T310" s="1" t="str">
        <f t="shared" si="37"/>
        <v/>
      </c>
      <c r="AK310" s="1">
        <v>0</v>
      </c>
      <c r="AL310" s="1">
        <v>0</v>
      </c>
      <c r="AM310" s="1">
        <v>10</v>
      </c>
      <c r="AN310" s="1">
        <v>0</v>
      </c>
      <c r="AO310" s="1">
        <f t="shared" si="41"/>
        <v>0</v>
      </c>
      <c r="AP310" s="1">
        <f t="shared" si="42"/>
        <v>0</v>
      </c>
      <c r="AQ310" s="1">
        <f t="shared" si="43"/>
        <v>700</v>
      </c>
      <c r="AR310" s="1">
        <f t="shared" si="44"/>
        <v>0</v>
      </c>
    </row>
    <row r="311" spans="1:44" x14ac:dyDescent="0.2">
      <c r="A311" s="2">
        <v>44105</v>
      </c>
      <c r="B311" s="4">
        <v>0.32200000000000001</v>
      </c>
      <c r="C311" s="4">
        <v>0.70300000000000007</v>
      </c>
      <c r="D311" s="4">
        <v>0.89200000000000002</v>
      </c>
      <c r="E311" s="4">
        <v>3.3000000000000002E-2</v>
      </c>
      <c r="F311" s="4">
        <v>0.98299999999999998</v>
      </c>
      <c r="G311" s="4">
        <v>1.6E-2</v>
      </c>
      <c r="H311" s="4">
        <v>0.27200000000000002</v>
      </c>
      <c r="I311" s="4">
        <v>0.96599999999999997</v>
      </c>
      <c r="J311" s="4">
        <v>0.47662499999999997</v>
      </c>
      <c r="K311" s="1">
        <v>0</v>
      </c>
      <c r="L311" s="1">
        <v>0</v>
      </c>
      <c r="M311" s="1">
        <v>700</v>
      </c>
      <c r="N311" s="1">
        <v>0</v>
      </c>
      <c r="O311" s="1" t="str">
        <f t="shared" si="39"/>
        <v>Repair</v>
      </c>
      <c r="P311" s="2">
        <f t="shared" si="40"/>
        <v>44135</v>
      </c>
      <c r="Q311" s="9">
        <f>VLOOKUP(P311,BB!$A$3:$D$6771, 3, 1)*100</f>
        <v>125</v>
      </c>
      <c r="R311" s="1" t="str">
        <f t="shared" si="45"/>
        <v/>
      </c>
      <c r="S311" s="1">
        <f t="shared" si="38"/>
        <v>272</v>
      </c>
      <c r="T311" s="1" t="str">
        <f t="shared" si="37"/>
        <v/>
      </c>
      <c r="AK311" s="1">
        <v>0</v>
      </c>
      <c r="AL311" s="1">
        <v>0</v>
      </c>
      <c r="AM311" s="1">
        <v>10</v>
      </c>
      <c r="AN311" s="1">
        <v>0</v>
      </c>
      <c r="AO311" s="1">
        <f t="shared" si="41"/>
        <v>0</v>
      </c>
      <c r="AP311" s="1">
        <f t="shared" si="42"/>
        <v>0</v>
      </c>
      <c r="AQ311" s="1">
        <f t="shared" si="43"/>
        <v>700</v>
      </c>
      <c r="AR311" s="1">
        <f t="shared" si="44"/>
        <v>0</v>
      </c>
    </row>
    <row r="312" spans="1:44" x14ac:dyDescent="0.2">
      <c r="A312" s="2">
        <v>44136</v>
      </c>
      <c r="B312" s="4">
        <v>0.39600000000000002</v>
      </c>
      <c r="C312" s="4">
        <v>0.70300000000000007</v>
      </c>
      <c r="D312" s="4">
        <v>0.78500000000000003</v>
      </c>
      <c r="E312" s="4">
        <v>4.1000000000000002E-2</v>
      </c>
      <c r="F312" s="4">
        <v>0.97499999999999998</v>
      </c>
      <c r="G312" s="4">
        <v>2.4E-2</v>
      </c>
      <c r="H312" s="4">
        <v>0.25600000000000001</v>
      </c>
      <c r="I312" s="4">
        <v>0.89200000000000002</v>
      </c>
      <c r="J312" s="4">
        <v>0.49099999999999988</v>
      </c>
      <c r="K312" s="1">
        <v>0</v>
      </c>
      <c r="L312" s="1">
        <v>0</v>
      </c>
      <c r="M312" s="1">
        <v>700</v>
      </c>
      <c r="N312" s="1">
        <v>0</v>
      </c>
      <c r="O312" s="1" t="str">
        <f t="shared" si="39"/>
        <v>Repair</v>
      </c>
      <c r="P312" s="2">
        <f t="shared" si="40"/>
        <v>44165</v>
      </c>
      <c r="Q312" s="9">
        <f>VLOOKUP(P312,BB!$A$3:$D$6771, 3, 1)*100</f>
        <v>104</v>
      </c>
      <c r="R312" s="1">
        <f t="shared" si="45"/>
        <v>-168</v>
      </c>
      <c r="S312" s="1">
        <f t="shared" si="38"/>
        <v>272</v>
      </c>
      <c r="T312" s="1" t="str">
        <f t="shared" si="37"/>
        <v>Repair</v>
      </c>
      <c r="AK312" s="1">
        <v>0</v>
      </c>
      <c r="AL312" s="1">
        <v>0</v>
      </c>
      <c r="AM312" s="1">
        <v>10</v>
      </c>
      <c r="AN312" s="1">
        <v>0</v>
      </c>
      <c r="AO312" s="1">
        <f t="shared" si="41"/>
        <v>0</v>
      </c>
      <c r="AP312" s="1">
        <f t="shared" si="42"/>
        <v>0</v>
      </c>
      <c r="AQ312" s="1">
        <f t="shared" si="43"/>
        <v>700</v>
      </c>
      <c r="AR312" s="1">
        <f t="shared" si="44"/>
        <v>0</v>
      </c>
    </row>
    <row r="313" spans="1:44" x14ac:dyDescent="0.2">
      <c r="A313" s="2">
        <v>44166</v>
      </c>
      <c r="B313" s="4">
        <v>0.28000000000000003</v>
      </c>
      <c r="C313" s="4">
        <v>0.66199999999999992</v>
      </c>
      <c r="D313" s="4">
        <v>0.94199999999999995</v>
      </c>
      <c r="E313" s="4">
        <v>5.7000000000000002E-2</v>
      </c>
      <c r="F313" s="4">
        <v>0.99099999999999999</v>
      </c>
      <c r="G313" s="4">
        <v>8.0000000000000002E-3</v>
      </c>
      <c r="H313" s="4">
        <v>0.19</v>
      </c>
      <c r="I313" s="4">
        <v>0.95</v>
      </c>
      <c r="J313" s="4">
        <v>0.49</v>
      </c>
      <c r="K313" s="1">
        <v>0</v>
      </c>
      <c r="L313" s="1">
        <v>0</v>
      </c>
      <c r="M313" s="1">
        <v>0</v>
      </c>
      <c r="N313" s="1">
        <v>700</v>
      </c>
      <c r="O313" s="1" t="str">
        <f t="shared" si="39"/>
        <v>Recovery</v>
      </c>
      <c r="P313" s="2">
        <f t="shared" si="40"/>
        <v>44196</v>
      </c>
      <c r="Q313" s="9">
        <f>VLOOKUP(P313,BB!$A$3:$D$6771, 3, 1)*100</f>
        <v>96</v>
      </c>
      <c r="R313" s="1">
        <f t="shared" si="45"/>
        <v>-8</v>
      </c>
      <c r="S313" s="1">
        <f t="shared" si="38"/>
        <v>104</v>
      </c>
      <c r="T313" s="1" t="str">
        <f t="shared" si="37"/>
        <v>Recovery</v>
      </c>
      <c r="AK313" s="1">
        <v>0</v>
      </c>
      <c r="AL313" s="1">
        <v>0</v>
      </c>
      <c r="AM313" s="1">
        <v>0</v>
      </c>
      <c r="AN313" s="1">
        <v>10</v>
      </c>
      <c r="AO313" s="1">
        <f t="shared" si="41"/>
        <v>0</v>
      </c>
      <c r="AP313" s="1">
        <f t="shared" si="42"/>
        <v>0</v>
      </c>
      <c r="AQ313" s="1">
        <f t="shared" si="43"/>
        <v>0</v>
      </c>
      <c r="AR313" s="1">
        <f t="shared" si="44"/>
        <v>700</v>
      </c>
    </row>
    <row r="314" spans="1:44" x14ac:dyDescent="0.2">
      <c r="A314" s="2">
        <v>44197</v>
      </c>
      <c r="B314" s="4">
        <v>0.19</v>
      </c>
      <c r="C314" s="4">
        <v>0.59599999999999997</v>
      </c>
      <c r="D314" s="4">
        <v>0.82599999999999996</v>
      </c>
      <c r="E314" s="4">
        <v>5.7000000000000002E-2</v>
      </c>
      <c r="F314" s="4">
        <v>0.98299999999999998</v>
      </c>
      <c r="G314" s="4">
        <v>1.6E-2</v>
      </c>
      <c r="H314" s="4">
        <v>0.13200000000000001</v>
      </c>
      <c r="I314" s="4">
        <v>0.76800000000000002</v>
      </c>
      <c r="J314" s="4">
        <v>0.55399999999999994</v>
      </c>
      <c r="K314" s="1">
        <v>0</v>
      </c>
      <c r="L314" s="1">
        <v>0</v>
      </c>
      <c r="M314" s="1">
        <v>700</v>
      </c>
      <c r="N314" s="1">
        <v>0</v>
      </c>
      <c r="O314" s="1" t="str">
        <f t="shared" si="39"/>
        <v>Repair</v>
      </c>
      <c r="P314" s="2">
        <f t="shared" si="40"/>
        <v>44227</v>
      </c>
      <c r="Q314" s="9">
        <f>VLOOKUP(P314,BB!$A$3:$D$6771, 3, 1)*100</f>
        <v>97</v>
      </c>
      <c r="R314" s="1" t="str">
        <f t="shared" si="45"/>
        <v/>
      </c>
      <c r="S314" s="1">
        <f t="shared" si="38"/>
        <v>96</v>
      </c>
      <c r="T314" s="1" t="str">
        <f t="shared" si="37"/>
        <v/>
      </c>
      <c r="AK314" s="1">
        <v>0</v>
      </c>
      <c r="AL314" s="1">
        <v>0</v>
      </c>
      <c r="AM314" s="1">
        <v>10</v>
      </c>
      <c r="AN314" s="1">
        <v>0</v>
      </c>
      <c r="AO314" s="1">
        <f t="shared" si="41"/>
        <v>0</v>
      </c>
      <c r="AP314" s="1">
        <f t="shared" si="42"/>
        <v>0</v>
      </c>
      <c r="AQ314" s="1">
        <f t="shared" si="43"/>
        <v>700</v>
      </c>
      <c r="AR314" s="1">
        <f t="shared" si="44"/>
        <v>0</v>
      </c>
    </row>
    <row r="315" spans="1:44" x14ac:dyDescent="0.2">
      <c r="A315" s="2">
        <v>44228</v>
      </c>
      <c r="B315" s="4">
        <v>0.14799999999999999</v>
      </c>
      <c r="C315" s="4">
        <v>0.45499999999999996</v>
      </c>
      <c r="D315" s="4">
        <v>0.95799999999999996</v>
      </c>
      <c r="E315" s="4">
        <v>3.3000000000000002E-2</v>
      </c>
      <c r="F315" s="4">
        <v>0.99099999999999999</v>
      </c>
      <c r="G315" s="4">
        <v>2.4E-2</v>
      </c>
      <c r="H315" s="4">
        <v>0.09</v>
      </c>
      <c r="I315" s="4">
        <v>0.85099999999999998</v>
      </c>
      <c r="J315" s="4">
        <v>0.55625000000000002</v>
      </c>
      <c r="K315" s="1">
        <v>0</v>
      </c>
      <c r="L315" s="1">
        <v>0</v>
      </c>
      <c r="M315" s="1">
        <v>700</v>
      </c>
      <c r="N315" s="1">
        <v>0</v>
      </c>
      <c r="O315" s="1" t="str">
        <f t="shared" si="39"/>
        <v>Repair</v>
      </c>
      <c r="P315" s="2">
        <f t="shared" si="40"/>
        <v>44255</v>
      </c>
      <c r="Q315" s="9">
        <f>VLOOKUP(P315,BB!$A$3:$D$6771, 3, 1)*100</f>
        <v>90</v>
      </c>
      <c r="R315" s="1" t="str">
        <f t="shared" si="45"/>
        <v/>
      </c>
      <c r="S315" s="1">
        <f t="shared" si="38"/>
        <v>96</v>
      </c>
      <c r="T315" s="1" t="str">
        <f t="shared" si="37"/>
        <v/>
      </c>
      <c r="AK315" s="1">
        <v>0</v>
      </c>
      <c r="AL315" s="1">
        <v>0</v>
      </c>
      <c r="AM315" s="1">
        <v>10</v>
      </c>
      <c r="AN315" s="1">
        <v>0</v>
      </c>
      <c r="AO315" s="1">
        <f t="shared" si="41"/>
        <v>0</v>
      </c>
      <c r="AP315" s="1">
        <f t="shared" si="42"/>
        <v>0</v>
      </c>
      <c r="AQ315" s="1">
        <f t="shared" si="43"/>
        <v>700</v>
      </c>
      <c r="AR315" s="1">
        <f t="shared" si="44"/>
        <v>0</v>
      </c>
    </row>
    <row r="316" spans="1:44" x14ac:dyDescent="0.2">
      <c r="A316" s="2">
        <v>44256</v>
      </c>
      <c r="B316" s="4">
        <v>8.2000000000000003E-2</v>
      </c>
      <c r="C316" s="4">
        <v>0.30600000000000005</v>
      </c>
      <c r="D316" s="4">
        <v>0.99099999999999999</v>
      </c>
      <c r="E316" s="4">
        <v>0.38</v>
      </c>
      <c r="F316" s="4">
        <v>0.876</v>
      </c>
      <c r="G316" s="4">
        <v>0.33800000000000002</v>
      </c>
      <c r="H316" s="4">
        <v>0.115</v>
      </c>
      <c r="I316" s="4">
        <v>0.93300000000000005</v>
      </c>
      <c r="J316" s="4">
        <v>0.49737500000000001</v>
      </c>
      <c r="K316" s="1">
        <v>0</v>
      </c>
      <c r="L316" s="1">
        <v>0</v>
      </c>
      <c r="M316" s="1">
        <v>700</v>
      </c>
      <c r="N316" s="1">
        <v>0</v>
      </c>
      <c r="O316" s="1" t="str">
        <f t="shared" si="39"/>
        <v>Repair</v>
      </c>
      <c r="P316" s="2">
        <f t="shared" si="40"/>
        <v>44286</v>
      </c>
      <c r="Q316" s="9">
        <f>VLOOKUP(P316,BB!$A$3:$D$6771, 3, 1)*100</f>
        <v>91</v>
      </c>
      <c r="R316" s="1">
        <f t="shared" si="45"/>
        <v>-5</v>
      </c>
      <c r="S316" s="1">
        <f t="shared" si="38"/>
        <v>96</v>
      </c>
      <c r="T316" s="1" t="str">
        <f t="shared" si="37"/>
        <v>Repair</v>
      </c>
      <c r="AK316" s="1">
        <v>0</v>
      </c>
      <c r="AL316" s="1">
        <v>0</v>
      </c>
      <c r="AM316" s="1">
        <v>10</v>
      </c>
      <c r="AN316" s="1">
        <v>0</v>
      </c>
      <c r="AO316" s="1">
        <f t="shared" si="41"/>
        <v>0</v>
      </c>
      <c r="AP316" s="1">
        <f t="shared" si="42"/>
        <v>0</v>
      </c>
      <c r="AQ316" s="1">
        <f t="shared" si="43"/>
        <v>700</v>
      </c>
      <c r="AR316" s="1">
        <f t="shared" si="44"/>
        <v>0</v>
      </c>
    </row>
    <row r="317" spans="1:44" x14ac:dyDescent="0.2">
      <c r="A317" s="2">
        <v>44287</v>
      </c>
      <c r="B317" s="4">
        <v>8.0000000000000002E-3</v>
      </c>
      <c r="C317" s="4">
        <v>0.34799999999999998</v>
      </c>
      <c r="D317" s="4">
        <v>0.94199999999999995</v>
      </c>
      <c r="E317" s="4">
        <v>0.41299999999999998</v>
      </c>
      <c r="F317" s="4">
        <v>0.85099999999999998</v>
      </c>
      <c r="G317" s="4">
        <v>0.42099999999999999</v>
      </c>
      <c r="H317" s="4">
        <v>9.9000000000000005E-2</v>
      </c>
      <c r="I317" s="4">
        <v>0.96599999999999997</v>
      </c>
      <c r="J317" s="4">
        <v>0.49399999999999999</v>
      </c>
      <c r="K317" s="1">
        <v>0</v>
      </c>
      <c r="L317" s="1">
        <v>0</v>
      </c>
      <c r="M317" s="1">
        <v>0</v>
      </c>
      <c r="N317" s="1">
        <v>700</v>
      </c>
      <c r="O317" s="1" t="str">
        <f t="shared" si="39"/>
        <v>Recovery</v>
      </c>
      <c r="P317" s="2">
        <f t="shared" si="40"/>
        <v>44316</v>
      </c>
      <c r="Q317" s="9">
        <f>VLOOKUP(P317,BB!$A$3:$D$6771, 3, 1)*100</f>
        <v>88</v>
      </c>
      <c r="R317" s="1" t="str">
        <f t="shared" si="45"/>
        <v/>
      </c>
      <c r="S317" s="1">
        <f t="shared" si="38"/>
        <v>91</v>
      </c>
      <c r="T317" s="1" t="str">
        <f t="shared" si="37"/>
        <v/>
      </c>
      <c r="AK317" s="1">
        <v>0</v>
      </c>
      <c r="AL317" s="1">
        <v>0</v>
      </c>
      <c r="AM317" s="1">
        <v>0</v>
      </c>
      <c r="AN317" s="1">
        <v>10</v>
      </c>
      <c r="AO317" s="1">
        <f t="shared" si="41"/>
        <v>0</v>
      </c>
      <c r="AP317" s="1">
        <f t="shared" si="42"/>
        <v>0</v>
      </c>
      <c r="AQ317" s="1">
        <f t="shared" si="43"/>
        <v>0</v>
      </c>
      <c r="AR317" s="1">
        <f t="shared" si="44"/>
        <v>700</v>
      </c>
    </row>
    <row r="318" spans="1:44" x14ac:dyDescent="0.2">
      <c r="A318" s="2">
        <v>44317</v>
      </c>
      <c r="B318" s="4">
        <v>8.0000000000000002E-3</v>
      </c>
      <c r="C318" s="4">
        <v>0.36399999999999999</v>
      </c>
      <c r="D318" s="4">
        <v>0.97499999999999998</v>
      </c>
      <c r="E318" s="4">
        <v>0.42899999999999999</v>
      </c>
      <c r="F318" s="4">
        <v>0.80100000000000005</v>
      </c>
      <c r="G318" s="4">
        <v>0.46200000000000002</v>
      </c>
      <c r="H318" s="4">
        <v>0.14000000000000001</v>
      </c>
      <c r="I318" s="4">
        <v>0.93300000000000005</v>
      </c>
      <c r="J318" s="4">
        <v>0.48599999999999999</v>
      </c>
      <c r="K318" s="1">
        <v>0</v>
      </c>
      <c r="L318" s="1">
        <v>0</v>
      </c>
      <c r="M318" s="1">
        <v>0</v>
      </c>
      <c r="N318" s="1">
        <v>700</v>
      </c>
      <c r="O318" s="1" t="str">
        <f t="shared" si="39"/>
        <v>Recovery</v>
      </c>
      <c r="P318" s="2">
        <f t="shared" si="40"/>
        <v>44347</v>
      </c>
      <c r="Q318" s="9">
        <f>VLOOKUP(P318,BB!$A$3:$D$6771, 3, 1)*100</f>
        <v>84</v>
      </c>
      <c r="R318" s="1">
        <f t="shared" si="45"/>
        <v>-7</v>
      </c>
      <c r="S318" s="1">
        <f t="shared" si="38"/>
        <v>91</v>
      </c>
      <c r="T318" s="1" t="str">
        <f t="shared" ref="T318:T370" si="46">IF(ISNUMBER(R318)=TRUE, O318, "")</f>
        <v>Recovery</v>
      </c>
      <c r="AK318" s="1">
        <v>0</v>
      </c>
      <c r="AL318" s="1">
        <v>0</v>
      </c>
      <c r="AM318" s="1">
        <v>0</v>
      </c>
      <c r="AN318" s="1">
        <v>10</v>
      </c>
      <c r="AO318" s="1">
        <f t="shared" si="41"/>
        <v>0</v>
      </c>
      <c r="AP318" s="1">
        <f t="shared" si="42"/>
        <v>0</v>
      </c>
      <c r="AQ318" s="1">
        <f t="shared" si="43"/>
        <v>0</v>
      </c>
      <c r="AR318" s="1">
        <f t="shared" si="44"/>
        <v>700</v>
      </c>
    </row>
    <row r="319" spans="1:44" x14ac:dyDescent="0.2">
      <c r="A319" s="2">
        <v>44348</v>
      </c>
      <c r="B319" s="4">
        <v>8.0000000000000002E-3</v>
      </c>
      <c r="C319" s="4">
        <v>0.505</v>
      </c>
      <c r="D319" s="4">
        <v>0.92500000000000004</v>
      </c>
      <c r="E319" s="4">
        <v>0.99099999999999999</v>
      </c>
      <c r="F319" s="4">
        <v>0.46200000000000002</v>
      </c>
      <c r="G319" s="4">
        <v>0.99099999999999999</v>
      </c>
      <c r="H319" s="4">
        <v>0.33</v>
      </c>
      <c r="I319" s="4">
        <v>0.95</v>
      </c>
      <c r="J319" s="4">
        <v>0.3547499999999999</v>
      </c>
      <c r="K319" s="1">
        <v>700</v>
      </c>
      <c r="L319" s="1">
        <v>0</v>
      </c>
      <c r="M319" s="1">
        <v>0</v>
      </c>
      <c r="N319" s="1">
        <v>0</v>
      </c>
      <c r="O319" s="1" t="str">
        <f t="shared" si="39"/>
        <v>Expansion</v>
      </c>
      <c r="P319" s="2">
        <f t="shared" si="40"/>
        <v>44377</v>
      </c>
      <c r="Q319" s="9">
        <f>VLOOKUP(P319,BB!$A$3:$D$6771, 3, 1)*100</f>
        <v>80</v>
      </c>
      <c r="R319" s="1" t="str">
        <f t="shared" si="45"/>
        <v/>
      </c>
      <c r="S319" s="1">
        <f t="shared" si="38"/>
        <v>84</v>
      </c>
      <c r="T319" s="1" t="str">
        <f t="shared" si="46"/>
        <v/>
      </c>
      <c r="AK319" s="1">
        <v>10</v>
      </c>
      <c r="AL319" s="1">
        <v>0</v>
      </c>
      <c r="AM319" s="1">
        <v>0</v>
      </c>
      <c r="AN319" s="1">
        <v>0</v>
      </c>
      <c r="AO319" s="1">
        <f t="shared" si="41"/>
        <v>700</v>
      </c>
      <c r="AP319" s="1">
        <f t="shared" si="42"/>
        <v>0</v>
      </c>
      <c r="AQ319" s="1">
        <f t="shared" si="43"/>
        <v>0</v>
      </c>
      <c r="AR319" s="1">
        <f t="shared" si="44"/>
        <v>0</v>
      </c>
    </row>
    <row r="320" spans="1:44" x14ac:dyDescent="0.2">
      <c r="A320" s="2">
        <v>44378</v>
      </c>
      <c r="B320" s="4">
        <v>8.0000000000000002E-3</v>
      </c>
      <c r="C320" s="4">
        <v>0.55400000000000005</v>
      </c>
      <c r="D320" s="4">
        <v>0.89200000000000002</v>
      </c>
      <c r="E320" s="4">
        <v>0.99099999999999999</v>
      </c>
      <c r="F320" s="4">
        <v>0.42899999999999999</v>
      </c>
      <c r="G320" s="4">
        <v>0.99099999999999999</v>
      </c>
      <c r="H320" s="4">
        <v>0.35499999999999998</v>
      </c>
      <c r="I320" s="4">
        <v>0.92500000000000004</v>
      </c>
      <c r="J320" s="4">
        <v>0.35687499999999994</v>
      </c>
      <c r="K320" s="1">
        <v>700</v>
      </c>
      <c r="L320" s="1">
        <v>0</v>
      </c>
      <c r="M320" s="1">
        <v>0</v>
      </c>
      <c r="N320" s="1">
        <v>0</v>
      </c>
      <c r="O320" s="1" t="str">
        <f t="shared" si="39"/>
        <v>Expansion</v>
      </c>
      <c r="P320" s="2">
        <f t="shared" si="40"/>
        <v>44408</v>
      </c>
      <c r="Q320" s="9">
        <f>VLOOKUP(P320,BB!$A$3:$D$6771, 3, 1)*100</f>
        <v>86</v>
      </c>
      <c r="R320" s="1" t="str">
        <f t="shared" si="45"/>
        <v/>
      </c>
      <c r="S320" s="1">
        <f t="shared" ref="S320:S370" si="47">IF(O320&lt;&gt;O319,Q319,S319)</f>
        <v>84</v>
      </c>
      <c r="T320" s="1" t="str">
        <f t="shared" si="46"/>
        <v/>
      </c>
      <c r="AK320" s="1">
        <v>10</v>
      </c>
      <c r="AL320" s="1">
        <v>0</v>
      </c>
      <c r="AM320" s="1">
        <v>0</v>
      </c>
      <c r="AN320" s="1">
        <v>0</v>
      </c>
      <c r="AO320" s="1">
        <f t="shared" si="41"/>
        <v>700</v>
      </c>
      <c r="AP320" s="1">
        <f t="shared" si="42"/>
        <v>0</v>
      </c>
      <c r="AQ320" s="1">
        <f t="shared" si="43"/>
        <v>0</v>
      </c>
      <c r="AR320" s="1">
        <f t="shared" si="44"/>
        <v>0</v>
      </c>
    </row>
    <row r="321" spans="1:44" x14ac:dyDescent="0.2">
      <c r="A321" s="2">
        <v>44409</v>
      </c>
      <c r="B321" s="4">
        <v>8.0000000000000002E-3</v>
      </c>
      <c r="C321" s="4">
        <v>0.52900000000000003</v>
      </c>
      <c r="D321" s="4">
        <v>0.90900000000000003</v>
      </c>
      <c r="E321" s="4">
        <v>0.98299999999999998</v>
      </c>
      <c r="F321" s="4">
        <v>0.36299999999999999</v>
      </c>
      <c r="G321" s="4">
        <v>0.99099999999999999</v>
      </c>
      <c r="H321" s="4">
        <v>0.314</v>
      </c>
      <c r="I321" s="4">
        <v>0.90900000000000003</v>
      </c>
      <c r="J321" s="4">
        <v>0.37424999999999997</v>
      </c>
      <c r="K321" s="1">
        <v>700</v>
      </c>
      <c r="L321" s="1">
        <v>0</v>
      </c>
      <c r="M321" s="1">
        <v>0</v>
      </c>
      <c r="N321" s="1">
        <v>0</v>
      </c>
      <c r="O321" s="1" t="str">
        <f t="shared" si="39"/>
        <v>Expansion</v>
      </c>
      <c r="P321" s="2">
        <f t="shared" si="40"/>
        <v>44439</v>
      </c>
      <c r="Q321" s="9">
        <f>VLOOKUP(P321,BB!$A$3:$D$6771, 3, 1)*100</f>
        <v>87</v>
      </c>
      <c r="R321" s="1" t="str">
        <f t="shared" si="45"/>
        <v/>
      </c>
      <c r="S321" s="1">
        <f t="shared" si="47"/>
        <v>84</v>
      </c>
      <c r="T321" s="1" t="str">
        <f t="shared" si="46"/>
        <v/>
      </c>
      <c r="AK321" s="1">
        <v>10</v>
      </c>
      <c r="AL321" s="1">
        <v>0</v>
      </c>
      <c r="AM321" s="1">
        <v>0</v>
      </c>
      <c r="AN321" s="1">
        <v>0</v>
      </c>
      <c r="AO321" s="1">
        <f t="shared" si="41"/>
        <v>700</v>
      </c>
      <c r="AP321" s="1">
        <f t="shared" si="42"/>
        <v>0</v>
      </c>
      <c r="AQ321" s="1">
        <f t="shared" si="43"/>
        <v>0</v>
      </c>
      <c r="AR321" s="1">
        <f t="shared" si="44"/>
        <v>0</v>
      </c>
    </row>
    <row r="322" spans="1:44" x14ac:dyDescent="0.2">
      <c r="A322" s="2">
        <v>44440</v>
      </c>
      <c r="B322" s="4">
        <v>8.0000000000000002E-3</v>
      </c>
      <c r="C322" s="4">
        <v>0.48799999999999999</v>
      </c>
      <c r="D322" s="4">
        <v>0.96599999999999997</v>
      </c>
      <c r="E322" s="4">
        <v>0.96599999999999997</v>
      </c>
      <c r="F322" s="4">
        <v>0.13200000000000001</v>
      </c>
      <c r="G322" s="4">
        <v>0.99099999999999999</v>
      </c>
      <c r="H322" s="4">
        <v>0.47099999999999997</v>
      </c>
      <c r="I322" s="4">
        <v>0.91700000000000004</v>
      </c>
      <c r="J322" s="4">
        <v>0.38262499999999999</v>
      </c>
      <c r="K322" s="1">
        <v>700</v>
      </c>
      <c r="L322" s="1">
        <v>0</v>
      </c>
      <c r="M322" s="1">
        <v>0</v>
      </c>
      <c r="N322" s="1">
        <v>0</v>
      </c>
      <c r="O322" s="1" t="str">
        <f t="shared" si="39"/>
        <v>Expansion</v>
      </c>
      <c r="P322" s="2">
        <f t="shared" si="40"/>
        <v>44469</v>
      </c>
      <c r="Q322" s="9">
        <f>VLOOKUP(P322,BB!$A$3:$D$6771, 3, 1)*100</f>
        <v>84</v>
      </c>
      <c r="R322" s="1" t="str">
        <f t="shared" si="45"/>
        <v/>
      </c>
      <c r="S322" s="1">
        <f t="shared" si="47"/>
        <v>84</v>
      </c>
      <c r="T322" s="1" t="str">
        <f t="shared" si="46"/>
        <v/>
      </c>
      <c r="AK322" s="1">
        <v>10</v>
      </c>
      <c r="AL322" s="1">
        <v>0</v>
      </c>
      <c r="AM322" s="1">
        <v>0</v>
      </c>
      <c r="AN322" s="1">
        <v>0</v>
      </c>
      <c r="AO322" s="1">
        <f t="shared" si="41"/>
        <v>700</v>
      </c>
      <c r="AP322" s="1">
        <f t="shared" si="42"/>
        <v>0</v>
      </c>
      <c r="AQ322" s="1">
        <f t="shared" si="43"/>
        <v>0</v>
      </c>
      <c r="AR322" s="1">
        <f t="shared" si="44"/>
        <v>0</v>
      </c>
    </row>
    <row r="323" spans="1:44" x14ac:dyDescent="0.2">
      <c r="A323" s="2">
        <v>44470</v>
      </c>
      <c r="B323" s="4">
        <v>8.0000000000000002E-3</v>
      </c>
      <c r="C323" s="4">
        <v>0.52900000000000003</v>
      </c>
      <c r="D323" s="4">
        <v>0.93300000000000005</v>
      </c>
      <c r="E323" s="4">
        <v>0.95799999999999996</v>
      </c>
      <c r="F323" s="4">
        <v>0.115</v>
      </c>
      <c r="G323" s="4">
        <v>0.99099999999999999</v>
      </c>
      <c r="H323" s="4">
        <v>0.33800000000000002</v>
      </c>
      <c r="I323" s="4">
        <v>0.77600000000000002</v>
      </c>
      <c r="J323" s="4">
        <v>0.41899999999999993</v>
      </c>
      <c r="K323" s="1">
        <v>700</v>
      </c>
      <c r="L323" s="1">
        <v>0</v>
      </c>
      <c r="M323" s="1">
        <v>0</v>
      </c>
      <c r="N323" s="1">
        <v>0</v>
      </c>
      <c r="O323" s="1" t="str">
        <f t="shared" ref="O323:O371" si="48">IF(K323&gt;0,$K$1,IF(L323&gt;0,$L$1,IF(M323&gt;0,$M$1,$N$1)))</f>
        <v>Expansion</v>
      </c>
      <c r="P323" s="2">
        <f t="shared" ref="P323:P371" si="49">EOMONTH(A323,0)</f>
        <v>44500</v>
      </c>
      <c r="Q323" s="9">
        <f>VLOOKUP(P323,BB!$A$3:$D$6771, 3, 1)*100</f>
        <v>87</v>
      </c>
      <c r="R323" s="1" t="str">
        <f t="shared" si="45"/>
        <v/>
      </c>
      <c r="S323" s="1">
        <f t="shared" si="47"/>
        <v>84</v>
      </c>
      <c r="T323" s="1" t="str">
        <f t="shared" si="46"/>
        <v/>
      </c>
      <c r="AK323" s="1">
        <v>10</v>
      </c>
      <c r="AL323" s="1">
        <v>0</v>
      </c>
      <c r="AM323" s="1">
        <v>0</v>
      </c>
      <c r="AN323" s="1">
        <v>0</v>
      </c>
      <c r="AO323" s="1">
        <f t="shared" ref="AO323:AO371" si="50">IF(AK323&gt;0, AK323+690, AK323)</f>
        <v>700</v>
      </c>
      <c r="AP323" s="1">
        <f t="shared" ref="AP323:AP371" si="51">IF(AL323&gt;0, AL323+690, AL323)</f>
        <v>0</v>
      </c>
      <c r="AQ323" s="1">
        <f t="shared" ref="AQ323:AQ371" si="52">IF(AM323&gt;0, AM323+690, AM323)</f>
        <v>0</v>
      </c>
      <c r="AR323" s="1">
        <f t="shared" ref="AR323:AR371" si="53">IF(AN323&gt;0, AN323+690, AN323)</f>
        <v>0</v>
      </c>
    </row>
    <row r="324" spans="1:44" x14ac:dyDescent="0.2">
      <c r="A324" s="2">
        <v>44501</v>
      </c>
      <c r="B324" s="4">
        <v>8.0000000000000002E-3</v>
      </c>
      <c r="C324" s="4">
        <v>0.629</v>
      </c>
      <c r="D324" s="4">
        <v>0.95799999999999996</v>
      </c>
      <c r="E324" s="4">
        <v>0.96599999999999997</v>
      </c>
      <c r="F324" s="4">
        <v>0.123</v>
      </c>
      <c r="G324" s="4">
        <v>0.97499999999999998</v>
      </c>
      <c r="H324" s="4">
        <v>0.33</v>
      </c>
      <c r="I324" s="4">
        <v>0.876</v>
      </c>
      <c r="J324" s="4">
        <v>0.39187499999999997</v>
      </c>
      <c r="K324" s="1">
        <v>700</v>
      </c>
      <c r="L324" s="1">
        <v>0</v>
      </c>
      <c r="M324" s="1">
        <v>0</v>
      </c>
      <c r="N324" s="1">
        <v>0</v>
      </c>
      <c r="O324" s="1" t="str">
        <f t="shared" si="48"/>
        <v>Expansion</v>
      </c>
      <c r="P324" s="2">
        <f t="shared" si="49"/>
        <v>44530</v>
      </c>
      <c r="Q324" s="9">
        <f>VLOOKUP(P324,BB!$A$3:$D$6771, 3, 1)*100</f>
        <v>99</v>
      </c>
      <c r="R324" s="1" t="str">
        <f t="shared" si="45"/>
        <v/>
      </c>
      <c r="S324" s="1">
        <f t="shared" si="47"/>
        <v>84</v>
      </c>
      <c r="T324" s="1" t="str">
        <f t="shared" si="46"/>
        <v/>
      </c>
      <c r="AK324" s="1">
        <v>10</v>
      </c>
      <c r="AL324" s="1">
        <v>0</v>
      </c>
      <c r="AM324" s="1">
        <v>0</v>
      </c>
      <c r="AN324" s="1">
        <v>0</v>
      </c>
      <c r="AO324" s="1">
        <f t="shared" si="50"/>
        <v>700</v>
      </c>
      <c r="AP324" s="1">
        <f t="shared" si="51"/>
        <v>0</v>
      </c>
      <c r="AQ324" s="1">
        <f t="shared" si="52"/>
        <v>0</v>
      </c>
      <c r="AR324" s="1">
        <f t="shared" si="53"/>
        <v>0</v>
      </c>
    </row>
    <row r="325" spans="1:44" x14ac:dyDescent="0.2">
      <c r="A325" s="2">
        <v>44531</v>
      </c>
      <c r="B325" s="4">
        <v>8.0000000000000002E-3</v>
      </c>
      <c r="C325" s="4">
        <v>0.67799999999999994</v>
      </c>
      <c r="D325" s="4">
        <v>0.76</v>
      </c>
      <c r="E325" s="4">
        <v>0.96599999999999997</v>
      </c>
      <c r="F325" s="4">
        <v>8.0000000000000002E-3</v>
      </c>
      <c r="G325" s="4">
        <v>0.99099999999999999</v>
      </c>
      <c r="H325" s="4">
        <v>0.35499999999999998</v>
      </c>
      <c r="I325" s="4">
        <v>0.94199999999999995</v>
      </c>
      <c r="J325" s="4">
        <v>0.41149999999999998</v>
      </c>
      <c r="K325" s="1">
        <v>700</v>
      </c>
      <c r="L325" s="1">
        <v>0</v>
      </c>
      <c r="M325" s="1">
        <v>0</v>
      </c>
      <c r="N325" s="1">
        <v>0</v>
      </c>
      <c r="O325" s="1" t="str">
        <f t="shared" si="48"/>
        <v>Expansion</v>
      </c>
      <c r="P325" s="2">
        <f t="shared" si="49"/>
        <v>44561</v>
      </c>
      <c r="Q325" s="9">
        <f>VLOOKUP(P325,BB!$A$3:$D$6771, 3, 1)*100</f>
        <v>92</v>
      </c>
      <c r="R325" s="1" t="str">
        <f t="shared" si="45"/>
        <v/>
      </c>
      <c r="S325" s="1">
        <f t="shared" si="47"/>
        <v>84</v>
      </c>
      <c r="T325" s="1" t="str">
        <f t="shared" si="46"/>
        <v/>
      </c>
      <c r="AK325" s="1">
        <v>10</v>
      </c>
      <c r="AL325" s="1">
        <v>0</v>
      </c>
      <c r="AM325" s="1">
        <v>0</v>
      </c>
      <c r="AN325" s="1">
        <v>0</v>
      </c>
      <c r="AO325" s="1">
        <f t="shared" si="50"/>
        <v>700</v>
      </c>
      <c r="AP325" s="1">
        <f t="shared" si="51"/>
        <v>0</v>
      </c>
      <c r="AQ325" s="1">
        <f t="shared" si="52"/>
        <v>0</v>
      </c>
      <c r="AR325" s="1">
        <f t="shared" si="53"/>
        <v>0</v>
      </c>
    </row>
    <row r="326" spans="1:44" x14ac:dyDescent="0.2">
      <c r="A326" s="2">
        <v>44562</v>
      </c>
      <c r="B326" s="4">
        <v>8.0000000000000002E-3</v>
      </c>
      <c r="C326" s="4">
        <v>0.72</v>
      </c>
      <c r="D326" s="4">
        <v>0.71</v>
      </c>
      <c r="E326" s="4">
        <v>0.95799999999999996</v>
      </c>
      <c r="F326" s="4">
        <v>8.0000000000000002E-3</v>
      </c>
      <c r="G326" s="4">
        <v>0.99099999999999999</v>
      </c>
      <c r="H326" s="4">
        <v>0.23899999999999999</v>
      </c>
      <c r="I326" s="4">
        <v>0.85899999999999999</v>
      </c>
      <c r="J326" s="4">
        <v>0.43837499999999996</v>
      </c>
      <c r="K326" s="1">
        <v>700</v>
      </c>
      <c r="L326" s="1">
        <v>0</v>
      </c>
      <c r="M326" s="1">
        <v>0</v>
      </c>
      <c r="N326" s="1">
        <v>0</v>
      </c>
      <c r="O326" s="1" t="str">
        <f t="shared" si="48"/>
        <v>Expansion</v>
      </c>
      <c r="P326" s="2">
        <f t="shared" si="49"/>
        <v>44592</v>
      </c>
      <c r="Q326" s="9">
        <f>VLOOKUP(P326,BB!$A$3:$D$6771, 3, 1)*100</f>
        <v>106</v>
      </c>
      <c r="R326" s="1">
        <f t="shared" si="45"/>
        <v>22</v>
      </c>
      <c r="S326" s="1">
        <f t="shared" si="47"/>
        <v>84</v>
      </c>
      <c r="T326" s="1" t="str">
        <f t="shared" si="46"/>
        <v>Expansion</v>
      </c>
      <c r="AK326" s="1">
        <v>10</v>
      </c>
      <c r="AL326" s="1">
        <v>0</v>
      </c>
      <c r="AM326" s="1">
        <v>0</v>
      </c>
      <c r="AN326" s="1">
        <v>0</v>
      </c>
      <c r="AO326" s="1">
        <f t="shared" si="50"/>
        <v>700</v>
      </c>
      <c r="AP326" s="1">
        <f t="shared" si="51"/>
        <v>0</v>
      </c>
      <c r="AQ326" s="1">
        <f t="shared" si="52"/>
        <v>0</v>
      </c>
      <c r="AR326" s="1">
        <f t="shared" si="53"/>
        <v>0</v>
      </c>
    </row>
    <row r="327" spans="1:44" x14ac:dyDescent="0.2">
      <c r="A327" s="2">
        <v>44593</v>
      </c>
      <c r="B327" s="4">
        <v>8.0000000000000002E-3</v>
      </c>
      <c r="C327" s="4">
        <v>0.81899999999999995</v>
      </c>
      <c r="D327" s="4">
        <v>0.752</v>
      </c>
      <c r="E327" s="4">
        <v>0.95</v>
      </c>
      <c r="F327" s="4">
        <v>8.0000000000000002E-3</v>
      </c>
      <c r="G327" s="4">
        <v>0.97499999999999998</v>
      </c>
      <c r="H327" s="4">
        <v>0.14799999999999999</v>
      </c>
      <c r="I327" s="4">
        <v>0.82599999999999996</v>
      </c>
      <c r="J327" s="4">
        <v>0.43925000000000003</v>
      </c>
      <c r="K327" s="1">
        <v>0</v>
      </c>
      <c r="L327" s="1">
        <v>700</v>
      </c>
      <c r="M327" s="1">
        <v>0</v>
      </c>
      <c r="N327" s="1">
        <v>0</v>
      </c>
      <c r="O327" s="1" t="str">
        <f t="shared" si="48"/>
        <v>Downturn</v>
      </c>
      <c r="P327" s="2">
        <f t="shared" si="49"/>
        <v>44620</v>
      </c>
      <c r="Q327" s="9">
        <f>VLOOKUP(P327,BB!$A$3:$D$6771, 3, 1)*100</f>
        <v>122</v>
      </c>
      <c r="R327" s="1">
        <f t="shared" si="45"/>
        <v>16</v>
      </c>
      <c r="S327" s="1">
        <f t="shared" si="47"/>
        <v>106</v>
      </c>
      <c r="T327" s="1" t="str">
        <f t="shared" si="46"/>
        <v>Downturn</v>
      </c>
      <c r="AK327" s="1">
        <v>0</v>
      </c>
      <c r="AL327" s="1">
        <v>10</v>
      </c>
      <c r="AM327" s="1">
        <v>0</v>
      </c>
      <c r="AN327" s="1">
        <v>0</v>
      </c>
      <c r="AO327" s="1">
        <f t="shared" si="50"/>
        <v>0</v>
      </c>
      <c r="AP327" s="1">
        <f t="shared" si="51"/>
        <v>700</v>
      </c>
      <c r="AQ327" s="1">
        <f t="shared" si="52"/>
        <v>0</v>
      </c>
      <c r="AR327" s="1">
        <f t="shared" si="53"/>
        <v>0</v>
      </c>
    </row>
    <row r="328" spans="1:44" x14ac:dyDescent="0.2">
      <c r="A328" s="2">
        <v>44621</v>
      </c>
      <c r="B328" s="4">
        <v>1.6E-2</v>
      </c>
      <c r="C328" s="4">
        <v>0.98399999999999999</v>
      </c>
      <c r="D328" s="4">
        <v>0.65200000000000002</v>
      </c>
      <c r="E328" s="4">
        <v>0.86699999999999999</v>
      </c>
      <c r="F328" s="4">
        <v>3.3000000000000002E-2</v>
      </c>
      <c r="G328" s="4">
        <v>0.94199999999999995</v>
      </c>
      <c r="H328" s="4">
        <v>8.0000000000000002E-3</v>
      </c>
      <c r="I328" s="4">
        <v>0.69399999999999995</v>
      </c>
      <c r="J328" s="4">
        <v>0.47550000000000003</v>
      </c>
      <c r="K328" s="1">
        <v>0</v>
      </c>
      <c r="L328" s="1">
        <v>0</v>
      </c>
      <c r="M328" s="1">
        <v>700</v>
      </c>
      <c r="N328" s="1">
        <v>0</v>
      </c>
      <c r="O328" s="1" t="str">
        <f t="shared" si="48"/>
        <v>Repair</v>
      </c>
      <c r="P328" s="2">
        <f t="shared" si="49"/>
        <v>44651</v>
      </c>
      <c r="Q328" s="9">
        <f>VLOOKUP(P328,BB!$A$3:$D$6771, 3, 1)*100</f>
        <v>115.99999999999999</v>
      </c>
      <c r="R328" s="1" t="str">
        <f t="shared" si="45"/>
        <v/>
      </c>
      <c r="S328" s="1">
        <f t="shared" si="47"/>
        <v>122</v>
      </c>
      <c r="T328" s="1" t="str">
        <f t="shared" si="46"/>
        <v/>
      </c>
      <c r="AK328" s="1">
        <v>0</v>
      </c>
      <c r="AL328" s="1">
        <v>0</v>
      </c>
      <c r="AM328" s="1">
        <v>10</v>
      </c>
      <c r="AN328" s="1">
        <v>0</v>
      </c>
      <c r="AO328" s="1">
        <f t="shared" si="50"/>
        <v>0</v>
      </c>
      <c r="AP328" s="1">
        <f t="shared" si="51"/>
        <v>0</v>
      </c>
      <c r="AQ328" s="1">
        <f t="shared" si="52"/>
        <v>700</v>
      </c>
      <c r="AR328" s="1">
        <f t="shared" si="53"/>
        <v>0</v>
      </c>
    </row>
    <row r="329" spans="1:44" x14ac:dyDescent="0.2">
      <c r="A329" s="2">
        <v>44652</v>
      </c>
      <c r="B329" s="4">
        <v>3.3000000000000002E-2</v>
      </c>
      <c r="C329" s="4">
        <v>0.88500000000000001</v>
      </c>
      <c r="D329" s="4">
        <v>0.53700000000000003</v>
      </c>
      <c r="E329" s="4">
        <v>0.71</v>
      </c>
      <c r="F329" s="4">
        <v>3.3000000000000002E-2</v>
      </c>
      <c r="G329" s="4">
        <v>0.94199999999999995</v>
      </c>
      <c r="H329" s="4">
        <v>8.0000000000000002E-3</v>
      </c>
      <c r="I329" s="4">
        <v>0.84199999999999997</v>
      </c>
      <c r="J329" s="4">
        <v>0.50124999999999997</v>
      </c>
      <c r="K329" s="1">
        <v>0</v>
      </c>
      <c r="L329" s="1">
        <v>0</v>
      </c>
      <c r="M329" s="1">
        <v>700</v>
      </c>
      <c r="N329" s="1">
        <v>0</v>
      </c>
      <c r="O329" s="1" t="str">
        <f t="shared" si="48"/>
        <v>Repair</v>
      </c>
      <c r="P329" s="2">
        <f t="shared" si="49"/>
        <v>44681</v>
      </c>
      <c r="Q329" s="9">
        <f>VLOOKUP(P329,BB!$A$3:$D$6771, 3, 1)*100</f>
        <v>135</v>
      </c>
      <c r="R329" s="1" t="str">
        <f t="shared" si="45"/>
        <v/>
      </c>
      <c r="S329" s="1">
        <f t="shared" si="47"/>
        <v>122</v>
      </c>
      <c r="T329" s="1" t="str">
        <f t="shared" si="46"/>
        <v/>
      </c>
      <c r="AK329" s="1">
        <v>0</v>
      </c>
      <c r="AL329" s="1">
        <v>0</v>
      </c>
      <c r="AM329" s="1">
        <v>10</v>
      </c>
      <c r="AN329" s="1">
        <v>0</v>
      </c>
      <c r="AO329" s="1">
        <f t="shared" si="50"/>
        <v>0</v>
      </c>
      <c r="AP329" s="1">
        <f t="shared" si="51"/>
        <v>0</v>
      </c>
      <c r="AQ329" s="1">
        <f t="shared" si="52"/>
        <v>700</v>
      </c>
      <c r="AR329" s="1">
        <f t="shared" si="53"/>
        <v>0</v>
      </c>
    </row>
    <row r="330" spans="1:44" x14ac:dyDescent="0.2">
      <c r="A330" s="2">
        <v>44682</v>
      </c>
      <c r="B330" s="4">
        <v>5.7000000000000002E-2</v>
      </c>
      <c r="C330" s="4">
        <v>0.82699999999999996</v>
      </c>
      <c r="D330" s="4">
        <v>0.59499999999999997</v>
      </c>
      <c r="E330" s="4">
        <v>0.73499999999999999</v>
      </c>
      <c r="F330" s="4">
        <v>8.0000000000000002E-3</v>
      </c>
      <c r="G330" s="4">
        <v>0.94199999999999995</v>
      </c>
      <c r="H330" s="4">
        <v>1.6E-2</v>
      </c>
      <c r="I330" s="4">
        <v>0.85899999999999999</v>
      </c>
      <c r="J330" s="4">
        <v>0.49512500000000004</v>
      </c>
      <c r="K330" s="1">
        <v>0</v>
      </c>
      <c r="L330" s="1">
        <v>0</v>
      </c>
      <c r="M330" s="1">
        <v>700</v>
      </c>
      <c r="N330" s="1">
        <v>0</v>
      </c>
      <c r="O330" s="1" t="str">
        <f t="shared" si="48"/>
        <v>Repair</v>
      </c>
      <c r="P330" s="2">
        <f t="shared" si="49"/>
        <v>44712</v>
      </c>
      <c r="Q330" s="9">
        <f>VLOOKUP(P330,BB!$A$3:$D$6771, 3, 1)*100</f>
        <v>130</v>
      </c>
      <c r="R330" s="1" t="str">
        <f t="shared" si="45"/>
        <v/>
      </c>
      <c r="S330" s="1">
        <f t="shared" si="47"/>
        <v>122</v>
      </c>
      <c r="T330" s="1" t="str">
        <f t="shared" si="46"/>
        <v/>
      </c>
      <c r="AK330" s="1">
        <v>0</v>
      </c>
      <c r="AL330" s="1">
        <v>0</v>
      </c>
      <c r="AM330" s="1">
        <v>10</v>
      </c>
      <c r="AN330" s="1">
        <v>0</v>
      </c>
      <c r="AO330" s="1">
        <f t="shared" si="50"/>
        <v>0</v>
      </c>
      <c r="AP330" s="1">
        <f t="shared" si="51"/>
        <v>0</v>
      </c>
      <c r="AQ330" s="1">
        <f t="shared" si="52"/>
        <v>700</v>
      </c>
      <c r="AR330" s="1">
        <f t="shared" si="53"/>
        <v>0</v>
      </c>
    </row>
    <row r="331" spans="1:44" x14ac:dyDescent="0.2">
      <c r="A331" s="2">
        <v>44713</v>
      </c>
      <c r="B331" s="4">
        <v>6.6000000000000003E-2</v>
      </c>
      <c r="C331" s="4">
        <v>0.96699999999999997</v>
      </c>
      <c r="D331" s="4">
        <v>0.38</v>
      </c>
      <c r="E331" s="4">
        <v>0.09</v>
      </c>
      <c r="F331" s="4">
        <v>1.6E-2</v>
      </c>
      <c r="G331" s="4">
        <v>0.89200000000000002</v>
      </c>
      <c r="H331" s="4">
        <v>1.6E-2</v>
      </c>
      <c r="I331" s="4">
        <v>0.55300000000000005</v>
      </c>
      <c r="J331" s="4">
        <v>0.62749999999999995</v>
      </c>
      <c r="K331" s="1">
        <v>0</v>
      </c>
      <c r="L331" s="1">
        <v>0</v>
      </c>
      <c r="M331" s="1">
        <v>700</v>
      </c>
      <c r="N331" s="1">
        <v>0</v>
      </c>
      <c r="O331" s="1" t="str">
        <f t="shared" si="48"/>
        <v>Repair</v>
      </c>
      <c r="P331" s="2">
        <f t="shared" si="49"/>
        <v>44742</v>
      </c>
      <c r="Q331" s="9">
        <f>VLOOKUP(P331,BB!$A$3:$D$6771, 3, 1)*100</f>
        <v>155</v>
      </c>
      <c r="R331" s="1" t="str">
        <f t="shared" ref="R331:R370" si="54">IF(O331&lt;&gt;O332, Q331-S331, "")</f>
        <v/>
      </c>
      <c r="S331" s="1">
        <f t="shared" si="47"/>
        <v>122</v>
      </c>
      <c r="T331" s="1" t="str">
        <f t="shared" si="46"/>
        <v/>
      </c>
      <c r="AK331" s="1">
        <v>0</v>
      </c>
      <c r="AL331" s="1">
        <v>0</v>
      </c>
      <c r="AM331" s="1">
        <v>10</v>
      </c>
      <c r="AN331" s="1">
        <v>0</v>
      </c>
      <c r="AO331" s="1">
        <f t="shared" si="50"/>
        <v>0</v>
      </c>
      <c r="AP331" s="1">
        <f t="shared" si="51"/>
        <v>0</v>
      </c>
      <c r="AQ331" s="1">
        <f t="shared" si="52"/>
        <v>700</v>
      </c>
      <c r="AR331" s="1">
        <f t="shared" si="53"/>
        <v>0</v>
      </c>
    </row>
    <row r="332" spans="1:44" x14ac:dyDescent="0.2">
      <c r="A332" s="2">
        <v>44743</v>
      </c>
      <c r="B332" s="4">
        <v>0.107</v>
      </c>
      <c r="C332" s="4">
        <v>0.99199999999999999</v>
      </c>
      <c r="D332" s="4">
        <v>0.34699999999999998</v>
      </c>
      <c r="E332" s="4">
        <v>0.14000000000000001</v>
      </c>
      <c r="F332" s="4">
        <v>4.1000000000000002E-2</v>
      </c>
      <c r="G332" s="4">
        <v>0.88400000000000001</v>
      </c>
      <c r="H332" s="4">
        <v>3.3000000000000002E-2</v>
      </c>
      <c r="I332" s="4">
        <v>0.20599999999999999</v>
      </c>
      <c r="J332" s="4">
        <v>0.65625</v>
      </c>
      <c r="K332" s="1">
        <v>0</v>
      </c>
      <c r="L332" s="1">
        <v>0</v>
      </c>
      <c r="M332" s="1">
        <v>700</v>
      </c>
      <c r="N332" s="1">
        <v>0</v>
      </c>
      <c r="O332" s="1" t="str">
        <f t="shared" si="48"/>
        <v>Repair</v>
      </c>
      <c r="P332" s="2">
        <f t="shared" si="49"/>
        <v>44773</v>
      </c>
      <c r="Q332" s="9">
        <f>VLOOKUP(P332,BB!$A$3:$D$6771, 3, 1)*100</f>
        <v>144</v>
      </c>
      <c r="R332" s="1" t="str">
        <f t="shared" si="54"/>
        <v/>
      </c>
      <c r="S332" s="1">
        <f t="shared" si="47"/>
        <v>122</v>
      </c>
      <c r="T332" s="1" t="str">
        <f t="shared" si="46"/>
        <v/>
      </c>
      <c r="AK332" s="1">
        <v>0</v>
      </c>
      <c r="AL332" s="1">
        <v>0</v>
      </c>
      <c r="AM332" s="1">
        <v>10</v>
      </c>
      <c r="AN332" s="1">
        <v>0</v>
      </c>
      <c r="AO332" s="1">
        <f t="shared" si="50"/>
        <v>0</v>
      </c>
      <c r="AP332" s="1">
        <f t="shared" si="51"/>
        <v>0</v>
      </c>
      <c r="AQ332" s="1">
        <f t="shared" si="52"/>
        <v>700</v>
      </c>
      <c r="AR332" s="1">
        <f t="shared" si="53"/>
        <v>0</v>
      </c>
    </row>
    <row r="333" spans="1:44" x14ac:dyDescent="0.2">
      <c r="A333" s="2">
        <v>44774</v>
      </c>
      <c r="B333" s="4">
        <v>0.123</v>
      </c>
      <c r="C333" s="4">
        <v>0.99199999999999999</v>
      </c>
      <c r="D333" s="4">
        <v>0.33800000000000002</v>
      </c>
      <c r="E333" s="4">
        <v>8.2000000000000003E-2</v>
      </c>
      <c r="F333" s="4">
        <v>4.1000000000000002E-2</v>
      </c>
      <c r="G333" s="4">
        <v>0.876</v>
      </c>
      <c r="H333" s="4">
        <v>8.0000000000000002E-3</v>
      </c>
      <c r="I333" s="4">
        <v>0.33</v>
      </c>
      <c r="J333" s="4">
        <v>0.65125</v>
      </c>
      <c r="K333" s="1">
        <v>0</v>
      </c>
      <c r="L333" s="1">
        <v>0</v>
      </c>
      <c r="M333" s="1">
        <v>700</v>
      </c>
      <c r="N333" s="1">
        <v>0</v>
      </c>
      <c r="O333" s="1" t="str">
        <f t="shared" si="48"/>
        <v>Repair</v>
      </c>
      <c r="P333" s="2">
        <f t="shared" si="49"/>
        <v>44804</v>
      </c>
      <c r="Q333" s="9">
        <f>VLOOKUP(P333,BB!$A$3:$D$6771, 3, 1)*100</f>
        <v>140</v>
      </c>
      <c r="R333" s="1" t="str">
        <f t="shared" si="54"/>
        <v/>
      </c>
      <c r="S333" s="1">
        <f t="shared" si="47"/>
        <v>122</v>
      </c>
      <c r="T333" s="1" t="str">
        <f t="shared" si="46"/>
        <v/>
      </c>
      <c r="AK333" s="1">
        <v>0</v>
      </c>
      <c r="AL333" s="1">
        <v>0</v>
      </c>
      <c r="AM333" s="1">
        <v>10</v>
      </c>
      <c r="AN333" s="1">
        <v>0</v>
      </c>
      <c r="AO333" s="1">
        <f t="shared" si="50"/>
        <v>0</v>
      </c>
      <c r="AP333" s="1">
        <f t="shared" si="51"/>
        <v>0</v>
      </c>
      <c r="AQ333" s="1">
        <f t="shared" si="52"/>
        <v>700</v>
      </c>
      <c r="AR333" s="1">
        <f t="shared" si="53"/>
        <v>0</v>
      </c>
    </row>
    <row r="334" spans="1:44" x14ac:dyDescent="0.2">
      <c r="A334" s="2">
        <v>44805</v>
      </c>
      <c r="B334" s="4">
        <v>0.14799999999999999</v>
      </c>
      <c r="C334" s="4">
        <v>0.99199999999999999</v>
      </c>
      <c r="D334" s="4">
        <v>0.18099999999999999</v>
      </c>
      <c r="E334" s="4">
        <v>7.3999999999999996E-2</v>
      </c>
      <c r="F334" s="4">
        <v>4.1000000000000002E-2</v>
      </c>
      <c r="G334" s="4">
        <v>0.66100000000000003</v>
      </c>
      <c r="H334" s="4">
        <v>8.0000000000000002E-3</v>
      </c>
      <c r="I334" s="4">
        <v>0.33</v>
      </c>
      <c r="J334" s="4">
        <v>0.69562499999999994</v>
      </c>
      <c r="K334" s="1">
        <v>0</v>
      </c>
      <c r="L334" s="1">
        <v>0</v>
      </c>
      <c r="M334" s="1">
        <v>700</v>
      </c>
      <c r="N334" s="1">
        <v>0</v>
      </c>
      <c r="O334" s="1" t="str">
        <f t="shared" si="48"/>
        <v>Repair</v>
      </c>
      <c r="P334" s="2">
        <f t="shared" si="49"/>
        <v>44834</v>
      </c>
      <c r="Q334" s="9">
        <f>VLOOKUP(P334,BB!$A$3:$D$6771, 3, 1)*100</f>
        <v>159</v>
      </c>
      <c r="R334" s="1" t="str">
        <f t="shared" si="54"/>
        <v/>
      </c>
      <c r="S334" s="1">
        <f t="shared" si="47"/>
        <v>122</v>
      </c>
      <c r="T334" s="1" t="str">
        <f t="shared" si="46"/>
        <v/>
      </c>
      <c r="AK334" s="1">
        <v>0</v>
      </c>
      <c r="AL334" s="1">
        <v>0</v>
      </c>
      <c r="AM334" s="1">
        <v>10</v>
      </c>
      <c r="AN334" s="1">
        <v>0</v>
      </c>
      <c r="AO334" s="1">
        <f t="shared" si="50"/>
        <v>0</v>
      </c>
      <c r="AP334" s="1">
        <f t="shared" si="51"/>
        <v>0</v>
      </c>
      <c r="AQ334" s="1">
        <f t="shared" si="52"/>
        <v>700</v>
      </c>
      <c r="AR334" s="1">
        <f t="shared" si="53"/>
        <v>0</v>
      </c>
    </row>
    <row r="335" spans="1:44" x14ac:dyDescent="0.2">
      <c r="A335" s="2">
        <v>44835</v>
      </c>
      <c r="B335" s="4">
        <v>0.157</v>
      </c>
      <c r="C335" s="4">
        <v>0.98399999999999999</v>
      </c>
      <c r="D335" s="4">
        <v>0.14799999999999999</v>
      </c>
      <c r="E335" s="4">
        <v>4.9000000000000002E-2</v>
      </c>
      <c r="F335" s="4">
        <v>6.6000000000000003E-2</v>
      </c>
      <c r="G335" s="4">
        <v>0.69399999999999995</v>
      </c>
      <c r="H335" s="4">
        <v>8.0000000000000002E-3</v>
      </c>
      <c r="I335" s="4">
        <v>0.438</v>
      </c>
      <c r="J335" s="4">
        <v>0.68199999999999994</v>
      </c>
      <c r="K335" s="1">
        <v>0</v>
      </c>
      <c r="L335" s="1">
        <v>0</v>
      </c>
      <c r="M335" s="1">
        <v>700</v>
      </c>
      <c r="N335" s="1">
        <v>0</v>
      </c>
      <c r="O335" s="1" t="str">
        <f t="shared" si="48"/>
        <v>Repair</v>
      </c>
      <c r="P335" s="2">
        <f t="shared" si="49"/>
        <v>44865</v>
      </c>
      <c r="Q335" s="9">
        <f>VLOOKUP(P335,BB!$A$3:$D$6771, 3, 1)*100</f>
        <v>158</v>
      </c>
      <c r="R335" s="1" t="str">
        <f t="shared" si="54"/>
        <v/>
      </c>
      <c r="S335" s="1">
        <f t="shared" si="47"/>
        <v>122</v>
      </c>
      <c r="T335" s="1" t="str">
        <f t="shared" si="46"/>
        <v/>
      </c>
      <c r="AK335" s="1">
        <v>0</v>
      </c>
      <c r="AL335" s="1">
        <v>0</v>
      </c>
      <c r="AM335" s="1">
        <v>10</v>
      </c>
      <c r="AN335" s="1">
        <v>0</v>
      </c>
      <c r="AO335" s="1">
        <f t="shared" si="50"/>
        <v>0</v>
      </c>
      <c r="AP335" s="1">
        <f t="shared" si="51"/>
        <v>0</v>
      </c>
      <c r="AQ335" s="1">
        <f t="shared" si="52"/>
        <v>700</v>
      </c>
      <c r="AR335" s="1">
        <f t="shared" si="53"/>
        <v>0</v>
      </c>
    </row>
    <row r="336" spans="1:44" x14ac:dyDescent="0.2">
      <c r="A336" s="2">
        <v>44866</v>
      </c>
      <c r="B336" s="4">
        <v>0.18099999999999999</v>
      </c>
      <c r="C336" s="4">
        <v>0.99199999999999999</v>
      </c>
      <c r="D336" s="4">
        <v>8.2000000000000003E-2</v>
      </c>
      <c r="E336" s="4">
        <v>9.9000000000000005E-2</v>
      </c>
      <c r="F336" s="4">
        <v>2.4E-2</v>
      </c>
      <c r="G336" s="4">
        <v>0.68500000000000005</v>
      </c>
      <c r="H336" s="4">
        <v>1.6E-2</v>
      </c>
      <c r="I336" s="4">
        <v>0.39600000000000002</v>
      </c>
      <c r="J336" s="4">
        <v>0.69062500000000004</v>
      </c>
      <c r="K336" s="1">
        <v>0</v>
      </c>
      <c r="L336" s="1">
        <v>0</v>
      </c>
      <c r="M336" s="1">
        <v>700</v>
      </c>
      <c r="N336" s="1">
        <v>0</v>
      </c>
      <c r="O336" s="1" t="str">
        <f t="shared" si="48"/>
        <v>Repair</v>
      </c>
      <c r="P336" s="2">
        <f t="shared" si="49"/>
        <v>44895</v>
      </c>
      <c r="Q336" s="9">
        <f>VLOOKUP(P336,BB!$A$3:$D$6771, 3, 1)*100</f>
        <v>133</v>
      </c>
      <c r="R336" s="1" t="str">
        <f t="shared" si="54"/>
        <v/>
      </c>
      <c r="S336" s="1">
        <f t="shared" si="47"/>
        <v>122</v>
      </c>
      <c r="T336" s="1" t="str">
        <f t="shared" si="46"/>
        <v/>
      </c>
      <c r="AK336" s="1">
        <v>0</v>
      </c>
      <c r="AL336" s="1">
        <v>0</v>
      </c>
      <c r="AM336" s="1">
        <v>10</v>
      </c>
      <c r="AN336" s="1">
        <v>0</v>
      </c>
      <c r="AO336" s="1">
        <f t="shared" si="50"/>
        <v>0</v>
      </c>
      <c r="AP336" s="1">
        <f t="shared" si="51"/>
        <v>0</v>
      </c>
      <c r="AQ336" s="1">
        <f t="shared" si="52"/>
        <v>700</v>
      </c>
      <c r="AR336" s="1">
        <f t="shared" si="53"/>
        <v>0</v>
      </c>
    </row>
    <row r="337" spans="1:44" x14ac:dyDescent="0.2">
      <c r="A337" s="2">
        <v>44896</v>
      </c>
      <c r="B337" s="4">
        <v>0.53700000000000003</v>
      </c>
      <c r="C337" s="4">
        <v>0.98399999999999999</v>
      </c>
      <c r="D337" s="4">
        <v>7.3999999999999996E-2</v>
      </c>
      <c r="E337" s="4">
        <v>3.3000000000000002E-2</v>
      </c>
      <c r="F337" s="4">
        <v>2.4E-2</v>
      </c>
      <c r="G337" s="4">
        <v>0.40400000000000003</v>
      </c>
      <c r="H337" s="4">
        <v>2.4E-2</v>
      </c>
      <c r="I337" s="4">
        <v>0.35499999999999998</v>
      </c>
      <c r="J337" s="4">
        <v>0.69562499999999994</v>
      </c>
      <c r="K337" s="1">
        <v>0</v>
      </c>
      <c r="L337" s="1">
        <v>0</v>
      </c>
      <c r="M337" s="1">
        <v>700</v>
      </c>
      <c r="N337" s="1">
        <v>0</v>
      </c>
      <c r="O337" s="1" t="str">
        <f t="shared" si="48"/>
        <v>Repair</v>
      </c>
      <c r="P337" s="2">
        <f t="shared" si="49"/>
        <v>44926</v>
      </c>
      <c r="Q337" s="9">
        <f>VLOOKUP(P337,BB!$A$3:$D$6771, 3, 1)*100</f>
        <v>130</v>
      </c>
      <c r="R337" s="1" t="str">
        <f t="shared" si="54"/>
        <v/>
      </c>
      <c r="S337" s="1">
        <f t="shared" si="47"/>
        <v>122</v>
      </c>
      <c r="T337" s="1" t="str">
        <f t="shared" si="46"/>
        <v/>
      </c>
      <c r="AK337" s="1">
        <v>0</v>
      </c>
      <c r="AL337" s="1">
        <v>0</v>
      </c>
      <c r="AM337" s="1">
        <v>10</v>
      </c>
      <c r="AN337" s="1">
        <v>0</v>
      </c>
      <c r="AO337" s="1">
        <f t="shared" si="50"/>
        <v>0</v>
      </c>
      <c r="AP337" s="1">
        <f t="shared" si="51"/>
        <v>0</v>
      </c>
      <c r="AQ337" s="1">
        <f t="shared" si="52"/>
        <v>700</v>
      </c>
      <c r="AR337" s="1">
        <f t="shared" si="53"/>
        <v>0</v>
      </c>
    </row>
    <row r="338" spans="1:44" x14ac:dyDescent="0.2">
      <c r="A338" s="2">
        <v>44927</v>
      </c>
      <c r="B338" s="4">
        <v>0.36299999999999999</v>
      </c>
      <c r="C338" s="4">
        <v>0.98399999999999999</v>
      </c>
      <c r="D338" s="4">
        <v>3.3000000000000002E-2</v>
      </c>
      <c r="E338" s="4">
        <v>4.1000000000000002E-2</v>
      </c>
      <c r="F338" s="4">
        <v>2.4E-2</v>
      </c>
      <c r="G338" s="4">
        <v>0.38</v>
      </c>
      <c r="H338" s="4">
        <v>4.1000000000000002E-2</v>
      </c>
      <c r="I338" s="4">
        <v>5.7000000000000002E-2</v>
      </c>
      <c r="J338" s="4">
        <v>0.75962499999999999</v>
      </c>
      <c r="K338" s="1">
        <v>0</v>
      </c>
      <c r="L338" s="1">
        <v>0</v>
      </c>
      <c r="M338" s="1">
        <v>700</v>
      </c>
      <c r="N338" s="1">
        <v>0</v>
      </c>
      <c r="O338" s="1" t="str">
        <f t="shared" si="48"/>
        <v>Repair</v>
      </c>
      <c r="P338" s="2">
        <f t="shared" si="49"/>
        <v>44957</v>
      </c>
      <c r="Q338" s="9">
        <f>VLOOKUP(P338,BB!$A$3:$D$6771, 3, 1)*100</f>
        <v>117</v>
      </c>
      <c r="R338" s="1" t="str">
        <f t="shared" si="54"/>
        <v/>
      </c>
      <c r="S338" s="1">
        <f t="shared" si="47"/>
        <v>122</v>
      </c>
      <c r="T338" s="1" t="str">
        <f t="shared" si="46"/>
        <v/>
      </c>
      <c r="AK338" s="1">
        <v>0</v>
      </c>
      <c r="AL338" s="1">
        <v>0</v>
      </c>
      <c r="AM338" s="1">
        <v>10</v>
      </c>
      <c r="AN338" s="1">
        <v>0</v>
      </c>
      <c r="AO338" s="1">
        <f t="shared" si="50"/>
        <v>0</v>
      </c>
      <c r="AP338" s="1">
        <f t="shared" si="51"/>
        <v>0</v>
      </c>
      <c r="AQ338" s="1">
        <f t="shared" si="52"/>
        <v>700</v>
      </c>
      <c r="AR338" s="1">
        <f t="shared" si="53"/>
        <v>0</v>
      </c>
    </row>
    <row r="339" spans="1:44" x14ac:dyDescent="0.2">
      <c r="A339" s="2">
        <v>44958</v>
      </c>
      <c r="B339" s="4">
        <v>0.65200000000000002</v>
      </c>
      <c r="C339" s="4">
        <v>0.99199999999999999</v>
      </c>
      <c r="D339" s="4">
        <v>4.1000000000000002E-2</v>
      </c>
      <c r="E339" s="4">
        <v>3.3000000000000002E-2</v>
      </c>
      <c r="F339" s="4">
        <v>0.115</v>
      </c>
      <c r="G339" s="4">
        <v>0.371</v>
      </c>
      <c r="H339" s="4">
        <v>1.6E-2</v>
      </c>
      <c r="I339" s="4">
        <v>0.107</v>
      </c>
      <c r="J339" s="4">
        <v>0.70912500000000001</v>
      </c>
      <c r="K339" s="1">
        <v>0</v>
      </c>
      <c r="L339" s="1">
        <v>0</v>
      </c>
      <c r="M339" s="1">
        <v>700</v>
      </c>
      <c r="N339" s="1">
        <v>0</v>
      </c>
      <c r="O339" s="1" t="str">
        <f t="shared" si="48"/>
        <v>Repair</v>
      </c>
      <c r="P339" s="2">
        <f t="shared" si="49"/>
        <v>44985</v>
      </c>
      <c r="Q339" s="9">
        <f>VLOOKUP(P339,BB!$A$3:$D$6771, 3, 1)*100</f>
        <v>124</v>
      </c>
      <c r="R339" s="1" t="str">
        <f t="shared" si="54"/>
        <v/>
      </c>
      <c r="S339" s="1">
        <f t="shared" si="47"/>
        <v>122</v>
      </c>
      <c r="T339" s="1" t="str">
        <f t="shared" si="46"/>
        <v/>
      </c>
      <c r="AK339" s="1">
        <v>0</v>
      </c>
      <c r="AL339" s="1">
        <v>0</v>
      </c>
      <c r="AM339" s="1">
        <v>10</v>
      </c>
      <c r="AN339" s="1">
        <v>0</v>
      </c>
      <c r="AO339" s="1">
        <f t="shared" si="50"/>
        <v>0</v>
      </c>
      <c r="AP339" s="1">
        <f t="shared" si="51"/>
        <v>0</v>
      </c>
      <c r="AQ339" s="1">
        <f t="shared" si="52"/>
        <v>700</v>
      </c>
      <c r="AR339" s="1">
        <f t="shared" si="53"/>
        <v>0</v>
      </c>
    </row>
    <row r="340" spans="1:44" x14ac:dyDescent="0.2">
      <c r="A340" s="2">
        <v>44986</v>
      </c>
      <c r="B340" s="4">
        <v>0.91700000000000004</v>
      </c>
      <c r="C340" s="4">
        <v>0.96699999999999997</v>
      </c>
      <c r="D340" s="4">
        <v>2.4E-2</v>
      </c>
      <c r="E340" s="4">
        <v>0.13200000000000001</v>
      </c>
      <c r="F340" s="4">
        <v>0.09</v>
      </c>
      <c r="G340" s="4">
        <v>0.39600000000000002</v>
      </c>
      <c r="H340" s="4">
        <v>3.3000000000000002E-2</v>
      </c>
      <c r="I340" s="4">
        <v>0.54500000000000004</v>
      </c>
      <c r="J340" s="4">
        <v>0.6120000000000001</v>
      </c>
      <c r="K340" s="1">
        <v>0</v>
      </c>
      <c r="L340" s="1">
        <v>0</v>
      </c>
      <c r="M340" s="1">
        <v>700</v>
      </c>
      <c r="N340" s="1">
        <v>0</v>
      </c>
      <c r="O340" s="1" t="str">
        <f t="shared" si="48"/>
        <v>Repair</v>
      </c>
      <c r="P340" s="2">
        <f t="shared" si="49"/>
        <v>45016</v>
      </c>
      <c r="Q340" s="9">
        <f>VLOOKUP(P340,BB!$A$3:$D$6771, 3, 1)*100</f>
        <v>138</v>
      </c>
      <c r="R340" s="1">
        <f t="shared" si="54"/>
        <v>16</v>
      </c>
      <c r="S340" s="1">
        <f t="shared" si="47"/>
        <v>122</v>
      </c>
      <c r="T340" s="1" t="str">
        <f t="shared" si="46"/>
        <v>Repair</v>
      </c>
      <c r="AK340" s="1">
        <v>0</v>
      </c>
      <c r="AL340" s="1">
        <v>0</v>
      </c>
      <c r="AM340" s="1">
        <v>10</v>
      </c>
      <c r="AN340" s="1">
        <v>0</v>
      </c>
      <c r="AO340" s="1">
        <f t="shared" si="50"/>
        <v>0</v>
      </c>
      <c r="AP340" s="1">
        <f t="shared" si="51"/>
        <v>0</v>
      </c>
      <c r="AQ340" s="1">
        <f t="shared" si="52"/>
        <v>700</v>
      </c>
      <c r="AR340" s="1">
        <f t="shared" si="53"/>
        <v>0</v>
      </c>
    </row>
    <row r="341" spans="1:44" x14ac:dyDescent="0.2">
      <c r="A341" s="2">
        <v>45017</v>
      </c>
      <c r="B341" s="4">
        <v>0.9</v>
      </c>
      <c r="C341" s="4">
        <v>0.96699999999999997</v>
      </c>
      <c r="D341" s="4">
        <v>3.3000000000000002E-2</v>
      </c>
      <c r="E341" s="4">
        <v>0.14000000000000001</v>
      </c>
      <c r="F341" s="4">
        <v>9.9000000000000005E-2</v>
      </c>
      <c r="G341" s="4">
        <v>0.36299999999999999</v>
      </c>
      <c r="H341" s="4">
        <v>4.1000000000000002E-2</v>
      </c>
      <c r="I341" s="4">
        <v>0.17299999999999999</v>
      </c>
      <c r="J341" s="4">
        <v>0.66049999999999998</v>
      </c>
      <c r="K341" s="1">
        <v>0</v>
      </c>
      <c r="L341" s="1">
        <v>0</v>
      </c>
      <c r="M341" s="1">
        <v>0</v>
      </c>
      <c r="N341" s="1">
        <v>700</v>
      </c>
      <c r="O341" s="1" t="str">
        <f t="shared" si="48"/>
        <v>Recovery</v>
      </c>
      <c r="P341" s="2">
        <f t="shared" si="49"/>
        <v>45046</v>
      </c>
      <c r="Q341" s="9">
        <f>VLOOKUP(P341,BB!$A$3:$D$6771, 3, 1)*100</f>
        <v>136</v>
      </c>
      <c r="R341" s="1" t="str">
        <f t="shared" si="54"/>
        <v/>
      </c>
      <c r="S341" s="1">
        <f t="shared" si="47"/>
        <v>138</v>
      </c>
      <c r="T341" s="1" t="str">
        <f t="shared" si="46"/>
        <v/>
      </c>
      <c r="AK341" s="1">
        <v>0</v>
      </c>
      <c r="AL341" s="1">
        <v>0</v>
      </c>
      <c r="AM341" s="1">
        <v>0</v>
      </c>
      <c r="AN341" s="1">
        <v>10</v>
      </c>
      <c r="AO341" s="1">
        <f t="shared" si="50"/>
        <v>0</v>
      </c>
      <c r="AP341" s="1">
        <f t="shared" si="51"/>
        <v>0</v>
      </c>
      <c r="AQ341" s="1">
        <f t="shared" si="52"/>
        <v>0</v>
      </c>
      <c r="AR341" s="1">
        <f t="shared" si="53"/>
        <v>700</v>
      </c>
    </row>
    <row r="342" spans="1:44" x14ac:dyDescent="0.2">
      <c r="A342" s="2">
        <v>45047</v>
      </c>
      <c r="B342" s="4">
        <v>0.99099999999999999</v>
      </c>
      <c r="C342" s="4">
        <v>0.98399999999999999</v>
      </c>
      <c r="D342" s="4">
        <v>3.3000000000000002E-2</v>
      </c>
      <c r="E342" s="4">
        <v>0.123</v>
      </c>
      <c r="F342" s="4">
        <v>0.29699999999999999</v>
      </c>
      <c r="G342" s="4">
        <v>0.25600000000000001</v>
      </c>
      <c r="H342" s="4">
        <v>1.6E-2</v>
      </c>
      <c r="I342" s="4">
        <v>0.58599999999999997</v>
      </c>
      <c r="J342" s="4">
        <v>0.58925000000000005</v>
      </c>
      <c r="K342" s="1">
        <v>0</v>
      </c>
      <c r="L342" s="1">
        <v>0</v>
      </c>
      <c r="M342" s="1">
        <v>0</v>
      </c>
      <c r="N342" s="1">
        <v>700</v>
      </c>
      <c r="O342" s="1" t="str">
        <f t="shared" si="48"/>
        <v>Recovery</v>
      </c>
      <c r="P342" s="2">
        <f t="shared" si="49"/>
        <v>45077</v>
      </c>
      <c r="Q342" s="9">
        <f>VLOOKUP(P342,BB!$A$3:$D$6771, 3, 1)*100</f>
        <v>138</v>
      </c>
      <c r="R342" s="1" t="str">
        <f t="shared" si="54"/>
        <v/>
      </c>
      <c r="S342" s="1">
        <f t="shared" si="47"/>
        <v>138</v>
      </c>
      <c r="T342" s="1" t="str">
        <f t="shared" si="46"/>
        <v/>
      </c>
      <c r="AK342" s="1">
        <v>0</v>
      </c>
      <c r="AL342" s="1">
        <v>0</v>
      </c>
      <c r="AM342" s="1">
        <v>0</v>
      </c>
      <c r="AN342" s="1">
        <v>10</v>
      </c>
      <c r="AO342" s="1">
        <f t="shared" si="50"/>
        <v>0</v>
      </c>
      <c r="AP342" s="1">
        <f t="shared" si="51"/>
        <v>0</v>
      </c>
      <c r="AQ342" s="1">
        <f t="shared" si="52"/>
        <v>0</v>
      </c>
      <c r="AR342" s="1">
        <f t="shared" si="53"/>
        <v>700</v>
      </c>
    </row>
    <row r="343" spans="1:44" x14ac:dyDescent="0.2">
      <c r="A343" s="2">
        <v>45078</v>
      </c>
      <c r="B343" s="4">
        <v>0.99099999999999999</v>
      </c>
      <c r="C343" s="4">
        <v>0.99199999999999999</v>
      </c>
      <c r="D343" s="4">
        <v>2.4E-2</v>
      </c>
      <c r="E343" s="4">
        <v>0.157</v>
      </c>
      <c r="F343" s="4">
        <v>0.30499999999999999</v>
      </c>
      <c r="G343" s="4">
        <v>0.25600000000000001</v>
      </c>
      <c r="H343" s="4">
        <v>8.0000000000000002E-3</v>
      </c>
      <c r="I343" s="4">
        <v>0.23100000000000001</v>
      </c>
      <c r="J343" s="4">
        <v>0.62949999999999995</v>
      </c>
      <c r="K343" s="1">
        <v>0</v>
      </c>
      <c r="L343" s="1">
        <v>0</v>
      </c>
      <c r="M343" s="1">
        <v>0</v>
      </c>
      <c r="N343" s="1">
        <v>700</v>
      </c>
      <c r="O343" s="1" t="str">
        <f t="shared" si="48"/>
        <v>Recovery</v>
      </c>
      <c r="P343" s="2">
        <f t="shared" si="49"/>
        <v>45107</v>
      </c>
      <c r="Q343" s="9">
        <f>VLOOKUP(P343,BB!$A$3:$D$6771, 3, 1)*100</f>
        <v>123</v>
      </c>
      <c r="R343" s="1" t="str">
        <f t="shared" si="54"/>
        <v/>
      </c>
      <c r="S343" s="1">
        <f t="shared" si="47"/>
        <v>138</v>
      </c>
      <c r="T343" s="1" t="str">
        <f t="shared" si="46"/>
        <v/>
      </c>
      <c r="AK343" s="1">
        <v>0</v>
      </c>
      <c r="AL343" s="1">
        <v>0</v>
      </c>
      <c r="AM343" s="1">
        <v>0</v>
      </c>
      <c r="AN343" s="1">
        <v>10</v>
      </c>
      <c r="AO343" s="1">
        <f t="shared" si="50"/>
        <v>0</v>
      </c>
      <c r="AP343" s="1">
        <f t="shared" si="51"/>
        <v>0</v>
      </c>
      <c r="AQ343" s="1">
        <f t="shared" si="52"/>
        <v>0</v>
      </c>
      <c r="AR343" s="1">
        <f t="shared" si="53"/>
        <v>700</v>
      </c>
    </row>
    <row r="344" spans="1:44" x14ac:dyDescent="0.2">
      <c r="A344" s="2">
        <v>45108</v>
      </c>
      <c r="B344" s="4">
        <v>0.98299999999999998</v>
      </c>
      <c r="C344" s="4">
        <v>0.98399999999999999</v>
      </c>
      <c r="D344" s="4">
        <v>4.1000000000000002E-2</v>
      </c>
      <c r="E344" s="4">
        <v>0.157</v>
      </c>
      <c r="F344" s="4">
        <v>0.314</v>
      </c>
      <c r="G344" s="4">
        <v>0.27200000000000002</v>
      </c>
      <c r="H344" s="4">
        <v>8.0000000000000002E-3</v>
      </c>
      <c r="I344" s="4">
        <v>0.14799999999999999</v>
      </c>
      <c r="J344" s="4">
        <v>0.636625</v>
      </c>
      <c r="K344" s="1">
        <v>0</v>
      </c>
      <c r="L344" s="1">
        <v>0</v>
      </c>
      <c r="M344" s="1">
        <v>0</v>
      </c>
      <c r="N344" s="1">
        <v>700</v>
      </c>
      <c r="O344" s="1" t="str">
        <f t="shared" si="48"/>
        <v>Recovery</v>
      </c>
      <c r="P344" s="2">
        <f t="shared" si="49"/>
        <v>45138</v>
      </c>
      <c r="Q344" s="9">
        <f>VLOOKUP(P344,BB!$A$3:$D$6771, 3, 1)*100</f>
        <v>112.00000000000001</v>
      </c>
      <c r="R344" s="1" t="str">
        <f t="shared" si="54"/>
        <v/>
      </c>
      <c r="S344" s="1">
        <f t="shared" si="47"/>
        <v>138</v>
      </c>
      <c r="T344" s="1" t="str">
        <f t="shared" si="46"/>
        <v/>
      </c>
      <c r="AK344" s="1">
        <v>0</v>
      </c>
      <c r="AL344" s="1">
        <v>0</v>
      </c>
      <c r="AM344" s="1">
        <v>0</v>
      </c>
      <c r="AN344" s="1">
        <v>10</v>
      </c>
      <c r="AO344" s="1">
        <f t="shared" si="50"/>
        <v>0</v>
      </c>
      <c r="AP344" s="1">
        <f t="shared" si="51"/>
        <v>0</v>
      </c>
      <c r="AQ344" s="1">
        <f t="shared" si="52"/>
        <v>0</v>
      </c>
      <c r="AR344" s="1">
        <f t="shared" si="53"/>
        <v>700</v>
      </c>
    </row>
    <row r="345" spans="1:44" x14ac:dyDescent="0.2">
      <c r="A345" s="2">
        <v>45139</v>
      </c>
      <c r="B345" s="4">
        <v>0.97499999999999998</v>
      </c>
      <c r="C345" s="4">
        <v>0.95899999999999996</v>
      </c>
      <c r="D345" s="4">
        <v>8.2000000000000003E-2</v>
      </c>
      <c r="E345" s="4">
        <v>0.14799999999999999</v>
      </c>
      <c r="F345" s="4">
        <v>0.23100000000000001</v>
      </c>
      <c r="G345" s="4">
        <v>0.371</v>
      </c>
      <c r="H345" s="4">
        <v>8.0000000000000002E-3</v>
      </c>
      <c r="I345" s="4">
        <v>0.17299999999999999</v>
      </c>
      <c r="J345" s="4">
        <v>0.63162499999999999</v>
      </c>
      <c r="K345" s="1">
        <v>0</v>
      </c>
      <c r="L345" s="1">
        <v>0</v>
      </c>
      <c r="M345" s="1">
        <v>0</v>
      </c>
      <c r="N345" s="1">
        <v>700</v>
      </c>
      <c r="O345" s="1" t="str">
        <f t="shared" si="48"/>
        <v>Recovery</v>
      </c>
      <c r="P345" s="2">
        <f t="shared" si="49"/>
        <v>45169</v>
      </c>
      <c r="Q345" s="9">
        <f>VLOOKUP(P345,BB!$A$3:$D$6771, 3, 1)*100</f>
        <v>118</v>
      </c>
      <c r="R345" s="1" t="str">
        <f t="shared" si="54"/>
        <v/>
      </c>
      <c r="S345" s="1">
        <f t="shared" si="47"/>
        <v>138</v>
      </c>
      <c r="T345" s="1" t="str">
        <f t="shared" si="46"/>
        <v/>
      </c>
      <c r="AK345" s="1">
        <v>0</v>
      </c>
      <c r="AL345" s="1">
        <v>0</v>
      </c>
      <c r="AM345" s="1">
        <v>0</v>
      </c>
      <c r="AN345" s="1">
        <v>10</v>
      </c>
      <c r="AO345" s="1">
        <f t="shared" si="50"/>
        <v>0</v>
      </c>
      <c r="AP345" s="1">
        <f t="shared" si="51"/>
        <v>0</v>
      </c>
      <c r="AQ345" s="1">
        <f t="shared" si="52"/>
        <v>0</v>
      </c>
      <c r="AR345" s="1">
        <f t="shared" si="53"/>
        <v>700</v>
      </c>
    </row>
    <row r="346" spans="1:44" x14ac:dyDescent="0.2">
      <c r="A346" s="2">
        <v>45170</v>
      </c>
      <c r="B346" s="4">
        <v>0.97499999999999998</v>
      </c>
      <c r="C346" s="4">
        <v>0.91</v>
      </c>
      <c r="D346" s="4">
        <v>0.157</v>
      </c>
      <c r="E346" s="4">
        <v>0.17299999999999999</v>
      </c>
      <c r="F346" s="4">
        <v>0.223</v>
      </c>
      <c r="G346" s="4">
        <v>0.38800000000000001</v>
      </c>
      <c r="H346" s="4">
        <v>8.0000000000000002E-3</v>
      </c>
      <c r="I346" s="4">
        <v>0.27200000000000002</v>
      </c>
      <c r="J346" s="4">
        <v>0.61175000000000002</v>
      </c>
      <c r="K346" s="1">
        <v>0</v>
      </c>
      <c r="L346" s="1">
        <v>0</v>
      </c>
      <c r="M346" s="1">
        <v>0</v>
      </c>
      <c r="N346" s="1">
        <v>700</v>
      </c>
      <c r="O346" s="1" t="str">
        <f t="shared" si="48"/>
        <v>Recovery</v>
      </c>
      <c r="P346" s="2">
        <f t="shared" si="49"/>
        <v>45199</v>
      </c>
      <c r="Q346" s="9">
        <f>VLOOKUP(P346,BB!$A$3:$D$6771, 3, 1)*100</f>
        <v>121</v>
      </c>
      <c r="R346" s="1" t="str">
        <f t="shared" si="54"/>
        <v/>
      </c>
      <c r="S346" s="1">
        <f t="shared" si="47"/>
        <v>138</v>
      </c>
      <c r="T346" s="1" t="str">
        <f t="shared" si="46"/>
        <v/>
      </c>
      <c r="AK346" s="1">
        <v>0</v>
      </c>
      <c r="AL346" s="1">
        <v>0</v>
      </c>
      <c r="AM346" s="1">
        <v>0</v>
      </c>
      <c r="AN346" s="1">
        <v>10</v>
      </c>
      <c r="AO346" s="1">
        <f t="shared" si="50"/>
        <v>0</v>
      </c>
      <c r="AP346" s="1">
        <f t="shared" si="51"/>
        <v>0</v>
      </c>
      <c r="AQ346" s="1">
        <f t="shared" si="52"/>
        <v>0</v>
      </c>
      <c r="AR346" s="1">
        <f t="shared" si="53"/>
        <v>700</v>
      </c>
    </row>
    <row r="347" spans="1:44" x14ac:dyDescent="0.2">
      <c r="A347" s="2">
        <v>45200</v>
      </c>
      <c r="B347" s="4">
        <v>0.99099999999999999</v>
      </c>
      <c r="C347" s="4">
        <v>0.86799999999999999</v>
      </c>
      <c r="D347" s="4">
        <v>4.9000000000000002E-2</v>
      </c>
      <c r="E347" s="4">
        <v>0.123</v>
      </c>
      <c r="F347" s="4">
        <v>0.23899999999999999</v>
      </c>
      <c r="G347" s="4">
        <v>0.33800000000000002</v>
      </c>
      <c r="H347" s="4">
        <v>8.0000000000000002E-3</v>
      </c>
      <c r="I347" s="4">
        <v>0.80100000000000005</v>
      </c>
      <c r="J347" s="4">
        <v>0.57287500000000002</v>
      </c>
      <c r="K347" s="1">
        <v>0</v>
      </c>
      <c r="L347" s="1">
        <v>0</v>
      </c>
      <c r="M347" s="1">
        <v>0</v>
      </c>
      <c r="N347" s="1">
        <v>700</v>
      </c>
      <c r="O347" s="1" t="str">
        <f t="shared" si="48"/>
        <v>Recovery</v>
      </c>
      <c r="P347" s="2">
        <f t="shared" si="49"/>
        <v>45230</v>
      </c>
      <c r="Q347" s="9">
        <f>VLOOKUP(P347,BB!$A$3:$D$6771, 3, 1)*100</f>
        <v>129</v>
      </c>
      <c r="R347" s="1" t="str">
        <f t="shared" si="54"/>
        <v/>
      </c>
      <c r="S347" s="1">
        <f t="shared" si="47"/>
        <v>138</v>
      </c>
      <c r="T347" s="1" t="str">
        <f t="shared" si="46"/>
        <v/>
      </c>
      <c r="AK347" s="1">
        <v>0</v>
      </c>
      <c r="AL347" s="1">
        <v>0</v>
      </c>
      <c r="AM347" s="1">
        <v>0</v>
      </c>
      <c r="AN347" s="1">
        <v>10</v>
      </c>
      <c r="AO347" s="1">
        <f t="shared" si="50"/>
        <v>0</v>
      </c>
      <c r="AP347" s="1">
        <f t="shared" si="51"/>
        <v>0</v>
      </c>
      <c r="AQ347" s="1">
        <f t="shared" si="52"/>
        <v>0</v>
      </c>
      <c r="AR347" s="1">
        <f t="shared" si="53"/>
        <v>700</v>
      </c>
    </row>
    <row r="348" spans="1:44" x14ac:dyDescent="0.2">
      <c r="A348" s="2">
        <v>45231</v>
      </c>
      <c r="B348" s="4">
        <v>0.99099999999999999</v>
      </c>
      <c r="C348" s="4">
        <v>0.88500000000000001</v>
      </c>
      <c r="D348" s="4">
        <v>4.9000000000000002E-2</v>
      </c>
      <c r="E348" s="4">
        <v>0.19800000000000001</v>
      </c>
      <c r="F348" s="4">
        <v>0.17299999999999999</v>
      </c>
      <c r="G348" s="4">
        <v>0.42899999999999999</v>
      </c>
      <c r="H348" s="4">
        <v>3.3000000000000002E-2</v>
      </c>
      <c r="I348" s="4">
        <v>0.14000000000000001</v>
      </c>
      <c r="J348" s="4">
        <v>0.63775000000000004</v>
      </c>
      <c r="K348" s="1">
        <v>0</v>
      </c>
      <c r="L348" s="1">
        <v>0</v>
      </c>
      <c r="M348" s="1">
        <v>0</v>
      </c>
      <c r="N348" s="1">
        <v>700</v>
      </c>
      <c r="O348" s="1" t="str">
        <f t="shared" si="48"/>
        <v>Recovery</v>
      </c>
      <c r="P348" s="2">
        <f t="shared" si="49"/>
        <v>45260</v>
      </c>
      <c r="Q348" s="9">
        <f>VLOOKUP(P348,BB!$A$3:$D$6771, 3, 1)*100</f>
        <v>104</v>
      </c>
      <c r="R348" s="1" t="str">
        <f t="shared" si="54"/>
        <v/>
      </c>
      <c r="S348" s="1">
        <f t="shared" si="47"/>
        <v>138</v>
      </c>
      <c r="T348" s="1" t="str">
        <f t="shared" si="46"/>
        <v/>
      </c>
      <c r="AK348" s="1">
        <v>0</v>
      </c>
      <c r="AL348" s="1">
        <v>0</v>
      </c>
      <c r="AM348" s="1">
        <v>0</v>
      </c>
      <c r="AN348" s="1">
        <v>10</v>
      </c>
      <c r="AO348" s="1">
        <f t="shared" si="50"/>
        <v>0</v>
      </c>
      <c r="AP348" s="1">
        <f t="shared" si="51"/>
        <v>0</v>
      </c>
      <c r="AQ348" s="1">
        <f t="shared" si="52"/>
        <v>0</v>
      </c>
      <c r="AR348" s="1">
        <f t="shared" si="53"/>
        <v>700</v>
      </c>
    </row>
    <row r="349" spans="1:44" x14ac:dyDescent="0.2">
      <c r="A349" s="2">
        <v>45261</v>
      </c>
      <c r="B349" s="4">
        <v>0.98299999999999998</v>
      </c>
      <c r="C349" s="4">
        <v>0.88500000000000001</v>
      </c>
      <c r="D349" s="4">
        <v>0.09</v>
      </c>
      <c r="E349" s="4">
        <v>0.25600000000000001</v>
      </c>
      <c r="F349" s="4">
        <v>0.16500000000000001</v>
      </c>
      <c r="G349" s="4">
        <v>0.42099999999999999</v>
      </c>
      <c r="H349" s="4">
        <v>5.7000000000000002E-2</v>
      </c>
      <c r="I349" s="4">
        <v>0.44600000000000001</v>
      </c>
      <c r="J349" s="4">
        <v>0.58712500000000001</v>
      </c>
      <c r="K349" s="1">
        <v>0</v>
      </c>
      <c r="L349" s="1">
        <v>0</v>
      </c>
      <c r="M349" s="1">
        <v>0</v>
      </c>
      <c r="N349" s="1">
        <v>700</v>
      </c>
      <c r="O349" s="1" t="str">
        <f t="shared" si="48"/>
        <v>Recovery</v>
      </c>
      <c r="P349" s="2">
        <f t="shared" si="49"/>
        <v>45291</v>
      </c>
      <c r="Q349" s="9">
        <f>VLOOKUP(P349,BB!$A$3:$D$6771, 3, 1)*100</f>
        <v>99</v>
      </c>
      <c r="R349" s="1" t="str">
        <f t="shared" si="54"/>
        <v/>
      </c>
      <c r="S349" s="1">
        <f t="shared" si="47"/>
        <v>138</v>
      </c>
      <c r="T349" s="1" t="str">
        <f t="shared" si="46"/>
        <v/>
      </c>
      <c r="AK349" s="1">
        <v>0</v>
      </c>
      <c r="AL349" s="1">
        <v>0</v>
      </c>
      <c r="AM349" s="1">
        <v>0</v>
      </c>
      <c r="AN349" s="1">
        <v>10</v>
      </c>
      <c r="AO349" s="1">
        <f t="shared" si="50"/>
        <v>0</v>
      </c>
      <c r="AP349" s="1">
        <f t="shared" si="51"/>
        <v>0</v>
      </c>
      <c r="AQ349" s="1">
        <f t="shared" si="52"/>
        <v>0</v>
      </c>
      <c r="AR349" s="1">
        <f t="shared" si="53"/>
        <v>700</v>
      </c>
    </row>
    <row r="350" spans="1:44" x14ac:dyDescent="0.2">
      <c r="A350" s="2">
        <v>45292</v>
      </c>
      <c r="B350" s="4">
        <v>0.99099999999999999</v>
      </c>
      <c r="C350" s="4">
        <v>0.86</v>
      </c>
      <c r="D350" s="4">
        <v>0.19800000000000001</v>
      </c>
      <c r="E350" s="4">
        <v>0.247</v>
      </c>
      <c r="F350" s="4">
        <v>0.16500000000000001</v>
      </c>
      <c r="G350" s="4">
        <v>0.44600000000000001</v>
      </c>
      <c r="H350" s="4">
        <v>4.9000000000000002E-2</v>
      </c>
      <c r="I350" s="4">
        <v>0.36299999999999999</v>
      </c>
      <c r="J350" s="4">
        <v>0.58512500000000001</v>
      </c>
      <c r="K350" s="1">
        <v>0</v>
      </c>
      <c r="L350" s="1">
        <v>0</v>
      </c>
      <c r="M350" s="1">
        <v>0</v>
      </c>
      <c r="N350" s="1">
        <v>700</v>
      </c>
      <c r="O350" s="1" t="str">
        <f t="shared" si="48"/>
        <v>Recovery</v>
      </c>
      <c r="P350" s="2">
        <f t="shared" si="49"/>
        <v>45322</v>
      </c>
      <c r="Q350" s="9">
        <f>VLOOKUP(P350,BB!$A$3:$D$6771, 3, 1)*100</f>
        <v>96</v>
      </c>
      <c r="R350" s="1" t="str">
        <f t="shared" si="54"/>
        <v/>
      </c>
      <c r="S350" s="1">
        <f t="shared" si="47"/>
        <v>138</v>
      </c>
      <c r="T350" s="1" t="str">
        <f t="shared" si="46"/>
        <v/>
      </c>
      <c r="AK350" s="1">
        <v>0</v>
      </c>
      <c r="AL350" s="1">
        <v>0</v>
      </c>
      <c r="AM350" s="1">
        <v>0</v>
      </c>
      <c r="AN350" s="1">
        <v>10</v>
      </c>
      <c r="AO350" s="1">
        <f t="shared" si="50"/>
        <v>0</v>
      </c>
      <c r="AP350" s="1">
        <f t="shared" si="51"/>
        <v>0</v>
      </c>
      <c r="AQ350" s="1">
        <f t="shared" si="52"/>
        <v>0</v>
      </c>
      <c r="AR350" s="1">
        <f t="shared" si="53"/>
        <v>700</v>
      </c>
    </row>
    <row r="351" spans="1:44" x14ac:dyDescent="0.2">
      <c r="A351" s="2">
        <v>45323</v>
      </c>
      <c r="B351" s="4">
        <v>0.98299999999999998</v>
      </c>
      <c r="C351" s="4">
        <v>0.877</v>
      </c>
      <c r="D351" s="4">
        <v>0.123</v>
      </c>
      <c r="E351" s="4">
        <v>0.223</v>
      </c>
      <c r="F351" s="4">
        <v>3.3000000000000002E-2</v>
      </c>
      <c r="G351" s="4">
        <v>0.71899999999999997</v>
      </c>
      <c r="H351" s="4">
        <v>1.6E-2</v>
      </c>
      <c r="I351" s="4">
        <v>0.52800000000000002</v>
      </c>
      <c r="J351" s="4">
        <v>0.56225000000000003</v>
      </c>
      <c r="K351" s="1">
        <v>0</v>
      </c>
      <c r="L351" s="1">
        <v>0</v>
      </c>
      <c r="M351" s="1">
        <v>0</v>
      </c>
      <c r="N351" s="1">
        <v>700</v>
      </c>
      <c r="O351" s="1" t="str">
        <f t="shared" si="48"/>
        <v>Recovery</v>
      </c>
      <c r="P351" s="2">
        <f t="shared" si="49"/>
        <v>45351</v>
      </c>
      <c r="Q351" s="9">
        <f>VLOOKUP(P351,BB!$A$3:$D$6771, 3, 1)*100</f>
        <v>96</v>
      </c>
      <c r="R351" s="1" t="str">
        <f t="shared" si="54"/>
        <v/>
      </c>
      <c r="S351" s="1">
        <f t="shared" si="47"/>
        <v>138</v>
      </c>
      <c r="T351" s="1" t="str">
        <f t="shared" si="46"/>
        <v/>
      </c>
      <c r="AK351" s="1">
        <v>0</v>
      </c>
      <c r="AL351" s="1">
        <v>0</v>
      </c>
      <c r="AM351" s="1">
        <v>0</v>
      </c>
      <c r="AN351" s="1">
        <v>10</v>
      </c>
      <c r="AO351" s="1">
        <f t="shared" si="50"/>
        <v>0</v>
      </c>
      <c r="AP351" s="1">
        <f t="shared" si="51"/>
        <v>0</v>
      </c>
      <c r="AQ351" s="1">
        <f t="shared" si="52"/>
        <v>0</v>
      </c>
      <c r="AR351" s="1">
        <f t="shared" si="53"/>
        <v>700</v>
      </c>
    </row>
    <row r="352" spans="1:44" x14ac:dyDescent="0.2">
      <c r="A352" s="2">
        <v>45352</v>
      </c>
      <c r="B352" s="4">
        <v>0.95799999999999996</v>
      </c>
      <c r="C352" s="4">
        <v>0.88500000000000001</v>
      </c>
      <c r="D352" s="4">
        <v>0.28000000000000003</v>
      </c>
      <c r="E352" s="4">
        <v>0.214</v>
      </c>
      <c r="F352" s="4">
        <v>5.7000000000000002E-2</v>
      </c>
      <c r="G352" s="4">
        <v>0.61099999999999999</v>
      </c>
      <c r="H352" s="4">
        <v>1.6E-2</v>
      </c>
      <c r="I352" s="4">
        <v>0.123</v>
      </c>
      <c r="J352" s="4">
        <v>0.60699999999999998</v>
      </c>
      <c r="K352" s="1">
        <v>0</v>
      </c>
      <c r="L352" s="1">
        <v>0</v>
      </c>
      <c r="M352" s="1">
        <v>0</v>
      </c>
      <c r="N352" s="1">
        <v>700</v>
      </c>
      <c r="O352" s="1" t="str">
        <f t="shared" si="48"/>
        <v>Recovery</v>
      </c>
      <c r="P352" s="2">
        <f t="shared" si="49"/>
        <v>45382</v>
      </c>
      <c r="Q352" s="9">
        <f>VLOOKUP(P352,BB!$A$3:$D$6771, 3, 1)*100</f>
        <v>90</v>
      </c>
      <c r="R352" s="1" t="str">
        <f t="shared" si="54"/>
        <v/>
      </c>
      <c r="S352" s="1">
        <f t="shared" si="47"/>
        <v>138</v>
      </c>
      <c r="T352" s="1" t="str">
        <f t="shared" si="46"/>
        <v/>
      </c>
      <c r="AK352" s="1">
        <v>0</v>
      </c>
      <c r="AL352" s="1">
        <v>0</v>
      </c>
      <c r="AM352" s="1">
        <v>0</v>
      </c>
      <c r="AN352" s="1">
        <v>10</v>
      </c>
      <c r="AO352" s="1">
        <f t="shared" si="50"/>
        <v>0</v>
      </c>
      <c r="AP352" s="1">
        <f t="shared" si="51"/>
        <v>0</v>
      </c>
      <c r="AQ352" s="1">
        <f t="shared" si="52"/>
        <v>0</v>
      </c>
      <c r="AR352" s="1">
        <f t="shared" si="53"/>
        <v>700</v>
      </c>
    </row>
    <row r="353" spans="1:44" x14ac:dyDescent="0.2">
      <c r="A353" s="2">
        <v>45383</v>
      </c>
      <c r="B353" s="4">
        <v>0.95</v>
      </c>
      <c r="C353" s="4">
        <v>0.86</v>
      </c>
      <c r="D353" s="4">
        <v>0.23100000000000001</v>
      </c>
      <c r="E353" s="4">
        <v>0.14799999999999999</v>
      </c>
      <c r="F353" s="4">
        <v>3.3000000000000002E-2</v>
      </c>
      <c r="G353" s="4">
        <v>0.63600000000000001</v>
      </c>
      <c r="H353" s="4">
        <v>8.0000000000000002E-3</v>
      </c>
      <c r="I353" s="4">
        <v>0.53700000000000003</v>
      </c>
      <c r="J353" s="4">
        <v>0.57462499999999994</v>
      </c>
      <c r="K353" s="1">
        <v>0</v>
      </c>
      <c r="L353" s="1">
        <v>0</v>
      </c>
      <c r="M353" s="1">
        <v>0</v>
      </c>
      <c r="N353" s="1">
        <v>700</v>
      </c>
      <c r="O353" s="1" t="str">
        <f t="shared" si="48"/>
        <v>Recovery</v>
      </c>
      <c r="P353" s="2">
        <f t="shared" si="49"/>
        <v>45412</v>
      </c>
      <c r="Q353" s="9">
        <f>VLOOKUP(P353,BB!$A$3:$D$6771, 3, 1)*100</f>
        <v>87</v>
      </c>
      <c r="R353" s="1" t="str">
        <f t="shared" si="54"/>
        <v/>
      </c>
      <c r="S353" s="1">
        <f t="shared" si="47"/>
        <v>138</v>
      </c>
      <c r="T353" s="1" t="str">
        <f t="shared" si="46"/>
        <v/>
      </c>
      <c r="AK353" s="1">
        <v>0</v>
      </c>
      <c r="AL353" s="1">
        <v>0</v>
      </c>
      <c r="AM353" s="1">
        <v>0</v>
      </c>
      <c r="AN353" s="1">
        <v>10</v>
      </c>
      <c r="AO353" s="1">
        <f t="shared" si="50"/>
        <v>0</v>
      </c>
      <c r="AP353" s="1">
        <f t="shared" si="51"/>
        <v>0</v>
      </c>
      <c r="AQ353" s="1">
        <f t="shared" si="52"/>
        <v>0</v>
      </c>
      <c r="AR353" s="1">
        <f t="shared" si="53"/>
        <v>700</v>
      </c>
    </row>
    <row r="354" spans="1:44" x14ac:dyDescent="0.2">
      <c r="A354" s="2">
        <v>45413</v>
      </c>
      <c r="B354" s="4">
        <v>0.95799999999999996</v>
      </c>
      <c r="C354" s="4">
        <v>0.877</v>
      </c>
      <c r="D354" s="4">
        <v>0.19</v>
      </c>
      <c r="E354" s="4">
        <v>0.18099999999999999</v>
      </c>
      <c r="F354" s="4">
        <v>0.19</v>
      </c>
      <c r="G354" s="4">
        <v>0.56999999999999995</v>
      </c>
      <c r="H354" s="4">
        <v>2.4E-2</v>
      </c>
      <c r="I354" s="4">
        <v>0.41299999999999998</v>
      </c>
      <c r="J354" s="4">
        <v>0.57462500000000005</v>
      </c>
      <c r="K354" s="1">
        <v>0</v>
      </c>
      <c r="L354" s="1">
        <v>0</v>
      </c>
      <c r="M354" s="1">
        <v>0</v>
      </c>
      <c r="N354" s="1">
        <v>700</v>
      </c>
      <c r="O354" s="1" t="str">
        <f t="shared" si="48"/>
        <v>Recovery</v>
      </c>
      <c r="P354" s="2">
        <f t="shared" si="49"/>
        <v>45443</v>
      </c>
      <c r="Q354" s="9">
        <f>VLOOKUP(P354,BB!$A$3:$D$6771, 3, 1)*100</f>
        <v>85</v>
      </c>
      <c r="R354" s="1" t="str">
        <f t="shared" si="54"/>
        <v/>
      </c>
      <c r="S354" s="1">
        <f t="shared" si="47"/>
        <v>138</v>
      </c>
      <c r="T354" s="1" t="str">
        <f t="shared" si="46"/>
        <v/>
      </c>
      <c r="AK354" s="1">
        <v>0</v>
      </c>
      <c r="AL354" s="1">
        <v>0</v>
      </c>
      <c r="AM354" s="1">
        <v>0</v>
      </c>
      <c r="AN354" s="1">
        <v>10</v>
      </c>
      <c r="AO354" s="1">
        <f t="shared" si="50"/>
        <v>0</v>
      </c>
      <c r="AP354" s="1">
        <f t="shared" si="51"/>
        <v>0</v>
      </c>
      <c r="AQ354" s="1">
        <f t="shared" si="52"/>
        <v>0</v>
      </c>
      <c r="AR354" s="1">
        <f t="shared" si="53"/>
        <v>700</v>
      </c>
    </row>
    <row r="355" spans="1:44" x14ac:dyDescent="0.2">
      <c r="A355" s="2">
        <v>45444</v>
      </c>
      <c r="B355" s="4">
        <v>0.97499999999999998</v>
      </c>
      <c r="C355" s="4">
        <v>0.85199999999999998</v>
      </c>
      <c r="D355" s="4">
        <v>0.18099999999999999</v>
      </c>
      <c r="E355" s="4">
        <v>0.23899999999999999</v>
      </c>
      <c r="F355" s="4">
        <v>0.214</v>
      </c>
      <c r="G355" s="4">
        <v>0.57799999999999996</v>
      </c>
      <c r="H355" s="4">
        <v>1.6E-2</v>
      </c>
      <c r="I355" s="4">
        <v>0.19800000000000001</v>
      </c>
      <c r="J355" s="4">
        <v>0.59337499999999999</v>
      </c>
      <c r="K355" s="1">
        <v>0</v>
      </c>
      <c r="L355" s="1">
        <v>0</v>
      </c>
      <c r="M355" s="1">
        <v>0</v>
      </c>
      <c r="N355" s="1">
        <v>700</v>
      </c>
      <c r="O355" s="1" t="str">
        <f t="shared" si="48"/>
        <v>Recovery</v>
      </c>
      <c r="P355" s="2">
        <f t="shared" si="49"/>
        <v>45473</v>
      </c>
      <c r="Q355" s="9">
        <f>VLOOKUP(P355,BB!$A$3:$D$6771, 3, 1)*100</f>
        <v>94</v>
      </c>
      <c r="R355" s="1" t="str">
        <f t="shared" si="54"/>
        <v/>
      </c>
      <c r="S355" s="1">
        <f t="shared" si="47"/>
        <v>138</v>
      </c>
      <c r="T355" s="1" t="str">
        <f t="shared" si="46"/>
        <v/>
      </c>
      <c r="AK355" s="1">
        <v>0</v>
      </c>
      <c r="AL355" s="1">
        <v>0</v>
      </c>
      <c r="AM355" s="1">
        <v>0</v>
      </c>
      <c r="AN355" s="1">
        <v>10</v>
      </c>
      <c r="AO355" s="1">
        <f t="shared" si="50"/>
        <v>0</v>
      </c>
      <c r="AP355" s="1">
        <f t="shared" si="51"/>
        <v>0</v>
      </c>
      <c r="AQ355" s="1">
        <f t="shared" si="52"/>
        <v>0</v>
      </c>
      <c r="AR355" s="1">
        <f t="shared" si="53"/>
        <v>700</v>
      </c>
    </row>
    <row r="356" spans="1:44" x14ac:dyDescent="0.2">
      <c r="A356" s="2">
        <v>45474</v>
      </c>
      <c r="B356" s="4">
        <f>[1]BNPP_V2!BD480</f>
        <v>0.96599999999999997</v>
      </c>
      <c r="C356" s="4">
        <f>[1]BNPP_V2!BE480</f>
        <v>0.80200000000000005</v>
      </c>
      <c r="D356" s="4">
        <f>[1]BNPP_V2!BF480</f>
        <v>6.6000000000000003E-2</v>
      </c>
      <c r="E356" s="4">
        <f>[1]BNPP_V2!BG480</f>
        <v>0.26400000000000001</v>
      </c>
      <c r="F356" s="4">
        <f>[1]BNPP_V2!BH480</f>
        <v>0.20599999999999999</v>
      </c>
      <c r="G356" s="4">
        <f>[1]BNPP_V2!BI480</f>
        <v>0.58599999999999997</v>
      </c>
      <c r="H356" s="4">
        <f>[1]BNPP_V2!BJ480</f>
        <v>6.6000000000000003E-2</v>
      </c>
      <c r="I356" s="4">
        <f>[1]BNPP_V2!BK480</f>
        <v>0.68500000000000005</v>
      </c>
      <c r="J356" s="4">
        <f>[1]BNPP_V2!BN480</f>
        <v>0.544875</v>
      </c>
      <c r="K356" s="1">
        <v>0</v>
      </c>
      <c r="L356" s="1">
        <v>0</v>
      </c>
      <c r="M356" s="1">
        <v>0</v>
      </c>
      <c r="N356" s="1">
        <v>700</v>
      </c>
      <c r="O356" s="1" t="str">
        <f t="shared" si="48"/>
        <v>Recovery</v>
      </c>
      <c r="P356" s="2">
        <f t="shared" si="49"/>
        <v>45504</v>
      </c>
      <c r="Q356" s="9">
        <f>VLOOKUP(P356,BB!$A$3:$D$6771, 3, 1)*100</f>
        <v>93</v>
      </c>
      <c r="R356" s="1" t="str">
        <f t="shared" si="54"/>
        <v/>
      </c>
      <c r="S356" s="1">
        <f t="shared" si="47"/>
        <v>138</v>
      </c>
      <c r="T356" s="1" t="str">
        <f t="shared" si="46"/>
        <v/>
      </c>
      <c r="AK356" s="1">
        <v>0</v>
      </c>
      <c r="AL356" s="1">
        <v>0</v>
      </c>
      <c r="AM356" s="1">
        <v>0</v>
      </c>
      <c r="AN356" s="1">
        <v>10</v>
      </c>
      <c r="AO356" s="1">
        <f t="shared" si="50"/>
        <v>0</v>
      </c>
      <c r="AP356" s="1">
        <f t="shared" si="51"/>
        <v>0</v>
      </c>
      <c r="AQ356" s="1">
        <f t="shared" si="52"/>
        <v>0</v>
      </c>
      <c r="AR356" s="1">
        <f t="shared" si="53"/>
        <v>700</v>
      </c>
    </row>
    <row r="357" spans="1:44" x14ac:dyDescent="0.2">
      <c r="A357" s="2">
        <v>45505</v>
      </c>
      <c r="B357" s="4">
        <f>[1]BNPP_V2!BD481</f>
        <v>0.99099999999999999</v>
      </c>
      <c r="C357" s="4">
        <f>[1]BNPP_V2!BE481</f>
        <v>0.78600000000000003</v>
      </c>
      <c r="D357" s="4">
        <f>[1]BNPP_V2!BF481</f>
        <v>0.09</v>
      </c>
      <c r="E357" s="4">
        <f>[1]BNPP_V2!BG481</f>
        <v>0.27200000000000002</v>
      </c>
      <c r="F357" s="4">
        <f>[1]BNPP_V2!BH481</f>
        <v>0.16500000000000001</v>
      </c>
      <c r="G357" s="4">
        <f>[1]BNPP_V2!BI481</f>
        <v>0.628</v>
      </c>
      <c r="H357" s="4">
        <f>[1]BNPP_V2!BJ481</f>
        <v>8.2000000000000003E-2</v>
      </c>
      <c r="I357" s="4">
        <f>[1]BNPP_V2!BK481</f>
        <v>0.42099999999999999</v>
      </c>
      <c r="J357" s="4">
        <f>[1]BNPP_V2!BN481</f>
        <v>0.57062499999999994</v>
      </c>
      <c r="K357" s="1">
        <v>0</v>
      </c>
      <c r="L357" s="1">
        <v>0</v>
      </c>
      <c r="M357" s="1">
        <v>0</v>
      </c>
      <c r="N357" s="1">
        <v>700</v>
      </c>
      <c r="O357" s="1" t="str">
        <f t="shared" si="48"/>
        <v>Recovery</v>
      </c>
      <c r="P357" s="2">
        <f t="shared" si="49"/>
        <v>45535</v>
      </c>
      <c r="Q357" s="9">
        <f>VLOOKUP(P357,BB!$A$3:$D$6771, 3, 1)*100</f>
        <v>93</v>
      </c>
      <c r="R357" s="1" t="str">
        <f t="shared" si="54"/>
        <v/>
      </c>
      <c r="S357" s="1">
        <f t="shared" si="47"/>
        <v>138</v>
      </c>
      <c r="T357" s="1" t="str">
        <f t="shared" si="46"/>
        <v/>
      </c>
      <c r="AK357" s="1">
        <v>0</v>
      </c>
      <c r="AL357" s="1">
        <v>0</v>
      </c>
      <c r="AM357" s="1">
        <v>0</v>
      </c>
      <c r="AN357" s="1">
        <v>10</v>
      </c>
      <c r="AO357" s="1">
        <f t="shared" si="50"/>
        <v>0</v>
      </c>
      <c r="AP357" s="1">
        <f t="shared" si="51"/>
        <v>0</v>
      </c>
      <c r="AQ357" s="1">
        <f t="shared" si="52"/>
        <v>0</v>
      </c>
      <c r="AR357" s="1">
        <f t="shared" si="53"/>
        <v>700</v>
      </c>
    </row>
    <row r="358" spans="1:44" x14ac:dyDescent="0.2">
      <c r="A358" s="2">
        <v>45536</v>
      </c>
      <c r="B358" s="4">
        <f>[1]BNPP_V2!BD482</f>
        <v>0.92500000000000004</v>
      </c>
      <c r="C358" s="4">
        <f>[1]BNPP_V2!BE482</f>
        <v>0.74399999999999999</v>
      </c>
      <c r="D358" s="4">
        <f>[1]BNPP_V2!BF482</f>
        <v>0.09</v>
      </c>
      <c r="E358" s="4">
        <f>[1]BNPP_V2!BG482</f>
        <v>0.59499999999999997</v>
      </c>
      <c r="F358" s="4">
        <f>[1]BNPP_V2!BH482</f>
        <v>0.18099999999999999</v>
      </c>
      <c r="G358" s="4">
        <f>[1]BNPP_V2!BI482</f>
        <v>0.65200000000000002</v>
      </c>
      <c r="H358" s="4">
        <f>[1]BNPP_V2!BJ482</f>
        <v>9.9000000000000005E-2</v>
      </c>
      <c r="I358" s="4">
        <f>[1]BNPP_V2!BK482</f>
        <v>0.30499999999999999</v>
      </c>
      <c r="J358" s="4">
        <f>[1]BNPP_V2!BN482</f>
        <v>0.55112499999999986</v>
      </c>
      <c r="K358" s="1">
        <v>0</v>
      </c>
      <c r="L358" s="1">
        <v>0</v>
      </c>
      <c r="M358" s="1">
        <v>0</v>
      </c>
      <c r="N358" s="1">
        <v>700</v>
      </c>
      <c r="O358" s="1" t="str">
        <f t="shared" si="48"/>
        <v>Recovery</v>
      </c>
      <c r="P358" s="2">
        <f t="shared" si="49"/>
        <v>45565</v>
      </c>
      <c r="Q358" s="9">
        <f>VLOOKUP(P358,BB!$A$3:$D$6771, 3, 1)*100</f>
        <v>89</v>
      </c>
      <c r="R358" s="1" t="str">
        <f t="shared" si="54"/>
        <v/>
      </c>
      <c r="S358" s="1">
        <f t="shared" si="47"/>
        <v>138</v>
      </c>
      <c r="T358" s="1" t="str">
        <f t="shared" si="46"/>
        <v/>
      </c>
      <c r="AK358" s="1">
        <v>0</v>
      </c>
      <c r="AL358" s="1">
        <v>0</v>
      </c>
      <c r="AM358" s="1">
        <v>0</v>
      </c>
      <c r="AN358" s="1">
        <v>10</v>
      </c>
      <c r="AO358" s="1">
        <f t="shared" si="50"/>
        <v>0</v>
      </c>
      <c r="AP358" s="1">
        <f t="shared" si="51"/>
        <v>0</v>
      </c>
      <c r="AQ358" s="1">
        <f t="shared" si="52"/>
        <v>0</v>
      </c>
      <c r="AR358" s="1">
        <f t="shared" si="53"/>
        <v>700</v>
      </c>
    </row>
    <row r="359" spans="1:44" x14ac:dyDescent="0.2">
      <c r="A359" s="2">
        <v>45566</v>
      </c>
      <c r="B359" s="4">
        <f>[1]BNPP_V2!BD483</f>
        <v>0.9</v>
      </c>
      <c r="C359" s="4">
        <f>[1]BNPP_V2!BE483</f>
        <v>0.74399999999999999</v>
      </c>
      <c r="D359" s="4">
        <f>[1]BNPP_V2!BF483</f>
        <v>4.9000000000000002E-2</v>
      </c>
      <c r="E359" s="4">
        <f>[1]BNPP_V2!BG483</f>
        <v>0.35499999999999998</v>
      </c>
      <c r="F359" s="4">
        <f>[1]BNPP_V2!BH483</f>
        <v>0.19</v>
      </c>
      <c r="G359" s="4">
        <f>[1]BNPP_V2!BI483</f>
        <v>0.67700000000000005</v>
      </c>
      <c r="H359" s="4">
        <f>[1]BNPP_V2!BJ483</f>
        <v>4.9000000000000002E-2</v>
      </c>
      <c r="I359" s="4">
        <f>[1]BNPP_V2!BK483</f>
        <v>0.13200000000000001</v>
      </c>
      <c r="J359" s="4">
        <f>[1]BNPP_V2!BN483</f>
        <v>0.61299999999999999</v>
      </c>
      <c r="K359" s="1">
        <v>0</v>
      </c>
      <c r="L359" s="1">
        <v>0</v>
      </c>
      <c r="M359" s="1">
        <v>0</v>
      </c>
      <c r="N359" s="1">
        <v>700</v>
      </c>
      <c r="O359" s="1" t="str">
        <f t="shared" si="48"/>
        <v>Recovery</v>
      </c>
      <c r="P359" s="2">
        <f t="shared" si="49"/>
        <v>45596</v>
      </c>
      <c r="Q359" s="9">
        <f>VLOOKUP(P359,BB!$A$3:$D$6771, 3, 1)*100</f>
        <v>84</v>
      </c>
      <c r="R359" s="1" t="str">
        <f t="shared" si="54"/>
        <v/>
      </c>
      <c r="S359" s="1">
        <f t="shared" si="47"/>
        <v>138</v>
      </c>
      <c r="T359" s="1" t="str">
        <f t="shared" si="46"/>
        <v/>
      </c>
      <c r="AK359" s="1">
        <v>0</v>
      </c>
      <c r="AL359" s="1">
        <v>0</v>
      </c>
      <c r="AM359" s="1">
        <v>0</v>
      </c>
      <c r="AN359" s="1">
        <v>10</v>
      </c>
      <c r="AO359" s="1">
        <f t="shared" si="50"/>
        <v>0</v>
      </c>
      <c r="AP359" s="1">
        <f t="shared" si="51"/>
        <v>0</v>
      </c>
      <c r="AQ359" s="1">
        <f t="shared" si="52"/>
        <v>0</v>
      </c>
      <c r="AR359" s="1">
        <f t="shared" si="53"/>
        <v>700</v>
      </c>
    </row>
    <row r="360" spans="1:44" x14ac:dyDescent="0.2">
      <c r="A360" s="2">
        <v>45597</v>
      </c>
      <c r="B360" s="4">
        <v>0.88400000000000001</v>
      </c>
      <c r="C360" s="4">
        <v>0.76100000000000001</v>
      </c>
      <c r="D360" s="4">
        <v>0.20599999999999999</v>
      </c>
      <c r="E360" s="4">
        <v>0.39600000000000002</v>
      </c>
      <c r="F360" s="4">
        <v>0.14799999999999999</v>
      </c>
      <c r="G360" s="4">
        <v>0.71899999999999997</v>
      </c>
      <c r="H360" s="4">
        <v>4.1000000000000002E-2</v>
      </c>
      <c r="I360" s="4">
        <v>0.495</v>
      </c>
      <c r="J360" s="4">
        <v>0.54374999999999996</v>
      </c>
      <c r="K360" s="1">
        <v>0</v>
      </c>
      <c r="L360" s="1">
        <v>0</v>
      </c>
      <c r="M360" s="1">
        <v>0</v>
      </c>
      <c r="N360" s="1">
        <v>700</v>
      </c>
      <c r="O360" s="1" t="str">
        <f t="shared" si="48"/>
        <v>Recovery</v>
      </c>
      <c r="P360" s="2">
        <f t="shared" si="49"/>
        <v>45626</v>
      </c>
      <c r="Q360" s="9">
        <f>VLOOKUP(P360,BB!$A$3:$D$6771, 3, 1)*100</f>
        <v>78</v>
      </c>
      <c r="R360" s="1">
        <f t="shared" si="54"/>
        <v>-60</v>
      </c>
      <c r="S360" s="1">
        <f t="shared" si="47"/>
        <v>138</v>
      </c>
      <c r="T360" s="1" t="str">
        <f t="shared" si="46"/>
        <v>Recovery</v>
      </c>
      <c r="AK360" s="1">
        <v>0</v>
      </c>
      <c r="AL360" s="1">
        <v>0</v>
      </c>
      <c r="AM360" s="1">
        <v>0</v>
      </c>
      <c r="AN360" s="1">
        <v>10</v>
      </c>
      <c r="AO360" s="1">
        <f t="shared" si="50"/>
        <v>0</v>
      </c>
      <c r="AP360" s="1">
        <f t="shared" si="51"/>
        <v>0</v>
      </c>
      <c r="AQ360" s="1">
        <f t="shared" si="52"/>
        <v>0</v>
      </c>
      <c r="AR360" s="1">
        <f t="shared" si="53"/>
        <v>700</v>
      </c>
    </row>
    <row r="361" spans="1:44" x14ac:dyDescent="0.2">
      <c r="A361" s="2">
        <v>45627</v>
      </c>
      <c r="B361" s="4">
        <v>0.85099999999999998</v>
      </c>
      <c r="C361" s="4">
        <v>0.56200000000000006</v>
      </c>
      <c r="D361" s="4">
        <v>0.29699999999999999</v>
      </c>
      <c r="E361" s="4">
        <v>0.314</v>
      </c>
      <c r="F361" s="4">
        <v>0.14799999999999999</v>
      </c>
      <c r="G361" s="4">
        <v>0.71</v>
      </c>
      <c r="H361" s="4">
        <v>2.4E-2</v>
      </c>
      <c r="I361" s="4">
        <v>0.47899999999999998</v>
      </c>
      <c r="J361" s="4">
        <v>0.57687500000000003</v>
      </c>
      <c r="K361" s="1">
        <v>0</v>
      </c>
      <c r="L361" s="1">
        <v>0</v>
      </c>
      <c r="M361" s="1">
        <v>700</v>
      </c>
      <c r="N361" s="1">
        <v>0</v>
      </c>
      <c r="O361" s="1" t="str">
        <f t="shared" si="48"/>
        <v>Repair</v>
      </c>
      <c r="P361" s="2">
        <f t="shared" si="49"/>
        <v>45657</v>
      </c>
      <c r="Q361" s="9">
        <f>VLOOKUP(P361,BB!$A$3:$D$6771, 3, 1)*100</f>
        <v>80</v>
      </c>
      <c r="R361" s="1">
        <f t="shared" si="54"/>
        <v>2</v>
      </c>
      <c r="S361" s="1">
        <f t="shared" si="47"/>
        <v>78</v>
      </c>
      <c r="T361" s="1" t="str">
        <f t="shared" si="46"/>
        <v>Repair</v>
      </c>
      <c r="AK361" s="1">
        <v>0</v>
      </c>
      <c r="AL361" s="1">
        <v>0</v>
      </c>
      <c r="AM361" s="1">
        <v>10</v>
      </c>
      <c r="AN361" s="1">
        <v>0</v>
      </c>
      <c r="AO361" s="1">
        <f t="shared" si="50"/>
        <v>0</v>
      </c>
      <c r="AP361" s="1">
        <f t="shared" si="51"/>
        <v>0</v>
      </c>
      <c r="AQ361" s="1">
        <f t="shared" si="52"/>
        <v>700</v>
      </c>
      <c r="AR361" s="1">
        <f t="shared" si="53"/>
        <v>0</v>
      </c>
    </row>
    <row r="362" spans="1:44" x14ac:dyDescent="0.2">
      <c r="A362" s="2">
        <v>45658</v>
      </c>
      <c r="B362" s="4">
        <v>0.83399999999999996</v>
      </c>
      <c r="C362" s="4">
        <v>0.54600000000000004</v>
      </c>
      <c r="D362" s="4">
        <v>0.371</v>
      </c>
      <c r="E362" s="4">
        <v>0.28899999999999998</v>
      </c>
      <c r="F362" s="4">
        <v>0.157</v>
      </c>
      <c r="G362" s="4">
        <v>0.71</v>
      </c>
      <c r="H362" s="4">
        <v>8.0000000000000002E-3</v>
      </c>
      <c r="I362" s="4">
        <v>0.58599999999999997</v>
      </c>
      <c r="J362" s="4">
        <v>0.56237500000000007</v>
      </c>
      <c r="K362" s="1">
        <v>0</v>
      </c>
      <c r="L362" s="1">
        <v>0</v>
      </c>
      <c r="M362" s="1">
        <v>0</v>
      </c>
      <c r="N362" s="1">
        <v>700</v>
      </c>
      <c r="O362" s="1" t="str">
        <f t="shared" si="48"/>
        <v>Recovery</v>
      </c>
      <c r="P362" s="2">
        <f t="shared" si="49"/>
        <v>45688</v>
      </c>
      <c r="Q362" s="9">
        <f>VLOOKUP(P362,BB!$A$3:$D$6771, 3, 1)*100</f>
        <v>79</v>
      </c>
      <c r="R362" s="1">
        <f t="shared" si="54"/>
        <v>-1</v>
      </c>
      <c r="S362" s="1">
        <f t="shared" si="47"/>
        <v>80</v>
      </c>
      <c r="T362" s="1" t="str">
        <f t="shared" si="46"/>
        <v>Recovery</v>
      </c>
      <c r="AK362" s="1">
        <v>0</v>
      </c>
      <c r="AL362" s="1">
        <v>0</v>
      </c>
      <c r="AM362" s="1">
        <v>0</v>
      </c>
      <c r="AN362" s="1">
        <v>10</v>
      </c>
      <c r="AO362" s="1">
        <f t="shared" si="50"/>
        <v>0</v>
      </c>
      <c r="AP362" s="1">
        <f t="shared" si="51"/>
        <v>0</v>
      </c>
      <c r="AQ362" s="1">
        <f t="shared" si="52"/>
        <v>0</v>
      </c>
      <c r="AR362" s="1">
        <f t="shared" si="53"/>
        <v>700</v>
      </c>
    </row>
    <row r="363" spans="1:44" x14ac:dyDescent="0.2">
      <c r="A363" s="2">
        <v>45689</v>
      </c>
      <c r="B363" s="4">
        <v>0.83399999999999996</v>
      </c>
      <c r="C363" s="4">
        <v>0.629</v>
      </c>
      <c r="D363" s="4">
        <v>0.35499999999999998</v>
      </c>
      <c r="E363" s="4">
        <v>0.371</v>
      </c>
      <c r="F363" s="4">
        <v>8.0000000000000002E-3</v>
      </c>
      <c r="G363" s="4">
        <v>0.55300000000000005</v>
      </c>
      <c r="H363" s="4">
        <v>0.107</v>
      </c>
      <c r="I363" s="4">
        <v>0.14000000000000001</v>
      </c>
      <c r="J363" s="4">
        <v>0.62537500000000001</v>
      </c>
      <c r="K363" s="1">
        <v>0</v>
      </c>
      <c r="L363" s="1">
        <v>0</v>
      </c>
      <c r="M363" s="1">
        <v>700</v>
      </c>
      <c r="N363" s="1">
        <v>0</v>
      </c>
      <c r="O363" s="1" t="str">
        <f t="shared" si="48"/>
        <v>Repair</v>
      </c>
      <c r="P363" s="2">
        <f t="shared" si="49"/>
        <v>45716</v>
      </c>
      <c r="Q363" s="9">
        <f>VLOOKUP(P363,BB!$A$3:$D$6771, 3, 1)*100</f>
        <v>87</v>
      </c>
      <c r="R363" s="1" t="str">
        <f t="shared" si="54"/>
        <v/>
      </c>
      <c r="S363" s="1">
        <f t="shared" si="47"/>
        <v>79</v>
      </c>
      <c r="T363" s="1" t="str">
        <f t="shared" si="46"/>
        <v/>
      </c>
      <c r="AK363" s="1">
        <v>0</v>
      </c>
      <c r="AL363" s="1">
        <v>0</v>
      </c>
      <c r="AM363" s="1">
        <v>10</v>
      </c>
      <c r="AN363" s="1">
        <v>0</v>
      </c>
      <c r="AO363" s="1">
        <f t="shared" si="50"/>
        <v>0</v>
      </c>
      <c r="AP363" s="1">
        <f t="shared" si="51"/>
        <v>0</v>
      </c>
      <c r="AQ363" s="1">
        <f t="shared" si="52"/>
        <v>700</v>
      </c>
      <c r="AR363" s="1">
        <f t="shared" si="53"/>
        <v>0</v>
      </c>
    </row>
    <row r="364" spans="1:44" x14ac:dyDescent="0.2">
      <c r="A364" s="2">
        <v>45717</v>
      </c>
      <c r="B364" s="4">
        <v>0.82599999999999996</v>
      </c>
      <c r="C364" s="4">
        <v>0.55400000000000005</v>
      </c>
      <c r="D364" s="4">
        <v>0.247</v>
      </c>
      <c r="E364" s="4">
        <v>0.38</v>
      </c>
      <c r="F364" s="4">
        <v>1.6E-2</v>
      </c>
      <c r="G364" s="4">
        <v>0.52800000000000002</v>
      </c>
      <c r="H364" s="4">
        <v>0.14000000000000001</v>
      </c>
      <c r="I364" s="4">
        <v>0.80900000000000005</v>
      </c>
      <c r="J364" s="4">
        <v>0.5625</v>
      </c>
      <c r="K364" s="1">
        <v>0</v>
      </c>
      <c r="L364" s="1">
        <v>0</v>
      </c>
      <c r="M364" s="1">
        <v>700</v>
      </c>
      <c r="N364" s="1">
        <v>0</v>
      </c>
      <c r="O364" s="1" t="str">
        <f t="shared" si="48"/>
        <v>Repair</v>
      </c>
      <c r="P364" s="2">
        <f t="shared" si="49"/>
        <v>45747</v>
      </c>
      <c r="Q364" s="9">
        <f>VLOOKUP(P364,BB!$A$3:$D$6771, 3, 1)*100</f>
        <v>94</v>
      </c>
      <c r="R364" s="1" t="str">
        <f t="shared" si="54"/>
        <v/>
      </c>
      <c r="S364" s="1">
        <f t="shared" si="47"/>
        <v>79</v>
      </c>
      <c r="T364" s="1" t="str">
        <f t="shared" si="46"/>
        <v/>
      </c>
      <c r="AK364" s="1">
        <v>0</v>
      </c>
      <c r="AL364" s="1">
        <v>0</v>
      </c>
      <c r="AM364" s="1">
        <v>10</v>
      </c>
      <c r="AN364" s="1">
        <v>0</v>
      </c>
      <c r="AO364" s="1">
        <f t="shared" si="50"/>
        <v>0</v>
      </c>
      <c r="AP364" s="1">
        <f t="shared" si="51"/>
        <v>0</v>
      </c>
      <c r="AQ364" s="1">
        <f t="shared" si="52"/>
        <v>700</v>
      </c>
      <c r="AR364" s="1">
        <f t="shared" si="53"/>
        <v>0</v>
      </c>
    </row>
    <row r="365" spans="1:44" x14ac:dyDescent="0.2">
      <c r="A365" s="2">
        <v>45748</v>
      </c>
      <c r="B365" s="4">
        <v>0.85099999999999998</v>
      </c>
      <c r="C365" s="4">
        <v>0.42200000000000004</v>
      </c>
      <c r="D365" s="4">
        <v>0.23899999999999999</v>
      </c>
      <c r="E365" s="4">
        <v>0.32200000000000001</v>
      </c>
      <c r="F365" s="4">
        <v>1.6E-2</v>
      </c>
      <c r="G365" s="4">
        <v>0.52</v>
      </c>
      <c r="H365" s="4">
        <v>0.14799999999999999</v>
      </c>
      <c r="I365" s="4">
        <v>0.72699999999999998</v>
      </c>
      <c r="J365" s="4">
        <v>0.59437499999999999</v>
      </c>
      <c r="K365" s="1">
        <v>0</v>
      </c>
      <c r="L365" s="1">
        <v>0</v>
      </c>
      <c r="M365" s="1">
        <v>700</v>
      </c>
      <c r="N365" s="1">
        <v>0</v>
      </c>
      <c r="O365" s="1" t="str">
        <f t="shared" si="48"/>
        <v>Repair</v>
      </c>
      <c r="P365" s="2">
        <f t="shared" si="49"/>
        <v>45777</v>
      </c>
      <c r="Q365" s="9">
        <f>VLOOKUP(P365,BB!$A$3:$D$6771, 3, 1)*100</f>
        <v>106</v>
      </c>
      <c r="R365" s="1" t="str">
        <f t="shared" si="54"/>
        <v/>
      </c>
      <c r="S365" s="1">
        <f t="shared" si="47"/>
        <v>79</v>
      </c>
      <c r="T365" s="1" t="str">
        <f t="shared" si="46"/>
        <v/>
      </c>
      <c r="AK365" s="1">
        <v>0</v>
      </c>
      <c r="AL365" s="1">
        <v>0</v>
      </c>
      <c r="AM365" s="1">
        <v>10</v>
      </c>
      <c r="AN365" s="1">
        <v>0</v>
      </c>
      <c r="AO365" s="1">
        <f t="shared" si="50"/>
        <v>0</v>
      </c>
      <c r="AP365" s="1">
        <f t="shared" si="51"/>
        <v>0</v>
      </c>
      <c r="AQ365" s="1">
        <f t="shared" si="52"/>
        <v>700</v>
      </c>
      <c r="AR365" s="1">
        <f t="shared" si="53"/>
        <v>0</v>
      </c>
    </row>
    <row r="366" spans="1:44" x14ac:dyDescent="0.2">
      <c r="A366" s="2">
        <v>45778</v>
      </c>
      <c r="B366" s="4">
        <v>0.876</v>
      </c>
      <c r="C366" s="4">
        <v>0.44699999999999995</v>
      </c>
      <c r="D366" s="4">
        <v>0.223</v>
      </c>
      <c r="E366" s="4">
        <v>0.26400000000000001</v>
      </c>
      <c r="F366" s="4">
        <v>4.1000000000000002E-2</v>
      </c>
      <c r="G366" s="4">
        <v>0.70199999999999996</v>
      </c>
      <c r="H366" s="4">
        <v>0.107</v>
      </c>
      <c r="I366" s="4">
        <v>0.77600000000000002</v>
      </c>
      <c r="J366" s="4">
        <v>0.57050000000000001</v>
      </c>
      <c r="K366" s="1">
        <v>0</v>
      </c>
      <c r="L366" s="1">
        <v>0</v>
      </c>
      <c r="M366" s="1">
        <v>700</v>
      </c>
      <c r="N366" s="1">
        <v>0</v>
      </c>
      <c r="O366" s="1" t="str">
        <f t="shared" si="48"/>
        <v>Repair</v>
      </c>
      <c r="P366" s="2">
        <f t="shared" si="49"/>
        <v>45808</v>
      </c>
      <c r="Q366" s="9">
        <f>VLOOKUP(P366,BB!$A$3:$D$6771, 3, 1)*100</f>
        <v>88</v>
      </c>
      <c r="R366" s="1" t="str">
        <f t="shared" si="54"/>
        <v/>
      </c>
      <c r="S366" s="1">
        <f t="shared" si="47"/>
        <v>79</v>
      </c>
      <c r="T366" s="1" t="str">
        <f t="shared" si="46"/>
        <v/>
      </c>
      <c r="AK366" s="1">
        <v>0</v>
      </c>
      <c r="AL366" s="1">
        <v>0</v>
      </c>
      <c r="AM366" s="1">
        <v>10</v>
      </c>
      <c r="AN366" s="1">
        <v>0</v>
      </c>
      <c r="AO366" s="1">
        <f t="shared" si="50"/>
        <v>0</v>
      </c>
      <c r="AP366" s="1">
        <f t="shared" si="51"/>
        <v>0</v>
      </c>
      <c r="AQ366" s="1">
        <f t="shared" si="52"/>
        <v>700</v>
      </c>
      <c r="AR366" s="1">
        <f t="shared" si="53"/>
        <v>0</v>
      </c>
    </row>
    <row r="367" spans="1:44" x14ac:dyDescent="0.2">
      <c r="A367" s="2">
        <v>45809</v>
      </c>
      <c r="B367" s="4">
        <v>0.83399999999999996</v>
      </c>
      <c r="C367" s="4">
        <v>0.43000000000000005</v>
      </c>
      <c r="D367" s="4">
        <v>0.26400000000000001</v>
      </c>
      <c r="E367" s="4">
        <v>0.28000000000000003</v>
      </c>
      <c r="F367" s="4">
        <v>6.6000000000000003E-2</v>
      </c>
      <c r="G367" s="4">
        <v>0.66100000000000003</v>
      </c>
      <c r="H367" s="4">
        <v>0.115</v>
      </c>
      <c r="I367" s="4">
        <v>0.56999999999999995</v>
      </c>
      <c r="J367" s="4">
        <v>0.59749999999999992</v>
      </c>
      <c r="K367" s="1">
        <v>0</v>
      </c>
      <c r="L367" s="1">
        <v>0</v>
      </c>
      <c r="M367" s="1">
        <v>700</v>
      </c>
      <c r="N367" s="1">
        <v>0</v>
      </c>
      <c r="O367" s="1" t="str">
        <f t="shared" si="48"/>
        <v>Repair</v>
      </c>
      <c r="P367" s="2">
        <f t="shared" si="49"/>
        <v>45838</v>
      </c>
      <c r="Q367" s="9">
        <f>VLOOKUP(P367,BB!$A$3:$D$6771, 3, 1)*100</f>
        <v>83</v>
      </c>
      <c r="R367" s="1">
        <f t="shared" si="54"/>
        <v>4</v>
      </c>
      <c r="S367" s="1">
        <f t="shared" si="47"/>
        <v>79</v>
      </c>
      <c r="T367" s="1" t="str">
        <f t="shared" si="46"/>
        <v>Repair</v>
      </c>
      <c r="AK367" s="1">
        <v>0</v>
      </c>
      <c r="AL367" s="1">
        <v>0</v>
      </c>
      <c r="AM367" s="1">
        <v>10</v>
      </c>
      <c r="AN367" s="1">
        <v>0</v>
      </c>
      <c r="AO367" s="1">
        <f t="shared" si="50"/>
        <v>0</v>
      </c>
      <c r="AP367" s="1">
        <f t="shared" si="51"/>
        <v>0</v>
      </c>
      <c r="AQ367" s="1">
        <f t="shared" si="52"/>
        <v>700</v>
      </c>
      <c r="AR367" s="1">
        <f t="shared" si="53"/>
        <v>0</v>
      </c>
    </row>
    <row r="368" spans="1:44" x14ac:dyDescent="0.2">
      <c r="A368" s="2">
        <v>45839</v>
      </c>
      <c r="B368" s="4">
        <v>0.78500000000000003</v>
      </c>
      <c r="C368" s="4">
        <v>0.505</v>
      </c>
      <c r="D368" s="4">
        <v>0.17299999999999999</v>
      </c>
      <c r="E368" s="4">
        <v>0.27200000000000002</v>
      </c>
      <c r="F368" s="4">
        <v>4.1000000000000002E-2</v>
      </c>
      <c r="G368" s="4">
        <v>0.71899999999999997</v>
      </c>
      <c r="H368" s="4">
        <v>5.7000000000000002E-2</v>
      </c>
      <c r="I368" s="4">
        <v>0.95</v>
      </c>
      <c r="J368" s="4">
        <v>0.56225000000000003</v>
      </c>
      <c r="K368" s="1">
        <v>0</v>
      </c>
      <c r="L368" s="1">
        <v>0</v>
      </c>
      <c r="M368" s="1">
        <v>0</v>
      </c>
      <c r="N368" s="1">
        <v>700</v>
      </c>
      <c r="O368" s="1" t="str">
        <f t="shared" si="48"/>
        <v>Recovery</v>
      </c>
      <c r="P368" s="2">
        <f t="shared" si="49"/>
        <v>45869</v>
      </c>
      <c r="Q368" s="9">
        <f>VLOOKUP(P368,BB!$A$3:$D$6771, 3, 1)*100</f>
        <v>76</v>
      </c>
      <c r="R368" s="1" t="str">
        <f t="shared" si="54"/>
        <v/>
      </c>
      <c r="S368" s="1">
        <f t="shared" si="47"/>
        <v>83</v>
      </c>
      <c r="T368" s="1" t="str">
        <f t="shared" si="46"/>
        <v/>
      </c>
      <c r="AK368" s="1">
        <v>0</v>
      </c>
      <c r="AL368" s="1">
        <v>0</v>
      </c>
      <c r="AM368" s="1">
        <v>0</v>
      </c>
      <c r="AN368" s="1">
        <v>10</v>
      </c>
      <c r="AO368" s="1">
        <f t="shared" si="50"/>
        <v>0</v>
      </c>
      <c r="AP368" s="1">
        <f t="shared" si="51"/>
        <v>0</v>
      </c>
      <c r="AQ368" s="1">
        <f t="shared" si="52"/>
        <v>0</v>
      </c>
      <c r="AR368" s="1">
        <f t="shared" si="53"/>
        <v>700</v>
      </c>
    </row>
    <row r="369" spans="1:44" x14ac:dyDescent="0.2">
      <c r="A369" s="2">
        <v>45870</v>
      </c>
      <c r="B369" s="4">
        <v>0.77600000000000002</v>
      </c>
      <c r="C369" s="4">
        <v>0.35599999999999998</v>
      </c>
      <c r="D369" s="4">
        <v>0.25600000000000001</v>
      </c>
      <c r="E369" s="4">
        <v>0.314</v>
      </c>
      <c r="F369" s="4">
        <v>0.18099999999999999</v>
      </c>
      <c r="G369" s="4">
        <v>0.54500000000000004</v>
      </c>
      <c r="H369" s="4">
        <v>0.13200000000000001</v>
      </c>
      <c r="I369" s="4">
        <v>0.68500000000000005</v>
      </c>
      <c r="J369" s="4">
        <v>0.59437499999999988</v>
      </c>
      <c r="K369" s="1">
        <v>0</v>
      </c>
      <c r="L369" s="1">
        <v>0</v>
      </c>
      <c r="M369" s="1">
        <v>0</v>
      </c>
      <c r="N369" s="1">
        <v>700</v>
      </c>
      <c r="O369" s="1" t="str">
        <f t="shared" si="48"/>
        <v>Recovery</v>
      </c>
      <c r="P369" s="2">
        <f t="shared" si="49"/>
        <v>45900</v>
      </c>
      <c r="Q369" s="9">
        <f>VLOOKUP(P369,BB!$A$3:$D$6771, 3, 1)*100</f>
        <v>79</v>
      </c>
      <c r="R369" s="1" t="str">
        <f t="shared" si="54"/>
        <v/>
      </c>
      <c r="S369" s="1">
        <f t="shared" si="47"/>
        <v>83</v>
      </c>
      <c r="T369" s="1" t="str">
        <f t="shared" si="46"/>
        <v/>
      </c>
      <c r="AK369" s="1">
        <v>0</v>
      </c>
      <c r="AL369" s="1">
        <v>0</v>
      </c>
      <c r="AM369" s="1">
        <v>0</v>
      </c>
      <c r="AN369" s="1">
        <v>10</v>
      </c>
      <c r="AO369" s="1">
        <f t="shared" si="50"/>
        <v>0</v>
      </c>
      <c r="AP369" s="1">
        <f t="shared" si="51"/>
        <v>0</v>
      </c>
      <c r="AQ369" s="1">
        <f t="shared" si="52"/>
        <v>0</v>
      </c>
      <c r="AR369" s="1">
        <f t="shared" si="53"/>
        <v>700</v>
      </c>
    </row>
    <row r="370" spans="1:44" x14ac:dyDescent="0.2">
      <c r="A370" s="2">
        <v>45901</v>
      </c>
      <c r="B370" s="4">
        <v>0.76800000000000002</v>
      </c>
      <c r="C370" s="4">
        <v>0.40500000000000003</v>
      </c>
      <c r="D370" s="4">
        <v>0.314</v>
      </c>
      <c r="E370" s="4">
        <v>0.371</v>
      </c>
      <c r="F370" s="4">
        <v>0.20599999999999999</v>
      </c>
      <c r="G370" s="4">
        <v>0.52800000000000002</v>
      </c>
      <c r="H370" s="4">
        <v>0.123</v>
      </c>
      <c r="I370" s="4">
        <v>0.84199999999999997</v>
      </c>
      <c r="J370" s="4">
        <v>0.55537499999999995</v>
      </c>
      <c r="K370" s="1">
        <v>0</v>
      </c>
      <c r="L370" s="1">
        <v>0</v>
      </c>
      <c r="M370" s="1">
        <v>0</v>
      </c>
      <c r="N370" s="1">
        <v>700</v>
      </c>
      <c r="O370" s="1" t="str">
        <f t="shared" si="48"/>
        <v>Recovery</v>
      </c>
      <c r="P370" s="2">
        <f t="shared" si="49"/>
        <v>45930</v>
      </c>
      <c r="Q370" s="9">
        <f>VLOOKUP(P370,BB!$A$3:$D$6771, 3, 1)*100</f>
        <v>74</v>
      </c>
      <c r="R370" s="1" t="str">
        <f t="shared" si="54"/>
        <v/>
      </c>
      <c r="S370" s="1">
        <f t="shared" si="47"/>
        <v>83</v>
      </c>
      <c r="T370" s="1" t="str">
        <f t="shared" si="46"/>
        <v/>
      </c>
      <c r="AK370" s="1">
        <v>0</v>
      </c>
      <c r="AL370" s="1">
        <v>0</v>
      </c>
      <c r="AM370" s="1">
        <v>0</v>
      </c>
      <c r="AN370" s="1">
        <v>10</v>
      </c>
      <c r="AO370" s="1">
        <f t="shared" si="50"/>
        <v>0</v>
      </c>
      <c r="AP370" s="1">
        <f t="shared" si="51"/>
        <v>0</v>
      </c>
      <c r="AQ370" s="1">
        <f t="shared" si="52"/>
        <v>0</v>
      </c>
      <c r="AR370" s="1">
        <f t="shared" si="53"/>
        <v>700</v>
      </c>
    </row>
    <row r="371" spans="1:44" x14ac:dyDescent="0.2">
      <c r="A371" s="2">
        <v>45931</v>
      </c>
      <c r="B371" s="4">
        <v>0.752</v>
      </c>
      <c r="C371" s="4">
        <v>0.43000000000000005</v>
      </c>
      <c r="D371" s="4">
        <v>0.25600000000000001</v>
      </c>
      <c r="E371" s="4">
        <v>0.438</v>
      </c>
      <c r="F371" s="4">
        <v>0.19800000000000001</v>
      </c>
      <c r="G371" s="4">
        <v>0.52800000000000002</v>
      </c>
      <c r="H371" s="4">
        <v>9.9000000000000005E-2</v>
      </c>
      <c r="I371" s="4">
        <v>0.86699999999999999</v>
      </c>
      <c r="J371" s="4">
        <v>0.55400000000000005</v>
      </c>
      <c r="K371" s="1">
        <v>0</v>
      </c>
      <c r="L371" s="1">
        <v>0</v>
      </c>
      <c r="M371" s="1">
        <v>0</v>
      </c>
      <c r="N371" s="1">
        <v>700</v>
      </c>
      <c r="O371" s="1" t="str">
        <f t="shared" si="48"/>
        <v>Recovery</v>
      </c>
      <c r="P371" s="2">
        <f t="shared" si="49"/>
        <v>45961</v>
      </c>
      <c r="Q371" s="9">
        <f>VLOOKUP(P371,BB!$A$3:$D$6771, 3, 1)*100</f>
        <v>78</v>
      </c>
      <c r="AK371" s="1">
        <v>0</v>
      </c>
      <c r="AL371" s="1">
        <v>0</v>
      </c>
      <c r="AM371" s="1">
        <v>0</v>
      </c>
      <c r="AN371" s="1">
        <v>10</v>
      </c>
      <c r="AO371" s="1">
        <f t="shared" si="50"/>
        <v>0</v>
      </c>
      <c r="AP371" s="1">
        <f t="shared" si="51"/>
        <v>0</v>
      </c>
      <c r="AQ371" s="1">
        <f t="shared" si="52"/>
        <v>0</v>
      </c>
      <c r="AR371" s="1">
        <f t="shared" si="53"/>
        <v>700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activeCell="B2" sqref="B2:B9"/>
    </sheetView>
  </sheetViews>
  <sheetFormatPr defaultRowHeight="12" x14ac:dyDescent="0.2"/>
  <cols>
    <col min="1" max="1" width="9.140625" style="3"/>
    <col min="2" max="2" width="44.42578125" style="3" bestFit="1" customWidth="1"/>
    <col min="3" max="16384" width="9.140625" style="3"/>
  </cols>
  <sheetData>
    <row r="1" spans="1:2" x14ac:dyDescent="0.2">
      <c r="A1" s="3" t="s">
        <v>12</v>
      </c>
      <c r="B1" s="3" t="s">
        <v>11</v>
      </c>
    </row>
    <row r="2" spans="1:2" x14ac:dyDescent="0.2">
      <c r="A2" s="3" t="s">
        <v>36</v>
      </c>
      <c r="B2" s="3" t="s">
        <v>30</v>
      </c>
    </row>
    <row r="3" spans="1:2" x14ac:dyDescent="0.2">
      <c r="A3" s="3" t="s">
        <v>38</v>
      </c>
      <c r="B3" s="3" t="s">
        <v>9</v>
      </c>
    </row>
    <row r="4" spans="1:2" x14ac:dyDescent="0.2">
      <c r="A4" s="3" t="s">
        <v>39</v>
      </c>
      <c r="B4" s="3" t="s">
        <v>4</v>
      </c>
    </row>
    <row r="5" spans="1:2" x14ac:dyDescent="0.2">
      <c r="A5" s="3" t="s">
        <v>40</v>
      </c>
      <c r="B5" s="3" t="s">
        <v>34</v>
      </c>
    </row>
    <row r="6" spans="1:2" x14ac:dyDescent="0.2">
      <c r="A6" s="3" t="s">
        <v>41</v>
      </c>
      <c r="B6" s="3" t="s">
        <v>31</v>
      </c>
    </row>
    <row r="7" spans="1:2" x14ac:dyDescent="0.2">
      <c r="A7" s="3" t="s">
        <v>42</v>
      </c>
      <c r="B7" s="3" t="s">
        <v>32</v>
      </c>
    </row>
    <row r="8" spans="1:2" x14ac:dyDescent="0.2">
      <c r="A8" s="3" t="s">
        <v>43</v>
      </c>
      <c r="B8" s="3" t="s">
        <v>33</v>
      </c>
    </row>
    <row r="9" spans="1:2" x14ac:dyDescent="0.2">
      <c r="A9" s="3" t="s">
        <v>44</v>
      </c>
      <c r="B9" s="3" t="s">
        <v>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70"/>
  <sheetViews>
    <sheetView topLeftCell="A329" workbookViewId="0">
      <selection activeCell="B370" sqref="B370"/>
    </sheetView>
  </sheetViews>
  <sheetFormatPr defaultRowHeight="12" x14ac:dyDescent="0.2"/>
  <cols>
    <col min="1" max="1" width="11.85546875" style="1" bestFit="1" customWidth="1"/>
    <col min="2" max="2" width="28.42578125" style="1" bestFit="1" customWidth="1"/>
    <col min="3" max="16384" width="9.140625" style="1"/>
  </cols>
  <sheetData>
    <row r="1" spans="1:6" x14ac:dyDescent="0.2">
      <c r="A1" s="1" t="s">
        <v>10</v>
      </c>
      <c r="B1" s="1" t="s">
        <v>46</v>
      </c>
      <c r="C1" s="1" t="s">
        <v>26</v>
      </c>
      <c r="D1" s="1" t="s">
        <v>27</v>
      </c>
      <c r="E1" s="1" t="s">
        <v>28</v>
      </c>
      <c r="F1" s="1" t="s">
        <v>29</v>
      </c>
    </row>
    <row r="2" spans="1:6" x14ac:dyDescent="0.2">
      <c r="A2" s="2">
        <v>34700</v>
      </c>
      <c r="B2" s="1">
        <v>0.50994743710091728</v>
      </c>
    </row>
    <row r="3" spans="1:6" x14ac:dyDescent="0.2">
      <c r="A3" s="2">
        <v>34731</v>
      </c>
      <c r="B3" s="1">
        <v>0.49044931875625164</v>
      </c>
    </row>
    <row r="4" spans="1:6" x14ac:dyDescent="0.2">
      <c r="A4" s="2">
        <v>34759</v>
      </c>
      <c r="B4" s="1">
        <v>0.45922907743516977</v>
      </c>
    </row>
    <row r="5" spans="1:6" x14ac:dyDescent="0.2">
      <c r="A5" s="2">
        <v>34790</v>
      </c>
      <c r="B5" s="1">
        <v>0.4115265804223559</v>
      </c>
    </row>
    <row r="6" spans="1:6" x14ac:dyDescent="0.2">
      <c r="A6" s="2">
        <v>34820</v>
      </c>
      <c r="B6" s="1">
        <v>0.29091103241172633</v>
      </c>
    </row>
    <row r="7" spans="1:6" x14ac:dyDescent="0.2">
      <c r="A7" s="2">
        <v>34851</v>
      </c>
      <c r="B7" s="1">
        <v>0.17326321335429037</v>
      </c>
    </row>
    <row r="8" spans="1:6" x14ac:dyDescent="0.2">
      <c r="A8" s="2">
        <v>34881</v>
      </c>
      <c r="B8" s="1">
        <v>0.30512786200446329</v>
      </c>
    </row>
    <row r="9" spans="1:6" x14ac:dyDescent="0.2">
      <c r="A9" s="2">
        <v>34912</v>
      </c>
      <c r="B9" s="1">
        <v>0.22169732649014556</v>
      </c>
    </row>
    <row r="10" spans="1:6" x14ac:dyDescent="0.2">
      <c r="A10" s="2">
        <v>34943</v>
      </c>
      <c r="B10" s="1">
        <v>0.22176600413819481</v>
      </c>
    </row>
    <row r="11" spans="1:6" x14ac:dyDescent="0.2">
      <c r="A11" s="2">
        <v>34973</v>
      </c>
      <c r="B11" s="1">
        <v>0.20890560053729534</v>
      </c>
    </row>
    <row r="12" spans="1:6" x14ac:dyDescent="0.2">
      <c r="A12" s="2">
        <v>35004</v>
      </c>
      <c r="B12" s="1">
        <v>0.17066786745365253</v>
      </c>
    </row>
    <row r="13" spans="1:6" x14ac:dyDescent="0.2">
      <c r="A13" s="2">
        <v>35034</v>
      </c>
      <c r="B13" s="1">
        <v>0.13993776603098476</v>
      </c>
    </row>
    <row r="14" spans="1:6" x14ac:dyDescent="0.2">
      <c r="A14" s="2">
        <v>35065</v>
      </c>
      <c r="B14" s="1">
        <v>0.1537700794919506</v>
      </c>
    </row>
    <row r="15" spans="1:6" x14ac:dyDescent="0.2">
      <c r="A15" s="2">
        <v>35096</v>
      </c>
      <c r="B15" s="1">
        <v>0.22159405199049917</v>
      </c>
      <c r="C15" s="1">
        <v>0</v>
      </c>
      <c r="D15" s="1">
        <v>0</v>
      </c>
      <c r="E15" s="1">
        <v>0</v>
      </c>
      <c r="F15" s="1">
        <v>10</v>
      </c>
    </row>
    <row r="16" spans="1:6" x14ac:dyDescent="0.2">
      <c r="A16" s="2">
        <v>35125</v>
      </c>
      <c r="B16" s="1">
        <v>0.22858687225771054</v>
      </c>
      <c r="C16" s="1">
        <v>0</v>
      </c>
      <c r="D16" s="1">
        <v>0</v>
      </c>
      <c r="E16" s="1">
        <v>0</v>
      </c>
      <c r="F16" s="1">
        <v>10</v>
      </c>
    </row>
    <row r="17" spans="1:6" x14ac:dyDescent="0.2">
      <c r="A17" s="2">
        <v>35156</v>
      </c>
      <c r="B17" s="1">
        <v>0.30374720725729487</v>
      </c>
      <c r="C17" s="1">
        <v>10</v>
      </c>
      <c r="D17" s="1">
        <v>0</v>
      </c>
      <c r="E17" s="1">
        <v>0</v>
      </c>
      <c r="F17" s="1">
        <v>0</v>
      </c>
    </row>
    <row r="18" spans="1:6" x14ac:dyDescent="0.2">
      <c r="A18" s="2">
        <v>35186</v>
      </c>
      <c r="B18" s="1">
        <v>0.31362166605631936</v>
      </c>
      <c r="C18" s="1">
        <v>10</v>
      </c>
      <c r="D18" s="1">
        <v>0</v>
      </c>
      <c r="E18" s="1">
        <v>0</v>
      </c>
      <c r="F18" s="1">
        <v>0</v>
      </c>
    </row>
    <row r="19" spans="1:6" x14ac:dyDescent="0.2">
      <c r="A19" s="2">
        <v>35217</v>
      </c>
      <c r="B19" s="1">
        <v>0.47295025032943833</v>
      </c>
      <c r="C19" s="1">
        <v>10</v>
      </c>
      <c r="D19" s="1">
        <v>0</v>
      </c>
      <c r="E19" s="1">
        <v>0</v>
      </c>
      <c r="F19" s="1">
        <v>0</v>
      </c>
    </row>
    <row r="20" spans="1:6" x14ac:dyDescent="0.2">
      <c r="A20" s="2">
        <v>35247</v>
      </c>
      <c r="B20" s="1">
        <v>0.41546798718453681</v>
      </c>
      <c r="C20" s="1">
        <v>10</v>
      </c>
      <c r="D20" s="1">
        <v>0</v>
      </c>
      <c r="E20" s="1">
        <v>0</v>
      </c>
      <c r="F20" s="1">
        <v>0</v>
      </c>
    </row>
    <row r="21" spans="1:6" x14ac:dyDescent="0.2">
      <c r="A21" s="2">
        <v>35278</v>
      </c>
      <c r="B21" s="1">
        <v>0.53277109676093892</v>
      </c>
      <c r="C21" s="1">
        <v>10</v>
      </c>
      <c r="D21" s="1">
        <v>0</v>
      </c>
      <c r="E21" s="1">
        <v>0</v>
      </c>
      <c r="F21" s="1">
        <v>0</v>
      </c>
    </row>
    <row r="22" spans="1:6" x14ac:dyDescent="0.2">
      <c r="A22" s="2">
        <v>35309</v>
      </c>
      <c r="B22" s="1">
        <v>0.49764159152592102</v>
      </c>
      <c r="C22" s="1">
        <v>0</v>
      </c>
      <c r="D22" s="1">
        <v>10</v>
      </c>
      <c r="E22" s="1">
        <v>0</v>
      </c>
      <c r="F22" s="1">
        <v>0</v>
      </c>
    </row>
    <row r="23" spans="1:6" x14ac:dyDescent="0.2">
      <c r="A23" s="2">
        <v>35339</v>
      </c>
      <c r="B23" s="1">
        <v>0.42708109113489384</v>
      </c>
      <c r="C23" s="1">
        <v>0</v>
      </c>
      <c r="D23" s="1">
        <v>10</v>
      </c>
      <c r="E23" s="1">
        <v>0</v>
      </c>
      <c r="F23" s="1">
        <v>0</v>
      </c>
    </row>
    <row r="24" spans="1:6" x14ac:dyDescent="0.2">
      <c r="A24" s="2">
        <v>35370</v>
      </c>
      <c r="B24" s="1">
        <v>0.44539788405397307</v>
      </c>
      <c r="C24" s="1">
        <v>0</v>
      </c>
      <c r="D24" s="1">
        <v>10</v>
      </c>
      <c r="E24" s="1">
        <v>0</v>
      </c>
      <c r="F24" s="1">
        <v>0</v>
      </c>
    </row>
    <row r="25" spans="1:6" x14ac:dyDescent="0.2">
      <c r="A25" s="2">
        <v>35400</v>
      </c>
      <c r="B25" s="1">
        <v>0.55379723624605737</v>
      </c>
      <c r="C25" s="1">
        <v>0</v>
      </c>
      <c r="D25" s="1">
        <v>10</v>
      </c>
      <c r="E25" s="1">
        <v>0</v>
      </c>
      <c r="F25" s="1">
        <v>0</v>
      </c>
    </row>
    <row r="26" spans="1:6" x14ac:dyDescent="0.2">
      <c r="A26" s="2">
        <v>35431</v>
      </c>
      <c r="B26" s="1">
        <v>0.69076597383653648</v>
      </c>
      <c r="C26" s="1">
        <v>10</v>
      </c>
      <c r="D26" s="1">
        <v>0</v>
      </c>
      <c r="E26" s="1">
        <v>0</v>
      </c>
      <c r="F26" s="1">
        <v>0</v>
      </c>
    </row>
    <row r="27" spans="1:6" x14ac:dyDescent="0.2">
      <c r="A27" s="2">
        <v>35462</v>
      </c>
      <c r="B27" s="1">
        <v>0.67274878642164915</v>
      </c>
      <c r="C27" s="1">
        <v>10</v>
      </c>
      <c r="D27" s="1">
        <v>0</v>
      </c>
      <c r="E27" s="1">
        <v>0</v>
      </c>
      <c r="F27" s="1">
        <v>0</v>
      </c>
    </row>
    <row r="28" spans="1:6" x14ac:dyDescent="0.2">
      <c r="A28" s="2">
        <v>35490</v>
      </c>
      <c r="B28" s="1">
        <v>0.72353853422756431</v>
      </c>
      <c r="C28" s="1">
        <v>10</v>
      </c>
      <c r="D28" s="1">
        <v>0</v>
      </c>
      <c r="E28" s="1">
        <v>0</v>
      </c>
      <c r="F28" s="1">
        <v>0</v>
      </c>
    </row>
    <row r="29" spans="1:6" x14ac:dyDescent="0.2">
      <c r="A29" s="2">
        <v>35521</v>
      </c>
      <c r="B29" s="1">
        <v>0.70138278670318077</v>
      </c>
      <c r="C29" s="1">
        <v>0</v>
      </c>
      <c r="D29" s="1">
        <v>10</v>
      </c>
      <c r="E29" s="1">
        <v>0</v>
      </c>
      <c r="F29" s="1">
        <v>0</v>
      </c>
    </row>
    <row r="30" spans="1:6" x14ac:dyDescent="0.2">
      <c r="A30" s="2">
        <v>35551</v>
      </c>
      <c r="B30" s="1">
        <v>0.77079772856498252</v>
      </c>
      <c r="C30" s="1">
        <v>0</v>
      </c>
      <c r="D30" s="1">
        <v>10</v>
      </c>
      <c r="E30" s="1">
        <v>0</v>
      </c>
      <c r="F30" s="1">
        <v>0</v>
      </c>
    </row>
    <row r="31" spans="1:6" x14ac:dyDescent="0.2">
      <c r="A31" s="2">
        <v>35582</v>
      </c>
      <c r="B31" s="1">
        <v>0.69145989244249928</v>
      </c>
      <c r="C31" s="1">
        <v>0</v>
      </c>
      <c r="D31" s="1">
        <v>10</v>
      </c>
      <c r="E31" s="1">
        <v>0</v>
      </c>
      <c r="F31" s="1">
        <v>0</v>
      </c>
    </row>
    <row r="32" spans="1:6" x14ac:dyDescent="0.2">
      <c r="A32" s="2">
        <v>35612</v>
      </c>
      <c r="B32" s="1">
        <v>0.73603018192010783</v>
      </c>
      <c r="C32" s="1">
        <v>0</v>
      </c>
      <c r="D32" s="1">
        <v>10</v>
      </c>
      <c r="E32" s="1">
        <v>0</v>
      </c>
      <c r="F32" s="1">
        <v>0</v>
      </c>
    </row>
    <row r="33" spans="1:6" x14ac:dyDescent="0.2">
      <c r="A33" s="2">
        <v>35643</v>
      </c>
      <c r="B33" s="1">
        <v>0.72126008182686618</v>
      </c>
      <c r="C33" s="1">
        <v>0</v>
      </c>
      <c r="D33" s="1">
        <v>10</v>
      </c>
      <c r="E33" s="1">
        <v>0</v>
      </c>
      <c r="F33" s="1">
        <v>0</v>
      </c>
    </row>
    <row r="34" spans="1:6" x14ac:dyDescent="0.2">
      <c r="A34" s="2">
        <v>35674</v>
      </c>
      <c r="B34" s="1">
        <v>0.66261531799717821</v>
      </c>
      <c r="C34" s="1">
        <v>0</v>
      </c>
      <c r="D34" s="1">
        <v>10</v>
      </c>
      <c r="E34" s="1">
        <v>0</v>
      </c>
      <c r="F34" s="1">
        <v>0</v>
      </c>
    </row>
    <row r="35" spans="1:6" x14ac:dyDescent="0.2">
      <c r="A35" s="2">
        <v>35704</v>
      </c>
      <c r="B35" s="1">
        <v>0.72407496416080908</v>
      </c>
      <c r="C35" s="1">
        <v>0</v>
      </c>
      <c r="D35" s="1">
        <v>10</v>
      </c>
      <c r="E35" s="1">
        <v>0</v>
      </c>
      <c r="F35" s="1">
        <v>0</v>
      </c>
    </row>
    <row r="36" spans="1:6" x14ac:dyDescent="0.2">
      <c r="A36" s="2">
        <v>35735</v>
      </c>
      <c r="B36" s="1">
        <v>0.69612391653818528</v>
      </c>
      <c r="C36" s="1">
        <v>0</v>
      </c>
      <c r="D36" s="1">
        <v>0</v>
      </c>
      <c r="E36" s="1">
        <v>10</v>
      </c>
      <c r="F36" s="1">
        <v>0</v>
      </c>
    </row>
    <row r="37" spans="1:6" x14ac:dyDescent="0.2">
      <c r="A37" s="2">
        <v>35765</v>
      </c>
      <c r="B37" s="1">
        <v>0.6602245250601827</v>
      </c>
      <c r="C37" s="1">
        <v>0</v>
      </c>
      <c r="D37" s="1">
        <v>0</v>
      </c>
      <c r="E37" s="1">
        <v>10</v>
      </c>
      <c r="F37" s="1">
        <v>0</v>
      </c>
    </row>
    <row r="38" spans="1:6" x14ac:dyDescent="0.2">
      <c r="A38" s="2">
        <v>35796</v>
      </c>
      <c r="B38" s="1">
        <v>0.88856036483380296</v>
      </c>
      <c r="C38" s="1">
        <v>10</v>
      </c>
      <c r="D38" s="1">
        <v>0</v>
      </c>
      <c r="E38" s="1">
        <v>0</v>
      </c>
      <c r="F38" s="1">
        <v>0</v>
      </c>
    </row>
    <row r="39" spans="1:6" x14ac:dyDescent="0.2">
      <c r="A39" s="2">
        <v>35827</v>
      </c>
      <c r="B39" s="1">
        <v>0.95794372884274959</v>
      </c>
      <c r="C39" s="1">
        <v>10</v>
      </c>
      <c r="D39" s="1">
        <v>0</v>
      </c>
      <c r="E39" s="1">
        <v>0</v>
      </c>
      <c r="F39" s="1">
        <v>0</v>
      </c>
    </row>
    <row r="40" spans="1:6" x14ac:dyDescent="0.2">
      <c r="A40" s="2">
        <v>35855</v>
      </c>
      <c r="B40" s="1">
        <v>0.93595215736745896</v>
      </c>
      <c r="C40" s="1">
        <v>10</v>
      </c>
      <c r="D40" s="1">
        <v>0</v>
      </c>
      <c r="E40" s="1">
        <v>0</v>
      </c>
      <c r="F40" s="1">
        <v>0</v>
      </c>
    </row>
    <row r="41" spans="1:6" x14ac:dyDescent="0.2">
      <c r="A41" s="2">
        <v>35886</v>
      </c>
      <c r="B41" s="1">
        <v>0.98162803460219905</v>
      </c>
      <c r="C41" s="1">
        <v>10</v>
      </c>
      <c r="D41" s="1">
        <v>0</v>
      </c>
      <c r="E41" s="1">
        <v>0</v>
      </c>
      <c r="F41" s="1">
        <v>0</v>
      </c>
    </row>
    <row r="42" spans="1:6" x14ac:dyDescent="0.2">
      <c r="A42" s="2">
        <v>35916</v>
      </c>
      <c r="B42" s="1">
        <v>0.93199799612641088</v>
      </c>
      <c r="C42" s="1">
        <v>0</v>
      </c>
      <c r="D42" s="1">
        <v>10</v>
      </c>
      <c r="E42" s="1">
        <v>0</v>
      </c>
      <c r="F42" s="1">
        <v>0</v>
      </c>
    </row>
    <row r="43" spans="1:6" x14ac:dyDescent="0.2">
      <c r="A43" s="2">
        <v>35947</v>
      </c>
      <c r="B43" s="1">
        <v>0.81928174716085778</v>
      </c>
      <c r="C43" s="1">
        <v>0</v>
      </c>
      <c r="D43" s="1">
        <v>10</v>
      </c>
      <c r="E43" s="1">
        <v>0</v>
      </c>
      <c r="F43" s="1">
        <v>0</v>
      </c>
    </row>
    <row r="44" spans="1:6" x14ac:dyDescent="0.2">
      <c r="A44" s="2">
        <v>35977</v>
      </c>
      <c r="B44" s="1">
        <v>0.76092505498367979</v>
      </c>
      <c r="C44" s="1">
        <v>0</v>
      </c>
      <c r="D44" s="1">
        <v>10</v>
      </c>
      <c r="E44" s="1">
        <v>0</v>
      </c>
      <c r="F44" s="1">
        <v>0</v>
      </c>
    </row>
    <row r="45" spans="1:6" x14ac:dyDescent="0.2">
      <c r="A45" s="2">
        <v>36008</v>
      </c>
      <c r="B45" s="1">
        <v>0.79666331225788833</v>
      </c>
      <c r="C45" s="1">
        <v>0</v>
      </c>
      <c r="D45" s="1">
        <v>0</v>
      </c>
      <c r="E45" s="1">
        <v>10</v>
      </c>
      <c r="F45" s="1">
        <v>0</v>
      </c>
    </row>
    <row r="46" spans="1:6" x14ac:dyDescent="0.2">
      <c r="A46" s="2">
        <v>36039</v>
      </c>
      <c r="B46" s="1">
        <v>0.75594513091233384</v>
      </c>
      <c r="C46" s="1">
        <v>0</v>
      </c>
      <c r="D46" s="1">
        <v>0</v>
      </c>
      <c r="E46" s="1">
        <v>10</v>
      </c>
      <c r="F46" s="1">
        <v>0</v>
      </c>
    </row>
    <row r="47" spans="1:6" x14ac:dyDescent="0.2">
      <c r="A47" s="2">
        <v>36069</v>
      </c>
      <c r="B47" s="1">
        <v>0.78596913455271111</v>
      </c>
      <c r="C47" s="1">
        <v>0</v>
      </c>
      <c r="D47" s="1">
        <v>0</v>
      </c>
      <c r="E47" s="1">
        <v>0</v>
      </c>
      <c r="F47" s="1">
        <v>10</v>
      </c>
    </row>
    <row r="48" spans="1:6" x14ac:dyDescent="0.2">
      <c r="A48" s="2">
        <v>36100</v>
      </c>
      <c r="B48" s="1">
        <v>0.79676881100644981</v>
      </c>
      <c r="C48" s="1">
        <v>0</v>
      </c>
      <c r="D48" s="1">
        <v>0</v>
      </c>
      <c r="E48" s="1">
        <v>10</v>
      </c>
      <c r="F48" s="1">
        <v>0</v>
      </c>
    </row>
    <row r="49" spans="1:6" x14ac:dyDescent="0.2">
      <c r="A49" s="2">
        <v>36130</v>
      </c>
      <c r="B49" s="1">
        <v>0.7375981696738596</v>
      </c>
      <c r="C49" s="1">
        <v>0</v>
      </c>
      <c r="D49" s="1">
        <v>0</v>
      </c>
      <c r="E49" s="1">
        <v>10</v>
      </c>
      <c r="F49" s="1">
        <v>0</v>
      </c>
    </row>
    <row r="50" spans="1:6" x14ac:dyDescent="0.2">
      <c r="A50" s="2">
        <v>36161</v>
      </c>
      <c r="B50" s="1">
        <v>0.7678553403088616</v>
      </c>
      <c r="C50" s="1">
        <v>0</v>
      </c>
      <c r="D50" s="1">
        <v>0</v>
      </c>
      <c r="E50" s="1">
        <v>0</v>
      </c>
      <c r="F50" s="1">
        <v>10</v>
      </c>
    </row>
    <row r="51" spans="1:6" x14ac:dyDescent="0.2">
      <c r="A51" s="2">
        <v>36192</v>
      </c>
      <c r="B51" s="1">
        <v>0.74762012946283696</v>
      </c>
      <c r="C51" s="1">
        <v>0</v>
      </c>
      <c r="D51" s="1">
        <v>0</v>
      </c>
      <c r="E51" s="1">
        <v>0</v>
      </c>
      <c r="F51" s="1">
        <v>10</v>
      </c>
    </row>
    <row r="52" spans="1:6" x14ac:dyDescent="0.2">
      <c r="A52" s="2">
        <v>36220</v>
      </c>
      <c r="B52" s="1">
        <v>1.0972382662361273</v>
      </c>
      <c r="C52" s="1">
        <v>10</v>
      </c>
      <c r="D52" s="1">
        <v>0</v>
      </c>
      <c r="E52" s="1">
        <v>0</v>
      </c>
      <c r="F52" s="1">
        <v>0</v>
      </c>
    </row>
    <row r="53" spans="1:6" x14ac:dyDescent="0.2">
      <c r="A53" s="2">
        <v>36251</v>
      </c>
      <c r="B53" s="1">
        <v>0.97597767565385918</v>
      </c>
      <c r="C53" s="1">
        <v>10</v>
      </c>
      <c r="D53" s="1">
        <v>0</v>
      </c>
      <c r="E53" s="1">
        <v>0</v>
      </c>
      <c r="F53" s="1">
        <v>0</v>
      </c>
    </row>
    <row r="54" spans="1:6" x14ac:dyDescent="0.2">
      <c r="A54" s="2">
        <v>36281</v>
      </c>
      <c r="B54" s="1">
        <v>0.96095853565859313</v>
      </c>
      <c r="C54" s="1">
        <v>10</v>
      </c>
      <c r="D54" s="1">
        <v>0</v>
      </c>
      <c r="E54" s="1">
        <v>0</v>
      </c>
      <c r="F54" s="1">
        <v>0</v>
      </c>
    </row>
    <row r="55" spans="1:6" x14ac:dyDescent="0.2">
      <c r="A55" s="2">
        <v>36312</v>
      </c>
      <c r="B55" s="1">
        <v>0.92868820786761452</v>
      </c>
      <c r="C55" s="1">
        <v>0</v>
      </c>
      <c r="D55" s="1">
        <v>10</v>
      </c>
      <c r="E55" s="1">
        <v>0</v>
      </c>
      <c r="F55" s="1">
        <v>0</v>
      </c>
    </row>
    <row r="56" spans="1:6" x14ac:dyDescent="0.2">
      <c r="A56" s="2">
        <v>36342</v>
      </c>
      <c r="B56" s="1">
        <v>0.57456585544023786</v>
      </c>
      <c r="C56" s="1">
        <v>0</v>
      </c>
      <c r="D56" s="1">
        <v>0</v>
      </c>
      <c r="E56" s="1">
        <v>10</v>
      </c>
      <c r="F56" s="1">
        <v>0</v>
      </c>
    </row>
    <row r="57" spans="1:6" x14ac:dyDescent="0.2">
      <c r="A57" s="2">
        <v>36373</v>
      </c>
      <c r="B57" s="1">
        <v>0.63729103804416032</v>
      </c>
      <c r="C57" s="1">
        <v>0</v>
      </c>
      <c r="D57" s="1">
        <v>0</v>
      </c>
      <c r="E57" s="1">
        <v>10</v>
      </c>
      <c r="F57" s="1">
        <v>0</v>
      </c>
    </row>
    <row r="58" spans="1:6" x14ac:dyDescent="0.2">
      <c r="A58" s="2">
        <v>36404</v>
      </c>
      <c r="B58" s="1">
        <v>0.77363233638359041</v>
      </c>
      <c r="C58" s="1">
        <v>0</v>
      </c>
      <c r="D58" s="1">
        <v>0</v>
      </c>
      <c r="E58" s="1">
        <v>10</v>
      </c>
      <c r="F58" s="1">
        <v>0</v>
      </c>
    </row>
    <row r="59" spans="1:6" x14ac:dyDescent="0.2">
      <c r="A59" s="2">
        <v>36434</v>
      </c>
      <c r="B59" s="1">
        <v>0.9368396699667223</v>
      </c>
      <c r="C59" s="1">
        <v>0</v>
      </c>
      <c r="D59" s="1">
        <v>0</v>
      </c>
      <c r="E59" s="1">
        <v>0</v>
      </c>
      <c r="F59" s="1">
        <v>10</v>
      </c>
    </row>
    <row r="60" spans="1:6" x14ac:dyDescent="0.2">
      <c r="A60" s="2">
        <v>36465</v>
      </c>
      <c r="B60" s="1">
        <v>0.9269831810587299</v>
      </c>
      <c r="C60" s="1">
        <v>10</v>
      </c>
      <c r="D60" s="1">
        <v>0</v>
      </c>
      <c r="E60" s="1">
        <v>0</v>
      </c>
      <c r="F60" s="1">
        <v>0</v>
      </c>
    </row>
    <row r="61" spans="1:6" x14ac:dyDescent="0.2">
      <c r="A61" s="2">
        <v>36495</v>
      </c>
      <c r="B61" s="1">
        <v>0.80994629531462525</v>
      </c>
      <c r="C61" s="1">
        <v>10</v>
      </c>
      <c r="D61" s="1">
        <v>0</v>
      </c>
      <c r="E61" s="1">
        <v>0</v>
      </c>
      <c r="F61" s="1">
        <v>0</v>
      </c>
    </row>
    <row r="62" spans="1:6" x14ac:dyDescent="0.2">
      <c r="A62" s="2">
        <v>36526</v>
      </c>
      <c r="B62" s="1">
        <v>1.1466125680792842</v>
      </c>
      <c r="C62" s="1">
        <v>10</v>
      </c>
      <c r="D62" s="1">
        <v>0</v>
      </c>
      <c r="E62" s="1">
        <v>0</v>
      </c>
      <c r="F62" s="1">
        <v>0</v>
      </c>
    </row>
    <row r="63" spans="1:6" x14ac:dyDescent="0.2">
      <c r="A63" s="2">
        <v>36557</v>
      </c>
      <c r="B63" s="1">
        <v>0.77280964850907163</v>
      </c>
      <c r="C63" s="1">
        <v>0</v>
      </c>
      <c r="D63" s="1">
        <v>10</v>
      </c>
      <c r="E63" s="1">
        <v>0</v>
      </c>
      <c r="F63" s="1">
        <v>0</v>
      </c>
    </row>
    <row r="64" spans="1:6" x14ac:dyDescent="0.2">
      <c r="A64" s="2">
        <v>36586</v>
      </c>
      <c r="B64" s="1">
        <v>0.80769746153599953</v>
      </c>
      <c r="C64" s="1">
        <v>10</v>
      </c>
      <c r="D64" s="1">
        <v>0</v>
      </c>
      <c r="E64" s="1">
        <v>0</v>
      </c>
      <c r="F64" s="1">
        <v>0</v>
      </c>
    </row>
    <row r="65" spans="1:6" x14ac:dyDescent="0.2">
      <c r="A65" s="2">
        <v>36617</v>
      </c>
      <c r="B65" s="1">
        <v>0.6451243796625612</v>
      </c>
      <c r="C65" s="1">
        <v>0</v>
      </c>
      <c r="D65" s="1">
        <v>0</v>
      </c>
      <c r="E65" s="1">
        <v>10</v>
      </c>
      <c r="F65" s="1">
        <v>0</v>
      </c>
    </row>
    <row r="66" spans="1:6" x14ac:dyDescent="0.2">
      <c r="A66" s="2">
        <v>36647</v>
      </c>
      <c r="B66" s="1">
        <v>0.73598725845247803</v>
      </c>
      <c r="C66" s="1">
        <v>0</v>
      </c>
      <c r="D66" s="1">
        <v>0</v>
      </c>
      <c r="E66" s="1">
        <v>0</v>
      </c>
      <c r="F66" s="1">
        <v>10</v>
      </c>
    </row>
    <row r="67" spans="1:6" x14ac:dyDescent="0.2">
      <c r="A67" s="2">
        <v>36678</v>
      </c>
      <c r="B67" s="1">
        <v>1.0195605619616988</v>
      </c>
      <c r="C67" s="1">
        <v>0</v>
      </c>
      <c r="D67" s="1">
        <v>0</v>
      </c>
      <c r="E67" s="1">
        <v>0</v>
      </c>
      <c r="F67" s="1">
        <v>10</v>
      </c>
    </row>
    <row r="68" spans="1:6" x14ac:dyDescent="0.2">
      <c r="A68" s="2">
        <v>36708</v>
      </c>
      <c r="B68" s="1">
        <v>1.195566260601983</v>
      </c>
      <c r="C68" s="1">
        <v>10</v>
      </c>
      <c r="D68" s="1">
        <v>0</v>
      </c>
      <c r="E68" s="1">
        <v>0</v>
      </c>
      <c r="F68" s="1">
        <v>0</v>
      </c>
    </row>
    <row r="69" spans="1:6" x14ac:dyDescent="0.2">
      <c r="A69" s="2">
        <v>36739</v>
      </c>
      <c r="B69" s="1">
        <v>0.93069952219248864</v>
      </c>
      <c r="C69" s="1">
        <v>10</v>
      </c>
      <c r="D69" s="1">
        <v>0</v>
      </c>
      <c r="E69" s="1">
        <v>0</v>
      </c>
      <c r="F69" s="1">
        <v>0</v>
      </c>
    </row>
    <row r="70" spans="1:6" x14ac:dyDescent="0.2">
      <c r="A70" s="2">
        <v>36770</v>
      </c>
      <c r="B70" s="1">
        <v>1.0302246521665026</v>
      </c>
      <c r="C70" s="1">
        <v>0</v>
      </c>
      <c r="D70" s="1">
        <v>10</v>
      </c>
      <c r="E70" s="1">
        <v>0</v>
      </c>
      <c r="F70" s="1">
        <v>0</v>
      </c>
    </row>
    <row r="71" spans="1:6" x14ac:dyDescent="0.2">
      <c r="A71" s="2">
        <v>36800</v>
      </c>
      <c r="B71" s="1">
        <v>0.99274041571896987</v>
      </c>
      <c r="C71" s="1">
        <v>0</v>
      </c>
      <c r="D71" s="1">
        <v>10</v>
      </c>
      <c r="E71" s="1">
        <v>0</v>
      </c>
      <c r="F71" s="1">
        <v>0</v>
      </c>
    </row>
    <row r="72" spans="1:6" x14ac:dyDescent="0.2">
      <c r="A72" s="2">
        <v>36831</v>
      </c>
      <c r="B72" s="1">
        <v>0.72342749949556029</v>
      </c>
      <c r="C72" s="1">
        <v>0</v>
      </c>
      <c r="D72" s="1">
        <v>10</v>
      </c>
      <c r="E72" s="1">
        <v>0</v>
      </c>
      <c r="F72" s="1">
        <v>0</v>
      </c>
    </row>
    <row r="73" spans="1:6" x14ac:dyDescent="0.2">
      <c r="A73" s="2">
        <v>36861</v>
      </c>
      <c r="B73" s="1">
        <v>0.47392551817837969</v>
      </c>
      <c r="C73" s="1">
        <v>0</v>
      </c>
      <c r="D73" s="1">
        <v>0</v>
      </c>
      <c r="E73" s="1">
        <v>10</v>
      </c>
      <c r="F73" s="1">
        <v>0</v>
      </c>
    </row>
    <row r="74" spans="1:6" x14ac:dyDescent="0.2">
      <c r="A74" s="2">
        <v>36892</v>
      </c>
      <c r="B74" s="1">
        <v>0.36953077166900472</v>
      </c>
      <c r="C74" s="1">
        <v>0</v>
      </c>
      <c r="D74" s="1">
        <v>0</v>
      </c>
      <c r="E74" s="1">
        <v>10</v>
      </c>
      <c r="F74" s="1">
        <v>0</v>
      </c>
    </row>
    <row r="75" spans="1:6" x14ac:dyDescent="0.2">
      <c r="A75" s="2">
        <v>36923</v>
      </c>
      <c r="B75" s="1">
        <v>0.33279404668843882</v>
      </c>
      <c r="C75" s="1">
        <v>0</v>
      </c>
      <c r="D75" s="1">
        <v>0</v>
      </c>
      <c r="E75" s="1">
        <v>10</v>
      </c>
      <c r="F75" s="1">
        <v>0</v>
      </c>
    </row>
    <row r="76" spans="1:6" x14ac:dyDescent="0.2">
      <c r="A76" s="2">
        <v>36951</v>
      </c>
      <c r="B76" s="1">
        <v>0.3976825350148932</v>
      </c>
      <c r="C76" s="1">
        <v>0</v>
      </c>
      <c r="D76" s="1">
        <v>0</v>
      </c>
      <c r="E76" s="1">
        <v>0</v>
      </c>
      <c r="F76" s="1">
        <v>10</v>
      </c>
    </row>
    <row r="77" spans="1:6" x14ac:dyDescent="0.2">
      <c r="A77" s="2">
        <v>36982</v>
      </c>
      <c r="B77" s="1">
        <v>0.27897239724071349</v>
      </c>
      <c r="C77" s="1">
        <v>0</v>
      </c>
      <c r="D77" s="1">
        <v>0</v>
      </c>
      <c r="E77" s="1">
        <v>0</v>
      </c>
      <c r="F77" s="1">
        <v>10</v>
      </c>
    </row>
    <row r="78" spans="1:6" x14ac:dyDescent="0.2">
      <c r="A78" s="2">
        <v>37012</v>
      </c>
      <c r="B78" s="1">
        <v>0.28640446519804286</v>
      </c>
      <c r="C78" s="1">
        <v>0</v>
      </c>
      <c r="D78" s="1">
        <v>0</v>
      </c>
      <c r="E78" s="1">
        <v>0</v>
      </c>
      <c r="F78" s="1">
        <v>10</v>
      </c>
    </row>
    <row r="79" spans="1:6" x14ac:dyDescent="0.2">
      <c r="A79" s="2">
        <v>37043</v>
      </c>
      <c r="B79" s="1">
        <v>-5.5717885514864673E-2</v>
      </c>
      <c r="C79" s="1">
        <v>0</v>
      </c>
      <c r="D79" s="1">
        <v>0</v>
      </c>
      <c r="E79" s="1">
        <v>10</v>
      </c>
      <c r="F79" s="1">
        <v>0</v>
      </c>
    </row>
    <row r="80" spans="1:6" x14ac:dyDescent="0.2">
      <c r="A80" s="2">
        <v>37073</v>
      </c>
      <c r="B80" s="1">
        <v>-2.9322552552677194E-2</v>
      </c>
      <c r="C80" s="1">
        <v>0</v>
      </c>
      <c r="D80" s="1">
        <v>0</v>
      </c>
      <c r="E80" s="1">
        <v>10</v>
      </c>
      <c r="F80" s="1">
        <v>0</v>
      </c>
    </row>
    <row r="81" spans="1:6" x14ac:dyDescent="0.2">
      <c r="A81" s="2">
        <v>37104</v>
      </c>
      <c r="B81" s="1">
        <v>-0.10916907564696214</v>
      </c>
      <c r="C81" s="1">
        <v>0</v>
      </c>
      <c r="D81" s="1">
        <v>0</v>
      </c>
      <c r="E81" s="1">
        <v>10</v>
      </c>
      <c r="F81" s="1">
        <v>0</v>
      </c>
    </row>
    <row r="82" spans="1:6" x14ac:dyDescent="0.2">
      <c r="A82" s="2">
        <v>37135</v>
      </c>
      <c r="B82" s="1">
        <v>-0.18111323719853203</v>
      </c>
      <c r="C82" s="1">
        <v>0</v>
      </c>
      <c r="D82" s="1">
        <v>0</v>
      </c>
      <c r="E82" s="1">
        <v>0</v>
      </c>
      <c r="F82" s="1">
        <v>10</v>
      </c>
    </row>
    <row r="83" spans="1:6" x14ac:dyDescent="0.2">
      <c r="A83" s="2">
        <v>37165</v>
      </c>
      <c r="B83" s="1">
        <v>-0.57116235520214387</v>
      </c>
      <c r="C83" s="1">
        <v>0</v>
      </c>
      <c r="D83" s="1">
        <v>0</v>
      </c>
      <c r="E83" s="1">
        <v>10</v>
      </c>
      <c r="F83" s="1">
        <v>0</v>
      </c>
    </row>
    <row r="84" spans="1:6" x14ac:dyDescent="0.2">
      <c r="A84" s="2">
        <v>37196</v>
      </c>
      <c r="B84" s="1">
        <v>-0.52855537851071821</v>
      </c>
      <c r="C84" s="1">
        <v>0</v>
      </c>
      <c r="D84" s="1">
        <v>0</v>
      </c>
      <c r="E84" s="1">
        <v>10</v>
      </c>
      <c r="F84" s="1">
        <v>0</v>
      </c>
    </row>
    <row r="85" spans="1:6" x14ac:dyDescent="0.2">
      <c r="A85" s="2">
        <v>37226</v>
      </c>
      <c r="B85" s="1">
        <v>-0.450960818438294</v>
      </c>
      <c r="C85" s="1">
        <v>0</v>
      </c>
      <c r="D85" s="1">
        <v>0</v>
      </c>
      <c r="E85" s="1">
        <v>10</v>
      </c>
      <c r="F85" s="1">
        <v>0</v>
      </c>
    </row>
    <row r="86" spans="1:6" x14ac:dyDescent="0.2">
      <c r="A86" s="2">
        <v>37257</v>
      </c>
      <c r="B86" s="1">
        <v>-0.47294782765328175</v>
      </c>
      <c r="C86" s="1">
        <v>0</v>
      </c>
      <c r="D86" s="1">
        <v>0</v>
      </c>
      <c r="E86" s="1">
        <v>0</v>
      </c>
      <c r="F86" s="1">
        <v>10</v>
      </c>
    </row>
    <row r="87" spans="1:6" x14ac:dyDescent="0.2">
      <c r="A87" s="2">
        <v>37288</v>
      </c>
      <c r="B87" s="1">
        <v>-0.34384713195647332</v>
      </c>
      <c r="C87" s="1">
        <v>0</v>
      </c>
      <c r="D87" s="1">
        <v>0</v>
      </c>
      <c r="E87" s="1">
        <v>0</v>
      </c>
      <c r="F87" s="1">
        <v>10</v>
      </c>
    </row>
    <row r="88" spans="1:6" x14ac:dyDescent="0.2">
      <c r="A88" s="2">
        <v>37316</v>
      </c>
      <c r="B88" s="1">
        <v>-0.22591537628274203</v>
      </c>
      <c r="C88" s="1">
        <v>0</v>
      </c>
      <c r="D88" s="1">
        <v>0</v>
      </c>
      <c r="E88" s="1">
        <v>0</v>
      </c>
      <c r="F88" s="1">
        <v>10</v>
      </c>
    </row>
    <row r="89" spans="1:6" x14ac:dyDescent="0.2">
      <c r="A89" s="2">
        <v>37347</v>
      </c>
      <c r="B89" s="1">
        <v>-0.29321997638321495</v>
      </c>
      <c r="C89" s="1">
        <v>0</v>
      </c>
      <c r="D89" s="1">
        <v>0</v>
      </c>
      <c r="E89" s="1">
        <v>0</v>
      </c>
      <c r="F89" s="1">
        <v>10</v>
      </c>
    </row>
    <row r="90" spans="1:6" x14ac:dyDescent="0.2">
      <c r="A90" s="2">
        <v>37377</v>
      </c>
      <c r="B90" s="1">
        <v>-0.2327516856633943</v>
      </c>
      <c r="C90" s="1">
        <v>10</v>
      </c>
      <c r="D90" s="1">
        <v>0</v>
      </c>
      <c r="E90" s="1">
        <v>0</v>
      </c>
      <c r="F90" s="1">
        <v>0</v>
      </c>
    </row>
    <row r="91" spans="1:6" x14ac:dyDescent="0.2">
      <c r="A91" s="2">
        <v>37408</v>
      </c>
      <c r="B91" s="1">
        <v>-0.19408987979672901</v>
      </c>
      <c r="C91" s="1">
        <v>10</v>
      </c>
      <c r="D91" s="1">
        <v>0</v>
      </c>
      <c r="E91" s="1">
        <v>0</v>
      </c>
      <c r="F91" s="1">
        <v>0</v>
      </c>
    </row>
    <row r="92" spans="1:6" x14ac:dyDescent="0.2">
      <c r="A92" s="2">
        <v>37438</v>
      </c>
      <c r="B92" s="1">
        <v>-0.15480942092009797</v>
      </c>
      <c r="C92" s="1">
        <v>10</v>
      </c>
      <c r="D92" s="1">
        <v>0</v>
      </c>
      <c r="E92" s="1">
        <v>0</v>
      </c>
      <c r="F92" s="1">
        <v>0</v>
      </c>
    </row>
    <row r="93" spans="1:6" x14ac:dyDescent="0.2">
      <c r="A93" s="2">
        <v>37469</v>
      </c>
      <c r="B93" s="1">
        <v>-0.29855249493335417</v>
      </c>
      <c r="C93" s="1">
        <v>0</v>
      </c>
      <c r="D93" s="1">
        <v>10</v>
      </c>
      <c r="E93" s="1">
        <v>0</v>
      </c>
      <c r="F93" s="1">
        <v>0</v>
      </c>
    </row>
    <row r="94" spans="1:6" x14ac:dyDescent="0.2">
      <c r="A94" s="2">
        <v>37500</v>
      </c>
      <c r="B94" s="1">
        <v>-0.36312608813726749</v>
      </c>
      <c r="C94" s="1">
        <v>0</v>
      </c>
      <c r="D94" s="1">
        <v>10</v>
      </c>
      <c r="E94" s="1">
        <v>0</v>
      </c>
      <c r="F94" s="1">
        <v>0</v>
      </c>
    </row>
    <row r="95" spans="1:6" x14ac:dyDescent="0.2">
      <c r="A95" s="2">
        <v>37530</v>
      </c>
      <c r="B95" s="1">
        <v>-0.46408999313446025</v>
      </c>
      <c r="C95" s="1">
        <v>0</v>
      </c>
      <c r="D95" s="1">
        <v>0</v>
      </c>
      <c r="E95" s="1">
        <v>10</v>
      </c>
      <c r="F95" s="1">
        <v>0</v>
      </c>
    </row>
    <row r="96" spans="1:6" x14ac:dyDescent="0.2">
      <c r="A96" s="2">
        <v>37561</v>
      </c>
      <c r="B96" s="1">
        <v>-0.44105804076433791</v>
      </c>
      <c r="C96" s="1">
        <v>0</v>
      </c>
      <c r="D96" s="1">
        <v>0</v>
      </c>
      <c r="E96" s="1">
        <v>10</v>
      </c>
      <c r="F96" s="1">
        <v>0</v>
      </c>
    </row>
    <row r="97" spans="1:6" x14ac:dyDescent="0.2">
      <c r="A97" s="2">
        <v>37591</v>
      </c>
      <c r="B97" s="1">
        <v>-0.28831812631496034</v>
      </c>
      <c r="C97" s="1">
        <v>0</v>
      </c>
      <c r="D97" s="1">
        <v>0</v>
      </c>
      <c r="E97" s="1">
        <v>0</v>
      </c>
      <c r="F97" s="1">
        <v>10</v>
      </c>
    </row>
    <row r="98" spans="1:6" x14ac:dyDescent="0.2">
      <c r="A98" s="2">
        <v>37622</v>
      </c>
      <c r="B98" s="1">
        <v>-0.26606520826691715</v>
      </c>
      <c r="C98" s="1">
        <v>0</v>
      </c>
      <c r="D98" s="1">
        <v>0</v>
      </c>
      <c r="E98" s="1">
        <v>0</v>
      </c>
      <c r="F98" s="1">
        <v>10</v>
      </c>
    </row>
    <row r="99" spans="1:6" x14ac:dyDescent="0.2">
      <c r="A99" s="2">
        <v>37653</v>
      </c>
      <c r="B99" s="1">
        <v>-0.46922672809874938</v>
      </c>
      <c r="C99" s="1">
        <v>0</v>
      </c>
      <c r="D99" s="1">
        <v>0</v>
      </c>
      <c r="E99" s="1">
        <v>0</v>
      </c>
      <c r="F99" s="1">
        <v>10</v>
      </c>
    </row>
    <row r="100" spans="1:6" x14ac:dyDescent="0.2">
      <c r="A100" s="2">
        <v>37681</v>
      </c>
      <c r="B100" s="1">
        <v>-0.63314731517834377</v>
      </c>
      <c r="C100" s="1">
        <v>0</v>
      </c>
      <c r="D100" s="1">
        <v>0</v>
      </c>
      <c r="E100" s="1">
        <v>10</v>
      </c>
      <c r="F100" s="1">
        <v>0</v>
      </c>
    </row>
    <row r="101" spans="1:6" x14ac:dyDescent="0.2">
      <c r="A101" s="2">
        <v>37712</v>
      </c>
      <c r="B101" s="1">
        <v>-0.61078528831167489</v>
      </c>
      <c r="C101" s="1">
        <v>0</v>
      </c>
      <c r="D101" s="1">
        <v>0</v>
      </c>
      <c r="E101" s="1">
        <v>10</v>
      </c>
      <c r="F101" s="1">
        <v>0</v>
      </c>
    </row>
    <row r="102" spans="1:6" x14ac:dyDescent="0.2">
      <c r="A102" s="2">
        <v>37742</v>
      </c>
      <c r="B102" s="1">
        <v>-0.66421604622829167</v>
      </c>
      <c r="C102" s="1">
        <v>0</v>
      </c>
      <c r="D102" s="1">
        <v>0</v>
      </c>
      <c r="E102" s="1">
        <v>10</v>
      </c>
      <c r="F102" s="1">
        <v>0</v>
      </c>
    </row>
    <row r="103" spans="1:6" x14ac:dyDescent="0.2">
      <c r="A103" s="2">
        <v>37773</v>
      </c>
      <c r="B103" s="1">
        <v>-0.67451960687067136</v>
      </c>
      <c r="C103" s="1">
        <v>0</v>
      </c>
      <c r="D103" s="1">
        <v>0</v>
      </c>
      <c r="E103" s="1">
        <v>0</v>
      </c>
      <c r="F103" s="1">
        <v>10</v>
      </c>
    </row>
    <row r="104" spans="1:6" x14ac:dyDescent="0.2">
      <c r="A104" s="2">
        <v>37803</v>
      </c>
      <c r="B104" s="1">
        <v>-0.52217142188040699</v>
      </c>
      <c r="C104" s="1">
        <v>0</v>
      </c>
      <c r="D104" s="1">
        <v>0</v>
      </c>
      <c r="E104" s="1">
        <v>0</v>
      </c>
      <c r="F104" s="1">
        <v>10</v>
      </c>
    </row>
    <row r="105" spans="1:6" x14ac:dyDescent="0.2">
      <c r="A105" s="2">
        <v>37834</v>
      </c>
      <c r="B105" s="1">
        <v>-0.49754098377508649</v>
      </c>
      <c r="C105" s="1">
        <v>0</v>
      </c>
      <c r="D105" s="1">
        <v>0</v>
      </c>
      <c r="E105" s="1">
        <v>0</v>
      </c>
      <c r="F105" s="1">
        <v>10</v>
      </c>
    </row>
    <row r="106" spans="1:6" x14ac:dyDescent="0.2">
      <c r="A106" s="2">
        <v>37865</v>
      </c>
      <c r="B106" s="1">
        <v>-0.69450657331277277</v>
      </c>
      <c r="C106" s="1">
        <v>0</v>
      </c>
      <c r="D106" s="1">
        <v>0</v>
      </c>
      <c r="E106" s="1">
        <v>0</v>
      </c>
      <c r="F106" s="1">
        <v>10</v>
      </c>
    </row>
    <row r="107" spans="1:6" x14ac:dyDescent="0.2">
      <c r="A107" s="2">
        <v>37895</v>
      </c>
      <c r="B107" s="1">
        <v>-0.41234570040668944</v>
      </c>
      <c r="C107" s="1">
        <v>0</v>
      </c>
      <c r="D107" s="1">
        <v>0</v>
      </c>
      <c r="E107" s="1">
        <v>0</v>
      </c>
      <c r="F107" s="1">
        <v>10</v>
      </c>
    </row>
    <row r="108" spans="1:6" x14ac:dyDescent="0.2">
      <c r="A108" s="2">
        <v>37926</v>
      </c>
      <c r="B108" s="1">
        <v>-0.25409384103547722</v>
      </c>
      <c r="C108" s="1">
        <v>10</v>
      </c>
      <c r="D108" s="1">
        <v>0</v>
      </c>
      <c r="E108" s="1">
        <v>0</v>
      </c>
      <c r="F108" s="1">
        <v>0</v>
      </c>
    </row>
    <row r="109" spans="1:6" x14ac:dyDescent="0.2">
      <c r="A109" s="2">
        <v>37956</v>
      </c>
      <c r="B109" s="1">
        <v>-0.1708217461248048</v>
      </c>
      <c r="C109" s="1">
        <v>10</v>
      </c>
      <c r="D109" s="1">
        <v>0</v>
      </c>
      <c r="E109" s="1">
        <v>0</v>
      </c>
      <c r="F109" s="1">
        <v>0</v>
      </c>
    </row>
    <row r="110" spans="1:6" x14ac:dyDescent="0.2">
      <c r="A110" s="2">
        <v>37987</v>
      </c>
      <c r="B110" s="1">
        <v>-0.11237637862661232</v>
      </c>
      <c r="C110" s="1">
        <v>10</v>
      </c>
      <c r="D110" s="1">
        <v>0</v>
      </c>
      <c r="E110" s="1">
        <v>0</v>
      </c>
      <c r="F110" s="1">
        <v>0</v>
      </c>
    </row>
    <row r="111" spans="1:6" x14ac:dyDescent="0.2">
      <c r="A111" s="2">
        <v>38018</v>
      </c>
      <c r="B111" s="1">
        <v>-5.066569246565187E-2</v>
      </c>
      <c r="C111" s="1">
        <v>10</v>
      </c>
      <c r="D111" s="1">
        <v>0</v>
      </c>
      <c r="E111" s="1">
        <v>0</v>
      </c>
      <c r="F111" s="1">
        <v>0</v>
      </c>
    </row>
    <row r="112" spans="1:6" x14ac:dyDescent="0.2">
      <c r="A112" s="2">
        <v>38047</v>
      </c>
      <c r="B112" s="1">
        <v>-0.15711432171080597</v>
      </c>
      <c r="C112" s="1">
        <v>0</v>
      </c>
      <c r="D112" s="1">
        <v>10</v>
      </c>
      <c r="E112" s="1">
        <v>0</v>
      </c>
      <c r="F112" s="1">
        <v>0</v>
      </c>
    </row>
    <row r="113" spans="1:6" x14ac:dyDescent="0.2">
      <c r="A113" s="2">
        <v>38078</v>
      </c>
      <c r="B113" s="1">
        <v>-0.19181129872929276</v>
      </c>
      <c r="C113" s="1">
        <v>0</v>
      </c>
      <c r="D113" s="1">
        <v>10</v>
      </c>
      <c r="E113" s="1">
        <v>0</v>
      </c>
      <c r="F113" s="1">
        <v>0</v>
      </c>
    </row>
    <row r="114" spans="1:6" x14ac:dyDescent="0.2">
      <c r="A114" s="2">
        <v>38108</v>
      </c>
      <c r="B114" s="1">
        <v>-0.14253791324041482</v>
      </c>
      <c r="C114" s="1">
        <v>0</v>
      </c>
      <c r="D114" s="1">
        <v>10</v>
      </c>
      <c r="E114" s="1">
        <v>0</v>
      </c>
      <c r="F114" s="1">
        <v>0</v>
      </c>
    </row>
    <row r="115" spans="1:6" x14ac:dyDescent="0.2">
      <c r="A115" s="2">
        <v>38139</v>
      </c>
      <c r="B115" s="1">
        <v>-0.23553165309512997</v>
      </c>
      <c r="C115" s="1">
        <v>0</v>
      </c>
      <c r="D115" s="1">
        <v>10</v>
      </c>
      <c r="E115" s="1">
        <v>0</v>
      </c>
      <c r="F115" s="1">
        <v>0</v>
      </c>
    </row>
    <row r="116" spans="1:6" x14ac:dyDescent="0.2">
      <c r="A116" s="2">
        <v>38169</v>
      </c>
      <c r="B116" s="1">
        <v>-0.20730288701917368</v>
      </c>
      <c r="C116" s="1">
        <v>0</v>
      </c>
      <c r="D116" s="1">
        <v>10</v>
      </c>
      <c r="E116" s="1">
        <v>0</v>
      </c>
      <c r="F116" s="1">
        <v>0</v>
      </c>
    </row>
    <row r="117" spans="1:6" x14ac:dyDescent="0.2">
      <c r="A117" s="2">
        <v>38200</v>
      </c>
      <c r="B117" s="1">
        <v>-0.29868264297737646</v>
      </c>
      <c r="C117" s="1">
        <v>0</v>
      </c>
      <c r="D117" s="1">
        <v>0</v>
      </c>
      <c r="E117" s="1">
        <v>10</v>
      </c>
      <c r="F117" s="1">
        <v>0</v>
      </c>
    </row>
    <row r="118" spans="1:6" x14ac:dyDescent="0.2">
      <c r="A118" s="2">
        <v>38231</v>
      </c>
      <c r="B118" s="1">
        <v>-0.19387580381548375</v>
      </c>
      <c r="C118" s="1">
        <v>0</v>
      </c>
      <c r="D118" s="1">
        <v>0</v>
      </c>
      <c r="E118" s="1">
        <v>10</v>
      </c>
      <c r="F118" s="1">
        <v>0</v>
      </c>
    </row>
    <row r="119" spans="1:6" x14ac:dyDescent="0.2">
      <c r="A119" s="2">
        <v>38261</v>
      </c>
      <c r="B119" s="1">
        <v>-0.28826029804500947</v>
      </c>
      <c r="C119" s="1">
        <v>0</v>
      </c>
      <c r="D119" s="1">
        <v>0</v>
      </c>
      <c r="E119" s="1">
        <v>10</v>
      </c>
      <c r="F119" s="1">
        <v>0</v>
      </c>
    </row>
    <row r="120" spans="1:6" x14ac:dyDescent="0.2">
      <c r="A120" s="2">
        <v>38292</v>
      </c>
      <c r="B120" s="1">
        <v>-0.25570037949945867</v>
      </c>
      <c r="C120" s="1">
        <v>0</v>
      </c>
      <c r="D120" s="1">
        <v>0</v>
      </c>
      <c r="E120" s="1">
        <v>0</v>
      </c>
      <c r="F120" s="1">
        <v>10</v>
      </c>
    </row>
    <row r="121" spans="1:6" x14ac:dyDescent="0.2">
      <c r="A121" s="2">
        <v>38322</v>
      </c>
      <c r="B121" s="1">
        <v>1.7287866948824005E-3</v>
      </c>
      <c r="C121" s="1">
        <v>0</v>
      </c>
      <c r="D121" s="1">
        <v>0</v>
      </c>
      <c r="E121" s="1">
        <v>0</v>
      </c>
      <c r="F121" s="1">
        <v>10</v>
      </c>
    </row>
    <row r="122" spans="1:6" x14ac:dyDescent="0.2">
      <c r="A122" s="2">
        <v>38353</v>
      </c>
      <c r="B122" s="1">
        <v>-0.11073619609686638</v>
      </c>
      <c r="C122" s="1">
        <v>10</v>
      </c>
      <c r="D122" s="1">
        <v>0</v>
      </c>
      <c r="E122" s="1">
        <v>0</v>
      </c>
      <c r="F122" s="1">
        <v>0</v>
      </c>
    </row>
    <row r="123" spans="1:6" x14ac:dyDescent="0.2">
      <c r="A123" s="2">
        <v>38384</v>
      </c>
      <c r="B123" s="1">
        <v>-0.29217972888914556</v>
      </c>
      <c r="C123" s="1">
        <v>10</v>
      </c>
      <c r="D123" s="1">
        <v>0</v>
      </c>
      <c r="E123" s="1">
        <v>0</v>
      </c>
      <c r="F123" s="1">
        <v>0</v>
      </c>
    </row>
    <row r="124" spans="1:6" x14ac:dyDescent="0.2">
      <c r="A124" s="2">
        <v>38412</v>
      </c>
      <c r="B124" s="1">
        <v>-0.3414749290625349</v>
      </c>
      <c r="C124" s="1">
        <v>0</v>
      </c>
      <c r="D124" s="1">
        <v>0</v>
      </c>
      <c r="E124" s="1">
        <v>10</v>
      </c>
      <c r="F124" s="1">
        <v>0</v>
      </c>
    </row>
    <row r="125" spans="1:6" x14ac:dyDescent="0.2">
      <c r="A125" s="2">
        <v>38443</v>
      </c>
      <c r="B125" s="1">
        <v>-0.35915357145700372</v>
      </c>
      <c r="C125" s="1">
        <v>0</v>
      </c>
      <c r="D125" s="1">
        <v>0</v>
      </c>
      <c r="E125" s="1">
        <v>10</v>
      </c>
      <c r="F125" s="1">
        <v>0</v>
      </c>
    </row>
    <row r="126" spans="1:6" x14ac:dyDescent="0.2">
      <c r="A126" s="2">
        <v>38473</v>
      </c>
      <c r="B126" s="1">
        <v>-0.40417769626605055</v>
      </c>
      <c r="C126" s="1">
        <v>0</v>
      </c>
      <c r="D126" s="1">
        <v>0</v>
      </c>
      <c r="E126" s="1">
        <v>10</v>
      </c>
      <c r="F126" s="1">
        <v>0</v>
      </c>
    </row>
    <row r="127" spans="1:6" x14ac:dyDescent="0.2">
      <c r="A127" s="2">
        <v>38504</v>
      </c>
      <c r="B127" s="1">
        <v>-0.11631621968547501</v>
      </c>
      <c r="C127" s="1">
        <v>0</v>
      </c>
      <c r="D127" s="1">
        <v>0</v>
      </c>
      <c r="E127" s="1">
        <v>0</v>
      </c>
      <c r="F127" s="1">
        <v>10</v>
      </c>
    </row>
    <row r="128" spans="1:6" x14ac:dyDescent="0.2">
      <c r="A128" s="2">
        <v>38534</v>
      </c>
      <c r="B128" s="1">
        <v>-0.2250788551460387</v>
      </c>
      <c r="C128" s="1">
        <v>0</v>
      </c>
      <c r="D128" s="1">
        <v>0</v>
      </c>
      <c r="E128" s="1">
        <v>0</v>
      </c>
      <c r="F128" s="1">
        <v>10</v>
      </c>
    </row>
    <row r="129" spans="1:6" x14ac:dyDescent="0.2">
      <c r="A129" s="2">
        <v>38565</v>
      </c>
      <c r="B129" s="1">
        <v>-0.20626592265128982</v>
      </c>
      <c r="C129" s="1">
        <v>10</v>
      </c>
      <c r="D129" s="1">
        <v>0</v>
      </c>
      <c r="E129" s="1">
        <v>0</v>
      </c>
      <c r="F129" s="1">
        <v>0</v>
      </c>
    </row>
    <row r="130" spans="1:6" x14ac:dyDescent="0.2">
      <c r="A130" s="2">
        <v>38596</v>
      </c>
      <c r="B130" s="1">
        <v>-0.26930374200619328</v>
      </c>
      <c r="C130" s="1">
        <v>0</v>
      </c>
      <c r="D130" s="1">
        <v>10</v>
      </c>
      <c r="E130" s="1">
        <v>0</v>
      </c>
      <c r="F130" s="1">
        <v>0</v>
      </c>
    </row>
    <row r="131" spans="1:6" x14ac:dyDescent="0.2">
      <c r="A131" s="2">
        <v>38626</v>
      </c>
      <c r="B131" s="1">
        <v>-0.26894439282869298</v>
      </c>
      <c r="C131" s="1">
        <v>0</v>
      </c>
      <c r="D131" s="1">
        <v>0</v>
      </c>
      <c r="E131" s="1">
        <v>10</v>
      </c>
      <c r="F131" s="1">
        <v>0</v>
      </c>
    </row>
    <row r="132" spans="1:6" x14ac:dyDescent="0.2">
      <c r="A132" s="2">
        <v>38657</v>
      </c>
      <c r="B132" s="1">
        <v>-0.2768271576139848</v>
      </c>
      <c r="C132" s="1">
        <v>0</v>
      </c>
      <c r="D132" s="1">
        <v>0</v>
      </c>
      <c r="E132" s="1">
        <v>10</v>
      </c>
      <c r="F132" s="1">
        <v>0</v>
      </c>
    </row>
    <row r="133" spans="1:6" x14ac:dyDescent="0.2">
      <c r="A133" s="2">
        <v>38687</v>
      </c>
      <c r="B133" s="1">
        <v>-0.1794546113357742</v>
      </c>
      <c r="C133" s="1">
        <v>10</v>
      </c>
      <c r="D133" s="1">
        <v>0</v>
      </c>
      <c r="E133" s="1">
        <v>0</v>
      </c>
      <c r="F133" s="1">
        <v>0</v>
      </c>
    </row>
    <row r="134" spans="1:6" x14ac:dyDescent="0.2">
      <c r="A134" s="2">
        <v>38718</v>
      </c>
      <c r="B134" s="1">
        <v>-8.9656471974416646E-2</v>
      </c>
      <c r="C134" s="1">
        <v>10</v>
      </c>
      <c r="D134" s="1">
        <v>0</v>
      </c>
      <c r="E134" s="1">
        <v>0</v>
      </c>
      <c r="F134" s="1">
        <v>0</v>
      </c>
    </row>
    <row r="135" spans="1:6" x14ac:dyDescent="0.2">
      <c r="A135" s="2">
        <v>38749</v>
      </c>
      <c r="B135" s="1">
        <v>-5.5114002313877017E-2</v>
      </c>
      <c r="C135" s="1">
        <v>10</v>
      </c>
      <c r="D135" s="1">
        <v>0</v>
      </c>
      <c r="E135" s="1">
        <v>0</v>
      </c>
      <c r="F135" s="1">
        <v>0</v>
      </c>
    </row>
    <row r="136" spans="1:6" x14ac:dyDescent="0.2">
      <c r="A136" s="2">
        <v>38777</v>
      </c>
      <c r="B136" s="1">
        <v>0.34033881477865296</v>
      </c>
      <c r="C136" s="1">
        <v>10</v>
      </c>
      <c r="D136" s="1">
        <v>0</v>
      </c>
      <c r="E136" s="1">
        <v>0</v>
      </c>
      <c r="F136" s="1">
        <v>0</v>
      </c>
    </row>
    <row r="137" spans="1:6" x14ac:dyDescent="0.2">
      <c r="A137" s="2">
        <v>38808</v>
      </c>
      <c r="B137" s="1">
        <v>0.25276920219164523</v>
      </c>
      <c r="C137" s="1">
        <v>10</v>
      </c>
      <c r="D137" s="1">
        <v>0</v>
      </c>
      <c r="E137" s="1">
        <v>0</v>
      </c>
      <c r="F137" s="1">
        <v>0</v>
      </c>
    </row>
    <row r="138" spans="1:6" x14ac:dyDescent="0.2">
      <c r="A138" s="2">
        <v>38838</v>
      </c>
      <c r="B138" s="1">
        <v>0.33836194374815443</v>
      </c>
      <c r="C138" s="1">
        <v>10</v>
      </c>
      <c r="D138" s="1">
        <v>0</v>
      </c>
      <c r="E138" s="1">
        <v>0</v>
      </c>
      <c r="F138" s="1">
        <v>0</v>
      </c>
    </row>
    <row r="139" spans="1:6" x14ac:dyDescent="0.2">
      <c r="A139" s="2">
        <v>38869</v>
      </c>
      <c r="B139" s="1">
        <v>0.25382586184691219</v>
      </c>
      <c r="C139" s="1">
        <v>0</v>
      </c>
      <c r="D139" s="1">
        <v>10</v>
      </c>
      <c r="E139" s="1">
        <v>0</v>
      </c>
      <c r="F139" s="1">
        <v>0</v>
      </c>
    </row>
    <row r="140" spans="1:6" x14ac:dyDescent="0.2">
      <c r="A140" s="2">
        <v>38899</v>
      </c>
      <c r="B140" s="1">
        <v>9.8717457575616979E-2</v>
      </c>
      <c r="C140" s="1">
        <v>0</v>
      </c>
      <c r="D140" s="1">
        <v>10</v>
      </c>
      <c r="E140" s="1">
        <v>0</v>
      </c>
      <c r="F140" s="1">
        <v>0</v>
      </c>
    </row>
    <row r="141" spans="1:6" x14ac:dyDescent="0.2">
      <c r="A141" s="2">
        <v>38930</v>
      </c>
      <c r="B141" s="1">
        <v>1.591846502062429E-2</v>
      </c>
      <c r="C141" s="1">
        <v>0</v>
      </c>
      <c r="D141" s="1">
        <v>10</v>
      </c>
      <c r="E141" s="1">
        <v>0</v>
      </c>
      <c r="F141" s="1">
        <v>0</v>
      </c>
    </row>
    <row r="142" spans="1:6" x14ac:dyDescent="0.2">
      <c r="A142" s="2">
        <v>38961</v>
      </c>
      <c r="B142" s="1">
        <v>2.3033110814167288E-2</v>
      </c>
      <c r="C142" s="1">
        <v>0</v>
      </c>
      <c r="D142" s="1">
        <v>10</v>
      </c>
      <c r="E142" s="1">
        <v>0</v>
      </c>
      <c r="F142" s="1">
        <v>0</v>
      </c>
    </row>
    <row r="143" spans="1:6" x14ac:dyDescent="0.2">
      <c r="A143" s="2">
        <v>38991</v>
      </c>
      <c r="B143" s="1">
        <v>0.2219811712786961</v>
      </c>
      <c r="C143" s="1">
        <v>10</v>
      </c>
      <c r="D143" s="1">
        <v>0</v>
      </c>
      <c r="E143" s="1">
        <v>0</v>
      </c>
      <c r="F143" s="1">
        <v>0</v>
      </c>
    </row>
    <row r="144" spans="1:6" x14ac:dyDescent="0.2">
      <c r="A144" s="2">
        <v>39022</v>
      </c>
      <c r="B144" s="1">
        <v>0.26680654842805784</v>
      </c>
      <c r="C144" s="1">
        <v>10</v>
      </c>
      <c r="D144" s="1">
        <v>0</v>
      </c>
      <c r="E144" s="1">
        <v>0</v>
      </c>
      <c r="F144" s="1">
        <v>0</v>
      </c>
    </row>
    <row r="145" spans="1:6" x14ac:dyDescent="0.2">
      <c r="A145" s="2">
        <v>39052</v>
      </c>
      <c r="B145" s="1">
        <v>0.22306172860816048</v>
      </c>
      <c r="C145" s="1">
        <v>10</v>
      </c>
      <c r="D145" s="1">
        <v>0</v>
      </c>
      <c r="E145" s="1">
        <v>0</v>
      </c>
      <c r="F145" s="1">
        <v>0</v>
      </c>
    </row>
    <row r="146" spans="1:6" x14ac:dyDescent="0.2">
      <c r="A146" s="2">
        <v>39083</v>
      </c>
      <c r="B146" s="1">
        <v>0.20505720431022095</v>
      </c>
      <c r="C146" s="1">
        <v>0</v>
      </c>
      <c r="D146" s="1">
        <v>10</v>
      </c>
      <c r="E146" s="1">
        <v>0</v>
      </c>
      <c r="F146" s="1">
        <v>0</v>
      </c>
    </row>
    <row r="147" spans="1:6" x14ac:dyDescent="0.2">
      <c r="A147" s="2">
        <v>39114</v>
      </c>
      <c r="B147" s="1">
        <v>0.15622224957914149</v>
      </c>
      <c r="C147" s="1">
        <v>0</v>
      </c>
      <c r="D147" s="1">
        <v>0</v>
      </c>
      <c r="E147" s="1">
        <v>10</v>
      </c>
      <c r="F147" s="1">
        <v>0</v>
      </c>
    </row>
    <row r="148" spans="1:6" x14ac:dyDescent="0.2">
      <c r="A148" s="2">
        <v>39142</v>
      </c>
      <c r="B148" s="1">
        <v>0.19735098137774157</v>
      </c>
      <c r="C148" s="1">
        <v>0</v>
      </c>
      <c r="D148" s="1">
        <v>0</v>
      </c>
      <c r="E148" s="1">
        <v>0</v>
      </c>
      <c r="F148" s="1">
        <v>10</v>
      </c>
    </row>
    <row r="149" spans="1:6" x14ac:dyDescent="0.2">
      <c r="A149" s="2">
        <v>39173</v>
      </c>
      <c r="B149" s="1">
        <v>0.31643310951207815</v>
      </c>
      <c r="C149" s="1">
        <v>10</v>
      </c>
      <c r="D149" s="1">
        <v>0</v>
      </c>
      <c r="E149" s="1">
        <v>0</v>
      </c>
      <c r="F149" s="1">
        <v>0</v>
      </c>
    </row>
    <row r="150" spans="1:6" x14ac:dyDescent="0.2">
      <c r="A150" s="2">
        <v>39203</v>
      </c>
      <c r="B150" s="1">
        <v>0.54901934719864776</v>
      </c>
      <c r="C150" s="1">
        <v>10</v>
      </c>
      <c r="D150" s="1">
        <v>0</v>
      </c>
      <c r="E150" s="1">
        <v>0</v>
      </c>
      <c r="F150" s="1">
        <v>0</v>
      </c>
    </row>
    <row r="151" spans="1:6" x14ac:dyDescent="0.2">
      <c r="A151" s="2">
        <v>39234</v>
      </c>
      <c r="B151" s="1">
        <v>0.26353230867858513</v>
      </c>
      <c r="C151" s="1">
        <v>10</v>
      </c>
      <c r="D151" s="1">
        <v>0</v>
      </c>
      <c r="E151" s="1">
        <v>0</v>
      </c>
      <c r="F151" s="1">
        <v>0</v>
      </c>
    </row>
    <row r="152" spans="1:6" x14ac:dyDescent="0.2">
      <c r="A152" s="2">
        <v>39264</v>
      </c>
      <c r="B152" s="1">
        <v>0.46393595696080292</v>
      </c>
      <c r="C152" s="1">
        <v>10</v>
      </c>
      <c r="D152" s="1">
        <v>0</v>
      </c>
      <c r="E152" s="1">
        <v>0</v>
      </c>
      <c r="F152" s="1">
        <v>0</v>
      </c>
    </row>
    <row r="153" spans="1:6" x14ac:dyDescent="0.2">
      <c r="A153" s="2">
        <v>39295</v>
      </c>
      <c r="B153" s="1">
        <v>9.0702621879181128E-2</v>
      </c>
      <c r="C153" s="1">
        <v>0</v>
      </c>
      <c r="D153" s="1">
        <v>10</v>
      </c>
      <c r="E153" s="1">
        <v>0</v>
      </c>
      <c r="F153" s="1">
        <v>0</v>
      </c>
    </row>
    <row r="154" spans="1:6" x14ac:dyDescent="0.2">
      <c r="A154" s="2">
        <v>39326</v>
      </c>
      <c r="B154" s="1">
        <v>0.10104480016263584</v>
      </c>
      <c r="C154" s="1">
        <v>0</v>
      </c>
      <c r="D154" s="1">
        <v>0</v>
      </c>
      <c r="E154" s="1">
        <v>10</v>
      </c>
      <c r="F154" s="1">
        <v>0</v>
      </c>
    </row>
    <row r="155" spans="1:6" x14ac:dyDescent="0.2">
      <c r="A155" s="2">
        <v>39356</v>
      </c>
      <c r="B155" s="1">
        <v>6.1434628433331008E-2</v>
      </c>
      <c r="C155" s="1">
        <v>0</v>
      </c>
      <c r="D155" s="1">
        <v>0</v>
      </c>
      <c r="E155" s="1">
        <v>10</v>
      </c>
      <c r="F155" s="1">
        <v>0</v>
      </c>
    </row>
    <row r="156" spans="1:6" x14ac:dyDescent="0.2">
      <c r="A156" s="2">
        <v>39387</v>
      </c>
      <c r="B156" s="1">
        <v>2.5129057349859645E-2</v>
      </c>
      <c r="C156" s="1">
        <v>0</v>
      </c>
      <c r="D156" s="1">
        <v>0</v>
      </c>
      <c r="E156" s="1">
        <v>10</v>
      </c>
      <c r="F156" s="1">
        <v>0</v>
      </c>
    </row>
    <row r="157" spans="1:6" x14ac:dyDescent="0.2">
      <c r="A157" s="2">
        <v>39417</v>
      </c>
      <c r="B157" s="1">
        <v>-8.0413225935374536E-3</v>
      </c>
      <c r="C157" s="1">
        <v>0</v>
      </c>
      <c r="D157" s="1">
        <v>0</v>
      </c>
      <c r="E157" s="1">
        <v>10</v>
      </c>
      <c r="F157" s="1">
        <v>0</v>
      </c>
    </row>
    <row r="158" spans="1:6" x14ac:dyDescent="0.2">
      <c r="A158" s="2">
        <v>39448</v>
      </c>
      <c r="B158" s="1">
        <v>1.4580010121112031E-2</v>
      </c>
      <c r="C158" s="1">
        <v>0</v>
      </c>
      <c r="D158" s="1">
        <v>0</v>
      </c>
      <c r="E158" s="1">
        <v>0</v>
      </c>
      <c r="F158" s="1">
        <v>10</v>
      </c>
    </row>
    <row r="159" spans="1:6" x14ac:dyDescent="0.2">
      <c r="A159" s="2">
        <v>39479</v>
      </c>
      <c r="B159" s="1">
        <v>3.6320447829770432E-2</v>
      </c>
      <c r="C159" s="1">
        <v>0</v>
      </c>
      <c r="D159" s="1">
        <v>0</v>
      </c>
      <c r="E159" s="1">
        <v>0</v>
      </c>
      <c r="F159" s="1">
        <v>10</v>
      </c>
    </row>
    <row r="160" spans="1:6" x14ac:dyDescent="0.2">
      <c r="A160" s="2">
        <v>39508</v>
      </c>
      <c r="B160" s="1">
        <v>-0.30875287212553837</v>
      </c>
      <c r="C160" s="1">
        <v>0</v>
      </c>
      <c r="D160" s="1">
        <v>0</v>
      </c>
      <c r="E160" s="1">
        <v>10</v>
      </c>
      <c r="F160" s="1">
        <v>0</v>
      </c>
    </row>
    <row r="161" spans="1:6" x14ac:dyDescent="0.2">
      <c r="A161" s="2">
        <v>39539</v>
      </c>
      <c r="B161" s="1">
        <v>-0.2968782340439442</v>
      </c>
      <c r="C161" s="1">
        <v>0</v>
      </c>
      <c r="D161" s="1">
        <v>0</v>
      </c>
      <c r="E161" s="1">
        <v>10</v>
      </c>
      <c r="F161" s="1">
        <v>0</v>
      </c>
    </row>
    <row r="162" spans="1:6" x14ac:dyDescent="0.2">
      <c r="A162" s="2">
        <v>39569</v>
      </c>
      <c r="B162" s="1">
        <v>-0.14000565096501644</v>
      </c>
      <c r="C162" s="1">
        <v>0</v>
      </c>
      <c r="D162" s="1">
        <v>0</v>
      </c>
      <c r="E162" s="1">
        <v>10</v>
      </c>
      <c r="F162" s="1">
        <v>0</v>
      </c>
    </row>
    <row r="163" spans="1:6" x14ac:dyDescent="0.2">
      <c r="A163" s="2">
        <v>39600</v>
      </c>
      <c r="B163" s="1">
        <v>-0.23245169212993505</v>
      </c>
      <c r="C163" s="1">
        <v>0</v>
      </c>
      <c r="D163" s="1">
        <v>0</v>
      </c>
      <c r="E163" s="1">
        <v>0</v>
      </c>
      <c r="F163" s="1">
        <v>10</v>
      </c>
    </row>
    <row r="164" spans="1:6" x14ac:dyDescent="0.2">
      <c r="A164" s="2">
        <v>39630</v>
      </c>
      <c r="B164" s="1">
        <v>-0.26468163243514453</v>
      </c>
      <c r="C164" s="1">
        <v>0</v>
      </c>
      <c r="D164" s="1">
        <v>0</v>
      </c>
      <c r="E164" s="1">
        <v>0</v>
      </c>
      <c r="F164" s="1">
        <v>10</v>
      </c>
    </row>
    <row r="165" spans="1:6" x14ac:dyDescent="0.2">
      <c r="A165" s="2">
        <v>39661</v>
      </c>
      <c r="B165" s="1">
        <v>-0.68848820869659622</v>
      </c>
      <c r="C165" s="1">
        <v>0</v>
      </c>
      <c r="D165" s="1">
        <v>0</v>
      </c>
      <c r="E165" s="1">
        <v>10</v>
      </c>
      <c r="F165" s="1">
        <v>0</v>
      </c>
    </row>
    <row r="166" spans="1:6" x14ac:dyDescent="0.2">
      <c r="A166" s="2">
        <v>39692</v>
      </c>
      <c r="B166" s="1">
        <v>-0.90240525612001576</v>
      </c>
      <c r="C166" s="1">
        <v>0</v>
      </c>
      <c r="D166" s="1">
        <v>0</v>
      </c>
      <c r="E166" s="1">
        <v>10</v>
      </c>
      <c r="F166" s="1">
        <v>0</v>
      </c>
    </row>
    <row r="167" spans="1:6" x14ac:dyDescent="0.2">
      <c r="A167" s="2">
        <v>39722</v>
      </c>
      <c r="B167" s="1">
        <v>-1.2420731411601842</v>
      </c>
      <c r="C167" s="1">
        <v>0</v>
      </c>
      <c r="D167" s="1">
        <v>0</v>
      </c>
      <c r="E167" s="1">
        <v>10</v>
      </c>
      <c r="F167" s="1">
        <v>0</v>
      </c>
    </row>
    <row r="168" spans="1:6" x14ac:dyDescent="0.2">
      <c r="A168" s="2">
        <v>39753</v>
      </c>
      <c r="B168" s="1">
        <v>-1.5450841379874229</v>
      </c>
      <c r="C168" s="1">
        <v>0</v>
      </c>
      <c r="D168" s="1">
        <v>0</v>
      </c>
      <c r="E168" s="1">
        <v>10</v>
      </c>
      <c r="F168" s="1">
        <v>0</v>
      </c>
    </row>
    <row r="169" spans="1:6" x14ac:dyDescent="0.2">
      <c r="A169" s="2">
        <v>39783</v>
      </c>
      <c r="B169" s="1">
        <v>-1.9132993374000968</v>
      </c>
      <c r="C169" s="1">
        <v>0</v>
      </c>
      <c r="D169" s="1">
        <v>0</v>
      </c>
      <c r="E169" s="1">
        <v>10</v>
      </c>
      <c r="F169" s="1">
        <v>0</v>
      </c>
    </row>
    <row r="170" spans="1:6" x14ac:dyDescent="0.2">
      <c r="A170" s="2">
        <v>39814</v>
      </c>
      <c r="B170" s="1">
        <v>-1.9007375363160208</v>
      </c>
      <c r="C170" s="1">
        <v>0</v>
      </c>
      <c r="D170" s="1">
        <v>0</v>
      </c>
      <c r="E170" s="1">
        <v>10</v>
      </c>
      <c r="F170" s="1">
        <v>0</v>
      </c>
    </row>
    <row r="171" spans="1:6" x14ac:dyDescent="0.2">
      <c r="A171" s="2">
        <v>39845</v>
      </c>
      <c r="B171" s="1">
        <v>-2.248860846050543</v>
      </c>
      <c r="C171" s="1">
        <v>0</v>
      </c>
      <c r="D171" s="1">
        <v>0</v>
      </c>
      <c r="E171" s="1">
        <v>10</v>
      </c>
      <c r="F171" s="1">
        <v>0</v>
      </c>
    </row>
    <row r="172" spans="1:6" x14ac:dyDescent="0.2">
      <c r="A172" s="2">
        <v>39873</v>
      </c>
      <c r="B172" s="1">
        <v>-2.3188571457312421</v>
      </c>
      <c r="C172" s="1">
        <v>0</v>
      </c>
      <c r="D172" s="1">
        <v>0</v>
      </c>
      <c r="E172" s="1">
        <v>0</v>
      </c>
      <c r="F172" s="1">
        <v>10</v>
      </c>
    </row>
    <row r="173" spans="1:6" x14ac:dyDescent="0.2">
      <c r="A173" s="2">
        <v>39904</v>
      </c>
      <c r="B173" s="1">
        <v>-2.2313262818254294</v>
      </c>
      <c r="C173" s="1">
        <v>0</v>
      </c>
      <c r="D173" s="1">
        <v>0</v>
      </c>
      <c r="E173" s="1">
        <v>0</v>
      </c>
      <c r="F173" s="1">
        <v>10</v>
      </c>
    </row>
    <row r="174" spans="1:6" x14ac:dyDescent="0.2">
      <c r="A174" s="2">
        <v>39934</v>
      </c>
      <c r="B174" s="1">
        <v>-2.1113389814073535</v>
      </c>
      <c r="C174" s="1">
        <v>0</v>
      </c>
      <c r="D174" s="1">
        <v>0</v>
      </c>
      <c r="E174" s="1">
        <v>0</v>
      </c>
      <c r="F174" s="1">
        <v>10</v>
      </c>
    </row>
    <row r="175" spans="1:6" x14ac:dyDescent="0.2">
      <c r="A175" s="2">
        <v>39965</v>
      </c>
      <c r="B175" s="1">
        <v>-2.0727996283181929</v>
      </c>
      <c r="C175" s="1">
        <v>0</v>
      </c>
      <c r="D175" s="1">
        <v>0</v>
      </c>
      <c r="E175" s="1">
        <v>0</v>
      </c>
      <c r="F175" s="1">
        <v>10</v>
      </c>
    </row>
    <row r="176" spans="1:6" x14ac:dyDescent="0.2">
      <c r="A176" s="2">
        <v>39995</v>
      </c>
      <c r="B176" s="1">
        <v>-1.9171369021582971</v>
      </c>
      <c r="C176" s="1">
        <v>0</v>
      </c>
      <c r="D176" s="1">
        <v>0</v>
      </c>
      <c r="E176" s="1">
        <v>0</v>
      </c>
      <c r="F176" s="1">
        <v>10</v>
      </c>
    </row>
    <row r="177" spans="1:6" x14ac:dyDescent="0.2">
      <c r="A177" s="2">
        <v>40026</v>
      </c>
      <c r="B177" s="1">
        <v>-1.7405711555599139</v>
      </c>
      <c r="C177" s="1">
        <v>0</v>
      </c>
      <c r="D177" s="1">
        <v>0</v>
      </c>
      <c r="E177" s="1">
        <v>0</v>
      </c>
      <c r="F177" s="1">
        <v>10</v>
      </c>
    </row>
    <row r="178" spans="1:6" x14ac:dyDescent="0.2">
      <c r="A178" s="2">
        <v>40057</v>
      </c>
      <c r="B178" s="1">
        <v>-1.5258534047381755</v>
      </c>
      <c r="C178" s="1">
        <v>10</v>
      </c>
      <c r="D178" s="1">
        <v>0</v>
      </c>
      <c r="E178" s="1">
        <v>0</v>
      </c>
      <c r="F178" s="1">
        <v>0</v>
      </c>
    </row>
    <row r="179" spans="1:6" x14ac:dyDescent="0.2">
      <c r="A179" s="2">
        <v>40087</v>
      </c>
      <c r="B179" s="1">
        <v>-1.598737677645101</v>
      </c>
      <c r="C179" s="1">
        <v>10</v>
      </c>
      <c r="D179" s="1">
        <v>0</v>
      </c>
      <c r="E179" s="1">
        <v>0</v>
      </c>
      <c r="F179" s="1">
        <v>0</v>
      </c>
    </row>
    <row r="180" spans="1:6" x14ac:dyDescent="0.2">
      <c r="A180" s="2">
        <v>40118</v>
      </c>
      <c r="B180" s="1">
        <v>-1.3382412388101546</v>
      </c>
      <c r="C180" s="1">
        <v>10</v>
      </c>
      <c r="D180" s="1">
        <v>0</v>
      </c>
      <c r="E180" s="1">
        <v>0</v>
      </c>
      <c r="F180" s="1">
        <v>0</v>
      </c>
    </row>
    <row r="181" spans="1:6" x14ac:dyDescent="0.2">
      <c r="A181" s="2">
        <v>40148</v>
      </c>
      <c r="B181" s="1">
        <v>-1.1959891863883612</v>
      </c>
      <c r="C181" s="1">
        <v>10</v>
      </c>
      <c r="D181" s="1">
        <v>0</v>
      </c>
      <c r="E181" s="1">
        <v>0</v>
      </c>
      <c r="F181" s="1">
        <v>0</v>
      </c>
    </row>
    <row r="182" spans="1:6" x14ac:dyDescent="0.2">
      <c r="A182" s="2">
        <v>40179</v>
      </c>
      <c r="B182" s="1">
        <v>-1.0875806923675095</v>
      </c>
      <c r="C182" s="1">
        <v>10</v>
      </c>
      <c r="D182" s="1">
        <v>0</v>
      </c>
      <c r="E182" s="1">
        <v>0</v>
      </c>
      <c r="F182" s="1">
        <v>0</v>
      </c>
    </row>
    <row r="183" spans="1:6" x14ac:dyDescent="0.2">
      <c r="A183" s="2">
        <v>40210</v>
      </c>
      <c r="B183" s="1">
        <v>-1.0209449495937708</v>
      </c>
      <c r="C183" s="1">
        <v>10</v>
      </c>
      <c r="D183" s="1">
        <v>0</v>
      </c>
      <c r="E183" s="1">
        <v>0</v>
      </c>
      <c r="F183" s="1">
        <v>0</v>
      </c>
    </row>
    <row r="184" spans="1:6" x14ac:dyDescent="0.2">
      <c r="A184" s="2">
        <v>40238</v>
      </c>
      <c r="B184" s="1">
        <v>-0.80083333401186485</v>
      </c>
      <c r="C184" s="1">
        <v>10</v>
      </c>
      <c r="D184" s="1">
        <v>0</v>
      </c>
      <c r="E184" s="1">
        <v>0</v>
      </c>
      <c r="F184" s="1">
        <v>0</v>
      </c>
    </row>
    <row r="185" spans="1:6" x14ac:dyDescent="0.2">
      <c r="A185" s="2">
        <v>40269</v>
      </c>
      <c r="B185" s="1">
        <v>-0.82632560382113884</v>
      </c>
      <c r="C185" s="1">
        <v>0</v>
      </c>
      <c r="D185" s="1">
        <v>10</v>
      </c>
      <c r="E185" s="1">
        <v>0</v>
      </c>
      <c r="F185" s="1">
        <v>0</v>
      </c>
    </row>
    <row r="186" spans="1:6" x14ac:dyDescent="0.2">
      <c r="A186" s="2">
        <v>40299</v>
      </c>
      <c r="B186" s="1">
        <v>-0.85232924431602775</v>
      </c>
      <c r="C186" s="1">
        <v>0</v>
      </c>
      <c r="D186" s="1">
        <v>10</v>
      </c>
      <c r="E186" s="1">
        <v>0</v>
      </c>
      <c r="F186" s="1">
        <v>0</v>
      </c>
    </row>
    <row r="187" spans="1:6" x14ac:dyDescent="0.2">
      <c r="A187" s="2">
        <v>40330</v>
      </c>
      <c r="B187" s="1">
        <v>-0.93030170347065178</v>
      </c>
      <c r="C187" s="1">
        <v>0</v>
      </c>
      <c r="D187" s="1">
        <v>10</v>
      </c>
      <c r="E187" s="1">
        <v>0</v>
      </c>
      <c r="F187" s="1">
        <v>0</v>
      </c>
    </row>
    <row r="188" spans="1:6" x14ac:dyDescent="0.2">
      <c r="A188" s="2">
        <v>40360</v>
      </c>
      <c r="B188" s="1">
        <v>-0.92331262043914175</v>
      </c>
      <c r="C188" s="1">
        <v>0</v>
      </c>
      <c r="D188" s="1">
        <v>10</v>
      </c>
      <c r="E188" s="1">
        <v>0</v>
      </c>
      <c r="F188" s="1">
        <v>0</v>
      </c>
    </row>
    <row r="189" spans="1:6" x14ac:dyDescent="0.2">
      <c r="A189" s="2">
        <v>40391</v>
      </c>
      <c r="B189" s="1">
        <v>-0.88704735991773698</v>
      </c>
      <c r="C189" s="1">
        <v>0</v>
      </c>
      <c r="D189" s="1">
        <v>10</v>
      </c>
      <c r="E189" s="1">
        <v>0</v>
      </c>
      <c r="F189" s="1">
        <v>0</v>
      </c>
    </row>
    <row r="190" spans="1:6" x14ac:dyDescent="0.2">
      <c r="A190" s="2">
        <v>40422</v>
      </c>
      <c r="B190" s="1">
        <v>-0.85704498066223223</v>
      </c>
      <c r="C190" s="1">
        <v>0</v>
      </c>
      <c r="D190" s="1">
        <v>10</v>
      </c>
      <c r="E190" s="1">
        <v>0</v>
      </c>
      <c r="F190" s="1">
        <v>0</v>
      </c>
    </row>
    <row r="191" spans="1:6" x14ac:dyDescent="0.2">
      <c r="A191" s="2">
        <v>40452</v>
      </c>
      <c r="B191" s="1">
        <v>-0.76813258922980665</v>
      </c>
      <c r="C191" s="1">
        <v>0</v>
      </c>
      <c r="D191" s="1">
        <v>10</v>
      </c>
      <c r="E191" s="1">
        <v>0</v>
      </c>
      <c r="F191" s="1">
        <v>0</v>
      </c>
    </row>
    <row r="192" spans="1:6" x14ac:dyDescent="0.2">
      <c r="A192" s="2">
        <v>40483</v>
      </c>
      <c r="B192" s="1">
        <v>-0.71376024733458387</v>
      </c>
      <c r="C192" s="1">
        <v>10</v>
      </c>
      <c r="D192" s="1">
        <v>0</v>
      </c>
      <c r="E192" s="1">
        <v>0</v>
      </c>
      <c r="F192" s="1">
        <v>0</v>
      </c>
    </row>
    <row r="193" spans="1:6" x14ac:dyDescent="0.2">
      <c r="A193" s="2">
        <v>40513</v>
      </c>
      <c r="B193" s="1">
        <v>-0.50339986238797996</v>
      </c>
      <c r="C193" s="1">
        <v>10</v>
      </c>
      <c r="D193" s="1">
        <v>0</v>
      </c>
      <c r="E193" s="1">
        <v>0</v>
      </c>
      <c r="F193" s="1">
        <v>0</v>
      </c>
    </row>
    <row r="194" spans="1:6" x14ac:dyDescent="0.2">
      <c r="A194" s="2">
        <v>40544</v>
      </c>
      <c r="B194" s="1">
        <v>-0.25038013750312582</v>
      </c>
      <c r="C194" s="1">
        <v>10</v>
      </c>
      <c r="D194" s="1">
        <v>0</v>
      </c>
      <c r="E194" s="1">
        <v>0</v>
      </c>
      <c r="F194" s="1">
        <v>0</v>
      </c>
    </row>
    <row r="195" spans="1:6" x14ac:dyDescent="0.2">
      <c r="A195" s="2">
        <v>40575</v>
      </c>
      <c r="B195" s="1">
        <v>-0.11815373672713884</v>
      </c>
      <c r="C195" s="1">
        <v>10</v>
      </c>
      <c r="D195" s="1">
        <v>0</v>
      </c>
      <c r="E195" s="1">
        <v>0</v>
      </c>
      <c r="F195" s="1">
        <v>0</v>
      </c>
    </row>
    <row r="196" spans="1:6" x14ac:dyDescent="0.2">
      <c r="A196" s="2">
        <v>40603</v>
      </c>
      <c r="B196" s="1">
        <v>-0.11376254233994491</v>
      </c>
      <c r="C196" s="1">
        <v>10</v>
      </c>
      <c r="D196" s="1">
        <v>0</v>
      </c>
      <c r="E196" s="1">
        <v>0</v>
      </c>
      <c r="F196" s="1">
        <v>0</v>
      </c>
    </row>
    <row r="197" spans="1:6" x14ac:dyDescent="0.2">
      <c r="A197" s="2">
        <v>40634</v>
      </c>
      <c r="B197" s="1">
        <v>-2.5044731964818996E-2</v>
      </c>
      <c r="C197" s="1">
        <v>10</v>
      </c>
      <c r="D197" s="1">
        <v>0</v>
      </c>
      <c r="E197" s="1">
        <v>0</v>
      </c>
      <c r="F197" s="1">
        <v>0</v>
      </c>
    </row>
    <row r="198" spans="1:6" x14ac:dyDescent="0.2">
      <c r="A198" s="2">
        <v>40664</v>
      </c>
      <c r="B198" s="1">
        <v>-0.16892460943585733</v>
      </c>
      <c r="C198" s="1">
        <v>0</v>
      </c>
      <c r="D198" s="1">
        <v>10</v>
      </c>
      <c r="E198" s="1">
        <v>0</v>
      </c>
      <c r="F198" s="1">
        <v>0</v>
      </c>
    </row>
    <row r="199" spans="1:6" x14ac:dyDescent="0.2">
      <c r="A199" s="2">
        <v>40695</v>
      </c>
      <c r="B199" s="1">
        <v>-0.14859281938222918</v>
      </c>
      <c r="C199" s="1">
        <v>0</v>
      </c>
      <c r="D199" s="1">
        <v>10</v>
      </c>
      <c r="E199" s="1">
        <v>0</v>
      </c>
      <c r="F199" s="1">
        <v>0</v>
      </c>
    </row>
    <row r="200" spans="1:6" x14ac:dyDescent="0.2">
      <c r="A200" s="2">
        <v>40725</v>
      </c>
      <c r="B200" s="1">
        <v>-0.17022763361943977</v>
      </c>
      <c r="C200" s="1">
        <v>0</v>
      </c>
      <c r="D200" s="1">
        <v>10</v>
      </c>
      <c r="E200" s="1">
        <v>0</v>
      </c>
      <c r="F200" s="1">
        <v>0</v>
      </c>
    </row>
    <row r="201" spans="1:6" x14ac:dyDescent="0.2">
      <c r="A201" s="2">
        <v>40756</v>
      </c>
      <c r="B201" s="1">
        <v>-0.35334545131831702</v>
      </c>
      <c r="C201" s="1">
        <v>0</v>
      </c>
      <c r="D201" s="1">
        <v>10</v>
      </c>
      <c r="E201" s="1">
        <v>0</v>
      </c>
      <c r="F201" s="1">
        <v>0</v>
      </c>
    </row>
    <row r="202" spans="1:6" x14ac:dyDescent="0.2">
      <c r="A202" s="2">
        <v>40787</v>
      </c>
      <c r="B202" s="1">
        <v>-0.41831499170499747</v>
      </c>
      <c r="C202" s="1">
        <v>0</v>
      </c>
      <c r="D202" s="1">
        <v>0</v>
      </c>
      <c r="E202" s="1">
        <v>10</v>
      </c>
      <c r="F202" s="1">
        <v>0</v>
      </c>
    </row>
    <row r="203" spans="1:6" x14ac:dyDescent="0.2">
      <c r="A203" s="2">
        <v>40817</v>
      </c>
      <c r="B203" s="1">
        <v>-0.42694364841152854</v>
      </c>
      <c r="C203" s="1">
        <v>0</v>
      </c>
      <c r="D203" s="1">
        <v>0</v>
      </c>
      <c r="E203" s="1">
        <v>10</v>
      </c>
      <c r="F203" s="1">
        <v>0</v>
      </c>
    </row>
    <row r="204" spans="1:6" x14ac:dyDescent="0.2">
      <c r="A204" s="2">
        <v>40848</v>
      </c>
      <c r="B204" s="1">
        <v>-0.29445192140021686</v>
      </c>
      <c r="C204" s="1">
        <v>0</v>
      </c>
      <c r="D204" s="1">
        <v>0</v>
      </c>
      <c r="E204" s="1">
        <v>10</v>
      </c>
      <c r="F204" s="1">
        <v>0</v>
      </c>
    </row>
    <row r="205" spans="1:6" x14ac:dyDescent="0.2">
      <c r="A205" s="2">
        <v>40878</v>
      </c>
      <c r="B205" s="1">
        <v>-0.27952202332152981</v>
      </c>
      <c r="C205" s="1">
        <v>0</v>
      </c>
      <c r="D205" s="1">
        <v>0</v>
      </c>
      <c r="E205" s="1">
        <v>0</v>
      </c>
      <c r="F205" s="1">
        <v>10</v>
      </c>
    </row>
    <row r="206" spans="1:6" x14ac:dyDescent="0.2">
      <c r="A206" s="2">
        <v>40909</v>
      </c>
      <c r="B206" s="1">
        <v>-0.37292781752887361</v>
      </c>
      <c r="C206" s="1">
        <v>0</v>
      </c>
      <c r="D206" s="1">
        <v>0</v>
      </c>
      <c r="E206" s="1">
        <v>0</v>
      </c>
      <c r="F206" s="1">
        <v>10</v>
      </c>
    </row>
    <row r="207" spans="1:6" x14ac:dyDescent="0.2">
      <c r="A207" s="2">
        <v>40940</v>
      </c>
      <c r="B207" s="1">
        <v>-0.3480039577304887</v>
      </c>
      <c r="C207" s="1">
        <v>0</v>
      </c>
      <c r="D207" s="1">
        <v>0</v>
      </c>
      <c r="E207" s="1">
        <v>0</v>
      </c>
      <c r="F207" s="1">
        <v>10</v>
      </c>
    </row>
    <row r="208" spans="1:6" x14ac:dyDescent="0.2">
      <c r="A208" s="2">
        <v>40969</v>
      </c>
      <c r="B208" s="1">
        <v>-0.29156446527173963</v>
      </c>
      <c r="C208" s="1">
        <v>0</v>
      </c>
      <c r="D208" s="1">
        <v>0</v>
      </c>
      <c r="E208" s="1">
        <v>0</v>
      </c>
      <c r="F208" s="1">
        <v>10</v>
      </c>
    </row>
    <row r="209" spans="1:6" x14ac:dyDescent="0.2">
      <c r="A209" s="2">
        <v>41000</v>
      </c>
      <c r="B209" s="1">
        <v>-0.23792622561429555</v>
      </c>
      <c r="C209" s="1">
        <v>10</v>
      </c>
      <c r="D209" s="1">
        <v>0</v>
      </c>
      <c r="E209" s="1">
        <v>0</v>
      </c>
      <c r="F209" s="1">
        <v>0</v>
      </c>
    </row>
    <row r="210" spans="1:6" x14ac:dyDescent="0.2">
      <c r="A210" s="2">
        <v>41030</v>
      </c>
      <c r="B210" s="1">
        <v>-0.30979435255002807</v>
      </c>
      <c r="C210" s="1">
        <v>10</v>
      </c>
      <c r="D210" s="1">
        <v>0</v>
      </c>
      <c r="E210" s="1">
        <v>0</v>
      </c>
      <c r="F210" s="1">
        <v>0</v>
      </c>
    </row>
    <row r="211" spans="1:6" x14ac:dyDescent="0.2">
      <c r="A211" s="2">
        <v>41061</v>
      </c>
      <c r="B211" s="1">
        <v>-0.42400099112373252</v>
      </c>
      <c r="C211" s="1">
        <v>0</v>
      </c>
      <c r="D211" s="1">
        <v>10</v>
      </c>
      <c r="E211" s="1">
        <v>0</v>
      </c>
      <c r="F211" s="1">
        <v>0</v>
      </c>
    </row>
    <row r="212" spans="1:6" x14ac:dyDescent="0.2">
      <c r="A212" s="2">
        <v>41091</v>
      </c>
      <c r="B212" s="1">
        <v>-0.41811177623104295</v>
      </c>
      <c r="C212" s="1">
        <v>0</v>
      </c>
      <c r="D212" s="1">
        <v>0</v>
      </c>
      <c r="E212" s="1">
        <v>10</v>
      </c>
      <c r="F212" s="1">
        <v>0</v>
      </c>
    </row>
    <row r="213" spans="1:6" x14ac:dyDescent="0.2">
      <c r="A213" s="2">
        <v>41122</v>
      </c>
      <c r="B213" s="1">
        <v>-0.43273476757235035</v>
      </c>
      <c r="C213" s="1">
        <v>0</v>
      </c>
      <c r="D213" s="1">
        <v>0</v>
      </c>
      <c r="E213" s="1">
        <v>10</v>
      </c>
      <c r="F213" s="1">
        <v>0</v>
      </c>
    </row>
    <row r="214" spans="1:6" x14ac:dyDescent="0.2">
      <c r="A214" s="2">
        <v>41153</v>
      </c>
      <c r="B214" s="1">
        <v>-0.34696787764599707</v>
      </c>
      <c r="C214" s="1">
        <v>0</v>
      </c>
      <c r="D214" s="1">
        <v>0</v>
      </c>
      <c r="E214" s="1">
        <v>0</v>
      </c>
      <c r="F214" s="1">
        <v>10</v>
      </c>
    </row>
    <row r="215" spans="1:6" x14ac:dyDescent="0.2">
      <c r="A215" s="2">
        <v>41183</v>
      </c>
      <c r="B215" s="1">
        <v>-1.437600514554362E-2</v>
      </c>
      <c r="C215" s="1">
        <v>10</v>
      </c>
      <c r="D215" s="1">
        <v>0</v>
      </c>
      <c r="E215" s="1">
        <v>0</v>
      </c>
      <c r="F215" s="1">
        <v>0</v>
      </c>
    </row>
    <row r="216" spans="1:6" x14ac:dyDescent="0.2">
      <c r="A216" s="2">
        <v>41214</v>
      </c>
      <c r="B216" s="1">
        <v>-0.23523720335250925</v>
      </c>
      <c r="C216" s="1">
        <v>10</v>
      </c>
      <c r="D216" s="1">
        <v>0</v>
      </c>
      <c r="E216" s="1">
        <v>0</v>
      </c>
      <c r="F216" s="1">
        <v>0</v>
      </c>
    </row>
    <row r="217" spans="1:6" x14ac:dyDescent="0.2">
      <c r="A217" s="2">
        <v>41244</v>
      </c>
      <c r="B217" s="1">
        <v>-5.3339703839635953E-2</v>
      </c>
      <c r="C217" s="1">
        <v>10</v>
      </c>
      <c r="D217" s="1">
        <v>0</v>
      </c>
      <c r="E217" s="1">
        <v>0</v>
      </c>
      <c r="F217" s="1">
        <v>0</v>
      </c>
    </row>
    <row r="218" spans="1:6" x14ac:dyDescent="0.2">
      <c r="A218" s="2">
        <v>41275</v>
      </c>
      <c r="B218" s="1">
        <v>-0.14637608400860064</v>
      </c>
      <c r="C218" s="1">
        <v>0</v>
      </c>
      <c r="D218" s="1">
        <v>10</v>
      </c>
      <c r="E218" s="1">
        <v>0</v>
      </c>
      <c r="F218" s="1">
        <v>0</v>
      </c>
    </row>
    <row r="219" spans="1:6" x14ac:dyDescent="0.2">
      <c r="A219" s="2">
        <v>41306</v>
      </c>
      <c r="B219" s="1">
        <v>-7.5144483933758083E-2</v>
      </c>
      <c r="C219" s="1">
        <v>10</v>
      </c>
      <c r="D219" s="1">
        <v>0</v>
      </c>
      <c r="E219" s="1">
        <v>0</v>
      </c>
      <c r="F219" s="1">
        <v>0</v>
      </c>
    </row>
    <row r="220" spans="1:6" x14ac:dyDescent="0.2">
      <c r="A220" s="2">
        <v>41334</v>
      </c>
      <c r="B220" s="1">
        <v>-0.25579092710349455</v>
      </c>
      <c r="C220" s="1">
        <v>0</v>
      </c>
      <c r="D220" s="1">
        <v>10</v>
      </c>
      <c r="E220" s="1">
        <v>0</v>
      </c>
      <c r="F220" s="1">
        <v>0</v>
      </c>
    </row>
    <row r="221" spans="1:6" x14ac:dyDescent="0.2">
      <c r="A221" s="2">
        <v>41365</v>
      </c>
      <c r="B221" s="1">
        <v>-0.2224991883134495</v>
      </c>
      <c r="C221" s="1">
        <v>0</v>
      </c>
      <c r="D221" s="1">
        <v>10</v>
      </c>
      <c r="E221" s="1">
        <v>0</v>
      </c>
      <c r="F221" s="1">
        <v>0</v>
      </c>
    </row>
    <row r="222" spans="1:6" x14ac:dyDescent="0.2">
      <c r="A222" s="2">
        <v>41395</v>
      </c>
      <c r="B222" s="1">
        <v>-0.1619127288351728</v>
      </c>
      <c r="C222" s="1">
        <v>0</v>
      </c>
      <c r="D222" s="1">
        <v>10</v>
      </c>
      <c r="E222" s="1">
        <v>0</v>
      </c>
      <c r="F222" s="1">
        <v>0</v>
      </c>
    </row>
    <row r="223" spans="1:6" x14ac:dyDescent="0.2">
      <c r="A223" s="2">
        <v>41426</v>
      </c>
      <c r="B223" s="1">
        <v>-0.14970031778249351</v>
      </c>
      <c r="C223" s="1">
        <v>10</v>
      </c>
      <c r="D223" s="1">
        <v>0</v>
      </c>
      <c r="E223" s="1">
        <v>0</v>
      </c>
      <c r="F223" s="1">
        <v>0</v>
      </c>
    </row>
    <row r="224" spans="1:6" x14ac:dyDescent="0.2">
      <c r="A224" s="2">
        <v>41456</v>
      </c>
      <c r="B224" s="1">
        <v>6.4659326147538596E-2</v>
      </c>
      <c r="C224" s="1">
        <v>10</v>
      </c>
      <c r="D224" s="1">
        <v>0</v>
      </c>
      <c r="E224" s="1">
        <v>0</v>
      </c>
      <c r="F224" s="1">
        <v>0</v>
      </c>
    </row>
    <row r="225" spans="1:6" x14ac:dyDescent="0.2">
      <c r="A225" s="2">
        <v>41487</v>
      </c>
      <c r="B225" s="1">
        <v>5.2026740179508271E-2</v>
      </c>
      <c r="C225" s="1">
        <v>10</v>
      </c>
      <c r="D225" s="1">
        <v>0</v>
      </c>
      <c r="E225" s="1">
        <v>0</v>
      </c>
      <c r="F225" s="1">
        <v>0</v>
      </c>
    </row>
    <row r="226" spans="1:6" x14ac:dyDescent="0.2">
      <c r="A226" s="2">
        <v>41518</v>
      </c>
      <c r="B226" s="1">
        <v>0.37806192040685377</v>
      </c>
      <c r="C226" s="1">
        <v>10</v>
      </c>
      <c r="D226" s="1">
        <v>0</v>
      </c>
      <c r="E226" s="1">
        <v>0</v>
      </c>
      <c r="F226" s="1">
        <v>0</v>
      </c>
    </row>
    <row r="227" spans="1:6" x14ac:dyDescent="0.2">
      <c r="A227" s="2">
        <v>41548</v>
      </c>
      <c r="B227" s="1">
        <v>9.0341891904003963E-2</v>
      </c>
      <c r="C227" s="1">
        <v>0</v>
      </c>
      <c r="D227" s="1">
        <v>10</v>
      </c>
      <c r="E227" s="1">
        <v>0</v>
      </c>
      <c r="F227" s="1">
        <v>0</v>
      </c>
    </row>
    <row r="228" spans="1:6" x14ac:dyDescent="0.2">
      <c r="A228" s="2">
        <v>41579</v>
      </c>
      <c r="B228" s="1">
        <v>6.4206894931250869E-2</v>
      </c>
      <c r="C228" s="1">
        <v>0</v>
      </c>
      <c r="D228" s="1">
        <v>10</v>
      </c>
      <c r="E228" s="1">
        <v>0</v>
      </c>
      <c r="F228" s="1">
        <v>0</v>
      </c>
    </row>
    <row r="229" spans="1:6" x14ac:dyDescent="0.2">
      <c r="A229" s="2">
        <v>41609</v>
      </c>
      <c r="B229" s="1">
        <v>0.12153961835473237</v>
      </c>
      <c r="C229" s="1">
        <v>0</v>
      </c>
      <c r="D229" s="1">
        <v>10</v>
      </c>
      <c r="E229" s="1">
        <v>0</v>
      </c>
      <c r="F229" s="1">
        <v>0</v>
      </c>
    </row>
    <row r="230" spans="1:6" x14ac:dyDescent="0.2">
      <c r="A230" s="2">
        <v>41640</v>
      </c>
      <c r="B230" s="1">
        <v>3.6801036476640556E-2</v>
      </c>
      <c r="C230" s="1">
        <v>0</v>
      </c>
      <c r="D230" s="1">
        <v>10</v>
      </c>
      <c r="E230" s="1">
        <v>0</v>
      </c>
      <c r="F230" s="1">
        <v>0</v>
      </c>
    </row>
    <row r="231" spans="1:6" x14ac:dyDescent="0.2">
      <c r="A231" s="2">
        <v>41671</v>
      </c>
      <c r="B231" s="1">
        <v>0.24356022419671838</v>
      </c>
      <c r="C231" s="1">
        <v>10</v>
      </c>
      <c r="D231" s="1">
        <v>0</v>
      </c>
      <c r="E231" s="1">
        <v>0</v>
      </c>
      <c r="F231" s="1">
        <v>0</v>
      </c>
    </row>
    <row r="232" spans="1:6" x14ac:dyDescent="0.2">
      <c r="A232" s="2">
        <v>41699</v>
      </c>
      <c r="B232" s="1">
        <v>0.14723564588323762</v>
      </c>
      <c r="C232" s="1">
        <v>0</v>
      </c>
      <c r="D232" s="1">
        <v>10</v>
      </c>
      <c r="E232" s="1">
        <v>0</v>
      </c>
      <c r="F232" s="1">
        <v>0</v>
      </c>
    </row>
    <row r="233" spans="1:6" x14ac:dyDescent="0.2">
      <c r="A233" s="2">
        <v>41730</v>
      </c>
      <c r="B233" s="1">
        <v>0.40077789893667493</v>
      </c>
      <c r="C233" s="1">
        <v>10</v>
      </c>
      <c r="D233" s="1">
        <v>0</v>
      </c>
      <c r="E233" s="1">
        <v>0</v>
      </c>
      <c r="F233" s="1">
        <v>0</v>
      </c>
    </row>
    <row r="234" spans="1:6" x14ac:dyDescent="0.2">
      <c r="A234" s="2">
        <v>41760</v>
      </c>
      <c r="B234" s="1">
        <v>0.47106962594720037</v>
      </c>
      <c r="C234" s="1">
        <v>10</v>
      </c>
      <c r="D234" s="1">
        <v>0</v>
      </c>
      <c r="E234" s="1">
        <v>0</v>
      </c>
      <c r="F234" s="1">
        <v>0</v>
      </c>
    </row>
    <row r="235" spans="1:6" x14ac:dyDescent="0.2">
      <c r="A235" s="2">
        <v>41791</v>
      </c>
      <c r="B235" s="1">
        <v>0.51304209003994916</v>
      </c>
      <c r="C235" s="1">
        <v>10</v>
      </c>
      <c r="D235" s="1">
        <v>0</v>
      </c>
      <c r="E235" s="1">
        <v>0</v>
      </c>
      <c r="F235" s="1">
        <v>0</v>
      </c>
    </row>
    <row r="236" spans="1:6" x14ac:dyDescent="0.2">
      <c r="A236" s="2">
        <v>41821</v>
      </c>
      <c r="B236" s="1">
        <v>0.6080546509142849</v>
      </c>
      <c r="C236" s="1">
        <v>10</v>
      </c>
      <c r="D236" s="1">
        <v>0</v>
      </c>
      <c r="E236" s="1">
        <v>0</v>
      </c>
      <c r="F236" s="1">
        <v>0</v>
      </c>
    </row>
    <row r="237" spans="1:6" x14ac:dyDescent="0.2">
      <c r="A237" s="2">
        <v>41852</v>
      </c>
      <c r="B237" s="1">
        <v>0.62136666800883622</v>
      </c>
      <c r="C237" s="1">
        <v>10</v>
      </c>
      <c r="D237" s="1">
        <v>0</v>
      </c>
      <c r="E237" s="1">
        <v>0</v>
      </c>
      <c r="F237" s="1">
        <v>0</v>
      </c>
    </row>
    <row r="238" spans="1:6" x14ac:dyDescent="0.2">
      <c r="A238" s="2">
        <v>41883</v>
      </c>
      <c r="B238" s="1">
        <v>0.51978258593741766</v>
      </c>
      <c r="C238" s="1">
        <v>0</v>
      </c>
      <c r="D238" s="1">
        <v>10</v>
      </c>
      <c r="E238" s="1">
        <v>0</v>
      </c>
      <c r="F238" s="1">
        <v>0</v>
      </c>
    </row>
    <row r="239" spans="1:6" x14ac:dyDescent="0.2">
      <c r="A239" s="2">
        <v>41913</v>
      </c>
      <c r="B239" s="1">
        <v>0.59257373262823543</v>
      </c>
      <c r="C239" s="1">
        <v>0</v>
      </c>
      <c r="D239" s="1">
        <v>10</v>
      </c>
      <c r="E239" s="1">
        <v>0</v>
      </c>
      <c r="F239" s="1">
        <v>0</v>
      </c>
    </row>
    <row r="240" spans="1:6" x14ac:dyDescent="0.2">
      <c r="A240" s="2">
        <v>41944</v>
      </c>
      <c r="B240" s="1">
        <v>0.6084681156589713</v>
      </c>
      <c r="C240" s="1">
        <v>0</v>
      </c>
      <c r="D240" s="1">
        <v>10</v>
      </c>
      <c r="E240" s="1">
        <v>0</v>
      </c>
      <c r="F240" s="1">
        <v>0</v>
      </c>
    </row>
    <row r="241" spans="1:6" x14ac:dyDescent="0.2">
      <c r="A241" s="2">
        <v>41974</v>
      </c>
      <c r="B241" s="1">
        <v>0.42924430423795756</v>
      </c>
      <c r="C241" s="1">
        <v>0</v>
      </c>
      <c r="D241" s="1">
        <v>10</v>
      </c>
      <c r="E241" s="1">
        <v>0</v>
      </c>
      <c r="F241" s="1">
        <v>0</v>
      </c>
    </row>
    <row r="242" spans="1:6" x14ac:dyDescent="0.2">
      <c r="A242" s="2">
        <v>42005</v>
      </c>
      <c r="B242" s="1">
        <v>0.34804063551349851</v>
      </c>
      <c r="C242" s="1">
        <v>0</v>
      </c>
      <c r="D242" s="1">
        <v>10</v>
      </c>
      <c r="E242" s="1">
        <v>0</v>
      </c>
      <c r="F242" s="1">
        <v>0</v>
      </c>
    </row>
    <row r="243" spans="1:6" x14ac:dyDescent="0.2">
      <c r="A243" s="2">
        <v>42036</v>
      </c>
      <c r="B243" s="1">
        <v>0.39379987381384068</v>
      </c>
      <c r="C243" s="1">
        <v>0</v>
      </c>
      <c r="D243" s="1">
        <v>0</v>
      </c>
      <c r="E243" s="1">
        <v>10</v>
      </c>
      <c r="F243" s="1">
        <v>0</v>
      </c>
    </row>
    <row r="244" spans="1:6" x14ac:dyDescent="0.2">
      <c r="A244" s="2">
        <v>42064</v>
      </c>
      <c r="B244" s="1">
        <v>0.62976097378872942</v>
      </c>
      <c r="C244" s="1">
        <v>0</v>
      </c>
      <c r="D244" s="1">
        <v>0</v>
      </c>
      <c r="E244" s="1">
        <v>0</v>
      </c>
      <c r="F244" s="1">
        <v>10</v>
      </c>
    </row>
    <row r="245" spans="1:6" x14ac:dyDescent="0.2">
      <c r="A245" s="2">
        <v>42095</v>
      </c>
      <c r="B245" s="1">
        <v>0.41778512382989003</v>
      </c>
      <c r="C245" s="1">
        <v>0</v>
      </c>
      <c r="D245" s="1">
        <v>0</v>
      </c>
      <c r="E245" s="1">
        <v>0</v>
      </c>
      <c r="F245" s="1">
        <v>10</v>
      </c>
    </row>
    <row r="246" spans="1:6" x14ac:dyDescent="0.2">
      <c r="A246" s="2">
        <v>42125</v>
      </c>
      <c r="B246" s="1">
        <v>0.62545793490399837</v>
      </c>
      <c r="C246" s="1">
        <v>10</v>
      </c>
      <c r="D246" s="1">
        <v>0</v>
      </c>
      <c r="E246" s="1">
        <v>0</v>
      </c>
      <c r="F246" s="1">
        <v>0</v>
      </c>
    </row>
    <row r="247" spans="1:6" x14ac:dyDescent="0.2">
      <c r="A247" s="2">
        <v>42156</v>
      </c>
      <c r="B247" s="1">
        <v>0.53701438798925705</v>
      </c>
      <c r="C247" s="1">
        <v>0</v>
      </c>
      <c r="D247" s="1">
        <v>0</v>
      </c>
      <c r="E247" s="1">
        <v>10</v>
      </c>
      <c r="F247" s="1">
        <v>0</v>
      </c>
    </row>
    <row r="248" spans="1:6" x14ac:dyDescent="0.2">
      <c r="A248" s="2">
        <v>42186</v>
      </c>
      <c r="B248" s="1">
        <v>0.79206590944570077</v>
      </c>
      <c r="C248" s="1">
        <v>10</v>
      </c>
      <c r="D248" s="1">
        <v>0</v>
      </c>
      <c r="E248" s="1">
        <v>0</v>
      </c>
      <c r="F248" s="1">
        <v>0</v>
      </c>
    </row>
    <row r="249" spans="1:6" x14ac:dyDescent="0.2">
      <c r="A249" s="2">
        <v>42217</v>
      </c>
      <c r="B249" s="1">
        <v>0.5284731172343915</v>
      </c>
      <c r="C249" s="1">
        <v>0</v>
      </c>
      <c r="D249" s="1">
        <v>10</v>
      </c>
      <c r="E249" s="1">
        <v>0</v>
      </c>
      <c r="F249" s="1">
        <v>0</v>
      </c>
    </row>
    <row r="250" spans="1:6" x14ac:dyDescent="0.2">
      <c r="A250" s="2">
        <v>42248</v>
      </c>
      <c r="B250" s="1">
        <v>0.52106088510726711</v>
      </c>
      <c r="C250" s="1">
        <v>0</v>
      </c>
      <c r="D250" s="1">
        <v>10</v>
      </c>
      <c r="E250" s="1">
        <v>0</v>
      </c>
      <c r="F250" s="1">
        <v>0</v>
      </c>
    </row>
    <row r="251" spans="1:6" x14ac:dyDescent="0.2">
      <c r="A251" s="2">
        <v>42278</v>
      </c>
      <c r="B251" s="1">
        <v>0.53904897521837225</v>
      </c>
      <c r="C251" s="1">
        <v>0</v>
      </c>
      <c r="D251" s="1">
        <v>0</v>
      </c>
      <c r="E251" s="1">
        <v>10</v>
      </c>
      <c r="F251" s="1">
        <v>0</v>
      </c>
    </row>
    <row r="252" spans="1:6" x14ac:dyDescent="0.2">
      <c r="A252" s="2">
        <v>42309</v>
      </c>
      <c r="B252" s="1">
        <v>0.73528838874154323</v>
      </c>
      <c r="C252" s="1">
        <v>10</v>
      </c>
      <c r="D252" s="1">
        <v>0</v>
      </c>
      <c r="E252" s="1">
        <v>0</v>
      </c>
      <c r="F252" s="1">
        <v>0</v>
      </c>
    </row>
    <row r="253" spans="1:6" x14ac:dyDescent="0.2">
      <c r="A253" s="2">
        <v>42339</v>
      </c>
      <c r="B253" s="1">
        <v>0.33612565535099581</v>
      </c>
      <c r="C253" s="1">
        <v>0</v>
      </c>
      <c r="D253" s="1">
        <v>10</v>
      </c>
      <c r="E253" s="1">
        <v>0</v>
      </c>
      <c r="F253" s="1">
        <v>0</v>
      </c>
    </row>
    <row r="254" spans="1:6" x14ac:dyDescent="0.2">
      <c r="A254" s="2">
        <v>42370</v>
      </c>
      <c r="B254" s="1">
        <v>0.20438817407743351</v>
      </c>
      <c r="C254" s="1">
        <v>0</v>
      </c>
      <c r="D254" s="1">
        <v>0</v>
      </c>
      <c r="E254" s="1">
        <v>10</v>
      </c>
      <c r="F254" s="1">
        <v>0</v>
      </c>
    </row>
    <row r="255" spans="1:6" x14ac:dyDescent="0.2">
      <c r="A255" s="2">
        <v>42401</v>
      </c>
      <c r="B255" s="1">
        <v>0.10626738426271079</v>
      </c>
      <c r="C255" s="1">
        <v>0</v>
      </c>
      <c r="D255" s="1">
        <v>0</v>
      </c>
      <c r="E255" s="1">
        <v>10</v>
      </c>
      <c r="F255" s="1">
        <v>0</v>
      </c>
    </row>
    <row r="256" spans="1:6" x14ac:dyDescent="0.2">
      <c r="A256" s="2">
        <v>42430</v>
      </c>
      <c r="B256" s="1">
        <v>0.15841612114138898</v>
      </c>
      <c r="C256" s="1">
        <v>0</v>
      </c>
      <c r="D256" s="1">
        <v>0</v>
      </c>
      <c r="E256" s="1">
        <v>10</v>
      </c>
      <c r="F256" s="1">
        <v>0</v>
      </c>
    </row>
    <row r="257" spans="1:6" x14ac:dyDescent="0.2">
      <c r="A257" s="2">
        <v>42461</v>
      </c>
      <c r="B257" s="1">
        <v>0.18818444757119401</v>
      </c>
      <c r="C257" s="1">
        <v>0</v>
      </c>
      <c r="D257" s="1">
        <v>0</v>
      </c>
      <c r="E257" s="1">
        <v>0</v>
      </c>
      <c r="F257" s="1">
        <v>10</v>
      </c>
    </row>
    <row r="258" spans="1:6" x14ac:dyDescent="0.2">
      <c r="A258" s="2">
        <v>42491</v>
      </c>
      <c r="B258" s="1">
        <v>0.28338888701951298</v>
      </c>
      <c r="C258" s="1">
        <v>0</v>
      </c>
      <c r="D258" s="1">
        <v>0</v>
      </c>
      <c r="E258" s="1">
        <v>0</v>
      </c>
      <c r="F258" s="1">
        <v>10</v>
      </c>
    </row>
    <row r="259" spans="1:6" x14ac:dyDescent="0.2">
      <c r="A259" s="2">
        <v>42522</v>
      </c>
      <c r="B259" s="1">
        <v>0.26540753291746993</v>
      </c>
      <c r="C259" s="1">
        <v>0</v>
      </c>
      <c r="D259" s="1">
        <v>0</v>
      </c>
      <c r="E259" s="1">
        <v>0</v>
      </c>
      <c r="F259" s="1">
        <v>10</v>
      </c>
    </row>
    <row r="260" spans="1:6" x14ac:dyDescent="0.2">
      <c r="A260" s="2">
        <v>42552</v>
      </c>
      <c r="B260" s="1">
        <v>0.21727855394871692</v>
      </c>
      <c r="C260" s="1">
        <v>0</v>
      </c>
      <c r="D260" s="1">
        <v>0</v>
      </c>
      <c r="E260" s="1">
        <v>0</v>
      </c>
      <c r="F260" s="1">
        <v>10</v>
      </c>
    </row>
    <row r="261" spans="1:6" x14ac:dyDescent="0.2">
      <c r="A261" s="2">
        <v>42583</v>
      </c>
      <c r="B261" s="1">
        <v>0.18358042628810028</v>
      </c>
      <c r="C261" s="1">
        <v>0</v>
      </c>
      <c r="D261" s="1">
        <v>0</v>
      </c>
      <c r="E261" s="1">
        <v>10</v>
      </c>
      <c r="F261" s="1">
        <v>0</v>
      </c>
    </row>
    <row r="262" spans="1:6" x14ac:dyDescent="0.2">
      <c r="A262" s="2">
        <v>42614</v>
      </c>
      <c r="B262" s="1">
        <v>0.26471459815479381</v>
      </c>
      <c r="C262" s="1">
        <v>0</v>
      </c>
      <c r="D262" s="1">
        <v>0</v>
      </c>
      <c r="E262" s="1">
        <v>0</v>
      </c>
      <c r="F262" s="1">
        <v>10</v>
      </c>
    </row>
    <row r="263" spans="1:6" x14ac:dyDescent="0.2">
      <c r="A263" s="2">
        <v>42644</v>
      </c>
      <c r="B263" s="1">
        <v>0.6052203996989578</v>
      </c>
      <c r="C263" s="1">
        <v>10</v>
      </c>
      <c r="D263" s="1">
        <v>0</v>
      </c>
      <c r="E263" s="1">
        <v>0</v>
      </c>
      <c r="F263" s="1">
        <v>0</v>
      </c>
    </row>
    <row r="264" spans="1:6" x14ac:dyDescent="0.2">
      <c r="A264" s="2">
        <v>42675</v>
      </c>
      <c r="B264" s="1">
        <v>0.42116442985873909</v>
      </c>
      <c r="C264" s="1">
        <v>10</v>
      </c>
      <c r="D264" s="1">
        <v>0</v>
      </c>
      <c r="E264" s="1">
        <v>0</v>
      </c>
      <c r="F264" s="1">
        <v>0</v>
      </c>
    </row>
    <row r="265" spans="1:6" x14ac:dyDescent="0.2">
      <c r="A265" s="2">
        <v>42705</v>
      </c>
      <c r="B265" s="1">
        <v>0.50531208491072144</v>
      </c>
      <c r="C265" s="1">
        <v>10</v>
      </c>
      <c r="D265" s="1">
        <v>0</v>
      </c>
      <c r="E265" s="1">
        <v>0</v>
      </c>
      <c r="F265" s="1">
        <v>0</v>
      </c>
    </row>
    <row r="266" spans="1:6" x14ac:dyDescent="0.2">
      <c r="A266" s="2">
        <v>42736</v>
      </c>
      <c r="B266" s="1">
        <v>0.65377851532555176</v>
      </c>
      <c r="C266" s="1">
        <v>0</v>
      </c>
      <c r="D266" s="1">
        <v>10</v>
      </c>
      <c r="E266" s="1">
        <v>0</v>
      </c>
      <c r="F266" s="1">
        <v>0</v>
      </c>
    </row>
    <row r="267" spans="1:6" x14ac:dyDescent="0.2">
      <c r="A267" s="2">
        <v>42767</v>
      </c>
      <c r="B267" s="1">
        <v>0.64543312470844993</v>
      </c>
      <c r="C267" s="1">
        <v>10</v>
      </c>
      <c r="D267" s="1">
        <v>0</v>
      </c>
      <c r="E267" s="1">
        <v>0</v>
      </c>
      <c r="F267" s="1">
        <v>0</v>
      </c>
    </row>
    <row r="268" spans="1:6" x14ac:dyDescent="0.2">
      <c r="A268" s="2">
        <v>42795</v>
      </c>
      <c r="B268" s="1">
        <v>0.79295256807658587</v>
      </c>
      <c r="C268" s="1">
        <v>10</v>
      </c>
      <c r="D268" s="1">
        <v>0</v>
      </c>
      <c r="E268" s="1">
        <v>0</v>
      </c>
      <c r="F268" s="1">
        <v>0</v>
      </c>
    </row>
    <row r="269" spans="1:6" x14ac:dyDescent="0.2">
      <c r="A269" s="2">
        <v>42826</v>
      </c>
      <c r="B269" s="1">
        <v>0.55394032646187508</v>
      </c>
      <c r="C269" s="1">
        <v>0</v>
      </c>
      <c r="D269" s="1">
        <v>10</v>
      </c>
      <c r="E269" s="1">
        <v>0</v>
      </c>
      <c r="F269" s="1">
        <v>0</v>
      </c>
    </row>
    <row r="270" spans="1:6" x14ac:dyDescent="0.2">
      <c r="A270" s="2">
        <v>42856</v>
      </c>
      <c r="B270" s="1">
        <v>0.50726366610213636</v>
      </c>
      <c r="C270" s="1">
        <v>0</v>
      </c>
      <c r="D270" s="1">
        <v>10</v>
      </c>
      <c r="E270" s="1">
        <v>0</v>
      </c>
      <c r="F270" s="1">
        <v>0</v>
      </c>
    </row>
    <row r="271" spans="1:6" x14ac:dyDescent="0.2">
      <c r="A271" s="2">
        <v>42887</v>
      </c>
      <c r="B271" s="1">
        <v>0.57222186060058511</v>
      </c>
      <c r="C271" s="1">
        <v>0</v>
      </c>
      <c r="D271" s="1">
        <v>10</v>
      </c>
      <c r="E271" s="1">
        <v>0</v>
      </c>
      <c r="F271" s="1">
        <v>0</v>
      </c>
    </row>
    <row r="272" spans="1:6" x14ac:dyDescent="0.2">
      <c r="A272" s="2">
        <v>42917</v>
      </c>
      <c r="B272" s="1">
        <v>0.5153335804251391</v>
      </c>
      <c r="C272" s="1">
        <v>0</v>
      </c>
      <c r="D272" s="1">
        <v>10</v>
      </c>
      <c r="E272" s="1">
        <v>0</v>
      </c>
      <c r="F272" s="1">
        <v>0</v>
      </c>
    </row>
    <row r="273" spans="1:6" x14ac:dyDescent="0.2">
      <c r="A273" s="2">
        <v>42948</v>
      </c>
      <c r="B273" s="1">
        <v>0.53001771795650976</v>
      </c>
      <c r="C273" s="1">
        <v>0</v>
      </c>
      <c r="D273" s="1">
        <v>0</v>
      </c>
      <c r="E273" s="1">
        <v>10</v>
      </c>
      <c r="F273" s="1">
        <v>0</v>
      </c>
    </row>
    <row r="274" spans="1:6" x14ac:dyDescent="0.2">
      <c r="A274" s="2">
        <v>42979</v>
      </c>
      <c r="B274" s="1">
        <v>0.57908107718069612</v>
      </c>
      <c r="C274" s="1">
        <v>0</v>
      </c>
      <c r="D274" s="1">
        <v>0</v>
      </c>
      <c r="E274" s="1">
        <v>10</v>
      </c>
      <c r="F274" s="1">
        <v>0</v>
      </c>
    </row>
    <row r="275" spans="1:6" x14ac:dyDescent="0.2">
      <c r="A275" s="2">
        <v>43009</v>
      </c>
      <c r="B275" s="1">
        <v>0.52774260088008929</v>
      </c>
      <c r="C275" s="1">
        <v>0</v>
      </c>
      <c r="D275" s="1">
        <v>0</v>
      </c>
      <c r="E275" s="1">
        <v>0</v>
      </c>
      <c r="F275" s="1">
        <v>10</v>
      </c>
    </row>
    <row r="276" spans="1:6" x14ac:dyDescent="0.2">
      <c r="A276" s="2">
        <v>43040</v>
      </c>
      <c r="B276" s="1">
        <v>0.62536467674232787</v>
      </c>
      <c r="C276" s="1">
        <v>0</v>
      </c>
      <c r="D276" s="1">
        <v>0</v>
      </c>
      <c r="E276" s="1">
        <v>0</v>
      </c>
      <c r="F276" s="1">
        <v>10</v>
      </c>
    </row>
    <row r="277" spans="1:6" x14ac:dyDescent="0.2">
      <c r="A277" s="2">
        <v>43070</v>
      </c>
      <c r="B277" s="1">
        <v>0.62462107596240157</v>
      </c>
      <c r="C277" s="1">
        <v>0</v>
      </c>
      <c r="D277" s="1">
        <v>0</v>
      </c>
      <c r="E277" s="1">
        <v>0</v>
      </c>
      <c r="F277" s="1">
        <v>10</v>
      </c>
    </row>
    <row r="278" spans="1:6" x14ac:dyDescent="0.2">
      <c r="A278" s="2">
        <v>43101</v>
      </c>
      <c r="B278" s="1">
        <v>0.59520700570873342</v>
      </c>
      <c r="C278" s="1">
        <v>10</v>
      </c>
      <c r="D278" s="1">
        <v>0</v>
      </c>
      <c r="E278" s="1">
        <v>0</v>
      </c>
      <c r="F278" s="1">
        <v>0</v>
      </c>
    </row>
    <row r="279" spans="1:6" x14ac:dyDescent="0.2">
      <c r="A279" s="2">
        <v>43132</v>
      </c>
      <c r="B279" s="1">
        <v>0.57019194790283456</v>
      </c>
      <c r="C279" s="1">
        <v>0</v>
      </c>
      <c r="D279" s="1">
        <v>10</v>
      </c>
      <c r="E279" s="1">
        <v>0</v>
      </c>
      <c r="F279" s="1">
        <v>0</v>
      </c>
    </row>
    <row r="280" spans="1:6" x14ac:dyDescent="0.2">
      <c r="A280" s="2">
        <v>43160</v>
      </c>
      <c r="B280" s="1">
        <v>0.74842223394352403</v>
      </c>
      <c r="C280" s="1">
        <v>10</v>
      </c>
      <c r="D280" s="1">
        <v>0</v>
      </c>
      <c r="E280" s="1">
        <v>0</v>
      </c>
      <c r="F280" s="1">
        <v>0</v>
      </c>
    </row>
    <row r="281" spans="1:6" x14ac:dyDescent="0.2">
      <c r="A281" s="2">
        <v>43191</v>
      </c>
      <c r="B281" s="1">
        <v>0.65004847526572818</v>
      </c>
      <c r="C281" s="1">
        <v>10</v>
      </c>
      <c r="D281" s="1">
        <v>0</v>
      </c>
      <c r="E281" s="1">
        <v>0</v>
      </c>
      <c r="F281" s="1">
        <v>0</v>
      </c>
    </row>
    <row r="282" spans="1:6" x14ac:dyDescent="0.2">
      <c r="A282" s="2">
        <v>43221</v>
      </c>
      <c r="B282" s="1">
        <v>0.80624757908643441</v>
      </c>
      <c r="C282" s="1">
        <v>10</v>
      </c>
      <c r="D282" s="1">
        <v>0</v>
      </c>
      <c r="E282" s="1">
        <v>0</v>
      </c>
      <c r="F282" s="1">
        <v>0</v>
      </c>
    </row>
    <row r="283" spans="1:6" x14ac:dyDescent="0.2">
      <c r="A283" s="2">
        <v>43252</v>
      </c>
      <c r="B283" s="1">
        <v>0.62876433152529854</v>
      </c>
      <c r="C283" s="1">
        <v>0</v>
      </c>
      <c r="D283" s="1">
        <v>10</v>
      </c>
      <c r="E283" s="1">
        <v>0</v>
      </c>
      <c r="F283" s="1">
        <v>0</v>
      </c>
    </row>
    <row r="284" spans="1:6" x14ac:dyDescent="0.2">
      <c r="A284" s="2">
        <v>43282</v>
      </c>
      <c r="B284" s="1">
        <v>0.60298308875846585</v>
      </c>
      <c r="C284" s="1">
        <v>0</v>
      </c>
      <c r="D284" s="1">
        <v>10</v>
      </c>
      <c r="E284" s="1">
        <v>0</v>
      </c>
      <c r="F284" s="1">
        <v>0</v>
      </c>
    </row>
    <row r="285" spans="1:6" x14ac:dyDescent="0.2">
      <c r="A285" s="2">
        <v>43313</v>
      </c>
      <c r="B285" s="1">
        <v>0.73945751469022014</v>
      </c>
      <c r="C285" s="1">
        <v>0</v>
      </c>
      <c r="D285" s="1">
        <v>10</v>
      </c>
      <c r="E285" s="1">
        <v>0</v>
      </c>
      <c r="F285" s="1">
        <v>0</v>
      </c>
    </row>
    <row r="286" spans="1:6" x14ac:dyDescent="0.2">
      <c r="A286" s="2">
        <v>43344</v>
      </c>
      <c r="B286" s="1">
        <v>0.62956948074137054</v>
      </c>
      <c r="C286" s="1">
        <v>0</v>
      </c>
      <c r="D286" s="1">
        <v>10</v>
      </c>
      <c r="E286" s="1">
        <v>0</v>
      </c>
      <c r="F286" s="1">
        <v>0</v>
      </c>
    </row>
    <row r="287" spans="1:6" x14ac:dyDescent="0.2">
      <c r="A287" s="2">
        <v>43374</v>
      </c>
      <c r="B287" s="1">
        <v>0.58551464233367745</v>
      </c>
      <c r="C287" s="1">
        <v>0</v>
      </c>
      <c r="D287" s="1">
        <v>10</v>
      </c>
      <c r="E287" s="1">
        <v>0</v>
      </c>
      <c r="F287" s="1">
        <v>0</v>
      </c>
    </row>
    <row r="288" spans="1:6" x14ac:dyDescent="0.2">
      <c r="A288" s="2">
        <v>43405</v>
      </c>
      <c r="B288" s="1">
        <v>0.57977749337977413</v>
      </c>
      <c r="C288" s="1">
        <v>0</v>
      </c>
      <c r="D288" s="1">
        <v>0</v>
      </c>
      <c r="E288" s="1">
        <v>10</v>
      </c>
      <c r="F288" s="1">
        <v>0</v>
      </c>
    </row>
    <row r="289" spans="1:6" x14ac:dyDescent="0.2">
      <c r="A289" s="2">
        <v>43435</v>
      </c>
      <c r="B289" s="1">
        <v>0.35672129511313361</v>
      </c>
      <c r="C289" s="1">
        <v>0</v>
      </c>
      <c r="D289" s="1">
        <v>0</v>
      </c>
      <c r="E289" s="1">
        <v>10</v>
      </c>
      <c r="F289" s="1">
        <v>0</v>
      </c>
    </row>
    <row r="290" spans="1:6" x14ac:dyDescent="0.2">
      <c r="A290" s="2">
        <v>43466</v>
      </c>
      <c r="B290" s="1">
        <v>0.43730521032050884</v>
      </c>
      <c r="C290" s="1">
        <v>0</v>
      </c>
      <c r="D290" s="1">
        <v>0</v>
      </c>
      <c r="E290" s="1">
        <v>10</v>
      </c>
      <c r="F290" s="1">
        <v>0</v>
      </c>
    </row>
    <row r="291" spans="1:6" x14ac:dyDescent="0.2">
      <c r="A291" s="2">
        <v>43497</v>
      </c>
      <c r="B291" s="1">
        <v>0.37475469735948697</v>
      </c>
      <c r="C291" s="1">
        <v>0</v>
      </c>
      <c r="D291" s="1">
        <v>0</v>
      </c>
      <c r="E291" s="1">
        <v>10</v>
      </c>
      <c r="F291" s="1">
        <v>0</v>
      </c>
    </row>
    <row r="292" spans="1:6" x14ac:dyDescent="0.2">
      <c r="A292" s="2">
        <v>43525</v>
      </c>
      <c r="B292" s="1">
        <v>0.38869305277881555</v>
      </c>
      <c r="C292" s="1">
        <v>0</v>
      </c>
      <c r="D292" s="1">
        <v>0</v>
      </c>
      <c r="E292" s="1">
        <v>0</v>
      </c>
      <c r="F292" s="1">
        <v>10</v>
      </c>
    </row>
    <row r="293" spans="1:6" x14ac:dyDescent="0.2">
      <c r="A293" s="2">
        <v>43556</v>
      </c>
      <c r="B293" s="1">
        <v>0.35560201429815186</v>
      </c>
      <c r="C293" s="1">
        <v>0</v>
      </c>
      <c r="D293" s="1">
        <v>0</v>
      </c>
      <c r="E293" s="1">
        <v>10</v>
      </c>
      <c r="F293" s="1">
        <v>0</v>
      </c>
    </row>
    <row r="294" spans="1:6" x14ac:dyDescent="0.2">
      <c r="A294" s="2">
        <v>43586</v>
      </c>
      <c r="B294" s="1">
        <v>0.35537188295900635</v>
      </c>
      <c r="C294" s="1">
        <v>0</v>
      </c>
      <c r="D294" s="1">
        <v>0</v>
      </c>
      <c r="E294" s="1">
        <v>0</v>
      </c>
      <c r="F294" s="1">
        <v>10</v>
      </c>
    </row>
    <row r="295" spans="1:6" x14ac:dyDescent="0.2">
      <c r="A295" s="2">
        <v>43617</v>
      </c>
      <c r="B295" s="1">
        <v>0.38009359007104876</v>
      </c>
      <c r="C295" s="1">
        <v>0</v>
      </c>
      <c r="D295" s="1">
        <v>0</v>
      </c>
      <c r="E295" s="1">
        <v>0</v>
      </c>
      <c r="F295" s="1">
        <v>10</v>
      </c>
    </row>
    <row r="296" spans="1:6" x14ac:dyDescent="0.2">
      <c r="A296" s="2">
        <v>43647</v>
      </c>
      <c r="B296" s="1">
        <v>0.20406151383823498</v>
      </c>
      <c r="C296" s="1">
        <v>0</v>
      </c>
      <c r="D296" s="1">
        <v>0</v>
      </c>
      <c r="E296" s="1">
        <v>10</v>
      </c>
      <c r="F296" s="1">
        <v>0</v>
      </c>
    </row>
    <row r="297" spans="1:6" x14ac:dyDescent="0.2">
      <c r="A297" s="2">
        <v>43678</v>
      </c>
      <c r="B297" s="1">
        <v>0.12889295023995215</v>
      </c>
      <c r="C297" s="1">
        <v>0</v>
      </c>
      <c r="D297" s="1">
        <v>0</v>
      </c>
      <c r="E297" s="1">
        <v>10</v>
      </c>
      <c r="F297" s="1">
        <v>0</v>
      </c>
    </row>
    <row r="298" spans="1:6" x14ac:dyDescent="0.2">
      <c r="A298" s="2">
        <v>43709</v>
      </c>
      <c r="B298" s="1">
        <v>-9.833782819722936E-2</v>
      </c>
      <c r="C298" s="1">
        <v>0</v>
      </c>
      <c r="D298" s="1">
        <v>0</v>
      </c>
      <c r="E298" s="1">
        <v>10</v>
      </c>
      <c r="F298" s="1">
        <v>0</v>
      </c>
    </row>
    <row r="299" spans="1:6" x14ac:dyDescent="0.2">
      <c r="A299" s="2">
        <v>43739</v>
      </c>
      <c r="B299" s="1">
        <v>-9.5491061253182748E-3</v>
      </c>
      <c r="C299" s="1">
        <v>0</v>
      </c>
      <c r="D299" s="1">
        <v>0</v>
      </c>
      <c r="E299" s="1">
        <v>10</v>
      </c>
      <c r="F299" s="1">
        <v>0</v>
      </c>
    </row>
    <row r="300" spans="1:6" x14ac:dyDescent="0.2">
      <c r="A300" s="2">
        <v>43770</v>
      </c>
      <c r="B300" s="1">
        <v>-2.3279137929779047E-2</v>
      </c>
      <c r="C300" s="1">
        <v>0</v>
      </c>
      <c r="D300" s="1">
        <v>0</v>
      </c>
      <c r="E300" s="1">
        <v>10</v>
      </c>
      <c r="F300" s="1">
        <v>0</v>
      </c>
    </row>
    <row r="301" spans="1:6" x14ac:dyDescent="0.2">
      <c r="A301" s="2">
        <v>43800</v>
      </c>
      <c r="B301" s="1">
        <v>-0.10495643162680508</v>
      </c>
      <c r="C301" s="1">
        <v>0</v>
      </c>
      <c r="D301" s="1">
        <v>0</v>
      </c>
      <c r="E301" s="1">
        <v>0</v>
      </c>
      <c r="F301" s="1">
        <v>10</v>
      </c>
    </row>
    <row r="302" spans="1:6" x14ac:dyDescent="0.2">
      <c r="A302" s="2">
        <v>43831</v>
      </c>
      <c r="B302" s="1">
        <v>1.5837499462182471E-2</v>
      </c>
      <c r="C302" s="1">
        <v>0</v>
      </c>
      <c r="D302" s="1">
        <v>0</v>
      </c>
      <c r="E302" s="1">
        <v>0</v>
      </c>
      <c r="F302" s="1">
        <v>10</v>
      </c>
    </row>
    <row r="303" spans="1:6" x14ac:dyDescent="0.2">
      <c r="A303" s="2">
        <v>43862</v>
      </c>
      <c r="B303" s="1">
        <v>4.2592138938400085E-3</v>
      </c>
      <c r="C303" s="1">
        <v>0</v>
      </c>
      <c r="D303" s="1">
        <v>0</v>
      </c>
      <c r="E303" s="1">
        <v>0</v>
      </c>
      <c r="F303" s="1">
        <v>10</v>
      </c>
    </row>
    <row r="304" spans="1:6" x14ac:dyDescent="0.2">
      <c r="A304" s="2">
        <v>43891</v>
      </c>
      <c r="B304" s="1">
        <v>-0.40555234956886188</v>
      </c>
      <c r="C304" s="1">
        <v>0</v>
      </c>
      <c r="D304" s="1">
        <v>0</v>
      </c>
      <c r="E304" s="1">
        <v>10</v>
      </c>
      <c r="F304" s="1">
        <v>0</v>
      </c>
    </row>
    <row r="305" spans="1:6" x14ac:dyDescent="0.2">
      <c r="A305" s="2">
        <v>43922</v>
      </c>
      <c r="B305" s="1">
        <v>-3.3530210685204258</v>
      </c>
      <c r="C305" s="1">
        <v>0</v>
      </c>
      <c r="D305" s="1">
        <v>0</v>
      </c>
      <c r="E305" s="1">
        <v>10</v>
      </c>
      <c r="F305" s="1">
        <v>0</v>
      </c>
    </row>
    <row r="306" spans="1:6" x14ac:dyDescent="0.2">
      <c r="A306" s="2">
        <v>43952</v>
      </c>
      <c r="B306" s="1">
        <v>-2.4165290809839104</v>
      </c>
      <c r="C306" s="1">
        <v>0</v>
      </c>
      <c r="D306" s="1">
        <v>0</v>
      </c>
      <c r="E306" s="1">
        <v>10</v>
      </c>
      <c r="F306" s="1">
        <v>0</v>
      </c>
    </row>
    <row r="307" spans="1:6" x14ac:dyDescent="0.2">
      <c r="A307" s="2">
        <v>43983</v>
      </c>
      <c r="B307" s="1">
        <v>-1.0618570527653</v>
      </c>
      <c r="C307" s="1">
        <v>0</v>
      </c>
      <c r="D307" s="1">
        <v>0</v>
      </c>
      <c r="E307" s="1">
        <v>10</v>
      </c>
      <c r="F307" s="1">
        <v>0</v>
      </c>
    </row>
    <row r="308" spans="1:6" x14ac:dyDescent="0.2">
      <c r="A308" s="2">
        <v>44013</v>
      </c>
      <c r="B308" s="1">
        <v>-0.55253834761556442</v>
      </c>
      <c r="C308" s="1">
        <v>0</v>
      </c>
      <c r="D308" s="1">
        <v>0</v>
      </c>
      <c r="E308" s="1">
        <v>0</v>
      </c>
      <c r="F308" s="1">
        <v>10</v>
      </c>
    </row>
    <row r="309" spans="1:6" x14ac:dyDescent="0.2">
      <c r="A309" s="2">
        <v>44044</v>
      </c>
      <c r="B309" s="1">
        <v>-0.36215685645230822</v>
      </c>
      <c r="C309" s="1">
        <v>10</v>
      </c>
      <c r="D309" s="1">
        <v>0</v>
      </c>
      <c r="E309" s="1">
        <v>0</v>
      </c>
      <c r="F309" s="1">
        <v>0</v>
      </c>
    </row>
    <row r="310" spans="1:6" x14ac:dyDescent="0.2">
      <c r="A310" s="2">
        <v>44075</v>
      </c>
      <c r="B310" s="1">
        <v>-0.27838610505430622</v>
      </c>
      <c r="C310" s="1">
        <v>10</v>
      </c>
      <c r="D310" s="1">
        <v>0</v>
      </c>
      <c r="E310" s="1">
        <v>0</v>
      </c>
      <c r="F310" s="1">
        <v>0</v>
      </c>
    </row>
    <row r="311" spans="1:6" x14ac:dyDescent="0.2">
      <c r="A311" s="2">
        <v>44105</v>
      </c>
      <c r="B311" s="1">
        <v>1.1509267017178448E-2</v>
      </c>
      <c r="C311" s="1">
        <v>10</v>
      </c>
      <c r="D311" s="1">
        <v>0</v>
      </c>
      <c r="E311" s="1">
        <v>0</v>
      </c>
      <c r="F311" s="1">
        <v>0</v>
      </c>
    </row>
    <row r="312" spans="1:6" x14ac:dyDescent="0.2">
      <c r="A312" s="2">
        <v>44136</v>
      </c>
      <c r="B312" s="1">
        <v>-0.20458783996146729</v>
      </c>
      <c r="C312" s="1">
        <v>10</v>
      </c>
      <c r="D312" s="1">
        <v>0</v>
      </c>
      <c r="E312" s="1">
        <v>0</v>
      </c>
      <c r="F312" s="1">
        <v>0</v>
      </c>
    </row>
    <row r="313" spans="1:6" x14ac:dyDescent="0.2">
      <c r="A313" s="2">
        <v>44166</v>
      </c>
      <c r="B313" s="1">
        <v>-3.0653036507161873E-2</v>
      </c>
      <c r="C313" s="1">
        <v>10</v>
      </c>
      <c r="D313" s="1">
        <v>0</v>
      </c>
      <c r="E313" s="1">
        <v>0</v>
      </c>
      <c r="F313" s="1">
        <v>0</v>
      </c>
    </row>
    <row r="314" spans="1:6" x14ac:dyDescent="0.2">
      <c r="A314" s="2">
        <v>44197</v>
      </c>
      <c r="B314" s="1">
        <v>-4.2494838840152552E-2</v>
      </c>
      <c r="C314" s="1">
        <v>0</v>
      </c>
      <c r="D314" s="1">
        <v>10</v>
      </c>
      <c r="E314" s="1">
        <v>0</v>
      </c>
      <c r="F314" s="1">
        <v>0</v>
      </c>
    </row>
    <row r="315" spans="1:6" x14ac:dyDescent="0.2">
      <c r="A315" s="2">
        <v>44228</v>
      </c>
      <c r="B315" s="1">
        <v>0.12469401841182488</v>
      </c>
      <c r="C315" s="1">
        <v>10</v>
      </c>
      <c r="D315" s="1">
        <v>0</v>
      </c>
      <c r="E315" s="1">
        <v>0</v>
      </c>
      <c r="F315" s="1">
        <v>0</v>
      </c>
    </row>
    <row r="316" spans="1:6" x14ac:dyDescent="0.2">
      <c r="A316" s="2">
        <v>44256</v>
      </c>
      <c r="B316" s="1">
        <v>0.87567080143580822</v>
      </c>
      <c r="C316" s="1">
        <v>10</v>
      </c>
      <c r="D316" s="1">
        <v>0</v>
      </c>
      <c r="E316" s="1">
        <v>0</v>
      </c>
      <c r="F316" s="1">
        <v>0</v>
      </c>
    </row>
    <row r="317" spans="1:6" x14ac:dyDescent="0.2">
      <c r="A317" s="2">
        <v>44287</v>
      </c>
      <c r="B317" s="1">
        <v>0.70087921188794544</v>
      </c>
      <c r="C317" s="1">
        <v>0</v>
      </c>
      <c r="D317" s="1">
        <v>10</v>
      </c>
      <c r="E317" s="1">
        <v>0</v>
      </c>
      <c r="F317" s="1">
        <v>0</v>
      </c>
    </row>
    <row r="318" spans="1:6" x14ac:dyDescent="0.2">
      <c r="A318" s="2">
        <v>44317</v>
      </c>
      <c r="B318" s="1">
        <v>0.69107808477944599</v>
      </c>
      <c r="C318" s="1">
        <v>0</v>
      </c>
      <c r="D318" s="1">
        <v>10</v>
      </c>
      <c r="E318" s="1">
        <v>0</v>
      </c>
      <c r="F318" s="1">
        <v>0</v>
      </c>
    </row>
    <row r="319" spans="1:6" x14ac:dyDescent="0.2">
      <c r="A319" s="2">
        <v>44348</v>
      </c>
      <c r="B319" s="1">
        <v>0.39184609923151331</v>
      </c>
      <c r="C319" s="1">
        <v>0</v>
      </c>
      <c r="D319" s="1">
        <v>10</v>
      </c>
      <c r="E319" s="1">
        <v>0</v>
      </c>
      <c r="F319" s="1">
        <v>0</v>
      </c>
    </row>
    <row r="320" spans="1:6" x14ac:dyDescent="0.2">
      <c r="A320" s="2">
        <v>44378</v>
      </c>
      <c r="B320" s="1">
        <v>0.51060462193022849</v>
      </c>
      <c r="C320" s="1">
        <v>0</v>
      </c>
      <c r="D320" s="1">
        <v>10</v>
      </c>
      <c r="E320" s="1">
        <v>0</v>
      </c>
      <c r="F320" s="1">
        <v>0</v>
      </c>
    </row>
    <row r="321" spans="1:6" x14ac:dyDescent="0.2">
      <c r="A321" s="2">
        <v>44409</v>
      </c>
      <c r="B321" s="1">
        <v>0.59602423622414147</v>
      </c>
      <c r="C321" s="1">
        <v>0</v>
      </c>
      <c r="D321" s="1">
        <v>10</v>
      </c>
      <c r="E321" s="1">
        <v>0</v>
      </c>
      <c r="F321" s="1">
        <v>0</v>
      </c>
    </row>
    <row r="322" spans="1:6" x14ac:dyDescent="0.2">
      <c r="A322" s="2">
        <v>44440</v>
      </c>
      <c r="B322" s="1">
        <v>0.70384450056580605</v>
      </c>
      <c r="C322" s="1">
        <v>10</v>
      </c>
      <c r="D322" s="1">
        <v>0</v>
      </c>
      <c r="E322" s="1">
        <v>0</v>
      </c>
      <c r="F322" s="1">
        <v>0</v>
      </c>
    </row>
    <row r="323" spans="1:6" x14ac:dyDescent="0.2">
      <c r="A323" s="2">
        <v>44470</v>
      </c>
      <c r="B323" s="1">
        <v>0.77538853313253642</v>
      </c>
      <c r="C323" s="1">
        <v>10</v>
      </c>
      <c r="D323" s="1">
        <v>0</v>
      </c>
      <c r="E323" s="1">
        <v>0</v>
      </c>
      <c r="F323" s="1">
        <v>0</v>
      </c>
    </row>
    <row r="324" spans="1:6" x14ac:dyDescent="0.2">
      <c r="A324" s="2">
        <v>44501</v>
      </c>
      <c r="B324" s="1">
        <v>0.87050919913020497</v>
      </c>
      <c r="C324" s="1">
        <v>10</v>
      </c>
      <c r="D324" s="1">
        <v>0</v>
      </c>
      <c r="E324" s="1">
        <v>0</v>
      </c>
      <c r="F324" s="1">
        <v>0</v>
      </c>
    </row>
    <row r="325" spans="1:6" x14ac:dyDescent="0.2">
      <c r="A325" s="2">
        <v>44531</v>
      </c>
      <c r="B325" s="1">
        <v>0.88949693823166487</v>
      </c>
      <c r="C325" s="1">
        <v>0</v>
      </c>
      <c r="D325" s="1">
        <v>10</v>
      </c>
      <c r="E325" s="1">
        <v>0</v>
      </c>
      <c r="F325" s="1">
        <v>0</v>
      </c>
    </row>
    <row r="326" spans="1:6" x14ac:dyDescent="0.2">
      <c r="A326" s="2">
        <v>44562</v>
      </c>
      <c r="B326" s="1">
        <v>0.67060730625978737</v>
      </c>
      <c r="C326" s="1">
        <v>0</v>
      </c>
      <c r="D326" s="1">
        <v>10</v>
      </c>
      <c r="E326" s="1">
        <v>0</v>
      </c>
      <c r="F326" s="1">
        <v>0</v>
      </c>
    </row>
    <row r="327" spans="1:6" x14ac:dyDescent="0.2">
      <c r="A327" s="2">
        <v>44593</v>
      </c>
      <c r="B327" s="1">
        <v>0.66142038516054169</v>
      </c>
      <c r="C327" s="1">
        <v>0</v>
      </c>
      <c r="D327" s="1">
        <v>10</v>
      </c>
      <c r="E327" s="1">
        <v>0</v>
      </c>
      <c r="F327" s="1">
        <v>0</v>
      </c>
    </row>
    <row r="328" spans="1:6" x14ac:dyDescent="0.2">
      <c r="A328" s="2">
        <v>44621</v>
      </c>
      <c r="B328" s="1">
        <v>0.27748188755005787</v>
      </c>
      <c r="C328" s="1">
        <v>0</v>
      </c>
      <c r="D328" s="1">
        <v>0</v>
      </c>
      <c r="E328" s="1">
        <v>10</v>
      </c>
      <c r="F328" s="1">
        <v>0</v>
      </c>
    </row>
    <row r="329" spans="1:6" x14ac:dyDescent="0.2">
      <c r="A329" s="2">
        <v>44652</v>
      </c>
      <c r="B329" s="1">
        <v>0.45515412281642142</v>
      </c>
      <c r="C329" s="1">
        <v>0</v>
      </c>
      <c r="D329" s="1">
        <v>0</v>
      </c>
      <c r="E329" s="1">
        <v>10</v>
      </c>
      <c r="F329" s="1">
        <v>0</v>
      </c>
    </row>
    <row r="330" spans="1:6" x14ac:dyDescent="0.2">
      <c r="A330" s="2">
        <v>44682</v>
      </c>
      <c r="B330" s="1">
        <v>0.4489492079532772</v>
      </c>
      <c r="C330" s="1">
        <v>0</v>
      </c>
      <c r="D330" s="1">
        <v>0</v>
      </c>
      <c r="E330" s="1">
        <v>10</v>
      </c>
      <c r="F330" s="1">
        <v>0</v>
      </c>
    </row>
    <row r="331" spans="1:6" x14ac:dyDescent="0.2">
      <c r="A331" s="2">
        <v>44713</v>
      </c>
      <c r="B331" s="1">
        <v>0.36767154269454244</v>
      </c>
      <c r="C331" s="1">
        <v>0</v>
      </c>
      <c r="D331" s="1">
        <v>0</v>
      </c>
      <c r="E331" s="1">
        <v>0</v>
      </c>
      <c r="F331" s="1">
        <v>10</v>
      </c>
    </row>
    <row r="332" spans="1:6" x14ac:dyDescent="0.2">
      <c r="A332" s="2">
        <v>44743</v>
      </c>
      <c r="B332" s="1">
        <v>0.26680660749269358</v>
      </c>
      <c r="C332" s="1">
        <v>0</v>
      </c>
      <c r="D332" s="1">
        <v>0</v>
      </c>
      <c r="E332" s="1">
        <v>10</v>
      </c>
      <c r="F332" s="1">
        <v>0</v>
      </c>
    </row>
    <row r="333" spans="1:6" x14ac:dyDescent="0.2">
      <c r="A333" s="2">
        <v>44774</v>
      </c>
      <c r="B333" s="1">
        <v>0.33386069071843322</v>
      </c>
      <c r="C333" s="1">
        <v>0</v>
      </c>
      <c r="D333" s="1">
        <v>0</v>
      </c>
      <c r="E333" s="1">
        <v>10</v>
      </c>
      <c r="F333" s="1">
        <v>0</v>
      </c>
    </row>
    <row r="334" spans="1:6" x14ac:dyDescent="0.2">
      <c r="A334" s="2">
        <v>44805</v>
      </c>
      <c r="B334" s="1">
        <v>0.27042969973834258</v>
      </c>
      <c r="C334" s="1">
        <v>0</v>
      </c>
      <c r="D334" s="1">
        <v>0</v>
      </c>
      <c r="E334" s="1">
        <v>0</v>
      </c>
      <c r="F334" s="1">
        <v>10</v>
      </c>
    </row>
    <row r="335" spans="1:6" x14ac:dyDescent="0.2">
      <c r="A335" s="2">
        <v>44835</v>
      </c>
      <c r="B335" s="1">
        <v>0.23893448994640232</v>
      </c>
      <c r="C335" s="1">
        <v>0</v>
      </c>
      <c r="D335" s="1">
        <v>0</v>
      </c>
      <c r="E335" s="1">
        <v>0</v>
      </c>
      <c r="F335" s="1">
        <v>10</v>
      </c>
    </row>
    <row r="336" spans="1:6" x14ac:dyDescent="0.2">
      <c r="A336" s="2">
        <v>44866</v>
      </c>
      <c r="B336" s="1">
        <v>0.17763032931691067</v>
      </c>
      <c r="C336" s="1">
        <v>0</v>
      </c>
      <c r="D336" s="1">
        <v>0</v>
      </c>
      <c r="E336" s="1">
        <v>0</v>
      </c>
      <c r="F336" s="1">
        <v>10</v>
      </c>
    </row>
    <row r="337" spans="1:6" x14ac:dyDescent="0.2">
      <c r="A337" s="2">
        <v>44896</v>
      </c>
      <c r="B337" s="1">
        <v>0.21426205038580831</v>
      </c>
      <c r="C337" s="1">
        <v>0</v>
      </c>
      <c r="D337" s="1">
        <v>0</v>
      </c>
      <c r="E337" s="1">
        <v>0</v>
      </c>
      <c r="F337" s="1">
        <v>10</v>
      </c>
    </row>
    <row r="338" spans="1:6" x14ac:dyDescent="0.2">
      <c r="A338" s="2">
        <v>44927</v>
      </c>
      <c r="B338" s="1">
        <v>0.13205350814385289</v>
      </c>
      <c r="C338" s="1">
        <v>0</v>
      </c>
      <c r="D338" s="1">
        <v>0</v>
      </c>
      <c r="E338" s="1">
        <v>0</v>
      </c>
      <c r="F338" s="1">
        <v>10</v>
      </c>
    </row>
    <row r="339" spans="1:6" x14ac:dyDescent="0.2">
      <c r="A339" s="2">
        <v>44958</v>
      </c>
      <c r="B339" s="1">
        <v>8.4492251879849101E-2</v>
      </c>
      <c r="C339" s="1">
        <v>0</v>
      </c>
      <c r="D339" s="1">
        <v>0</v>
      </c>
      <c r="E339" s="1">
        <v>0</v>
      </c>
      <c r="F339" s="1">
        <v>10</v>
      </c>
    </row>
    <row r="340" spans="1:6" x14ac:dyDescent="0.2">
      <c r="A340" s="2">
        <v>44986</v>
      </c>
      <c r="B340" s="1">
        <v>7.2827170590997845E-2</v>
      </c>
      <c r="C340" s="1">
        <v>0</v>
      </c>
      <c r="D340" s="1">
        <v>0</v>
      </c>
      <c r="E340" s="1">
        <v>10</v>
      </c>
      <c r="F340" s="1">
        <v>0</v>
      </c>
    </row>
    <row r="341" spans="1:6" x14ac:dyDescent="0.2">
      <c r="A341" s="2">
        <v>45017</v>
      </c>
      <c r="B341" s="1">
        <v>-0.12794632756927884</v>
      </c>
      <c r="C341" s="1">
        <v>0</v>
      </c>
      <c r="D341" s="1">
        <v>0</v>
      </c>
      <c r="E341" s="1">
        <v>10</v>
      </c>
      <c r="F341" s="1">
        <v>0</v>
      </c>
    </row>
    <row r="342" spans="1:6" x14ac:dyDescent="0.2">
      <c r="A342" s="2">
        <v>45047</v>
      </c>
      <c r="B342" s="1">
        <v>-0.15806920974870847</v>
      </c>
      <c r="C342" s="1">
        <v>0</v>
      </c>
      <c r="D342" s="1">
        <v>0</v>
      </c>
      <c r="E342" s="1">
        <v>10</v>
      </c>
      <c r="F342" s="1">
        <v>0</v>
      </c>
    </row>
    <row r="343" spans="1:6" x14ac:dyDescent="0.2">
      <c r="A343" s="2">
        <v>45078</v>
      </c>
      <c r="B343" s="1">
        <v>-0.28261422232545941</v>
      </c>
      <c r="C343" s="1">
        <v>0</v>
      </c>
      <c r="D343" s="1">
        <v>0</v>
      </c>
      <c r="E343" s="1">
        <v>10</v>
      </c>
      <c r="F343" s="1">
        <v>0</v>
      </c>
    </row>
    <row r="344" spans="1:6" x14ac:dyDescent="0.2">
      <c r="A344" s="2">
        <v>45108</v>
      </c>
      <c r="B344" s="1">
        <v>-0.32069176326930393</v>
      </c>
      <c r="C344" s="1">
        <v>0</v>
      </c>
      <c r="D344" s="1">
        <v>0</v>
      </c>
      <c r="E344" s="1">
        <v>10</v>
      </c>
      <c r="F344" s="1">
        <v>0</v>
      </c>
    </row>
    <row r="345" spans="1:6" x14ac:dyDescent="0.2">
      <c r="A345" s="2">
        <v>45139</v>
      </c>
      <c r="B345" s="1">
        <v>-0.40893781811829877</v>
      </c>
      <c r="C345" s="1">
        <v>0</v>
      </c>
      <c r="D345" s="1">
        <v>0</v>
      </c>
      <c r="E345" s="1">
        <v>10</v>
      </c>
      <c r="F345" s="1">
        <v>0</v>
      </c>
    </row>
    <row r="346" spans="1:6" x14ac:dyDescent="0.2">
      <c r="A346" s="2">
        <v>45170</v>
      </c>
      <c r="B346" s="1">
        <v>-0.39157351243655003</v>
      </c>
      <c r="C346" s="1">
        <v>0</v>
      </c>
      <c r="D346" s="1">
        <v>0</v>
      </c>
      <c r="E346" s="1">
        <v>0</v>
      </c>
      <c r="F346" s="1">
        <v>10</v>
      </c>
    </row>
    <row r="347" spans="1:6" x14ac:dyDescent="0.2">
      <c r="A347" s="2">
        <v>45200</v>
      </c>
      <c r="B347" s="1">
        <v>-0.39821017355231347</v>
      </c>
      <c r="C347" s="1">
        <v>0</v>
      </c>
      <c r="D347" s="1">
        <v>0</v>
      </c>
      <c r="E347" s="1">
        <v>0</v>
      </c>
      <c r="F347" s="1">
        <v>10</v>
      </c>
    </row>
    <row r="348" spans="1:6" x14ac:dyDescent="0.2">
      <c r="A348" s="2">
        <v>45231</v>
      </c>
      <c r="B348" s="1">
        <v>-0.61749052898429047</v>
      </c>
      <c r="C348" s="1">
        <v>0</v>
      </c>
      <c r="D348" s="1">
        <v>0</v>
      </c>
      <c r="E348" s="1">
        <v>10</v>
      </c>
      <c r="F348" s="1">
        <v>0</v>
      </c>
    </row>
    <row r="349" spans="1:6" x14ac:dyDescent="0.2">
      <c r="A349" s="2">
        <v>45261</v>
      </c>
      <c r="B349" s="1">
        <v>-0.52479857703740884</v>
      </c>
      <c r="C349" s="1">
        <v>0</v>
      </c>
      <c r="D349" s="1">
        <v>0</v>
      </c>
      <c r="E349" s="1">
        <v>0</v>
      </c>
      <c r="F349" s="1">
        <v>10</v>
      </c>
    </row>
    <row r="350" spans="1:6" x14ac:dyDescent="0.2">
      <c r="A350" s="2">
        <v>45292</v>
      </c>
      <c r="B350" s="1">
        <v>-0.49805199218976559</v>
      </c>
      <c r="C350" s="1">
        <v>0</v>
      </c>
      <c r="D350" s="1">
        <v>0</v>
      </c>
      <c r="E350" s="1">
        <v>0</v>
      </c>
      <c r="F350" s="1">
        <v>10</v>
      </c>
    </row>
    <row r="351" spans="1:6" x14ac:dyDescent="0.2">
      <c r="A351" s="2">
        <v>45323</v>
      </c>
      <c r="B351" s="1">
        <v>-0.57835835931511936</v>
      </c>
      <c r="C351" s="1">
        <v>0</v>
      </c>
      <c r="D351" s="1">
        <v>0</v>
      </c>
      <c r="E351" s="1">
        <v>0</v>
      </c>
      <c r="F351" s="1">
        <v>10</v>
      </c>
    </row>
    <row r="352" spans="1:6" x14ac:dyDescent="0.2">
      <c r="A352" s="2">
        <v>45352</v>
      </c>
      <c r="B352" s="1">
        <v>-0.58027436190680604</v>
      </c>
      <c r="C352" s="1">
        <v>0</v>
      </c>
      <c r="D352" s="1">
        <v>0</v>
      </c>
      <c r="E352" s="1">
        <v>0</v>
      </c>
      <c r="F352" s="1">
        <v>10</v>
      </c>
    </row>
    <row r="353" spans="1:6" x14ac:dyDescent="0.2">
      <c r="A353" s="2">
        <v>45383</v>
      </c>
      <c r="B353" s="1">
        <v>-0.6115370093192134</v>
      </c>
      <c r="C353" s="1">
        <v>0</v>
      </c>
      <c r="D353" s="1">
        <v>0</v>
      </c>
      <c r="E353" s="1">
        <v>0</v>
      </c>
      <c r="F353" s="1">
        <v>10</v>
      </c>
    </row>
    <row r="354" spans="1:6" x14ac:dyDescent="0.2">
      <c r="A354" s="2">
        <v>45413</v>
      </c>
      <c r="B354" s="1">
        <v>-0.62171614714456558</v>
      </c>
      <c r="C354" s="1">
        <v>0</v>
      </c>
      <c r="D354" s="1">
        <v>0</v>
      </c>
      <c r="E354" s="1">
        <v>0</v>
      </c>
      <c r="F354" s="1">
        <v>10</v>
      </c>
    </row>
    <row r="355" spans="1:6" x14ac:dyDescent="0.2">
      <c r="A355" s="2">
        <v>45444</v>
      </c>
      <c r="B355" s="1">
        <v>-0.72097890388706065</v>
      </c>
      <c r="C355" s="1">
        <v>0</v>
      </c>
      <c r="D355" s="1">
        <v>0</v>
      </c>
      <c r="E355" s="1">
        <v>10</v>
      </c>
      <c r="F355" s="1">
        <v>0</v>
      </c>
    </row>
    <row r="356" spans="1:6" x14ac:dyDescent="0.2">
      <c r="A356" s="2">
        <v>45474</v>
      </c>
      <c r="B356" s="1">
        <v>-0.62234499103511676</v>
      </c>
      <c r="C356" s="1">
        <v>0</v>
      </c>
      <c r="D356" s="1">
        <v>0</v>
      </c>
      <c r="E356" s="1">
        <v>0</v>
      </c>
      <c r="F356" s="1">
        <v>10</v>
      </c>
    </row>
    <row r="357" spans="1:6" x14ac:dyDescent="0.2">
      <c r="A357" s="2">
        <v>45505</v>
      </c>
      <c r="B357" s="1">
        <f>'[1]MS_V2-6'!CM481</f>
        <v>-0.66295517286082872</v>
      </c>
      <c r="C357" s="1">
        <f>'[1]MS_V2-6'!CT481</f>
        <v>0</v>
      </c>
      <c r="D357" s="1">
        <f>'[1]MS_V2-6'!CU481</f>
        <v>0</v>
      </c>
      <c r="E357" s="1">
        <f>'[1]MS_V2-6'!CV481</f>
        <v>0</v>
      </c>
      <c r="F357" s="1">
        <f>'[1]MS_V2-6'!CW481</f>
        <v>10</v>
      </c>
    </row>
    <row r="358" spans="1:6" x14ac:dyDescent="0.2">
      <c r="A358" s="2">
        <v>45536</v>
      </c>
      <c r="B358" s="1">
        <f>'[1]MS_V2-6'!CM482</f>
        <v>-0.63912967915959451</v>
      </c>
      <c r="C358" s="1">
        <f>'[1]MS_V2-6'!CT482</f>
        <v>0</v>
      </c>
      <c r="D358" s="1">
        <f>'[1]MS_V2-6'!CU482</f>
        <v>0</v>
      </c>
      <c r="E358" s="1">
        <f>'[1]MS_V2-6'!CV482</f>
        <v>0</v>
      </c>
      <c r="F358" s="1">
        <f>'[1]MS_V2-6'!CW482</f>
        <v>10</v>
      </c>
    </row>
    <row r="359" spans="1:6" x14ac:dyDescent="0.2">
      <c r="A359" s="2">
        <v>45566</v>
      </c>
      <c r="B359" s="1">
        <f>'[1]MS_V2-6'!CM483</f>
        <v>-0.55343067362707221</v>
      </c>
      <c r="C359" s="1">
        <f>'[1]MS_V2-6'!CT483</f>
        <v>0</v>
      </c>
      <c r="D359" s="1">
        <f>'[1]MS_V2-6'!CU483</f>
        <v>0</v>
      </c>
      <c r="E359" s="1">
        <f>'[1]MS_V2-6'!CV483</f>
        <v>0</v>
      </c>
      <c r="F359" s="1">
        <f>'[1]MS_V2-6'!CW483</f>
        <v>10</v>
      </c>
    </row>
    <row r="360" spans="1:6" x14ac:dyDescent="0.2">
      <c r="A360" s="2">
        <v>45597</v>
      </c>
      <c r="B360" s="1">
        <v>-0.44789673735848101</v>
      </c>
      <c r="C360" s="1">
        <v>10</v>
      </c>
      <c r="D360" s="1">
        <v>0</v>
      </c>
      <c r="E360" s="1">
        <v>0</v>
      </c>
      <c r="F360" s="1">
        <v>0</v>
      </c>
    </row>
    <row r="361" spans="1:6" x14ac:dyDescent="0.2">
      <c r="A361" s="2">
        <v>45627</v>
      </c>
      <c r="B361" s="1">
        <v>-0.67148423669170609</v>
      </c>
      <c r="C361" s="1">
        <v>10</v>
      </c>
      <c r="D361" s="1">
        <v>0</v>
      </c>
      <c r="E361" s="1">
        <v>0</v>
      </c>
      <c r="F361" s="1">
        <v>0</v>
      </c>
    </row>
    <row r="362" spans="1:6" x14ac:dyDescent="0.2">
      <c r="A362" s="2">
        <v>45658</v>
      </c>
      <c r="B362" s="1">
        <v>-0.51785611665749509</v>
      </c>
      <c r="C362" s="1">
        <v>10</v>
      </c>
      <c r="D362" s="1">
        <v>0</v>
      </c>
      <c r="E362" s="1">
        <v>0</v>
      </c>
      <c r="F362" s="1">
        <v>0</v>
      </c>
    </row>
    <row r="363" spans="1:6" x14ac:dyDescent="0.2">
      <c r="A363" s="2">
        <v>45689</v>
      </c>
      <c r="B363" s="1">
        <v>-0.56105803889232353</v>
      </c>
      <c r="C363" s="1">
        <v>0</v>
      </c>
      <c r="D363" s="1">
        <v>10</v>
      </c>
      <c r="E363" s="1">
        <v>0</v>
      </c>
      <c r="F363" s="1">
        <v>0</v>
      </c>
    </row>
    <row r="364" spans="1:6" x14ac:dyDescent="0.2">
      <c r="A364" s="2">
        <v>45717</v>
      </c>
      <c r="B364" s="1">
        <v>-0.46789199387530933</v>
      </c>
      <c r="C364" s="1">
        <v>0</v>
      </c>
      <c r="D364" s="1">
        <v>10</v>
      </c>
      <c r="E364" s="1">
        <v>0</v>
      </c>
      <c r="F364" s="1">
        <v>0</v>
      </c>
    </row>
    <row r="365" spans="1:6" x14ac:dyDescent="0.2">
      <c r="A365" s="2">
        <v>45748</v>
      </c>
      <c r="B365" s="1">
        <v>-0.57268483805055115</v>
      </c>
      <c r="C365" s="1">
        <v>0</v>
      </c>
      <c r="D365" s="1">
        <v>10</v>
      </c>
      <c r="E365" s="1">
        <v>0</v>
      </c>
      <c r="F365" s="1">
        <v>0</v>
      </c>
    </row>
    <row r="366" spans="1:6" x14ac:dyDescent="0.2">
      <c r="A366" s="2">
        <v>45778</v>
      </c>
      <c r="B366" s="1">
        <v>-0.49593095853946301</v>
      </c>
      <c r="C366" s="1">
        <v>10</v>
      </c>
      <c r="D366" s="1">
        <v>0</v>
      </c>
      <c r="E366" s="1">
        <v>0</v>
      </c>
      <c r="F366" s="1">
        <v>0</v>
      </c>
    </row>
    <row r="367" spans="1:6" x14ac:dyDescent="0.2">
      <c r="A367" s="2">
        <v>45809</v>
      </c>
      <c r="B367" s="1">
        <v>-0.55546412517623267</v>
      </c>
      <c r="C367" s="1">
        <v>0</v>
      </c>
      <c r="D367" s="1">
        <v>10</v>
      </c>
      <c r="E367" s="1">
        <v>0</v>
      </c>
      <c r="F367" s="1">
        <v>0</v>
      </c>
    </row>
    <row r="368" spans="1:6" x14ac:dyDescent="0.2">
      <c r="A368" s="2">
        <v>45839</v>
      </c>
      <c r="B368" s="1">
        <v>-0.40541982679802385</v>
      </c>
      <c r="C368" s="1">
        <v>10</v>
      </c>
      <c r="D368" s="1">
        <v>0</v>
      </c>
      <c r="E368" s="1">
        <v>0</v>
      </c>
      <c r="F368" s="1">
        <v>0</v>
      </c>
    </row>
    <row r="369" spans="1:6" x14ac:dyDescent="0.2">
      <c r="A369" s="2">
        <v>45870</v>
      </c>
      <c r="B369" s="1">
        <v>-0.46986026502408301</v>
      </c>
      <c r="C369" s="1">
        <v>0</v>
      </c>
      <c r="D369" s="1">
        <v>10</v>
      </c>
      <c r="E369" s="1">
        <v>0</v>
      </c>
      <c r="F369" s="1">
        <v>0</v>
      </c>
    </row>
    <row r="370" spans="1:6" x14ac:dyDescent="0.2">
      <c r="A370" s="2">
        <v>45901</v>
      </c>
      <c r="B370" s="1">
        <v>-0.60141749010280976</v>
      </c>
      <c r="C370" s="1">
        <v>0</v>
      </c>
      <c r="D370" s="1">
        <v>10</v>
      </c>
      <c r="E370" s="1">
        <v>0</v>
      </c>
      <c r="F370" s="1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70"/>
  <sheetViews>
    <sheetView topLeftCell="A329" workbookViewId="0">
      <selection activeCell="B370" sqref="B370"/>
    </sheetView>
  </sheetViews>
  <sheetFormatPr defaultRowHeight="12" x14ac:dyDescent="0.2"/>
  <cols>
    <col min="1" max="1" width="11.85546875" style="1" bestFit="1" customWidth="1"/>
    <col min="2" max="2" width="25.140625" style="1" bestFit="1" customWidth="1"/>
    <col min="3" max="16384" width="9.140625" style="1"/>
  </cols>
  <sheetData>
    <row r="1" spans="1:6" x14ac:dyDescent="0.2">
      <c r="A1" s="1" t="s">
        <v>10</v>
      </c>
      <c r="B1" s="1" t="s">
        <v>47</v>
      </c>
      <c r="C1" s="1" t="s">
        <v>26</v>
      </c>
      <c r="D1" s="1" t="s">
        <v>27</v>
      </c>
      <c r="E1" s="1" t="s">
        <v>28</v>
      </c>
      <c r="F1" s="1" t="s">
        <v>29</v>
      </c>
    </row>
    <row r="2" spans="1:6" x14ac:dyDescent="0.2">
      <c r="A2" s="2">
        <v>34700</v>
      </c>
      <c r="B2" s="4">
        <v>0.19661336399580476</v>
      </c>
      <c r="C2" s="1">
        <v>10</v>
      </c>
      <c r="D2" s="1">
        <v>0</v>
      </c>
      <c r="E2" s="1">
        <v>0</v>
      </c>
      <c r="F2" s="1">
        <v>0</v>
      </c>
    </row>
    <row r="3" spans="1:6" x14ac:dyDescent="0.2">
      <c r="A3" s="2">
        <v>34731</v>
      </c>
      <c r="B3" s="4">
        <v>0.20070138366652079</v>
      </c>
      <c r="C3" s="1">
        <v>10</v>
      </c>
      <c r="D3" s="1">
        <v>0</v>
      </c>
      <c r="E3" s="1">
        <v>0</v>
      </c>
      <c r="F3" s="1">
        <v>0</v>
      </c>
    </row>
    <row r="4" spans="1:6" x14ac:dyDescent="0.2">
      <c r="A4" s="2">
        <v>34759</v>
      </c>
      <c r="B4" s="4">
        <v>0.25877404646070135</v>
      </c>
      <c r="C4" s="1">
        <v>10</v>
      </c>
      <c r="D4" s="1">
        <v>0</v>
      </c>
      <c r="E4" s="1">
        <v>0</v>
      </c>
      <c r="F4" s="1">
        <v>0</v>
      </c>
    </row>
    <row r="5" spans="1:6" x14ac:dyDescent="0.2">
      <c r="A5" s="2">
        <v>34790</v>
      </c>
      <c r="B5" s="4">
        <v>0.26871405969118878</v>
      </c>
      <c r="C5" s="1">
        <v>0</v>
      </c>
      <c r="D5" s="1">
        <v>10</v>
      </c>
      <c r="E5" s="1">
        <v>0</v>
      </c>
      <c r="F5" s="1">
        <v>0</v>
      </c>
    </row>
    <row r="6" spans="1:6" x14ac:dyDescent="0.2">
      <c r="A6" s="2">
        <v>34820</v>
      </c>
      <c r="B6" s="4">
        <v>0.32008503946749878</v>
      </c>
      <c r="C6" s="1">
        <v>0</v>
      </c>
      <c r="D6" s="1">
        <v>10</v>
      </c>
      <c r="E6" s="1">
        <v>0</v>
      </c>
      <c r="F6" s="1">
        <v>0</v>
      </c>
    </row>
    <row r="7" spans="1:6" x14ac:dyDescent="0.2">
      <c r="A7" s="2">
        <v>34851</v>
      </c>
      <c r="B7" s="4">
        <v>0.34093845892493424</v>
      </c>
      <c r="C7" s="1">
        <v>0</v>
      </c>
      <c r="D7" s="1">
        <v>0</v>
      </c>
      <c r="E7" s="1">
        <v>10</v>
      </c>
      <c r="F7" s="1">
        <v>0</v>
      </c>
    </row>
    <row r="8" spans="1:6" x14ac:dyDescent="0.2">
      <c r="A8" s="2">
        <v>34881</v>
      </c>
      <c r="B8" s="4">
        <v>0.30875358254123952</v>
      </c>
      <c r="C8" s="1">
        <v>0</v>
      </c>
      <c r="D8" s="1">
        <v>0</v>
      </c>
      <c r="E8" s="1">
        <v>10</v>
      </c>
      <c r="F8" s="1">
        <v>0</v>
      </c>
    </row>
    <row r="9" spans="1:6" x14ac:dyDescent="0.2">
      <c r="A9" s="2">
        <v>34912</v>
      </c>
      <c r="B9" s="4">
        <v>0.33808754668446805</v>
      </c>
      <c r="C9" s="1">
        <v>0</v>
      </c>
      <c r="D9" s="1">
        <v>0</v>
      </c>
      <c r="E9" s="1">
        <v>10</v>
      </c>
      <c r="F9" s="1">
        <v>0</v>
      </c>
    </row>
    <row r="10" spans="1:6" x14ac:dyDescent="0.2">
      <c r="A10" s="2">
        <v>34943</v>
      </c>
      <c r="B10" s="4">
        <v>0.3061286243766238</v>
      </c>
      <c r="C10" s="1">
        <v>0</v>
      </c>
      <c r="D10" s="1">
        <v>0</v>
      </c>
      <c r="E10" s="1">
        <v>0</v>
      </c>
      <c r="F10" s="1">
        <v>10</v>
      </c>
    </row>
    <row r="11" spans="1:6" x14ac:dyDescent="0.2">
      <c r="A11" s="2">
        <v>34973</v>
      </c>
      <c r="B11" s="4">
        <v>0.32529520563908076</v>
      </c>
      <c r="C11" s="1">
        <v>0</v>
      </c>
      <c r="D11" s="1">
        <v>0</v>
      </c>
      <c r="E11" s="1">
        <v>0</v>
      </c>
      <c r="F11" s="1">
        <v>10</v>
      </c>
    </row>
    <row r="12" spans="1:6" x14ac:dyDescent="0.2">
      <c r="A12" s="2">
        <v>35004</v>
      </c>
      <c r="B12" s="4">
        <v>0.30764910720759464</v>
      </c>
      <c r="C12" s="1">
        <v>0</v>
      </c>
      <c r="D12" s="1">
        <v>0</v>
      </c>
      <c r="E12" s="1">
        <v>0</v>
      </c>
      <c r="F12" s="1">
        <v>10</v>
      </c>
    </row>
    <row r="13" spans="1:6" x14ac:dyDescent="0.2">
      <c r="A13" s="2">
        <v>35034</v>
      </c>
      <c r="B13" s="4">
        <v>0.33313604212485148</v>
      </c>
      <c r="C13" s="1">
        <v>0</v>
      </c>
      <c r="D13" s="1">
        <v>0</v>
      </c>
      <c r="E13" s="1">
        <v>10</v>
      </c>
      <c r="F13" s="1">
        <v>0</v>
      </c>
    </row>
    <row r="14" spans="1:6" x14ac:dyDescent="0.2">
      <c r="A14" s="2">
        <v>35065</v>
      </c>
      <c r="B14" s="4">
        <v>0.36768063147396757</v>
      </c>
      <c r="C14" s="1">
        <v>0</v>
      </c>
      <c r="D14" s="1">
        <v>0</v>
      </c>
      <c r="E14" s="1">
        <v>10</v>
      </c>
      <c r="F14" s="1">
        <v>0</v>
      </c>
    </row>
    <row r="15" spans="1:6" x14ac:dyDescent="0.2">
      <c r="A15" s="2">
        <v>35096</v>
      </c>
      <c r="B15" s="4">
        <v>0.38228908055218536</v>
      </c>
      <c r="C15" s="1">
        <v>0</v>
      </c>
      <c r="D15" s="1">
        <v>0</v>
      </c>
      <c r="E15" s="1">
        <v>10</v>
      </c>
      <c r="F15" s="1">
        <v>0</v>
      </c>
    </row>
    <row r="16" spans="1:6" x14ac:dyDescent="0.2">
      <c r="A16" s="2">
        <v>35125</v>
      </c>
      <c r="B16" s="4">
        <v>0.37136603417032221</v>
      </c>
      <c r="C16" s="1">
        <v>0</v>
      </c>
      <c r="D16" s="1">
        <v>0</v>
      </c>
      <c r="E16" s="1">
        <v>10</v>
      </c>
      <c r="F16" s="1">
        <v>0</v>
      </c>
    </row>
    <row r="17" spans="1:6" x14ac:dyDescent="0.2">
      <c r="A17" s="2">
        <v>35156</v>
      </c>
      <c r="B17" s="4">
        <v>0.37475240268153642</v>
      </c>
      <c r="C17" s="1">
        <v>0</v>
      </c>
      <c r="D17" s="1">
        <v>0</v>
      </c>
      <c r="E17" s="1">
        <v>0</v>
      </c>
      <c r="F17" s="1">
        <v>10</v>
      </c>
    </row>
    <row r="18" spans="1:6" x14ac:dyDescent="0.2">
      <c r="A18" s="2">
        <v>35186</v>
      </c>
      <c r="B18" s="4">
        <v>0.39745415389066274</v>
      </c>
      <c r="C18" s="1">
        <v>0</v>
      </c>
      <c r="D18" s="1">
        <v>0</v>
      </c>
      <c r="E18" s="1">
        <v>0</v>
      </c>
      <c r="F18" s="1">
        <v>10</v>
      </c>
    </row>
    <row r="19" spans="1:6" x14ac:dyDescent="0.2">
      <c r="A19" s="2">
        <v>35217</v>
      </c>
      <c r="B19" s="4">
        <v>0.29376438670106608</v>
      </c>
      <c r="C19" s="1">
        <v>0</v>
      </c>
      <c r="D19" s="1">
        <v>0</v>
      </c>
      <c r="E19" s="1">
        <v>0</v>
      </c>
      <c r="F19" s="1">
        <v>10</v>
      </c>
    </row>
    <row r="20" spans="1:6" x14ac:dyDescent="0.2">
      <c r="A20" s="2">
        <v>35247</v>
      </c>
      <c r="B20" s="4">
        <v>0.33213673963112966</v>
      </c>
      <c r="C20" s="1">
        <v>0</v>
      </c>
      <c r="D20" s="1">
        <v>0</v>
      </c>
      <c r="E20" s="1">
        <v>0</v>
      </c>
      <c r="F20" s="1">
        <v>10</v>
      </c>
    </row>
    <row r="21" spans="1:6" x14ac:dyDescent="0.2">
      <c r="A21" s="2">
        <v>35278</v>
      </c>
      <c r="B21" s="4">
        <v>0.32939480889612005</v>
      </c>
      <c r="C21" s="1">
        <v>10</v>
      </c>
      <c r="D21" s="1">
        <v>0</v>
      </c>
      <c r="E21" s="1">
        <v>0</v>
      </c>
      <c r="F21" s="1">
        <v>0</v>
      </c>
    </row>
    <row r="22" spans="1:6" x14ac:dyDescent="0.2">
      <c r="A22" s="2">
        <v>35309</v>
      </c>
      <c r="B22" s="4">
        <v>0.3400212952414251</v>
      </c>
      <c r="C22" s="1">
        <v>0</v>
      </c>
      <c r="D22" s="1">
        <v>10</v>
      </c>
      <c r="E22" s="1">
        <v>0</v>
      </c>
      <c r="F22" s="1">
        <v>0</v>
      </c>
    </row>
    <row r="23" spans="1:6" x14ac:dyDescent="0.2">
      <c r="A23" s="2">
        <v>35339</v>
      </c>
      <c r="B23" s="4">
        <v>0.34514816535469139</v>
      </c>
      <c r="C23" s="1">
        <v>0</v>
      </c>
      <c r="D23" s="1">
        <v>10</v>
      </c>
      <c r="E23" s="1">
        <v>0</v>
      </c>
      <c r="F23" s="1">
        <v>0</v>
      </c>
    </row>
    <row r="24" spans="1:6" x14ac:dyDescent="0.2">
      <c r="A24" s="2">
        <v>35370</v>
      </c>
      <c r="B24" s="4">
        <v>0.32532157685454088</v>
      </c>
      <c r="C24" s="1">
        <v>10</v>
      </c>
      <c r="D24" s="1">
        <v>0</v>
      </c>
      <c r="E24" s="1">
        <v>0</v>
      </c>
      <c r="F24" s="1">
        <v>0</v>
      </c>
    </row>
    <row r="25" spans="1:6" x14ac:dyDescent="0.2">
      <c r="A25" s="2">
        <v>35400</v>
      </c>
      <c r="B25" s="4">
        <v>0.24128491042832034</v>
      </c>
      <c r="C25" s="1">
        <v>10</v>
      </c>
      <c r="D25" s="1">
        <v>0</v>
      </c>
      <c r="E25" s="1">
        <v>0</v>
      </c>
      <c r="F25" s="1">
        <v>0</v>
      </c>
    </row>
    <row r="26" spans="1:6" x14ac:dyDescent="0.2">
      <c r="A26" s="2">
        <v>35431</v>
      </c>
      <c r="B26" s="4">
        <v>0.31480894588580577</v>
      </c>
      <c r="C26" s="1">
        <v>10</v>
      </c>
      <c r="D26" s="1">
        <v>0</v>
      </c>
      <c r="E26" s="1">
        <v>0</v>
      </c>
      <c r="F26" s="1">
        <v>0</v>
      </c>
    </row>
    <row r="27" spans="1:6" x14ac:dyDescent="0.2">
      <c r="A27" s="2">
        <v>35462</v>
      </c>
      <c r="B27" s="4">
        <v>0.30231368031491657</v>
      </c>
      <c r="C27" s="1">
        <v>10</v>
      </c>
      <c r="D27" s="1">
        <v>0</v>
      </c>
      <c r="E27" s="1">
        <v>0</v>
      </c>
      <c r="F27" s="1">
        <v>0</v>
      </c>
    </row>
    <row r="28" spans="1:6" x14ac:dyDescent="0.2">
      <c r="A28" s="2">
        <v>35490</v>
      </c>
      <c r="B28" s="4">
        <v>0.28624472672226653</v>
      </c>
      <c r="C28" s="1">
        <v>0</v>
      </c>
      <c r="D28" s="1">
        <v>10</v>
      </c>
      <c r="E28" s="1">
        <v>0</v>
      </c>
      <c r="F28" s="1">
        <v>0</v>
      </c>
    </row>
    <row r="29" spans="1:6" x14ac:dyDescent="0.2">
      <c r="A29" s="2">
        <v>35521</v>
      </c>
      <c r="B29" s="4">
        <v>0.30200605408948711</v>
      </c>
      <c r="C29" s="1">
        <v>0</v>
      </c>
      <c r="D29" s="1">
        <v>10</v>
      </c>
      <c r="E29" s="1">
        <v>0</v>
      </c>
      <c r="F29" s="1">
        <v>0</v>
      </c>
    </row>
    <row r="30" spans="1:6" x14ac:dyDescent="0.2">
      <c r="A30" s="2">
        <v>35551</v>
      </c>
      <c r="B30" s="4">
        <v>0.27545905855360009</v>
      </c>
      <c r="C30" s="1">
        <v>0</v>
      </c>
      <c r="D30" s="1">
        <v>10</v>
      </c>
      <c r="E30" s="1">
        <v>0</v>
      </c>
      <c r="F30" s="1">
        <v>0</v>
      </c>
    </row>
    <row r="31" spans="1:6" x14ac:dyDescent="0.2">
      <c r="A31" s="2">
        <v>35582</v>
      </c>
      <c r="B31" s="4">
        <v>0.283120016333549</v>
      </c>
      <c r="C31" s="1">
        <v>10</v>
      </c>
      <c r="D31" s="1">
        <v>0</v>
      </c>
      <c r="E31" s="1">
        <v>0</v>
      </c>
      <c r="F31" s="1">
        <v>0</v>
      </c>
    </row>
    <row r="32" spans="1:6" x14ac:dyDescent="0.2">
      <c r="A32" s="2">
        <v>35612</v>
      </c>
      <c r="B32" s="4">
        <v>0.22956539556303079</v>
      </c>
      <c r="C32" s="1">
        <v>10</v>
      </c>
      <c r="D32" s="1">
        <v>0</v>
      </c>
      <c r="E32" s="1">
        <v>0</v>
      </c>
      <c r="F32" s="1">
        <v>0</v>
      </c>
    </row>
    <row r="33" spans="1:6" x14ac:dyDescent="0.2">
      <c r="A33" s="2">
        <v>35643</v>
      </c>
      <c r="B33" s="4">
        <v>0.2575918459523121</v>
      </c>
      <c r="C33" s="1">
        <v>10</v>
      </c>
      <c r="D33" s="1">
        <v>0</v>
      </c>
      <c r="E33" s="1">
        <v>0</v>
      </c>
      <c r="F33" s="1">
        <v>0</v>
      </c>
    </row>
    <row r="34" spans="1:6" x14ac:dyDescent="0.2">
      <c r="A34" s="2">
        <v>35674</v>
      </c>
      <c r="B34" s="4">
        <v>0.27764206627306454</v>
      </c>
      <c r="C34" s="1">
        <v>0</v>
      </c>
      <c r="D34" s="1">
        <v>10</v>
      </c>
      <c r="E34" s="1">
        <v>0</v>
      </c>
      <c r="F34" s="1">
        <v>0</v>
      </c>
    </row>
    <row r="35" spans="1:6" x14ac:dyDescent="0.2">
      <c r="A35" s="2">
        <v>35704</v>
      </c>
      <c r="B35" s="4">
        <v>0.22117930509082118</v>
      </c>
      <c r="C35" s="1">
        <v>0</v>
      </c>
      <c r="D35" s="1">
        <v>10</v>
      </c>
      <c r="E35" s="1">
        <v>0</v>
      </c>
      <c r="F35" s="1">
        <v>0</v>
      </c>
    </row>
    <row r="36" spans="1:6" x14ac:dyDescent="0.2">
      <c r="A36" s="2">
        <v>35735</v>
      </c>
      <c r="B36" s="4">
        <v>0.26842306607254496</v>
      </c>
      <c r="C36" s="1">
        <v>0</v>
      </c>
      <c r="D36" s="1">
        <v>10</v>
      </c>
      <c r="E36" s="1">
        <v>0</v>
      </c>
      <c r="F36" s="1">
        <v>0</v>
      </c>
    </row>
    <row r="37" spans="1:6" x14ac:dyDescent="0.2">
      <c r="A37" s="2">
        <v>35765</v>
      </c>
      <c r="B37" s="4">
        <v>0.2441779396995869</v>
      </c>
      <c r="C37" s="1">
        <v>10</v>
      </c>
      <c r="D37" s="1">
        <v>0</v>
      </c>
      <c r="E37" s="1">
        <v>0</v>
      </c>
      <c r="F37" s="1">
        <v>0</v>
      </c>
    </row>
    <row r="38" spans="1:6" x14ac:dyDescent="0.2">
      <c r="A38" s="2">
        <v>35796</v>
      </c>
      <c r="B38" s="4">
        <v>0.211302292037992</v>
      </c>
      <c r="C38" s="1">
        <v>0</v>
      </c>
      <c r="D38" s="1">
        <v>10</v>
      </c>
      <c r="E38" s="1">
        <v>0</v>
      </c>
      <c r="F38" s="1">
        <v>0</v>
      </c>
    </row>
    <row r="39" spans="1:6" x14ac:dyDescent="0.2">
      <c r="A39" s="2">
        <v>35827</v>
      </c>
      <c r="B39" s="4">
        <v>0.23485372142981287</v>
      </c>
      <c r="C39" s="1">
        <v>10</v>
      </c>
      <c r="D39" s="1">
        <v>0</v>
      </c>
      <c r="E39" s="1">
        <v>0</v>
      </c>
      <c r="F39" s="1">
        <v>0</v>
      </c>
    </row>
    <row r="40" spans="1:6" x14ac:dyDescent="0.2">
      <c r="A40" s="2">
        <v>35855</v>
      </c>
      <c r="B40" s="4">
        <v>0.2438227350596377</v>
      </c>
      <c r="C40" s="1">
        <v>0</v>
      </c>
      <c r="D40" s="1">
        <v>10</v>
      </c>
      <c r="E40" s="1">
        <v>0</v>
      </c>
      <c r="F40" s="1">
        <v>0</v>
      </c>
    </row>
    <row r="41" spans="1:6" x14ac:dyDescent="0.2">
      <c r="A41" s="2">
        <v>35886</v>
      </c>
      <c r="B41" s="4">
        <v>0.27658352200769643</v>
      </c>
      <c r="C41" s="1">
        <v>0</v>
      </c>
      <c r="D41" s="1">
        <v>10</v>
      </c>
      <c r="E41" s="1">
        <v>0</v>
      </c>
      <c r="F41" s="1">
        <v>0</v>
      </c>
    </row>
    <row r="42" spans="1:6" x14ac:dyDescent="0.2">
      <c r="A42" s="2">
        <v>35916</v>
      </c>
      <c r="B42" s="4">
        <v>0.28748552932894667</v>
      </c>
      <c r="C42" s="1">
        <v>0</v>
      </c>
      <c r="D42" s="1">
        <v>10</v>
      </c>
      <c r="E42" s="1">
        <v>0</v>
      </c>
      <c r="F42" s="1">
        <v>0</v>
      </c>
    </row>
    <row r="43" spans="1:6" x14ac:dyDescent="0.2">
      <c r="A43" s="2">
        <v>35947</v>
      </c>
      <c r="B43" s="4">
        <v>0.33891578450251791</v>
      </c>
      <c r="C43" s="1">
        <v>0</v>
      </c>
      <c r="D43" s="1">
        <v>0</v>
      </c>
      <c r="E43" s="1">
        <v>10</v>
      </c>
      <c r="F43" s="1">
        <v>0</v>
      </c>
    </row>
    <row r="44" spans="1:6" x14ac:dyDescent="0.2">
      <c r="A44" s="2">
        <v>35977</v>
      </c>
      <c r="B44" s="4">
        <v>0.35830283673556584</v>
      </c>
      <c r="C44" s="1">
        <v>0</v>
      </c>
      <c r="D44" s="1">
        <v>0</v>
      </c>
      <c r="E44" s="1">
        <v>10</v>
      </c>
      <c r="F44" s="1">
        <v>0</v>
      </c>
    </row>
    <row r="45" spans="1:6" x14ac:dyDescent="0.2">
      <c r="A45" s="2">
        <v>36008</v>
      </c>
      <c r="B45" s="4">
        <v>0.2888992562833258</v>
      </c>
      <c r="C45" s="1">
        <v>0</v>
      </c>
      <c r="D45" s="1">
        <v>0</v>
      </c>
      <c r="E45" s="1">
        <v>10</v>
      </c>
      <c r="F45" s="1">
        <v>0</v>
      </c>
    </row>
    <row r="46" spans="1:6" x14ac:dyDescent="0.2">
      <c r="A46" s="2">
        <v>36039</v>
      </c>
      <c r="B46" s="4">
        <v>0.26869484477228944</v>
      </c>
      <c r="C46" s="1">
        <v>0</v>
      </c>
      <c r="D46" s="1">
        <v>0</v>
      </c>
      <c r="E46" s="1">
        <v>0</v>
      </c>
      <c r="F46" s="1">
        <v>10</v>
      </c>
    </row>
    <row r="47" spans="1:6" x14ac:dyDescent="0.2">
      <c r="A47" s="2">
        <v>36069</v>
      </c>
      <c r="B47" s="4">
        <v>0.36984449640981143</v>
      </c>
      <c r="C47" s="1">
        <v>0</v>
      </c>
      <c r="D47" s="1">
        <v>0</v>
      </c>
      <c r="E47" s="1">
        <v>10</v>
      </c>
      <c r="F47" s="1">
        <v>0</v>
      </c>
    </row>
    <row r="48" spans="1:6" x14ac:dyDescent="0.2">
      <c r="A48" s="2">
        <v>36100</v>
      </c>
      <c r="B48" s="4">
        <v>0.38744781161409603</v>
      </c>
      <c r="C48" s="1">
        <v>0</v>
      </c>
      <c r="D48" s="1">
        <v>0</v>
      </c>
      <c r="E48" s="1">
        <v>10</v>
      </c>
      <c r="F48" s="1">
        <v>0</v>
      </c>
    </row>
    <row r="49" spans="1:6" x14ac:dyDescent="0.2">
      <c r="A49" s="2">
        <v>36130</v>
      </c>
      <c r="B49" s="4">
        <v>0.43915207657227984</v>
      </c>
      <c r="C49" s="1">
        <v>0</v>
      </c>
      <c r="D49" s="1">
        <v>0</v>
      </c>
      <c r="E49" s="1">
        <v>10</v>
      </c>
      <c r="F49" s="1">
        <v>0</v>
      </c>
    </row>
    <row r="50" spans="1:6" x14ac:dyDescent="0.2">
      <c r="A50" s="2">
        <v>36161</v>
      </c>
      <c r="B50" s="4">
        <v>0.3849174399646158</v>
      </c>
      <c r="C50" s="1">
        <v>0</v>
      </c>
      <c r="D50" s="1">
        <v>0</v>
      </c>
      <c r="E50" s="1">
        <v>0</v>
      </c>
      <c r="F50" s="1">
        <v>10</v>
      </c>
    </row>
    <row r="51" spans="1:6" x14ac:dyDescent="0.2">
      <c r="A51" s="2">
        <v>36192</v>
      </c>
      <c r="B51" s="4">
        <v>0.38786303075359552</v>
      </c>
      <c r="C51" s="1">
        <v>0</v>
      </c>
      <c r="D51" s="1">
        <v>0</v>
      </c>
      <c r="E51" s="1">
        <v>0</v>
      </c>
      <c r="F51" s="1">
        <v>10</v>
      </c>
    </row>
    <row r="52" spans="1:6" x14ac:dyDescent="0.2">
      <c r="A52" s="2">
        <v>36220</v>
      </c>
      <c r="B52" s="4">
        <v>0.32649484031840936</v>
      </c>
      <c r="C52" s="1">
        <v>0</v>
      </c>
      <c r="D52" s="1">
        <v>0</v>
      </c>
      <c r="E52" s="1">
        <v>0</v>
      </c>
      <c r="F52" s="1">
        <v>10</v>
      </c>
    </row>
    <row r="53" spans="1:6" x14ac:dyDescent="0.2">
      <c r="A53" s="2">
        <v>36251</v>
      </c>
      <c r="B53" s="4">
        <v>0.38042918201724041</v>
      </c>
      <c r="C53" s="1">
        <v>0</v>
      </c>
      <c r="D53" s="1">
        <v>0</v>
      </c>
      <c r="E53" s="1">
        <v>0</v>
      </c>
      <c r="F53" s="1">
        <v>10</v>
      </c>
    </row>
    <row r="54" spans="1:6" x14ac:dyDescent="0.2">
      <c r="A54" s="2">
        <v>36281</v>
      </c>
      <c r="B54" s="4">
        <v>0.35127915084051331</v>
      </c>
      <c r="C54" s="1">
        <v>0</v>
      </c>
      <c r="D54" s="1">
        <v>0</v>
      </c>
      <c r="E54" s="1">
        <v>0</v>
      </c>
      <c r="F54" s="1">
        <v>10</v>
      </c>
    </row>
    <row r="55" spans="1:6" x14ac:dyDescent="0.2">
      <c r="A55" s="2">
        <v>36312</v>
      </c>
      <c r="B55" s="4">
        <v>0.32806983697930081</v>
      </c>
      <c r="C55" s="1">
        <v>0</v>
      </c>
      <c r="D55" s="1">
        <v>0</v>
      </c>
      <c r="E55" s="1">
        <v>0</v>
      </c>
      <c r="F55" s="1">
        <v>10</v>
      </c>
    </row>
    <row r="56" spans="1:6" x14ac:dyDescent="0.2">
      <c r="A56" s="2">
        <v>36342</v>
      </c>
      <c r="B56" s="4">
        <v>0.43308612161244731</v>
      </c>
      <c r="C56" s="1">
        <v>0</v>
      </c>
      <c r="D56" s="1">
        <v>0</v>
      </c>
      <c r="E56" s="1">
        <v>10</v>
      </c>
      <c r="F56" s="1">
        <v>0</v>
      </c>
    </row>
    <row r="57" spans="1:6" x14ac:dyDescent="0.2">
      <c r="A57" s="2">
        <v>36373</v>
      </c>
      <c r="B57" s="4">
        <v>0.38438833044744103</v>
      </c>
      <c r="C57" s="1">
        <v>0</v>
      </c>
      <c r="D57" s="1">
        <v>0</v>
      </c>
      <c r="E57" s="1">
        <v>0</v>
      </c>
      <c r="F57" s="1">
        <v>10</v>
      </c>
    </row>
    <row r="58" spans="1:6" x14ac:dyDescent="0.2">
      <c r="A58" s="2">
        <v>36404</v>
      </c>
      <c r="B58" s="4">
        <v>0.33626408564184651</v>
      </c>
      <c r="C58" s="1">
        <v>0</v>
      </c>
      <c r="D58" s="1">
        <v>0</v>
      </c>
      <c r="E58" s="1">
        <v>0</v>
      </c>
      <c r="F58" s="1">
        <v>10</v>
      </c>
    </row>
    <row r="59" spans="1:6" x14ac:dyDescent="0.2">
      <c r="A59" s="2">
        <v>36434</v>
      </c>
      <c r="B59" s="4">
        <v>0.32971738088784475</v>
      </c>
      <c r="C59" s="1">
        <v>10</v>
      </c>
      <c r="D59" s="1">
        <v>0</v>
      </c>
      <c r="E59" s="1">
        <v>0</v>
      </c>
      <c r="F59" s="1">
        <v>0</v>
      </c>
    </row>
    <row r="60" spans="1:6" x14ac:dyDescent="0.2">
      <c r="A60" s="2">
        <v>36465</v>
      </c>
      <c r="B60" s="4">
        <v>0.33126687561853485</v>
      </c>
      <c r="C60" s="1">
        <v>10</v>
      </c>
      <c r="D60" s="1">
        <v>0</v>
      </c>
      <c r="E60" s="1">
        <v>0</v>
      </c>
      <c r="F60" s="1">
        <v>0</v>
      </c>
    </row>
    <row r="61" spans="1:6" x14ac:dyDescent="0.2">
      <c r="A61" s="2">
        <v>36495</v>
      </c>
      <c r="B61" s="4">
        <v>0.36682381423467503</v>
      </c>
      <c r="C61" s="1">
        <v>0</v>
      </c>
      <c r="D61" s="1">
        <v>10</v>
      </c>
      <c r="E61" s="1">
        <v>0</v>
      </c>
      <c r="F61" s="1">
        <v>0</v>
      </c>
    </row>
    <row r="62" spans="1:6" x14ac:dyDescent="0.2">
      <c r="A62" s="2">
        <v>36526</v>
      </c>
      <c r="B62" s="4">
        <v>0.31770821559595108</v>
      </c>
      <c r="C62" s="1">
        <v>10</v>
      </c>
      <c r="D62" s="1">
        <v>0</v>
      </c>
      <c r="E62" s="1">
        <v>0</v>
      </c>
      <c r="F62" s="1">
        <v>0</v>
      </c>
    </row>
    <row r="63" spans="1:6" x14ac:dyDescent="0.2">
      <c r="A63" s="2">
        <v>36557</v>
      </c>
      <c r="B63" s="4">
        <v>0.35438453654126456</v>
      </c>
      <c r="C63" s="1">
        <v>0</v>
      </c>
      <c r="D63" s="1">
        <v>10</v>
      </c>
      <c r="E63" s="1">
        <v>0</v>
      </c>
      <c r="F63" s="1">
        <v>0</v>
      </c>
    </row>
    <row r="64" spans="1:6" x14ac:dyDescent="0.2">
      <c r="A64" s="2">
        <v>36586</v>
      </c>
      <c r="B64" s="4">
        <v>0.34736029716472283</v>
      </c>
      <c r="C64" s="1">
        <v>10</v>
      </c>
      <c r="D64" s="1">
        <v>0</v>
      </c>
      <c r="E64" s="1">
        <v>0</v>
      </c>
      <c r="F64" s="1">
        <v>0</v>
      </c>
    </row>
    <row r="65" spans="1:6" x14ac:dyDescent="0.2">
      <c r="A65" s="2">
        <v>36617</v>
      </c>
      <c r="B65" s="4">
        <v>0.40926129392013655</v>
      </c>
      <c r="C65" s="1">
        <v>0</v>
      </c>
      <c r="D65" s="1">
        <v>0</v>
      </c>
      <c r="E65" s="1">
        <v>10</v>
      </c>
      <c r="F65" s="1">
        <v>0</v>
      </c>
    </row>
    <row r="66" spans="1:6" x14ac:dyDescent="0.2">
      <c r="A66" s="2">
        <v>36647</v>
      </c>
      <c r="B66" s="4">
        <v>0.38994820701442046</v>
      </c>
      <c r="C66" s="1">
        <v>0</v>
      </c>
      <c r="D66" s="1">
        <v>0</v>
      </c>
      <c r="E66" s="1">
        <v>10</v>
      </c>
      <c r="F66" s="1">
        <v>0</v>
      </c>
    </row>
    <row r="67" spans="1:6" x14ac:dyDescent="0.2">
      <c r="A67" s="2">
        <v>36678</v>
      </c>
      <c r="B67" s="4">
        <v>0.44861855539123519</v>
      </c>
      <c r="C67" s="1">
        <v>0</v>
      </c>
      <c r="D67" s="1">
        <v>0</v>
      </c>
      <c r="E67" s="1">
        <v>10</v>
      </c>
      <c r="F67" s="1">
        <v>0</v>
      </c>
    </row>
    <row r="68" spans="1:6" x14ac:dyDescent="0.2">
      <c r="A68" s="2">
        <v>36708</v>
      </c>
      <c r="B68" s="4">
        <v>0.3909775290474824</v>
      </c>
      <c r="C68" s="1">
        <v>0</v>
      </c>
      <c r="D68" s="1">
        <v>0</v>
      </c>
      <c r="E68" s="1">
        <v>0</v>
      </c>
      <c r="F68" s="1">
        <v>10</v>
      </c>
    </row>
    <row r="69" spans="1:6" x14ac:dyDescent="0.2">
      <c r="A69" s="2">
        <v>36739</v>
      </c>
      <c r="B69" s="4">
        <v>0.41564999056138308</v>
      </c>
      <c r="C69" s="1">
        <v>0</v>
      </c>
      <c r="D69" s="1">
        <v>0</v>
      </c>
      <c r="E69" s="1">
        <v>0</v>
      </c>
      <c r="F69" s="1">
        <v>10</v>
      </c>
    </row>
    <row r="70" spans="1:6" x14ac:dyDescent="0.2">
      <c r="A70" s="2">
        <v>36770</v>
      </c>
      <c r="B70" s="4">
        <v>0.3958939678336314</v>
      </c>
      <c r="C70" s="1">
        <v>10</v>
      </c>
      <c r="D70" s="1">
        <v>0</v>
      </c>
      <c r="E70" s="1">
        <v>0</v>
      </c>
      <c r="F70" s="1">
        <v>0</v>
      </c>
    </row>
    <row r="71" spans="1:6" x14ac:dyDescent="0.2">
      <c r="A71" s="2">
        <v>36800</v>
      </c>
      <c r="B71" s="4">
        <v>0.41070939306140031</v>
      </c>
      <c r="C71" s="1">
        <v>0</v>
      </c>
      <c r="D71" s="1">
        <v>10</v>
      </c>
      <c r="E71" s="1">
        <v>0</v>
      </c>
      <c r="F71" s="1">
        <v>0</v>
      </c>
    </row>
    <row r="72" spans="1:6" x14ac:dyDescent="0.2">
      <c r="A72" s="2">
        <v>36831</v>
      </c>
      <c r="B72" s="4">
        <v>0.44587031843033675</v>
      </c>
      <c r="C72" s="1">
        <v>0</v>
      </c>
      <c r="D72" s="1">
        <v>0</v>
      </c>
      <c r="E72" s="1">
        <v>10</v>
      </c>
      <c r="F72" s="1">
        <v>0</v>
      </c>
    </row>
    <row r="73" spans="1:6" x14ac:dyDescent="0.2">
      <c r="A73" s="2">
        <v>36861</v>
      </c>
      <c r="B73" s="4">
        <v>0.47954867077068242</v>
      </c>
      <c r="C73" s="1">
        <v>0</v>
      </c>
      <c r="D73" s="1">
        <v>0</v>
      </c>
      <c r="E73" s="1">
        <v>10</v>
      </c>
      <c r="F73" s="1">
        <v>0</v>
      </c>
    </row>
    <row r="74" spans="1:6" x14ac:dyDescent="0.2">
      <c r="A74" s="2">
        <v>36892</v>
      </c>
      <c r="B74" s="4">
        <v>0.59208443754877726</v>
      </c>
      <c r="C74" s="1">
        <v>0</v>
      </c>
      <c r="D74" s="1">
        <v>0</v>
      </c>
      <c r="E74" s="1">
        <v>10</v>
      </c>
      <c r="F74" s="1">
        <v>0</v>
      </c>
    </row>
    <row r="75" spans="1:6" x14ac:dyDescent="0.2">
      <c r="A75" s="2">
        <v>36923</v>
      </c>
      <c r="B75" s="4">
        <v>0.52568583093423427</v>
      </c>
      <c r="C75" s="1">
        <v>0</v>
      </c>
      <c r="D75" s="1">
        <v>0</v>
      </c>
      <c r="E75" s="1">
        <v>10</v>
      </c>
      <c r="F75" s="1">
        <v>0</v>
      </c>
    </row>
    <row r="76" spans="1:6" x14ac:dyDescent="0.2">
      <c r="A76" s="2">
        <v>36951</v>
      </c>
      <c r="B76" s="4">
        <v>0.52503346773581261</v>
      </c>
      <c r="C76" s="1">
        <v>0</v>
      </c>
      <c r="D76" s="1">
        <v>0</v>
      </c>
      <c r="E76" s="1">
        <v>10</v>
      </c>
      <c r="F76" s="1">
        <v>0</v>
      </c>
    </row>
    <row r="77" spans="1:6" x14ac:dyDescent="0.2">
      <c r="A77" s="2">
        <v>36982</v>
      </c>
      <c r="B77" s="4">
        <v>0.60451886743828376</v>
      </c>
      <c r="C77" s="1">
        <v>0</v>
      </c>
      <c r="D77" s="1">
        <v>0</v>
      </c>
      <c r="E77" s="1">
        <v>0</v>
      </c>
      <c r="F77" s="1">
        <v>10</v>
      </c>
    </row>
    <row r="78" spans="1:6" x14ac:dyDescent="0.2">
      <c r="A78" s="2">
        <v>37012</v>
      </c>
      <c r="B78" s="4">
        <v>0.58892946356263953</v>
      </c>
      <c r="C78" s="1">
        <v>0</v>
      </c>
      <c r="D78" s="1">
        <v>0</v>
      </c>
      <c r="E78" s="1">
        <v>10</v>
      </c>
      <c r="F78" s="1">
        <v>0</v>
      </c>
    </row>
    <row r="79" spans="1:6" x14ac:dyDescent="0.2">
      <c r="A79" s="2">
        <v>37043</v>
      </c>
      <c r="B79" s="4">
        <v>0.66405088288575409</v>
      </c>
      <c r="C79" s="1">
        <v>0</v>
      </c>
      <c r="D79" s="1">
        <v>0</v>
      </c>
      <c r="E79" s="1">
        <v>10</v>
      </c>
      <c r="F79" s="1">
        <v>0</v>
      </c>
    </row>
    <row r="80" spans="1:6" x14ac:dyDescent="0.2">
      <c r="A80" s="2">
        <v>37073</v>
      </c>
      <c r="B80" s="4">
        <v>0.56281501129728784</v>
      </c>
      <c r="C80" s="1">
        <v>0</v>
      </c>
      <c r="D80" s="1">
        <v>0</v>
      </c>
      <c r="E80" s="1">
        <v>0</v>
      </c>
      <c r="F80" s="1">
        <v>10</v>
      </c>
    </row>
    <row r="81" spans="1:6" x14ac:dyDescent="0.2">
      <c r="A81" s="2">
        <v>37104</v>
      </c>
      <c r="B81" s="4">
        <v>0.54485060226641246</v>
      </c>
      <c r="C81" s="1">
        <v>0</v>
      </c>
      <c r="D81" s="1">
        <v>0</v>
      </c>
      <c r="E81" s="1">
        <v>0</v>
      </c>
      <c r="F81" s="1">
        <v>10</v>
      </c>
    </row>
    <row r="82" spans="1:6" x14ac:dyDescent="0.2">
      <c r="A82" s="2">
        <v>37135</v>
      </c>
      <c r="B82" s="4">
        <v>0.53775643989206667</v>
      </c>
      <c r="C82" s="1">
        <v>0</v>
      </c>
      <c r="D82" s="1">
        <v>0</v>
      </c>
      <c r="E82" s="1">
        <v>0</v>
      </c>
      <c r="F82" s="1">
        <v>10</v>
      </c>
    </row>
    <row r="83" spans="1:6" x14ac:dyDescent="0.2">
      <c r="A83" s="2">
        <v>37165</v>
      </c>
      <c r="B83" s="4">
        <v>0.62296715684934734</v>
      </c>
      <c r="C83" s="1">
        <v>0</v>
      </c>
      <c r="D83" s="1">
        <v>0</v>
      </c>
      <c r="E83" s="1">
        <v>0</v>
      </c>
      <c r="F83" s="1">
        <v>10</v>
      </c>
    </row>
    <row r="84" spans="1:6" x14ac:dyDescent="0.2">
      <c r="A84" s="2">
        <v>37196</v>
      </c>
      <c r="B84" s="4">
        <v>0.61957417429327277</v>
      </c>
      <c r="C84" s="1">
        <v>0</v>
      </c>
      <c r="D84" s="1">
        <v>0</v>
      </c>
      <c r="E84" s="1">
        <v>0</v>
      </c>
      <c r="F84" s="1">
        <v>10</v>
      </c>
    </row>
    <row r="85" spans="1:6" x14ac:dyDescent="0.2">
      <c r="A85" s="2">
        <v>37226</v>
      </c>
      <c r="B85" s="4">
        <v>0.66361377561287349</v>
      </c>
      <c r="C85" s="1">
        <v>0</v>
      </c>
      <c r="D85" s="1">
        <v>0</v>
      </c>
      <c r="E85" s="1">
        <v>10</v>
      </c>
      <c r="F85" s="1">
        <v>0</v>
      </c>
    </row>
    <row r="86" spans="1:6" x14ac:dyDescent="0.2">
      <c r="A86" s="2">
        <v>37257</v>
      </c>
      <c r="B86" s="4">
        <v>0.6923384468054995</v>
      </c>
      <c r="C86" s="1">
        <v>0</v>
      </c>
      <c r="D86" s="1">
        <v>0</v>
      </c>
      <c r="E86" s="1">
        <v>10</v>
      </c>
      <c r="F86" s="1">
        <v>0</v>
      </c>
    </row>
    <row r="87" spans="1:6" x14ac:dyDescent="0.2">
      <c r="A87" s="2">
        <v>37288</v>
      </c>
      <c r="B87" s="4">
        <v>0.5869238300833699</v>
      </c>
      <c r="C87" s="1">
        <v>0</v>
      </c>
      <c r="D87" s="1">
        <v>0</v>
      </c>
      <c r="E87" s="1">
        <v>0</v>
      </c>
      <c r="F87" s="1">
        <v>10</v>
      </c>
    </row>
    <row r="88" spans="1:6" x14ac:dyDescent="0.2">
      <c r="A88" s="2">
        <v>37316</v>
      </c>
      <c r="B88" s="4">
        <v>0.62941921479323459</v>
      </c>
      <c r="C88" s="1">
        <v>0</v>
      </c>
      <c r="D88" s="1">
        <v>0</v>
      </c>
      <c r="E88" s="1">
        <v>0</v>
      </c>
      <c r="F88" s="1">
        <v>10</v>
      </c>
    </row>
    <row r="89" spans="1:6" x14ac:dyDescent="0.2">
      <c r="A89" s="2">
        <v>37347</v>
      </c>
      <c r="B89" s="4">
        <v>0.62599379748467987</v>
      </c>
      <c r="C89" s="1">
        <v>0</v>
      </c>
      <c r="D89" s="1">
        <v>0</v>
      </c>
      <c r="E89" s="1">
        <v>0</v>
      </c>
      <c r="F89" s="1">
        <v>10</v>
      </c>
    </row>
    <row r="90" spans="1:6" x14ac:dyDescent="0.2">
      <c r="A90" s="2">
        <v>37377</v>
      </c>
      <c r="B90" s="4">
        <v>0.53823846564407019</v>
      </c>
      <c r="C90" s="1">
        <v>0</v>
      </c>
      <c r="D90" s="1">
        <v>0</v>
      </c>
      <c r="E90" s="1">
        <v>0</v>
      </c>
      <c r="F90" s="1">
        <v>10</v>
      </c>
    </row>
    <row r="91" spans="1:6" x14ac:dyDescent="0.2">
      <c r="A91" s="2">
        <v>37408</v>
      </c>
      <c r="B91" s="4">
        <v>0.50276893760222308</v>
      </c>
      <c r="C91" s="1">
        <v>10</v>
      </c>
      <c r="D91" s="1">
        <v>0</v>
      </c>
      <c r="E91" s="1">
        <v>0</v>
      </c>
      <c r="F91" s="1">
        <v>0</v>
      </c>
    </row>
    <row r="92" spans="1:6" x14ac:dyDescent="0.2">
      <c r="A92" s="2">
        <v>37438</v>
      </c>
      <c r="B92" s="4">
        <v>0.47853932433433854</v>
      </c>
      <c r="C92" s="1">
        <v>10</v>
      </c>
      <c r="D92" s="1">
        <v>0</v>
      </c>
      <c r="E92" s="1">
        <v>0</v>
      </c>
      <c r="F92" s="1">
        <v>0</v>
      </c>
    </row>
    <row r="93" spans="1:6" x14ac:dyDescent="0.2">
      <c r="A93" s="2">
        <v>37469</v>
      </c>
      <c r="B93" s="4">
        <v>0.55043754358021513</v>
      </c>
      <c r="C93" s="1">
        <v>10</v>
      </c>
      <c r="D93" s="1">
        <v>0</v>
      </c>
      <c r="E93" s="1">
        <v>0</v>
      </c>
      <c r="F93" s="1">
        <v>0</v>
      </c>
    </row>
    <row r="94" spans="1:6" x14ac:dyDescent="0.2">
      <c r="A94" s="2">
        <v>37500</v>
      </c>
      <c r="B94" s="4">
        <v>0.56364361826143061</v>
      </c>
      <c r="C94" s="1">
        <v>0</v>
      </c>
      <c r="D94" s="1">
        <v>10</v>
      </c>
      <c r="E94" s="1">
        <v>0</v>
      </c>
      <c r="F94" s="1">
        <v>0</v>
      </c>
    </row>
    <row r="95" spans="1:6" x14ac:dyDescent="0.2">
      <c r="A95" s="2">
        <v>37530</v>
      </c>
      <c r="B95" s="4">
        <v>0.60038063629012772</v>
      </c>
      <c r="C95" s="1">
        <v>0</v>
      </c>
      <c r="D95" s="1">
        <v>10</v>
      </c>
      <c r="E95" s="1">
        <v>0</v>
      </c>
      <c r="F95" s="1">
        <v>0</v>
      </c>
    </row>
    <row r="96" spans="1:6" x14ac:dyDescent="0.2">
      <c r="A96" s="2">
        <v>37561</v>
      </c>
      <c r="B96" s="4">
        <v>0.55741909022289171</v>
      </c>
      <c r="C96" s="1">
        <v>0</v>
      </c>
      <c r="D96" s="1">
        <v>10</v>
      </c>
      <c r="E96" s="1">
        <v>0</v>
      </c>
      <c r="F96" s="1">
        <v>0</v>
      </c>
    </row>
    <row r="97" spans="1:6" x14ac:dyDescent="0.2">
      <c r="A97" s="2">
        <v>37591</v>
      </c>
      <c r="B97" s="4">
        <v>0.47299524182934849</v>
      </c>
      <c r="C97" s="1">
        <v>10</v>
      </c>
      <c r="D97" s="1">
        <v>0</v>
      </c>
      <c r="E97" s="1">
        <v>0</v>
      </c>
      <c r="F97" s="1">
        <v>0</v>
      </c>
    </row>
    <row r="98" spans="1:6" x14ac:dyDescent="0.2">
      <c r="A98" s="2">
        <v>37622</v>
      </c>
      <c r="B98" s="4">
        <v>0.49271246178701056</v>
      </c>
      <c r="C98" s="1">
        <v>10</v>
      </c>
      <c r="D98" s="1">
        <v>0</v>
      </c>
      <c r="E98" s="1">
        <v>0</v>
      </c>
      <c r="F98" s="1">
        <v>0</v>
      </c>
    </row>
    <row r="99" spans="1:6" x14ac:dyDescent="0.2">
      <c r="A99" s="2">
        <v>37653</v>
      </c>
      <c r="B99" s="4">
        <v>0.5672916051392084</v>
      </c>
      <c r="C99" s="1">
        <v>0</v>
      </c>
      <c r="D99" s="1">
        <v>10</v>
      </c>
      <c r="E99" s="1">
        <v>0</v>
      </c>
      <c r="F99" s="1">
        <v>0</v>
      </c>
    </row>
    <row r="100" spans="1:6" x14ac:dyDescent="0.2">
      <c r="A100" s="2">
        <v>37681</v>
      </c>
      <c r="B100" s="4">
        <v>0.61310377809930827</v>
      </c>
      <c r="C100" s="1">
        <v>0</v>
      </c>
      <c r="D100" s="1">
        <v>0</v>
      </c>
      <c r="E100" s="1">
        <v>10</v>
      </c>
      <c r="F100" s="1">
        <v>0</v>
      </c>
    </row>
    <row r="101" spans="1:6" x14ac:dyDescent="0.2">
      <c r="A101" s="2">
        <v>37712</v>
      </c>
      <c r="B101" s="4">
        <v>0.5929439996460083</v>
      </c>
      <c r="C101" s="1">
        <v>0</v>
      </c>
      <c r="D101" s="1">
        <v>0</v>
      </c>
      <c r="E101" s="1">
        <v>10</v>
      </c>
      <c r="F101" s="1">
        <v>0</v>
      </c>
    </row>
    <row r="102" spans="1:6" x14ac:dyDescent="0.2">
      <c r="A102" s="2">
        <v>37742</v>
      </c>
      <c r="B102" s="4">
        <v>0.55958500515412768</v>
      </c>
      <c r="C102" s="1">
        <v>0</v>
      </c>
      <c r="D102" s="1">
        <v>0</v>
      </c>
      <c r="E102" s="1">
        <v>0</v>
      </c>
      <c r="F102" s="1">
        <v>10</v>
      </c>
    </row>
    <row r="103" spans="1:6" x14ac:dyDescent="0.2">
      <c r="A103" s="2">
        <v>37773</v>
      </c>
      <c r="B103" s="4">
        <v>0.52120752262462122</v>
      </c>
      <c r="C103" s="1">
        <v>10</v>
      </c>
      <c r="D103" s="1">
        <v>0</v>
      </c>
      <c r="E103" s="1">
        <v>0</v>
      </c>
      <c r="F103" s="1">
        <v>0</v>
      </c>
    </row>
    <row r="104" spans="1:6" x14ac:dyDescent="0.2">
      <c r="A104" s="2">
        <v>37803</v>
      </c>
      <c r="B104" s="4">
        <v>0.52220124800572987</v>
      </c>
      <c r="C104" s="1">
        <v>10</v>
      </c>
      <c r="D104" s="1">
        <v>0</v>
      </c>
      <c r="E104" s="1">
        <v>0</v>
      </c>
      <c r="F104" s="1">
        <v>0</v>
      </c>
    </row>
    <row r="105" spans="1:6" x14ac:dyDescent="0.2">
      <c r="A105" s="2">
        <v>37834</v>
      </c>
      <c r="B105" s="4">
        <v>0.52328200838089955</v>
      </c>
      <c r="C105" s="1">
        <v>0</v>
      </c>
      <c r="D105" s="1">
        <v>10</v>
      </c>
      <c r="E105" s="1">
        <v>0</v>
      </c>
      <c r="F105" s="1">
        <v>0</v>
      </c>
    </row>
    <row r="106" spans="1:6" x14ac:dyDescent="0.2">
      <c r="A106" s="2">
        <v>37865</v>
      </c>
      <c r="B106" s="4">
        <v>0.46335382487592713</v>
      </c>
      <c r="C106" s="1">
        <v>10</v>
      </c>
      <c r="D106" s="1">
        <v>0</v>
      </c>
      <c r="E106" s="1">
        <v>0</v>
      </c>
      <c r="F106" s="1">
        <v>0</v>
      </c>
    </row>
    <row r="107" spans="1:6" x14ac:dyDescent="0.2">
      <c r="A107" s="2">
        <v>37895</v>
      </c>
      <c r="B107" s="4">
        <v>0.33203127929064569</v>
      </c>
      <c r="C107" s="1">
        <v>10</v>
      </c>
      <c r="D107" s="1">
        <v>0</v>
      </c>
      <c r="E107" s="1">
        <v>0</v>
      </c>
      <c r="F107" s="1">
        <v>0</v>
      </c>
    </row>
    <row r="108" spans="1:6" x14ac:dyDescent="0.2">
      <c r="A108" s="2">
        <v>37926</v>
      </c>
      <c r="B108" s="4">
        <v>0.34564520017880795</v>
      </c>
      <c r="C108" s="1">
        <v>10</v>
      </c>
      <c r="D108" s="1">
        <v>0</v>
      </c>
      <c r="E108" s="1">
        <v>0</v>
      </c>
      <c r="F108" s="1">
        <v>0</v>
      </c>
    </row>
    <row r="109" spans="1:6" x14ac:dyDescent="0.2">
      <c r="A109" s="2">
        <v>37956</v>
      </c>
      <c r="B109" s="4">
        <v>0.38222813162651803</v>
      </c>
      <c r="C109" s="1">
        <v>10</v>
      </c>
      <c r="D109" s="1">
        <v>0</v>
      </c>
      <c r="E109" s="1">
        <v>0</v>
      </c>
      <c r="F109" s="1">
        <v>0</v>
      </c>
    </row>
    <row r="110" spans="1:6" x14ac:dyDescent="0.2">
      <c r="A110" s="2">
        <v>37987</v>
      </c>
      <c r="B110" s="4">
        <v>0.33320436303417589</v>
      </c>
      <c r="C110" s="1">
        <v>0</v>
      </c>
      <c r="D110" s="1">
        <v>10</v>
      </c>
      <c r="E110" s="1">
        <v>0</v>
      </c>
      <c r="F110" s="1">
        <v>0</v>
      </c>
    </row>
    <row r="111" spans="1:6" x14ac:dyDescent="0.2">
      <c r="A111" s="2">
        <v>38018</v>
      </c>
      <c r="B111" s="4">
        <v>0.27022339854840594</v>
      </c>
      <c r="C111" s="1">
        <v>10</v>
      </c>
      <c r="D111" s="1">
        <v>0</v>
      </c>
      <c r="E111" s="1">
        <v>0</v>
      </c>
      <c r="F111" s="1">
        <v>0</v>
      </c>
    </row>
    <row r="112" spans="1:6" x14ac:dyDescent="0.2">
      <c r="A112" s="2">
        <v>38047</v>
      </c>
      <c r="B112" s="4">
        <v>0.29650891217967257</v>
      </c>
      <c r="C112" s="1">
        <v>10</v>
      </c>
      <c r="D112" s="1">
        <v>0</v>
      </c>
      <c r="E112" s="1">
        <v>0</v>
      </c>
      <c r="F112" s="1">
        <v>0</v>
      </c>
    </row>
    <row r="113" spans="1:6" x14ac:dyDescent="0.2">
      <c r="A113" s="2">
        <v>38078</v>
      </c>
      <c r="B113" s="4">
        <v>0.34424419566385145</v>
      </c>
      <c r="C113" s="1">
        <v>0</v>
      </c>
      <c r="D113" s="1">
        <v>10</v>
      </c>
      <c r="E113" s="1">
        <v>0</v>
      </c>
      <c r="F113" s="1">
        <v>0</v>
      </c>
    </row>
    <row r="114" spans="1:6" x14ac:dyDescent="0.2">
      <c r="A114" s="2">
        <v>38108</v>
      </c>
      <c r="B114" s="4">
        <v>0.33020113583752764</v>
      </c>
      <c r="C114" s="1">
        <v>0</v>
      </c>
      <c r="D114" s="1">
        <v>10</v>
      </c>
      <c r="E114" s="1">
        <v>0</v>
      </c>
      <c r="F114" s="1">
        <v>0</v>
      </c>
    </row>
    <row r="115" spans="1:6" x14ac:dyDescent="0.2">
      <c r="A115" s="2">
        <v>38139</v>
      </c>
      <c r="B115" s="4">
        <v>0.31351983331394873</v>
      </c>
      <c r="C115" s="1">
        <v>0</v>
      </c>
      <c r="D115" s="1">
        <v>10</v>
      </c>
      <c r="E115" s="1">
        <v>0</v>
      </c>
      <c r="F115" s="1">
        <v>0</v>
      </c>
    </row>
    <row r="116" spans="1:6" x14ac:dyDescent="0.2">
      <c r="A116" s="2">
        <v>38169</v>
      </c>
      <c r="B116" s="4">
        <v>0.28444101970436197</v>
      </c>
      <c r="C116" s="1">
        <v>10</v>
      </c>
      <c r="D116" s="1">
        <v>0</v>
      </c>
      <c r="E116" s="1">
        <v>0</v>
      </c>
      <c r="F116" s="1">
        <v>0</v>
      </c>
    </row>
    <row r="117" spans="1:6" x14ac:dyDescent="0.2">
      <c r="A117" s="2">
        <v>38200</v>
      </c>
      <c r="B117" s="4">
        <v>0.28530896270257211</v>
      </c>
      <c r="C117" s="1">
        <v>0</v>
      </c>
      <c r="D117" s="1">
        <v>10</v>
      </c>
      <c r="E117" s="1">
        <v>0</v>
      </c>
      <c r="F117" s="1">
        <v>0</v>
      </c>
    </row>
    <row r="118" spans="1:6" x14ac:dyDescent="0.2">
      <c r="A118" s="2">
        <v>38231</v>
      </c>
      <c r="B118" s="4">
        <v>0.35215325934516328</v>
      </c>
      <c r="C118" s="1">
        <v>0</v>
      </c>
      <c r="D118" s="1">
        <v>10</v>
      </c>
      <c r="E118" s="1">
        <v>0</v>
      </c>
      <c r="F118" s="1">
        <v>0</v>
      </c>
    </row>
    <row r="119" spans="1:6" x14ac:dyDescent="0.2">
      <c r="A119" s="2">
        <v>38261</v>
      </c>
      <c r="B119" s="4">
        <v>0.35808243392449979</v>
      </c>
      <c r="C119" s="1">
        <v>0</v>
      </c>
      <c r="D119" s="1">
        <v>10</v>
      </c>
      <c r="E119" s="1">
        <v>0</v>
      </c>
      <c r="F119" s="1">
        <v>0</v>
      </c>
    </row>
    <row r="120" spans="1:6" x14ac:dyDescent="0.2">
      <c r="A120" s="2">
        <v>38292</v>
      </c>
      <c r="B120" s="4">
        <v>0.29927162377210581</v>
      </c>
      <c r="C120" s="1">
        <v>0</v>
      </c>
      <c r="D120" s="1">
        <v>0</v>
      </c>
      <c r="E120" s="1">
        <v>10</v>
      </c>
      <c r="F120" s="1">
        <v>0</v>
      </c>
    </row>
    <row r="121" spans="1:6" x14ac:dyDescent="0.2">
      <c r="A121" s="2">
        <v>38322</v>
      </c>
      <c r="B121" s="4">
        <v>0.23873770321772636</v>
      </c>
      <c r="C121" s="1">
        <v>10</v>
      </c>
      <c r="D121" s="1">
        <v>0</v>
      </c>
      <c r="E121" s="1">
        <v>0</v>
      </c>
      <c r="F121" s="1">
        <v>0</v>
      </c>
    </row>
    <row r="122" spans="1:6" x14ac:dyDescent="0.2">
      <c r="A122" s="2">
        <v>38353</v>
      </c>
      <c r="B122" s="4">
        <v>0.2664592864880867</v>
      </c>
      <c r="C122" s="1">
        <v>10</v>
      </c>
      <c r="D122" s="1">
        <v>0</v>
      </c>
      <c r="E122" s="1">
        <v>0</v>
      </c>
      <c r="F122" s="1">
        <v>0</v>
      </c>
    </row>
    <row r="123" spans="1:6" x14ac:dyDescent="0.2">
      <c r="A123" s="2">
        <v>38384</v>
      </c>
      <c r="B123" s="4">
        <v>0.36329006286473386</v>
      </c>
      <c r="C123" s="1">
        <v>0</v>
      </c>
      <c r="D123" s="1">
        <v>10</v>
      </c>
      <c r="E123" s="1">
        <v>0</v>
      </c>
      <c r="F123" s="1">
        <v>0</v>
      </c>
    </row>
    <row r="124" spans="1:6" x14ac:dyDescent="0.2">
      <c r="A124" s="2">
        <v>38412</v>
      </c>
      <c r="B124" s="4">
        <v>0.35522300618759817</v>
      </c>
      <c r="C124" s="1">
        <v>0</v>
      </c>
      <c r="D124" s="1">
        <v>0</v>
      </c>
      <c r="E124" s="1">
        <v>10</v>
      </c>
      <c r="F124" s="1">
        <v>0</v>
      </c>
    </row>
    <row r="125" spans="1:6" x14ac:dyDescent="0.2">
      <c r="A125" s="2">
        <v>38443</v>
      </c>
      <c r="B125" s="4">
        <v>0.3199409592584217</v>
      </c>
      <c r="C125" s="1">
        <v>0</v>
      </c>
      <c r="D125" s="1">
        <v>0</v>
      </c>
      <c r="E125" s="1">
        <v>10</v>
      </c>
      <c r="F125" s="1">
        <v>0</v>
      </c>
    </row>
    <row r="126" spans="1:6" x14ac:dyDescent="0.2">
      <c r="A126" s="2">
        <v>38473</v>
      </c>
      <c r="B126" s="4">
        <v>0.33672828410624833</v>
      </c>
      <c r="C126" s="1">
        <v>10</v>
      </c>
      <c r="D126" s="1">
        <v>0</v>
      </c>
      <c r="E126" s="1">
        <v>0</v>
      </c>
      <c r="F126" s="1">
        <v>0</v>
      </c>
    </row>
    <row r="127" spans="1:6" x14ac:dyDescent="0.2">
      <c r="A127" s="2">
        <v>38504</v>
      </c>
      <c r="B127" s="4">
        <v>0.26052030723647701</v>
      </c>
      <c r="C127" s="1">
        <v>10</v>
      </c>
      <c r="D127" s="1">
        <v>0</v>
      </c>
      <c r="E127" s="1">
        <v>0</v>
      </c>
      <c r="F127" s="1">
        <v>0</v>
      </c>
    </row>
    <row r="128" spans="1:6" x14ac:dyDescent="0.2">
      <c r="A128" s="2">
        <v>38534</v>
      </c>
      <c r="B128" s="4">
        <v>0.33357652608007382</v>
      </c>
      <c r="C128" s="1">
        <v>0</v>
      </c>
      <c r="D128" s="1">
        <v>10</v>
      </c>
      <c r="E128" s="1">
        <v>0</v>
      </c>
      <c r="F128" s="1">
        <v>0</v>
      </c>
    </row>
    <row r="129" spans="1:6" x14ac:dyDescent="0.2">
      <c r="A129" s="2">
        <v>38565</v>
      </c>
      <c r="B129" s="4">
        <v>0.34075580727628751</v>
      </c>
      <c r="C129" s="1">
        <v>0</v>
      </c>
      <c r="D129" s="1">
        <v>10</v>
      </c>
      <c r="E129" s="1">
        <v>0</v>
      </c>
      <c r="F129" s="1">
        <v>0</v>
      </c>
    </row>
    <row r="130" spans="1:6" x14ac:dyDescent="0.2">
      <c r="A130" s="2">
        <v>38596</v>
      </c>
      <c r="B130" s="4">
        <v>0.27666562116022564</v>
      </c>
      <c r="C130" s="1">
        <v>0</v>
      </c>
      <c r="D130" s="1">
        <v>10</v>
      </c>
      <c r="E130" s="1">
        <v>0</v>
      </c>
      <c r="F130" s="1">
        <v>0</v>
      </c>
    </row>
    <row r="131" spans="1:6" x14ac:dyDescent="0.2">
      <c r="A131" s="2">
        <v>38626</v>
      </c>
      <c r="B131" s="4">
        <v>0.2547655813061187</v>
      </c>
      <c r="C131" s="1">
        <v>10</v>
      </c>
      <c r="D131" s="1">
        <v>0</v>
      </c>
      <c r="E131" s="1">
        <v>0</v>
      </c>
      <c r="F131" s="1">
        <v>0</v>
      </c>
    </row>
    <row r="132" spans="1:6" x14ac:dyDescent="0.2">
      <c r="A132" s="2">
        <v>38657</v>
      </c>
      <c r="B132" s="4">
        <v>0.28826187475487908</v>
      </c>
      <c r="C132" s="1">
        <v>10</v>
      </c>
      <c r="D132" s="1">
        <v>0</v>
      </c>
      <c r="E132" s="1">
        <v>0</v>
      </c>
      <c r="F132" s="1">
        <v>0</v>
      </c>
    </row>
    <row r="133" spans="1:6" x14ac:dyDescent="0.2">
      <c r="A133" s="2">
        <v>38687</v>
      </c>
      <c r="B133" s="4">
        <v>0.29459424769255493</v>
      </c>
      <c r="C133" s="1">
        <v>10</v>
      </c>
      <c r="D133" s="1">
        <v>0</v>
      </c>
      <c r="E133" s="1">
        <v>0</v>
      </c>
      <c r="F133" s="1">
        <v>0</v>
      </c>
    </row>
    <row r="134" spans="1:6" x14ac:dyDescent="0.2">
      <c r="A134" s="2">
        <v>38718</v>
      </c>
      <c r="B134" s="4">
        <v>0.30983188498100722</v>
      </c>
      <c r="C134" s="1">
        <v>0</v>
      </c>
      <c r="D134" s="1">
        <v>10</v>
      </c>
      <c r="E134" s="1">
        <v>0</v>
      </c>
      <c r="F134" s="1">
        <v>0</v>
      </c>
    </row>
    <row r="135" spans="1:6" x14ac:dyDescent="0.2">
      <c r="A135" s="2">
        <v>38749</v>
      </c>
      <c r="B135" s="4">
        <v>0.31240789890177079</v>
      </c>
      <c r="C135" s="1">
        <v>0</v>
      </c>
      <c r="D135" s="1">
        <v>10</v>
      </c>
      <c r="E135" s="1">
        <v>0</v>
      </c>
      <c r="F135" s="1">
        <v>0</v>
      </c>
    </row>
    <row r="136" spans="1:6" x14ac:dyDescent="0.2">
      <c r="A136" s="2">
        <v>38777</v>
      </c>
      <c r="B136" s="4">
        <v>0.2684907792555784</v>
      </c>
      <c r="C136" s="1">
        <v>0</v>
      </c>
      <c r="D136" s="1">
        <v>10</v>
      </c>
      <c r="E136" s="1">
        <v>0</v>
      </c>
      <c r="F136" s="1">
        <v>0</v>
      </c>
    </row>
    <row r="137" spans="1:6" x14ac:dyDescent="0.2">
      <c r="A137" s="2">
        <v>38808</v>
      </c>
      <c r="B137" s="4">
        <v>0.30432409622196632</v>
      </c>
      <c r="C137" s="1">
        <v>0</v>
      </c>
      <c r="D137" s="1">
        <v>10</v>
      </c>
      <c r="E137" s="1">
        <v>0</v>
      </c>
      <c r="F137" s="1">
        <v>0</v>
      </c>
    </row>
    <row r="138" spans="1:6" x14ac:dyDescent="0.2">
      <c r="A138" s="2">
        <v>38838</v>
      </c>
      <c r="B138" s="4">
        <v>0.30207338617249668</v>
      </c>
      <c r="C138" s="1">
        <v>0</v>
      </c>
      <c r="D138" s="1">
        <v>10</v>
      </c>
      <c r="E138" s="1">
        <v>0</v>
      </c>
      <c r="F138" s="1">
        <v>0</v>
      </c>
    </row>
    <row r="139" spans="1:6" x14ac:dyDescent="0.2">
      <c r="A139" s="2">
        <v>38869</v>
      </c>
      <c r="B139" s="4">
        <v>0.31560396815281178</v>
      </c>
      <c r="C139" s="1">
        <v>0</v>
      </c>
      <c r="D139" s="1">
        <v>0</v>
      </c>
      <c r="E139" s="1">
        <v>10</v>
      </c>
      <c r="F139" s="1">
        <v>0</v>
      </c>
    </row>
    <row r="140" spans="1:6" x14ac:dyDescent="0.2">
      <c r="A140" s="2">
        <v>38899</v>
      </c>
      <c r="B140" s="4">
        <v>0.33687861922317219</v>
      </c>
      <c r="C140" s="1">
        <v>0</v>
      </c>
      <c r="D140" s="1">
        <v>0</v>
      </c>
      <c r="E140" s="1">
        <v>10</v>
      </c>
      <c r="F140" s="1">
        <v>0</v>
      </c>
    </row>
    <row r="141" spans="1:6" x14ac:dyDescent="0.2">
      <c r="A141" s="2">
        <v>38930</v>
      </c>
      <c r="B141" s="4">
        <v>0.32856552260257732</v>
      </c>
      <c r="C141" s="1">
        <v>0</v>
      </c>
      <c r="D141" s="1">
        <v>0</v>
      </c>
      <c r="E141" s="1">
        <v>10</v>
      </c>
      <c r="F141" s="1">
        <v>0</v>
      </c>
    </row>
    <row r="142" spans="1:6" x14ac:dyDescent="0.2">
      <c r="A142" s="2">
        <v>38961</v>
      </c>
      <c r="B142" s="4">
        <v>0.37623210173609967</v>
      </c>
      <c r="C142" s="1">
        <v>0</v>
      </c>
      <c r="D142" s="1">
        <v>0</v>
      </c>
      <c r="E142" s="1">
        <v>10</v>
      </c>
      <c r="F142" s="1">
        <v>0</v>
      </c>
    </row>
    <row r="143" spans="1:6" x14ac:dyDescent="0.2">
      <c r="A143" s="2">
        <v>38991</v>
      </c>
      <c r="B143" s="4">
        <v>0.33228849289922424</v>
      </c>
      <c r="C143" s="1">
        <v>0</v>
      </c>
      <c r="D143" s="1">
        <v>0</v>
      </c>
      <c r="E143" s="1">
        <v>0</v>
      </c>
      <c r="F143" s="1">
        <v>10</v>
      </c>
    </row>
    <row r="144" spans="1:6" x14ac:dyDescent="0.2">
      <c r="A144" s="2">
        <v>39022</v>
      </c>
      <c r="B144" s="4">
        <v>0.33616991163587917</v>
      </c>
      <c r="C144" s="1">
        <v>0</v>
      </c>
      <c r="D144" s="1">
        <v>0</v>
      </c>
      <c r="E144" s="1">
        <v>0</v>
      </c>
      <c r="F144" s="1">
        <v>10</v>
      </c>
    </row>
    <row r="145" spans="1:6" x14ac:dyDescent="0.2">
      <c r="A145" s="2">
        <v>39052</v>
      </c>
      <c r="B145" s="4">
        <v>0.36481560546687197</v>
      </c>
      <c r="C145" s="1">
        <v>0</v>
      </c>
      <c r="D145" s="1">
        <v>0</v>
      </c>
      <c r="E145" s="1">
        <v>0</v>
      </c>
      <c r="F145" s="1">
        <v>10</v>
      </c>
    </row>
    <row r="146" spans="1:6" x14ac:dyDescent="0.2">
      <c r="A146" s="2">
        <v>39083</v>
      </c>
      <c r="B146" s="4">
        <v>0.36635459651861169</v>
      </c>
      <c r="C146" s="1">
        <v>0</v>
      </c>
      <c r="D146" s="1">
        <v>0</v>
      </c>
      <c r="E146" s="1">
        <v>10</v>
      </c>
      <c r="F146" s="1">
        <v>0</v>
      </c>
    </row>
    <row r="147" spans="1:6" x14ac:dyDescent="0.2">
      <c r="A147" s="2">
        <v>39114</v>
      </c>
      <c r="B147" s="4">
        <v>0.30225822688023862</v>
      </c>
      <c r="C147" s="1">
        <v>0</v>
      </c>
      <c r="D147" s="1">
        <v>0</v>
      </c>
      <c r="E147" s="1">
        <v>0</v>
      </c>
      <c r="F147" s="1">
        <v>10</v>
      </c>
    </row>
    <row r="148" spans="1:6" x14ac:dyDescent="0.2">
      <c r="A148" s="2">
        <v>39142</v>
      </c>
      <c r="B148" s="4">
        <v>0.37225593799178358</v>
      </c>
      <c r="C148" s="1">
        <v>0</v>
      </c>
      <c r="D148" s="1">
        <v>0</v>
      </c>
      <c r="E148" s="1">
        <v>0</v>
      </c>
      <c r="F148" s="1">
        <v>10</v>
      </c>
    </row>
    <row r="149" spans="1:6" x14ac:dyDescent="0.2">
      <c r="A149" s="2">
        <v>39173</v>
      </c>
      <c r="B149" s="4">
        <v>0.3055634872230768</v>
      </c>
      <c r="C149" s="1">
        <v>0</v>
      </c>
      <c r="D149" s="1">
        <v>0</v>
      </c>
      <c r="E149" s="1">
        <v>0</v>
      </c>
      <c r="F149" s="1">
        <v>10</v>
      </c>
    </row>
    <row r="150" spans="1:6" x14ac:dyDescent="0.2">
      <c r="A150" s="2">
        <v>39203</v>
      </c>
      <c r="B150" s="4">
        <v>0.31704619729328187</v>
      </c>
      <c r="C150" s="1">
        <v>0</v>
      </c>
      <c r="D150" s="1">
        <v>0</v>
      </c>
      <c r="E150" s="1">
        <v>10</v>
      </c>
      <c r="F150" s="1">
        <v>0</v>
      </c>
    </row>
    <row r="151" spans="1:6" x14ac:dyDescent="0.2">
      <c r="A151" s="2">
        <v>39234</v>
      </c>
      <c r="B151" s="4">
        <v>0.35434353987905032</v>
      </c>
      <c r="C151" s="1">
        <v>0</v>
      </c>
      <c r="D151" s="1">
        <v>0</v>
      </c>
      <c r="E151" s="1">
        <v>0</v>
      </c>
      <c r="F151" s="1">
        <v>10</v>
      </c>
    </row>
    <row r="152" spans="1:6" x14ac:dyDescent="0.2">
      <c r="A152" s="2">
        <v>39264</v>
      </c>
      <c r="B152" s="4">
        <v>0.35083141586644351</v>
      </c>
      <c r="C152" s="1">
        <v>0</v>
      </c>
      <c r="D152" s="1">
        <v>0</v>
      </c>
      <c r="E152" s="1">
        <v>10</v>
      </c>
      <c r="F152" s="1">
        <v>0</v>
      </c>
    </row>
    <row r="153" spans="1:6" x14ac:dyDescent="0.2">
      <c r="A153" s="2">
        <v>39295</v>
      </c>
      <c r="B153" s="4">
        <v>0.48693511319300853</v>
      </c>
      <c r="C153" s="1">
        <v>0</v>
      </c>
      <c r="D153" s="1">
        <v>0</v>
      </c>
      <c r="E153" s="1">
        <v>10</v>
      </c>
      <c r="F153" s="1">
        <v>0</v>
      </c>
    </row>
    <row r="154" spans="1:6" x14ac:dyDescent="0.2">
      <c r="A154" s="2">
        <v>39326</v>
      </c>
      <c r="B154" s="4">
        <v>0.51653536783584819</v>
      </c>
      <c r="C154" s="1">
        <v>0</v>
      </c>
      <c r="D154" s="1">
        <v>0</v>
      </c>
      <c r="E154" s="1">
        <v>10</v>
      </c>
      <c r="F154" s="1">
        <v>0</v>
      </c>
    </row>
    <row r="155" spans="1:6" x14ac:dyDescent="0.2">
      <c r="A155" s="2">
        <v>39356</v>
      </c>
      <c r="B155" s="4">
        <v>0.4979300443190976</v>
      </c>
      <c r="C155" s="1">
        <v>0</v>
      </c>
      <c r="D155" s="1">
        <v>0</v>
      </c>
      <c r="E155" s="1">
        <v>10</v>
      </c>
      <c r="F155" s="1">
        <v>0</v>
      </c>
    </row>
    <row r="156" spans="1:6" x14ac:dyDescent="0.2">
      <c r="A156" s="2">
        <v>39387</v>
      </c>
      <c r="B156" s="4">
        <v>0.49330901961669582</v>
      </c>
      <c r="C156" s="1">
        <v>0</v>
      </c>
      <c r="D156" s="1">
        <v>0</v>
      </c>
      <c r="E156" s="1">
        <v>0</v>
      </c>
      <c r="F156" s="1">
        <v>10</v>
      </c>
    </row>
    <row r="157" spans="1:6" x14ac:dyDescent="0.2">
      <c r="A157" s="2">
        <v>39417</v>
      </c>
      <c r="B157" s="4">
        <v>0.53752610215936003</v>
      </c>
      <c r="C157" s="1">
        <v>0</v>
      </c>
      <c r="D157" s="1">
        <v>0</v>
      </c>
      <c r="E157" s="1">
        <v>0</v>
      </c>
      <c r="F157" s="1">
        <v>10</v>
      </c>
    </row>
    <row r="158" spans="1:6" x14ac:dyDescent="0.2">
      <c r="A158" s="2">
        <v>39448</v>
      </c>
      <c r="B158" s="4">
        <v>0.57025762501195754</v>
      </c>
      <c r="C158" s="1">
        <v>0</v>
      </c>
      <c r="D158" s="1">
        <v>0</v>
      </c>
      <c r="E158" s="1">
        <v>10</v>
      </c>
      <c r="F158" s="1">
        <v>0</v>
      </c>
    </row>
    <row r="159" spans="1:6" x14ac:dyDescent="0.2">
      <c r="A159" s="2">
        <v>39479</v>
      </c>
      <c r="B159" s="4">
        <v>0.52520945427451482</v>
      </c>
      <c r="C159" s="1">
        <v>0</v>
      </c>
      <c r="D159" s="1">
        <v>0</v>
      </c>
      <c r="E159" s="1">
        <v>0</v>
      </c>
      <c r="F159" s="1">
        <v>10</v>
      </c>
    </row>
    <row r="160" spans="1:6" x14ac:dyDescent="0.2">
      <c r="A160" s="2">
        <v>39508</v>
      </c>
      <c r="B160" s="4">
        <v>0.64375291386233613</v>
      </c>
      <c r="C160" s="1">
        <v>0</v>
      </c>
      <c r="D160" s="1">
        <v>0</v>
      </c>
      <c r="E160" s="1">
        <v>10</v>
      </c>
      <c r="F160" s="1">
        <v>0</v>
      </c>
    </row>
    <row r="161" spans="1:6" x14ac:dyDescent="0.2">
      <c r="A161" s="2">
        <v>39539</v>
      </c>
      <c r="B161" s="4">
        <v>0.60196465253552212</v>
      </c>
      <c r="C161" s="1">
        <v>0</v>
      </c>
      <c r="D161" s="1">
        <v>0</v>
      </c>
      <c r="E161" s="1">
        <v>0</v>
      </c>
      <c r="F161" s="1">
        <v>10</v>
      </c>
    </row>
    <row r="162" spans="1:6" x14ac:dyDescent="0.2">
      <c r="A162" s="2">
        <v>39569</v>
      </c>
      <c r="B162" s="4">
        <v>0.52942661604935859</v>
      </c>
      <c r="C162" s="1">
        <v>0</v>
      </c>
      <c r="D162" s="1">
        <v>0</v>
      </c>
      <c r="E162" s="1">
        <v>0</v>
      </c>
      <c r="F162" s="1">
        <v>10</v>
      </c>
    </row>
    <row r="163" spans="1:6" x14ac:dyDescent="0.2">
      <c r="A163" s="2">
        <v>39600</v>
      </c>
      <c r="B163" s="4">
        <v>0.55322785485365988</v>
      </c>
      <c r="C163" s="1">
        <v>0</v>
      </c>
      <c r="D163" s="1">
        <v>0</v>
      </c>
      <c r="E163" s="1">
        <v>0</v>
      </c>
      <c r="F163" s="1">
        <v>10</v>
      </c>
    </row>
    <row r="164" spans="1:6" x14ac:dyDescent="0.2">
      <c r="A164" s="2">
        <v>39630</v>
      </c>
      <c r="B164" s="4">
        <v>0.56222843211523621</v>
      </c>
      <c r="C164" s="1">
        <v>0</v>
      </c>
      <c r="D164" s="1">
        <v>0</v>
      </c>
      <c r="E164" s="1">
        <v>0</v>
      </c>
      <c r="F164" s="1">
        <v>10</v>
      </c>
    </row>
    <row r="165" spans="1:6" x14ac:dyDescent="0.2">
      <c r="A165" s="2">
        <v>39661</v>
      </c>
      <c r="B165" s="4">
        <v>0.67200597724656308</v>
      </c>
      <c r="C165" s="1">
        <v>0</v>
      </c>
      <c r="D165" s="1">
        <v>0</v>
      </c>
      <c r="E165" s="1">
        <v>10</v>
      </c>
      <c r="F165" s="1">
        <v>0</v>
      </c>
    </row>
    <row r="166" spans="1:6" x14ac:dyDescent="0.2">
      <c r="A166" s="2">
        <v>39692</v>
      </c>
      <c r="B166" s="4">
        <v>0.74817452242462135</v>
      </c>
      <c r="C166" s="1">
        <v>0</v>
      </c>
      <c r="D166" s="1">
        <v>0</v>
      </c>
      <c r="E166" s="1">
        <v>10</v>
      </c>
      <c r="F166" s="1">
        <v>0</v>
      </c>
    </row>
    <row r="167" spans="1:6" x14ac:dyDescent="0.2">
      <c r="A167" s="2">
        <v>39722</v>
      </c>
      <c r="B167" s="4">
        <v>0.82598294675717299</v>
      </c>
      <c r="C167" s="1">
        <v>0</v>
      </c>
      <c r="D167" s="1">
        <v>0</v>
      </c>
      <c r="E167" s="1">
        <v>10</v>
      </c>
      <c r="F167" s="1">
        <v>0</v>
      </c>
    </row>
    <row r="168" spans="1:6" x14ac:dyDescent="0.2">
      <c r="A168" s="2">
        <v>39753</v>
      </c>
      <c r="B168" s="4">
        <v>0.82347092304243952</v>
      </c>
      <c r="C168" s="1">
        <v>0</v>
      </c>
      <c r="D168" s="1">
        <v>0</v>
      </c>
      <c r="E168" s="1">
        <v>10</v>
      </c>
      <c r="F168" s="1">
        <v>0</v>
      </c>
    </row>
    <row r="169" spans="1:6" x14ac:dyDescent="0.2">
      <c r="A169" s="2">
        <v>39783</v>
      </c>
      <c r="B169" s="4">
        <v>0.81081363624250646</v>
      </c>
      <c r="C169" s="1">
        <v>0</v>
      </c>
      <c r="D169" s="1">
        <v>0</v>
      </c>
      <c r="E169" s="1">
        <v>0</v>
      </c>
      <c r="F169" s="1">
        <v>10</v>
      </c>
    </row>
    <row r="170" spans="1:6" x14ac:dyDescent="0.2">
      <c r="A170" s="2">
        <v>39814</v>
      </c>
      <c r="B170" s="4">
        <v>0.71995351138937214</v>
      </c>
      <c r="C170" s="1">
        <v>0</v>
      </c>
      <c r="D170" s="1">
        <v>0</v>
      </c>
      <c r="E170" s="1">
        <v>0</v>
      </c>
      <c r="F170" s="1">
        <v>10</v>
      </c>
    </row>
    <row r="171" spans="1:6" x14ac:dyDescent="0.2">
      <c r="A171" s="2">
        <v>39845</v>
      </c>
      <c r="B171" s="4">
        <v>0.76598434411208327</v>
      </c>
      <c r="C171" s="1">
        <v>0</v>
      </c>
      <c r="D171" s="1">
        <v>0</v>
      </c>
      <c r="E171" s="1">
        <v>0</v>
      </c>
      <c r="F171" s="1">
        <v>10</v>
      </c>
    </row>
    <row r="172" spans="1:6" x14ac:dyDescent="0.2">
      <c r="A172" s="2">
        <v>39873</v>
      </c>
      <c r="B172" s="4">
        <v>0.76222790592228373</v>
      </c>
      <c r="C172" s="1">
        <v>0</v>
      </c>
      <c r="D172" s="1">
        <v>0</v>
      </c>
      <c r="E172" s="1">
        <v>0</v>
      </c>
      <c r="F172" s="1">
        <v>10</v>
      </c>
    </row>
    <row r="173" spans="1:6" x14ac:dyDescent="0.2">
      <c r="A173" s="2">
        <v>39904</v>
      </c>
      <c r="B173" s="4">
        <v>0.78053977322824697</v>
      </c>
      <c r="C173" s="1">
        <v>0</v>
      </c>
      <c r="D173" s="1">
        <v>0</v>
      </c>
      <c r="E173" s="1">
        <v>0</v>
      </c>
      <c r="F173" s="1">
        <v>10</v>
      </c>
    </row>
    <row r="174" spans="1:6" x14ac:dyDescent="0.2">
      <c r="A174" s="2">
        <v>39934</v>
      </c>
      <c r="B174" s="4">
        <v>0.74734991273244078</v>
      </c>
      <c r="C174" s="1">
        <v>0</v>
      </c>
      <c r="D174" s="1">
        <v>0</v>
      </c>
      <c r="E174" s="1">
        <v>0</v>
      </c>
      <c r="F174" s="1">
        <v>10</v>
      </c>
    </row>
    <row r="175" spans="1:6" x14ac:dyDescent="0.2">
      <c r="A175" s="2">
        <v>39965</v>
      </c>
      <c r="B175" s="4">
        <v>0.73637814213167752</v>
      </c>
      <c r="C175" s="1">
        <v>0</v>
      </c>
      <c r="D175" s="1">
        <v>0</v>
      </c>
      <c r="E175" s="1">
        <v>0</v>
      </c>
      <c r="F175" s="1">
        <v>10</v>
      </c>
    </row>
    <row r="176" spans="1:6" x14ac:dyDescent="0.2">
      <c r="A176" s="2">
        <v>39995</v>
      </c>
      <c r="B176" s="4">
        <v>0.72256158103691259</v>
      </c>
      <c r="C176" s="1">
        <v>10</v>
      </c>
      <c r="D176" s="1">
        <v>0</v>
      </c>
      <c r="E176" s="1">
        <v>0</v>
      </c>
      <c r="F176" s="1">
        <v>0</v>
      </c>
    </row>
    <row r="177" spans="1:6" x14ac:dyDescent="0.2">
      <c r="A177" s="2">
        <v>40026</v>
      </c>
      <c r="B177" s="4">
        <v>0.6581199262781019</v>
      </c>
      <c r="C177" s="1">
        <v>10</v>
      </c>
      <c r="D177" s="1">
        <v>0</v>
      </c>
      <c r="E177" s="1">
        <v>0</v>
      </c>
      <c r="F177" s="1">
        <v>0</v>
      </c>
    </row>
    <row r="178" spans="1:6" x14ac:dyDescent="0.2">
      <c r="A178" s="2">
        <v>40057</v>
      </c>
      <c r="B178" s="4">
        <v>0.61318651960531523</v>
      </c>
      <c r="C178" s="1">
        <v>10</v>
      </c>
      <c r="D178" s="1">
        <v>0</v>
      </c>
      <c r="E178" s="1">
        <v>0</v>
      </c>
      <c r="F178" s="1">
        <v>0</v>
      </c>
    </row>
    <row r="179" spans="1:6" x14ac:dyDescent="0.2">
      <c r="A179" s="2">
        <v>40087</v>
      </c>
      <c r="B179" s="4">
        <v>0.61276758743771631</v>
      </c>
      <c r="C179" s="1">
        <v>10</v>
      </c>
      <c r="D179" s="1">
        <v>0</v>
      </c>
      <c r="E179" s="1">
        <v>0</v>
      </c>
      <c r="F179" s="1">
        <v>0</v>
      </c>
    </row>
    <row r="180" spans="1:6" x14ac:dyDescent="0.2">
      <c r="A180" s="2">
        <v>40118</v>
      </c>
      <c r="B180" s="4">
        <v>0.57500652696886734</v>
      </c>
      <c r="C180" s="1">
        <v>0</v>
      </c>
      <c r="D180" s="1">
        <v>10</v>
      </c>
      <c r="E180" s="1">
        <v>0</v>
      </c>
      <c r="F180" s="1">
        <v>0</v>
      </c>
    </row>
    <row r="181" spans="1:6" x14ac:dyDescent="0.2">
      <c r="A181" s="2">
        <v>40148</v>
      </c>
      <c r="B181" s="4">
        <v>0.55212489451497859</v>
      </c>
      <c r="C181" s="1">
        <v>0</v>
      </c>
      <c r="D181" s="1">
        <v>10</v>
      </c>
      <c r="E181" s="1">
        <v>0</v>
      </c>
      <c r="F181" s="1">
        <v>0</v>
      </c>
    </row>
    <row r="182" spans="1:6" x14ac:dyDescent="0.2">
      <c r="A182" s="2">
        <v>40179</v>
      </c>
      <c r="B182" s="4">
        <v>0.54692538711097072</v>
      </c>
      <c r="C182" s="1">
        <v>0</v>
      </c>
      <c r="D182" s="1">
        <v>10</v>
      </c>
      <c r="E182" s="1">
        <v>0</v>
      </c>
      <c r="F182" s="1">
        <v>0</v>
      </c>
    </row>
    <row r="183" spans="1:6" x14ac:dyDescent="0.2">
      <c r="A183" s="2">
        <v>40210</v>
      </c>
      <c r="B183" s="4">
        <v>0.55486067591340138</v>
      </c>
      <c r="C183" s="1">
        <v>0</v>
      </c>
      <c r="D183" s="1">
        <v>10</v>
      </c>
      <c r="E183" s="1">
        <v>0</v>
      </c>
      <c r="F183" s="1">
        <v>0</v>
      </c>
    </row>
    <row r="184" spans="1:6" x14ac:dyDescent="0.2">
      <c r="A184" s="2">
        <v>40238</v>
      </c>
      <c r="B184" s="4">
        <v>0.42829335334906582</v>
      </c>
      <c r="C184" s="1">
        <v>10</v>
      </c>
      <c r="D184" s="1">
        <v>0</v>
      </c>
      <c r="E184" s="1">
        <v>0</v>
      </c>
      <c r="F184" s="1">
        <v>0</v>
      </c>
    </row>
    <row r="185" spans="1:6" x14ac:dyDescent="0.2">
      <c r="A185" s="2">
        <v>40269</v>
      </c>
      <c r="B185" s="4">
        <v>0.44129505740471986</v>
      </c>
      <c r="C185" s="1">
        <v>10</v>
      </c>
      <c r="D185" s="1">
        <v>0</v>
      </c>
      <c r="E185" s="1">
        <v>0</v>
      </c>
      <c r="F185" s="1">
        <v>0</v>
      </c>
    </row>
    <row r="186" spans="1:6" x14ac:dyDescent="0.2">
      <c r="A186" s="2">
        <v>40299</v>
      </c>
      <c r="B186" s="4">
        <v>0.4697470210769662</v>
      </c>
      <c r="C186" s="1">
        <v>10</v>
      </c>
      <c r="D186" s="1">
        <v>0</v>
      </c>
      <c r="E186" s="1">
        <v>0</v>
      </c>
      <c r="F186" s="1">
        <v>0</v>
      </c>
    </row>
    <row r="187" spans="1:6" x14ac:dyDescent="0.2">
      <c r="A187" s="2">
        <v>40330</v>
      </c>
      <c r="B187" s="4">
        <v>0.44401317754282721</v>
      </c>
      <c r="C187" s="1">
        <v>0</v>
      </c>
      <c r="D187" s="1">
        <v>10</v>
      </c>
      <c r="E187" s="1">
        <v>0</v>
      </c>
      <c r="F187" s="1">
        <v>0</v>
      </c>
    </row>
    <row r="188" spans="1:6" x14ac:dyDescent="0.2">
      <c r="A188" s="2">
        <v>40360</v>
      </c>
      <c r="B188" s="4">
        <v>0.44722620611741548</v>
      </c>
      <c r="C188" s="1">
        <v>0</v>
      </c>
      <c r="D188" s="1">
        <v>10</v>
      </c>
      <c r="E188" s="1">
        <v>0</v>
      </c>
      <c r="F188" s="1">
        <v>0</v>
      </c>
    </row>
    <row r="189" spans="1:6" x14ac:dyDescent="0.2">
      <c r="A189" s="2">
        <v>40391</v>
      </c>
      <c r="B189" s="4">
        <v>0.43556270925186835</v>
      </c>
      <c r="C189" s="1">
        <v>10</v>
      </c>
      <c r="D189" s="1">
        <v>0</v>
      </c>
      <c r="E189" s="1">
        <v>0</v>
      </c>
      <c r="F189" s="1">
        <v>0</v>
      </c>
    </row>
    <row r="190" spans="1:6" x14ac:dyDescent="0.2">
      <c r="A190" s="2">
        <v>40422</v>
      </c>
      <c r="B190" s="4">
        <v>0.39143898258361542</v>
      </c>
      <c r="C190" s="1">
        <v>10</v>
      </c>
      <c r="D190" s="1">
        <v>0</v>
      </c>
      <c r="E190" s="1">
        <v>0</v>
      </c>
      <c r="F190" s="1">
        <v>0</v>
      </c>
    </row>
    <row r="191" spans="1:6" x14ac:dyDescent="0.2">
      <c r="A191" s="2">
        <v>40452</v>
      </c>
      <c r="B191" s="4">
        <v>0.38046415256179866</v>
      </c>
      <c r="C191" s="1">
        <v>10</v>
      </c>
      <c r="D191" s="1">
        <v>0</v>
      </c>
      <c r="E191" s="1">
        <v>0</v>
      </c>
      <c r="F191" s="1">
        <v>0</v>
      </c>
    </row>
    <row r="192" spans="1:6" x14ac:dyDescent="0.2">
      <c r="A192" s="2">
        <v>40483</v>
      </c>
      <c r="B192" s="4">
        <v>0.35650513652430982</v>
      </c>
      <c r="C192" s="1">
        <v>10</v>
      </c>
      <c r="D192" s="1">
        <v>0</v>
      </c>
      <c r="E192" s="1">
        <v>0</v>
      </c>
      <c r="F192" s="1">
        <v>0</v>
      </c>
    </row>
    <row r="193" spans="1:6" x14ac:dyDescent="0.2">
      <c r="A193" s="2">
        <v>40513</v>
      </c>
      <c r="B193" s="4">
        <v>0.36780298495202712</v>
      </c>
      <c r="C193" s="1">
        <v>0</v>
      </c>
      <c r="D193" s="1">
        <v>10</v>
      </c>
      <c r="E193" s="1">
        <v>0</v>
      </c>
      <c r="F193" s="1">
        <v>0</v>
      </c>
    </row>
    <row r="194" spans="1:6" x14ac:dyDescent="0.2">
      <c r="A194" s="2">
        <v>40544</v>
      </c>
      <c r="B194" s="4">
        <v>0.36464231788520451</v>
      </c>
      <c r="C194" s="1">
        <v>0</v>
      </c>
      <c r="D194" s="1">
        <v>10</v>
      </c>
      <c r="E194" s="1">
        <v>0</v>
      </c>
      <c r="F194" s="1">
        <v>0</v>
      </c>
    </row>
    <row r="195" spans="1:6" x14ac:dyDescent="0.2">
      <c r="A195" s="2">
        <v>40575</v>
      </c>
      <c r="B195" s="4">
        <v>0.39245804441136278</v>
      </c>
      <c r="C195" s="1">
        <v>0</v>
      </c>
      <c r="D195" s="1">
        <v>10</v>
      </c>
      <c r="E195" s="1">
        <v>0</v>
      </c>
      <c r="F195" s="1">
        <v>0</v>
      </c>
    </row>
    <row r="196" spans="1:6" x14ac:dyDescent="0.2">
      <c r="A196" s="2">
        <v>40603</v>
      </c>
      <c r="B196" s="4">
        <v>0.42612775550248039</v>
      </c>
      <c r="C196" s="1">
        <v>0</v>
      </c>
      <c r="D196" s="1">
        <v>0</v>
      </c>
      <c r="E196" s="1">
        <v>10</v>
      </c>
      <c r="F196" s="1">
        <v>0</v>
      </c>
    </row>
    <row r="197" spans="1:6" x14ac:dyDescent="0.2">
      <c r="A197" s="2">
        <v>40634</v>
      </c>
      <c r="B197" s="4">
        <v>0.39721775646166679</v>
      </c>
      <c r="C197" s="1">
        <v>0</v>
      </c>
      <c r="D197" s="1">
        <v>0</v>
      </c>
      <c r="E197" s="1">
        <v>10</v>
      </c>
      <c r="F197" s="1">
        <v>0</v>
      </c>
    </row>
    <row r="198" spans="1:6" x14ac:dyDescent="0.2">
      <c r="A198" s="2">
        <v>40664</v>
      </c>
      <c r="B198" s="4">
        <v>0.48915498965799054</v>
      </c>
      <c r="C198" s="1">
        <v>0</v>
      </c>
      <c r="D198" s="1">
        <v>0</v>
      </c>
      <c r="E198" s="1">
        <v>10</v>
      </c>
      <c r="F198" s="1">
        <v>0</v>
      </c>
    </row>
    <row r="199" spans="1:6" x14ac:dyDescent="0.2">
      <c r="A199" s="2">
        <v>40695</v>
      </c>
      <c r="B199" s="4">
        <v>0.46051427024953862</v>
      </c>
      <c r="C199" s="1">
        <v>0</v>
      </c>
      <c r="D199" s="1">
        <v>0</v>
      </c>
      <c r="E199" s="1">
        <v>10</v>
      </c>
      <c r="F199" s="1">
        <v>0</v>
      </c>
    </row>
    <row r="200" spans="1:6" x14ac:dyDescent="0.2">
      <c r="A200" s="2">
        <v>40725</v>
      </c>
      <c r="B200" s="4">
        <v>0.48170662458907265</v>
      </c>
      <c r="C200" s="1">
        <v>0</v>
      </c>
      <c r="D200" s="1">
        <v>0</v>
      </c>
      <c r="E200" s="1">
        <v>10</v>
      </c>
      <c r="F200" s="1">
        <v>0</v>
      </c>
    </row>
    <row r="201" spans="1:6" x14ac:dyDescent="0.2">
      <c r="A201" s="2">
        <v>40756</v>
      </c>
      <c r="B201" s="4">
        <v>0.50796841127711057</v>
      </c>
      <c r="C201" s="1">
        <v>0</v>
      </c>
      <c r="D201" s="1">
        <v>0</v>
      </c>
      <c r="E201" s="1">
        <v>0</v>
      </c>
      <c r="F201" s="1">
        <v>10</v>
      </c>
    </row>
    <row r="202" spans="1:6" x14ac:dyDescent="0.2">
      <c r="A202" s="2">
        <v>40787</v>
      </c>
      <c r="B202" s="4">
        <v>0.52623437156145569</v>
      </c>
      <c r="C202" s="1">
        <v>0</v>
      </c>
      <c r="D202" s="1">
        <v>0</v>
      </c>
      <c r="E202" s="1">
        <v>0</v>
      </c>
      <c r="F202" s="1">
        <v>10</v>
      </c>
    </row>
    <row r="203" spans="1:6" x14ac:dyDescent="0.2">
      <c r="A203" s="2">
        <v>40817</v>
      </c>
      <c r="B203" s="4">
        <v>0.534636906485775</v>
      </c>
      <c r="C203" s="1">
        <v>0</v>
      </c>
      <c r="D203" s="1">
        <v>0</v>
      </c>
      <c r="E203" s="1">
        <v>0</v>
      </c>
      <c r="F203" s="1">
        <v>10</v>
      </c>
    </row>
    <row r="204" spans="1:6" x14ac:dyDescent="0.2">
      <c r="A204" s="2">
        <v>40848</v>
      </c>
      <c r="B204" s="4">
        <v>0.50923443953162328</v>
      </c>
      <c r="C204" s="1">
        <v>0</v>
      </c>
      <c r="D204" s="1">
        <v>0</v>
      </c>
      <c r="E204" s="1">
        <v>0</v>
      </c>
      <c r="F204" s="1">
        <v>10</v>
      </c>
    </row>
    <row r="205" spans="1:6" x14ac:dyDescent="0.2">
      <c r="A205" s="2">
        <v>40878</v>
      </c>
      <c r="B205" s="4">
        <v>0.49594734470823176</v>
      </c>
      <c r="C205" s="1">
        <v>0</v>
      </c>
      <c r="D205" s="1">
        <v>0</v>
      </c>
      <c r="E205" s="1">
        <v>0</v>
      </c>
      <c r="F205" s="1">
        <v>10</v>
      </c>
    </row>
    <row r="206" spans="1:6" x14ac:dyDescent="0.2">
      <c r="A206" s="2">
        <v>40909</v>
      </c>
      <c r="B206" s="4">
        <v>0.51419859366435361</v>
      </c>
      <c r="C206" s="1">
        <v>0</v>
      </c>
      <c r="D206" s="1">
        <v>0</v>
      </c>
      <c r="E206" s="1">
        <v>0</v>
      </c>
      <c r="F206" s="1">
        <v>10</v>
      </c>
    </row>
    <row r="207" spans="1:6" x14ac:dyDescent="0.2">
      <c r="A207" s="2">
        <v>40940</v>
      </c>
      <c r="B207" s="4">
        <v>0.54076330535750183</v>
      </c>
      <c r="C207" s="1">
        <v>0</v>
      </c>
      <c r="D207" s="1">
        <v>0</v>
      </c>
      <c r="E207" s="1">
        <v>10</v>
      </c>
      <c r="F207" s="1">
        <v>0</v>
      </c>
    </row>
    <row r="208" spans="1:6" x14ac:dyDescent="0.2">
      <c r="A208" s="2">
        <v>40969</v>
      </c>
      <c r="B208" s="4">
        <v>0.54218575126894253</v>
      </c>
      <c r="C208" s="1">
        <v>0</v>
      </c>
      <c r="D208" s="1">
        <v>0</v>
      </c>
      <c r="E208" s="1">
        <v>10</v>
      </c>
      <c r="F208" s="1">
        <v>0</v>
      </c>
    </row>
    <row r="209" spans="1:6" x14ac:dyDescent="0.2">
      <c r="A209" s="2">
        <v>41000</v>
      </c>
      <c r="B209" s="4">
        <v>0.44755625141235578</v>
      </c>
      <c r="C209" s="1">
        <v>10</v>
      </c>
      <c r="D209" s="1">
        <v>0</v>
      </c>
      <c r="E209" s="1">
        <v>0</v>
      </c>
      <c r="F209" s="1">
        <v>0</v>
      </c>
    </row>
    <row r="210" spans="1:6" x14ac:dyDescent="0.2">
      <c r="A210" s="2">
        <v>41030</v>
      </c>
      <c r="B210" s="4">
        <v>0.43443488196783875</v>
      </c>
      <c r="C210" s="1">
        <v>10</v>
      </c>
      <c r="D210" s="1">
        <v>0</v>
      </c>
      <c r="E210" s="1">
        <v>0</v>
      </c>
      <c r="F210" s="1">
        <v>0</v>
      </c>
    </row>
    <row r="211" spans="1:6" x14ac:dyDescent="0.2">
      <c r="A211" s="2">
        <v>41061</v>
      </c>
      <c r="B211" s="4">
        <v>0.54364701166432572</v>
      </c>
      <c r="C211" s="1">
        <v>10</v>
      </c>
      <c r="D211" s="1">
        <v>0</v>
      </c>
      <c r="E211" s="1">
        <v>0</v>
      </c>
      <c r="F211" s="1">
        <v>0</v>
      </c>
    </row>
    <row r="212" spans="1:6" x14ac:dyDescent="0.2">
      <c r="A212" s="2">
        <v>41091</v>
      </c>
      <c r="B212" s="4">
        <v>0.48252470249556745</v>
      </c>
      <c r="C212" s="1">
        <v>0</v>
      </c>
      <c r="D212" s="1">
        <v>10</v>
      </c>
      <c r="E212" s="1">
        <v>0</v>
      </c>
      <c r="F212" s="1">
        <v>0</v>
      </c>
    </row>
    <row r="213" spans="1:6" x14ac:dyDescent="0.2">
      <c r="A213" s="2">
        <v>41122</v>
      </c>
      <c r="B213" s="4">
        <v>0.50553940420977483</v>
      </c>
      <c r="C213" s="1">
        <v>0</v>
      </c>
      <c r="D213" s="1">
        <v>10</v>
      </c>
      <c r="E213" s="1">
        <v>0</v>
      </c>
      <c r="F213" s="1">
        <v>0</v>
      </c>
    </row>
    <row r="214" spans="1:6" x14ac:dyDescent="0.2">
      <c r="A214" s="2">
        <v>41153</v>
      </c>
      <c r="B214" s="4">
        <v>0.53752712333055475</v>
      </c>
      <c r="C214" s="1">
        <v>0</v>
      </c>
      <c r="D214" s="1">
        <v>10</v>
      </c>
      <c r="E214" s="1">
        <v>0</v>
      </c>
      <c r="F214" s="1">
        <v>0</v>
      </c>
    </row>
    <row r="215" spans="1:6" x14ac:dyDescent="0.2">
      <c r="A215" s="2">
        <v>41183</v>
      </c>
      <c r="B215" s="4">
        <v>0.41953100992386894</v>
      </c>
      <c r="C215" s="1">
        <v>10</v>
      </c>
      <c r="D215" s="1">
        <v>0</v>
      </c>
      <c r="E215" s="1">
        <v>0</v>
      </c>
      <c r="F215" s="1">
        <v>0</v>
      </c>
    </row>
    <row r="216" spans="1:6" x14ac:dyDescent="0.2">
      <c r="A216" s="2">
        <v>41214</v>
      </c>
      <c r="B216" s="4">
        <v>0.55572338391433962</v>
      </c>
      <c r="C216" s="1">
        <v>0</v>
      </c>
      <c r="D216" s="1">
        <v>0</v>
      </c>
      <c r="E216" s="1">
        <v>10</v>
      </c>
      <c r="F216" s="1">
        <v>0</v>
      </c>
    </row>
    <row r="217" spans="1:6" x14ac:dyDescent="0.2">
      <c r="A217" s="2">
        <v>41244</v>
      </c>
      <c r="B217" s="4">
        <v>0.46127717644052102</v>
      </c>
      <c r="C217" s="1">
        <v>10</v>
      </c>
      <c r="D217" s="1">
        <v>0</v>
      </c>
      <c r="E217" s="1">
        <v>0</v>
      </c>
      <c r="F217" s="1">
        <v>0</v>
      </c>
    </row>
    <row r="218" spans="1:6" x14ac:dyDescent="0.2">
      <c r="A218" s="2">
        <v>41275</v>
      </c>
      <c r="B218" s="4">
        <v>0.52236181518462688</v>
      </c>
      <c r="C218" s="1">
        <v>0</v>
      </c>
      <c r="D218" s="1">
        <v>0</v>
      </c>
      <c r="E218" s="1">
        <v>10</v>
      </c>
      <c r="F218" s="1">
        <v>0</v>
      </c>
    </row>
    <row r="219" spans="1:6" x14ac:dyDescent="0.2">
      <c r="A219" s="2">
        <v>41306</v>
      </c>
      <c r="B219" s="4">
        <v>0.45674363841106169</v>
      </c>
      <c r="C219" s="1">
        <v>0</v>
      </c>
      <c r="D219" s="1">
        <v>0</v>
      </c>
      <c r="E219" s="1">
        <v>0</v>
      </c>
      <c r="F219" s="1">
        <v>10</v>
      </c>
    </row>
    <row r="220" spans="1:6" x14ac:dyDescent="0.2">
      <c r="A220" s="2">
        <v>41334</v>
      </c>
      <c r="B220" s="4">
        <v>0.51147233923391655</v>
      </c>
      <c r="C220" s="1">
        <v>0</v>
      </c>
      <c r="D220" s="1">
        <v>0</v>
      </c>
      <c r="E220" s="1">
        <v>10</v>
      </c>
      <c r="F220" s="1">
        <v>0</v>
      </c>
    </row>
    <row r="221" spans="1:6" x14ac:dyDescent="0.2">
      <c r="A221" s="2">
        <v>41365</v>
      </c>
      <c r="B221" s="4">
        <v>0.50420586103396059</v>
      </c>
      <c r="C221" s="1">
        <v>0</v>
      </c>
      <c r="D221" s="1">
        <v>0</v>
      </c>
      <c r="E221" s="1">
        <v>0</v>
      </c>
      <c r="F221" s="1">
        <v>10</v>
      </c>
    </row>
    <row r="222" spans="1:6" x14ac:dyDescent="0.2">
      <c r="A222" s="2">
        <v>41395</v>
      </c>
      <c r="B222" s="4">
        <v>0.5574563567973374</v>
      </c>
      <c r="C222" s="1">
        <v>0</v>
      </c>
      <c r="D222" s="1">
        <v>0</v>
      </c>
      <c r="E222" s="1">
        <v>10</v>
      </c>
      <c r="F222" s="1">
        <v>0</v>
      </c>
    </row>
    <row r="223" spans="1:6" x14ac:dyDescent="0.2">
      <c r="A223" s="2">
        <v>41426</v>
      </c>
      <c r="B223" s="4">
        <v>0.63933777351300813</v>
      </c>
      <c r="C223" s="1">
        <v>0</v>
      </c>
      <c r="D223" s="1">
        <v>0</v>
      </c>
      <c r="E223" s="1">
        <v>10</v>
      </c>
      <c r="F223" s="1">
        <v>0</v>
      </c>
    </row>
    <row r="224" spans="1:6" x14ac:dyDescent="0.2">
      <c r="A224" s="2">
        <v>41456</v>
      </c>
      <c r="B224" s="4">
        <v>0.50851427966970264</v>
      </c>
      <c r="C224" s="1">
        <v>0</v>
      </c>
      <c r="D224" s="1">
        <v>0</v>
      </c>
      <c r="E224" s="1">
        <v>10</v>
      </c>
      <c r="F224" s="1">
        <v>0</v>
      </c>
    </row>
    <row r="225" spans="1:6" x14ac:dyDescent="0.2">
      <c r="A225" s="2">
        <v>41487</v>
      </c>
      <c r="B225" s="4">
        <v>0.58145094141047982</v>
      </c>
      <c r="C225" s="1">
        <v>0</v>
      </c>
      <c r="D225" s="1">
        <v>0</v>
      </c>
      <c r="E225" s="1">
        <v>10</v>
      </c>
      <c r="F225" s="1">
        <v>0</v>
      </c>
    </row>
    <row r="226" spans="1:6" x14ac:dyDescent="0.2">
      <c r="A226" s="2">
        <v>41518</v>
      </c>
      <c r="B226" s="4">
        <v>0.40445594177090427</v>
      </c>
      <c r="C226" s="1">
        <v>0</v>
      </c>
      <c r="D226" s="1">
        <v>0</v>
      </c>
      <c r="E226" s="1">
        <v>0</v>
      </c>
      <c r="F226" s="1">
        <v>10</v>
      </c>
    </row>
    <row r="227" spans="1:6" x14ac:dyDescent="0.2">
      <c r="A227" s="2">
        <v>41548</v>
      </c>
      <c r="B227" s="4">
        <v>0.45317343195330073</v>
      </c>
      <c r="C227" s="1">
        <v>10</v>
      </c>
      <c r="D227" s="1">
        <v>0</v>
      </c>
      <c r="E227" s="1">
        <v>0</v>
      </c>
      <c r="F227" s="1">
        <v>0</v>
      </c>
    </row>
    <row r="228" spans="1:6" x14ac:dyDescent="0.2">
      <c r="A228" s="2">
        <v>41579</v>
      </c>
      <c r="B228" s="4">
        <v>0.52257638735149436</v>
      </c>
      <c r="C228" s="1">
        <v>10</v>
      </c>
      <c r="D228" s="1">
        <v>0</v>
      </c>
      <c r="E228" s="1">
        <v>0</v>
      </c>
      <c r="F228" s="1">
        <v>0</v>
      </c>
    </row>
    <row r="229" spans="1:6" x14ac:dyDescent="0.2">
      <c r="A229" s="2">
        <v>41609</v>
      </c>
      <c r="B229" s="4">
        <v>0.45300768324306584</v>
      </c>
      <c r="C229" s="1">
        <v>0</v>
      </c>
      <c r="D229" s="1">
        <v>10</v>
      </c>
      <c r="E229" s="1">
        <v>0</v>
      </c>
      <c r="F229" s="1">
        <v>0</v>
      </c>
    </row>
    <row r="230" spans="1:6" x14ac:dyDescent="0.2">
      <c r="A230" s="2">
        <v>41640</v>
      </c>
      <c r="B230" s="4">
        <v>0.5238154578513039</v>
      </c>
      <c r="C230" s="1">
        <v>0</v>
      </c>
      <c r="D230" s="1">
        <v>10</v>
      </c>
      <c r="E230" s="1">
        <v>0</v>
      </c>
      <c r="F230" s="1">
        <v>0</v>
      </c>
    </row>
    <row r="231" spans="1:6" x14ac:dyDescent="0.2">
      <c r="A231" s="2">
        <v>41671</v>
      </c>
      <c r="B231" s="4">
        <v>0.44717052967444126</v>
      </c>
      <c r="C231" s="1">
        <v>10</v>
      </c>
      <c r="D231" s="1">
        <v>0</v>
      </c>
      <c r="E231" s="1">
        <v>0</v>
      </c>
      <c r="F231" s="1">
        <v>0</v>
      </c>
    </row>
    <row r="232" spans="1:6" x14ac:dyDescent="0.2">
      <c r="A232" s="2">
        <v>41699</v>
      </c>
      <c r="B232" s="4">
        <v>0.53273470625036845</v>
      </c>
      <c r="C232" s="1">
        <v>0</v>
      </c>
      <c r="D232" s="1">
        <v>10</v>
      </c>
      <c r="E232" s="1">
        <v>0</v>
      </c>
      <c r="F232" s="1">
        <v>0</v>
      </c>
    </row>
    <row r="233" spans="1:6" x14ac:dyDescent="0.2">
      <c r="A233" s="2">
        <v>41730</v>
      </c>
      <c r="B233" s="4">
        <v>0.44355731800396692</v>
      </c>
      <c r="C233" s="1">
        <v>10</v>
      </c>
      <c r="D233" s="1">
        <v>0</v>
      </c>
      <c r="E233" s="1">
        <v>0</v>
      </c>
      <c r="F233" s="1">
        <v>0</v>
      </c>
    </row>
    <row r="234" spans="1:6" x14ac:dyDescent="0.2">
      <c r="A234" s="2">
        <v>41760</v>
      </c>
      <c r="B234" s="4">
        <v>0.42963122792953912</v>
      </c>
      <c r="C234" s="1">
        <v>0</v>
      </c>
      <c r="D234" s="1">
        <v>10</v>
      </c>
      <c r="E234" s="1">
        <v>0</v>
      </c>
      <c r="F234" s="1">
        <v>0</v>
      </c>
    </row>
    <row r="235" spans="1:6" x14ac:dyDescent="0.2">
      <c r="A235" s="2">
        <v>41791</v>
      </c>
      <c r="B235" s="4">
        <v>0.40538156817431403</v>
      </c>
      <c r="C235" s="1">
        <v>10</v>
      </c>
      <c r="D235" s="1">
        <v>0</v>
      </c>
      <c r="E235" s="1">
        <v>0</v>
      </c>
      <c r="F235" s="1">
        <v>0</v>
      </c>
    </row>
    <row r="236" spans="1:6" x14ac:dyDescent="0.2">
      <c r="A236" s="2">
        <v>41821</v>
      </c>
      <c r="B236" s="4">
        <v>0.37288887199530196</v>
      </c>
      <c r="C236" s="1">
        <v>10</v>
      </c>
      <c r="D236" s="1">
        <v>0</v>
      </c>
      <c r="E236" s="1">
        <v>0</v>
      </c>
      <c r="F236" s="1">
        <v>0</v>
      </c>
    </row>
    <row r="237" spans="1:6" x14ac:dyDescent="0.2">
      <c r="A237" s="2">
        <v>41852</v>
      </c>
      <c r="B237" s="4">
        <v>0.36708114372797074</v>
      </c>
      <c r="C237" s="1">
        <v>10</v>
      </c>
      <c r="D237" s="1">
        <v>0</v>
      </c>
      <c r="E237" s="1">
        <v>0</v>
      </c>
      <c r="F237" s="1">
        <v>0</v>
      </c>
    </row>
    <row r="238" spans="1:6" x14ac:dyDescent="0.2">
      <c r="A238" s="2">
        <v>41883</v>
      </c>
      <c r="B238" s="4">
        <v>0.4100498885464452</v>
      </c>
      <c r="C238" s="1">
        <v>0</v>
      </c>
      <c r="D238" s="1">
        <v>10</v>
      </c>
      <c r="E238" s="1">
        <v>0</v>
      </c>
      <c r="F238" s="1">
        <v>0</v>
      </c>
    </row>
    <row r="239" spans="1:6" x14ac:dyDescent="0.2">
      <c r="A239" s="2">
        <v>41913</v>
      </c>
      <c r="B239" s="4">
        <v>0.38682380646407943</v>
      </c>
      <c r="C239" s="1">
        <v>0</v>
      </c>
      <c r="D239" s="1">
        <v>10</v>
      </c>
      <c r="E239" s="1">
        <v>0</v>
      </c>
      <c r="F239" s="1">
        <v>0</v>
      </c>
    </row>
    <row r="240" spans="1:6" x14ac:dyDescent="0.2">
      <c r="A240" s="2">
        <v>41944</v>
      </c>
      <c r="B240" s="4">
        <v>0.35243851384675662</v>
      </c>
      <c r="C240" s="1">
        <v>0</v>
      </c>
      <c r="D240" s="1">
        <v>10</v>
      </c>
      <c r="E240" s="1">
        <v>0</v>
      </c>
      <c r="F240" s="1">
        <v>0</v>
      </c>
    </row>
    <row r="241" spans="1:6" x14ac:dyDescent="0.2">
      <c r="A241" s="2">
        <v>41974</v>
      </c>
      <c r="B241" s="4">
        <v>0.43697789536250864</v>
      </c>
      <c r="C241" s="1">
        <v>0</v>
      </c>
      <c r="D241" s="1">
        <v>10</v>
      </c>
      <c r="E241" s="1">
        <v>0</v>
      </c>
      <c r="F241" s="1">
        <v>0</v>
      </c>
    </row>
    <row r="242" spans="1:6" x14ac:dyDescent="0.2">
      <c r="A242" s="2">
        <v>42005</v>
      </c>
      <c r="B242" s="4">
        <v>0.44452290393412519</v>
      </c>
      <c r="C242" s="1">
        <v>0</v>
      </c>
      <c r="D242" s="1">
        <v>10</v>
      </c>
      <c r="E242" s="1">
        <v>0</v>
      </c>
      <c r="F242" s="1">
        <v>0</v>
      </c>
    </row>
    <row r="243" spans="1:6" x14ac:dyDescent="0.2">
      <c r="A243" s="2">
        <v>42036</v>
      </c>
      <c r="B243" s="4">
        <v>0.47700316979421387</v>
      </c>
      <c r="C243" s="1">
        <v>0</v>
      </c>
      <c r="D243" s="1">
        <v>0</v>
      </c>
      <c r="E243" s="1">
        <v>10</v>
      </c>
      <c r="F243" s="1">
        <v>0</v>
      </c>
    </row>
    <row r="244" spans="1:6" x14ac:dyDescent="0.2">
      <c r="A244" s="2">
        <v>42064</v>
      </c>
      <c r="B244" s="4">
        <v>0.43158474350341414</v>
      </c>
      <c r="C244" s="1">
        <v>0</v>
      </c>
      <c r="D244" s="1">
        <v>0</v>
      </c>
      <c r="E244" s="1">
        <v>10</v>
      </c>
      <c r="F244" s="1">
        <v>0</v>
      </c>
    </row>
    <row r="245" spans="1:6" x14ac:dyDescent="0.2">
      <c r="A245" s="2">
        <v>42095</v>
      </c>
      <c r="B245" s="4">
        <v>0.48224047695521766</v>
      </c>
      <c r="C245" s="1">
        <v>0</v>
      </c>
      <c r="D245" s="1">
        <v>0</v>
      </c>
      <c r="E245" s="1">
        <v>10</v>
      </c>
      <c r="F245" s="1">
        <v>0</v>
      </c>
    </row>
    <row r="246" spans="1:6" x14ac:dyDescent="0.2">
      <c r="A246" s="2">
        <v>42125</v>
      </c>
      <c r="B246" s="4">
        <v>0.44170043083637689</v>
      </c>
      <c r="C246" s="1">
        <v>0</v>
      </c>
      <c r="D246" s="1">
        <v>0</v>
      </c>
      <c r="E246" s="1">
        <v>0</v>
      </c>
      <c r="F246" s="1">
        <v>10</v>
      </c>
    </row>
    <row r="247" spans="1:6" x14ac:dyDescent="0.2">
      <c r="A247" s="2">
        <v>42156</v>
      </c>
      <c r="B247" s="4">
        <v>0.45974341415865183</v>
      </c>
      <c r="C247" s="1">
        <v>0</v>
      </c>
      <c r="D247" s="1">
        <v>0</v>
      </c>
      <c r="E247" s="1">
        <v>10</v>
      </c>
      <c r="F247" s="1">
        <v>0</v>
      </c>
    </row>
    <row r="248" spans="1:6" x14ac:dyDescent="0.2">
      <c r="A248" s="2">
        <v>42186</v>
      </c>
      <c r="B248" s="4">
        <v>0.42697942408704526</v>
      </c>
      <c r="C248" s="1">
        <v>0</v>
      </c>
      <c r="D248" s="1">
        <v>0</v>
      </c>
      <c r="E248" s="1">
        <v>0</v>
      </c>
      <c r="F248" s="1">
        <v>10</v>
      </c>
    </row>
    <row r="249" spans="1:6" x14ac:dyDescent="0.2">
      <c r="A249" s="2">
        <v>42217</v>
      </c>
      <c r="B249" s="4">
        <v>0.46348121002625398</v>
      </c>
      <c r="C249" s="1">
        <v>0</v>
      </c>
      <c r="D249" s="1">
        <v>0</v>
      </c>
      <c r="E249" s="1">
        <v>0</v>
      </c>
      <c r="F249" s="1">
        <v>10</v>
      </c>
    </row>
    <row r="250" spans="1:6" x14ac:dyDescent="0.2">
      <c r="A250" s="2">
        <v>42248</v>
      </c>
      <c r="B250" s="4">
        <v>0.47101433397518655</v>
      </c>
      <c r="C250" s="1">
        <v>0</v>
      </c>
      <c r="D250" s="1">
        <v>0</v>
      </c>
      <c r="E250" s="1">
        <v>0</v>
      </c>
      <c r="F250" s="1">
        <v>10</v>
      </c>
    </row>
    <row r="251" spans="1:6" x14ac:dyDescent="0.2">
      <c r="A251" s="2">
        <v>42278</v>
      </c>
      <c r="B251" s="4">
        <v>0.48015341985881421</v>
      </c>
      <c r="C251" s="1">
        <v>0</v>
      </c>
      <c r="D251" s="1">
        <v>0</v>
      </c>
      <c r="E251" s="1">
        <v>10</v>
      </c>
      <c r="F251" s="1">
        <v>0</v>
      </c>
    </row>
    <row r="252" spans="1:6" x14ac:dyDescent="0.2">
      <c r="A252" s="2">
        <v>42309</v>
      </c>
      <c r="B252" s="4">
        <v>0.48927465809097392</v>
      </c>
      <c r="C252" s="1">
        <v>0</v>
      </c>
      <c r="D252" s="1">
        <v>0</v>
      </c>
      <c r="E252" s="1">
        <v>10</v>
      </c>
      <c r="F252" s="1">
        <v>0</v>
      </c>
    </row>
    <row r="253" spans="1:6" x14ac:dyDescent="0.2">
      <c r="A253" s="2">
        <v>42339</v>
      </c>
      <c r="B253" s="4">
        <v>0.51732255305761554</v>
      </c>
      <c r="C253" s="1">
        <v>0</v>
      </c>
      <c r="D253" s="1">
        <v>0</v>
      </c>
      <c r="E253" s="1">
        <v>10</v>
      </c>
      <c r="F253" s="1">
        <v>0</v>
      </c>
    </row>
    <row r="254" spans="1:6" x14ac:dyDescent="0.2">
      <c r="A254" s="2">
        <v>42370</v>
      </c>
      <c r="B254" s="4">
        <v>0.54327101113084542</v>
      </c>
      <c r="C254" s="1">
        <v>0</v>
      </c>
      <c r="D254" s="1">
        <v>0</v>
      </c>
      <c r="E254" s="1">
        <v>10</v>
      </c>
      <c r="F254" s="1">
        <v>0</v>
      </c>
    </row>
    <row r="255" spans="1:6" x14ac:dyDescent="0.2">
      <c r="A255" s="2">
        <v>42401</v>
      </c>
      <c r="B255" s="4">
        <v>0.51762456366890308</v>
      </c>
      <c r="C255" s="1">
        <v>0</v>
      </c>
      <c r="D255" s="1">
        <v>0</v>
      </c>
      <c r="E255" s="1">
        <v>10</v>
      </c>
      <c r="F255" s="1">
        <v>0</v>
      </c>
    </row>
    <row r="256" spans="1:6" x14ac:dyDescent="0.2">
      <c r="A256" s="2">
        <v>42430</v>
      </c>
      <c r="B256" s="4">
        <v>0.47974824332539745</v>
      </c>
      <c r="C256" s="1">
        <v>0</v>
      </c>
      <c r="D256" s="1">
        <v>0</v>
      </c>
      <c r="E256" s="1">
        <v>0</v>
      </c>
      <c r="F256" s="1">
        <v>10</v>
      </c>
    </row>
    <row r="257" spans="1:6" x14ac:dyDescent="0.2">
      <c r="A257" s="2">
        <v>42461</v>
      </c>
      <c r="B257" s="4">
        <v>0.49045225986103236</v>
      </c>
      <c r="C257" s="1">
        <v>0</v>
      </c>
      <c r="D257" s="1">
        <v>0</v>
      </c>
      <c r="E257" s="1">
        <v>0</v>
      </c>
      <c r="F257" s="1">
        <v>10</v>
      </c>
    </row>
    <row r="258" spans="1:6" x14ac:dyDescent="0.2">
      <c r="A258" s="2">
        <v>42491</v>
      </c>
      <c r="B258" s="4">
        <v>0.44630497841075512</v>
      </c>
      <c r="C258" s="1">
        <v>10</v>
      </c>
      <c r="D258" s="1">
        <v>0</v>
      </c>
      <c r="E258" s="1">
        <v>0</v>
      </c>
      <c r="F258" s="1">
        <v>0</v>
      </c>
    </row>
    <row r="259" spans="1:6" x14ac:dyDescent="0.2">
      <c r="A259" s="2">
        <v>42522</v>
      </c>
      <c r="B259" s="4">
        <v>0.4125960573092855</v>
      </c>
      <c r="C259" s="1">
        <v>10</v>
      </c>
      <c r="D259" s="1">
        <v>0</v>
      </c>
      <c r="E259" s="1">
        <v>0</v>
      </c>
      <c r="F259" s="1">
        <v>0</v>
      </c>
    </row>
    <row r="260" spans="1:6" x14ac:dyDescent="0.2">
      <c r="A260" s="2">
        <v>42552</v>
      </c>
      <c r="B260" s="4">
        <v>0.42946699854778214</v>
      </c>
      <c r="C260" s="1">
        <v>10</v>
      </c>
      <c r="D260" s="1">
        <v>0</v>
      </c>
      <c r="E260" s="1">
        <v>0</v>
      </c>
      <c r="F260" s="1">
        <v>0</v>
      </c>
    </row>
    <row r="261" spans="1:6" x14ac:dyDescent="0.2">
      <c r="A261" s="2">
        <v>42583</v>
      </c>
      <c r="B261" s="4">
        <v>0.50751338202972374</v>
      </c>
      <c r="C261" s="1">
        <v>0</v>
      </c>
      <c r="D261" s="1">
        <v>10</v>
      </c>
      <c r="E261" s="1">
        <v>0</v>
      </c>
      <c r="F261" s="1">
        <v>0</v>
      </c>
    </row>
    <row r="262" spans="1:6" x14ac:dyDescent="0.2">
      <c r="A262" s="2">
        <v>42614</v>
      </c>
      <c r="B262" s="4">
        <v>0.44129362891247081</v>
      </c>
      <c r="C262" s="1">
        <v>0</v>
      </c>
      <c r="D262" s="1">
        <v>10</v>
      </c>
      <c r="E262" s="1">
        <v>0</v>
      </c>
      <c r="F262" s="1">
        <v>0</v>
      </c>
    </row>
    <row r="263" spans="1:6" x14ac:dyDescent="0.2">
      <c r="A263" s="2">
        <v>42644</v>
      </c>
      <c r="B263" s="4">
        <v>0.40377577738793857</v>
      </c>
      <c r="C263" s="1">
        <v>0</v>
      </c>
      <c r="D263" s="1">
        <v>10</v>
      </c>
      <c r="E263" s="1">
        <v>0</v>
      </c>
      <c r="F263" s="1">
        <v>0</v>
      </c>
    </row>
    <row r="264" spans="1:6" x14ac:dyDescent="0.2">
      <c r="A264" s="2">
        <v>42675</v>
      </c>
      <c r="B264" s="4">
        <v>0.45469706647985264</v>
      </c>
      <c r="C264" s="1">
        <v>10</v>
      </c>
      <c r="D264" s="1">
        <v>0</v>
      </c>
      <c r="E264" s="1">
        <v>0</v>
      </c>
      <c r="F264" s="1">
        <v>0</v>
      </c>
    </row>
    <row r="265" spans="1:6" x14ac:dyDescent="0.2">
      <c r="A265" s="2">
        <v>42705</v>
      </c>
      <c r="B265" s="4">
        <v>0.43566764474806052</v>
      </c>
      <c r="C265" s="1">
        <v>0</v>
      </c>
      <c r="D265" s="1">
        <v>10</v>
      </c>
      <c r="E265" s="1">
        <v>0</v>
      </c>
      <c r="F265" s="1">
        <v>0</v>
      </c>
    </row>
    <row r="266" spans="1:6" x14ac:dyDescent="0.2">
      <c r="A266" s="2">
        <v>42736</v>
      </c>
      <c r="B266" s="4">
        <v>0.40148942105003593</v>
      </c>
      <c r="C266" s="1">
        <v>0</v>
      </c>
      <c r="D266" s="1">
        <v>10</v>
      </c>
      <c r="E266" s="1">
        <v>0</v>
      </c>
      <c r="F266" s="1">
        <v>0</v>
      </c>
    </row>
    <row r="267" spans="1:6" x14ac:dyDescent="0.2">
      <c r="A267" s="2">
        <v>42767</v>
      </c>
      <c r="B267" s="4">
        <v>0.42136628266678877</v>
      </c>
      <c r="C267" s="1">
        <v>10</v>
      </c>
      <c r="D267" s="1">
        <v>0</v>
      </c>
      <c r="E267" s="1">
        <v>0</v>
      </c>
      <c r="F267" s="1">
        <v>0</v>
      </c>
    </row>
    <row r="268" spans="1:6" x14ac:dyDescent="0.2">
      <c r="A268" s="2">
        <v>42795</v>
      </c>
      <c r="B268" s="4">
        <v>0.32409367609771278</v>
      </c>
      <c r="C268" s="1">
        <v>10</v>
      </c>
      <c r="D268" s="1">
        <v>0</v>
      </c>
      <c r="E268" s="1">
        <v>0</v>
      </c>
      <c r="F268" s="1">
        <v>0</v>
      </c>
    </row>
    <row r="269" spans="1:6" x14ac:dyDescent="0.2">
      <c r="A269" s="2">
        <v>42826</v>
      </c>
      <c r="B269" s="4">
        <v>0.39185670893410929</v>
      </c>
      <c r="C269" s="1">
        <v>10</v>
      </c>
      <c r="D269" s="1">
        <v>0</v>
      </c>
      <c r="E269" s="1">
        <v>0</v>
      </c>
      <c r="F269" s="1">
        <v>0</v>
      </c>
    </row>
    <row r="270" spans="1:6" x14ac:dyDescent="0.2">
      <c r="A270" s="2">
        <v>42856</v>
      </c>
      <c r="B270" s="4">
        <v>0.37982786324486706</v>
      </c>
      <c r="C270" s="1">
        <v>10</v>
      </c>
      <c r="D270" s="1">
        <v>0</v>
      </c>
      <c r="E270" s="1">
        <v>0</v>
      </c>
      <c r="F270" s="1">
        <v>0</v>
      </c>
    </row>
    <row r="271" spans="1:6" x14ac:dyDescent="0.2">
      <c r="A271" s="2">
        <v>42887</v>
      </c>
      <c r="B271" s="4">
        <v>0.30469938651896955</v>
      </c>
      <c r="C271" s="1">
        <v>10</v>
      </c>
      <c r="D271" s="1">
        <v>0</v>
      </c>
      <c r="E271" s="1">
        <v>0</v>
      </c>
      <c r="F271" s="1">
        <v>0</v>
      </c>
    </row>
    <row r="272" spans="1:6" x14ac:dyDescent="0.2">
      <c r="A272" s="2">
        <v>42917</v>
      </c>
      <c r="B272" s="4">
        <v>0.3370498108904425</v>
      </c>
      <c r="C272" s="1">
        <v>10</v>
      </c>
      <c r="D272" s="1">
        <v>0</v>
      </c>
      <c r="E272" s="1">
        <v>0</v>
      </c>
      <c r="F272" s="1">
        <v>0</v>
      </c>
    </row>
    <row r="273" spans="1:6" x14ac:dyDescent="0.2">
      <c r="A273" s="2">
        <v>42948</v>
      </c>
      <c r="B273" s="4">
        <v>0.29467944827305259</v>
      </c>
      <c r="C273" s="1">
        <v>10</v>
      </c>
      <c r="D273" s="1">
        <v>0</v>
      </c>
      <c r="E273" s="1">
        <v>0</v>
      </c>
      <c r="F273" s="1">
        <v>0</v>
      </c>
    </row>
    <row r="274" spans="1:6" x14ac:dyDescent="0.2">
      <c r="A274" s="2">
        <v>42979</v>
      </c>
      <c r="B274" s="4">
        <v>0.31164247987672888</v>
      </c>
      <c r="C274" s="1">
        <v>0</v>
      </c>
      <c r="D274" s="1">
        <v>10</v>
      </c>
      <c r="E274" s="1">
        <v>0</v>
      </c>
      <c r="F274" s="1">
        <v>0</v>
      </c>
    </row>
    <row r="275" spans="1:6" x14ac:dyDescent="0.2">
      <c r="A275" s="2">
        <v>43009</v>
      </c>
      <c r="B275" s="4">
        <v>0.3521228176396779</v>
      </c>
      <c r="C275" s="1">
        <v>0</v>
      </c>
      <c r="D275" s="1">
        <v>10</v>
      </c>
      <c r="E275" s="1">
        <v>0</v>
      </c>
      <c r="F275" s="1">
        <v>0</v>
      </c>
    </row>
    <row r="276" spans="1:6" x14ac:dyDescent="0.2">
      <c r="A276" s="2">
        <v>43040</v>
      </c>
      <c r="B276" s="4">
        <v>0.32586169439705159</v>
      </c>
      <c r="C276" s="1">
        <v>0</v>
      </c>
      <c r="D276" s="1">
        <v>10</v>
      </c>
      <c r="E276" s="1">
        <v>0</v>
      </c>
      <c r="F276" s="1">
        <v>0</v>
      </c>
    </row>
    <row r="277" spans="1:6" x14ac:dyDescent="0.2">
      <c r="A277" s="2">
        <v>43070</v>
      </c>
      <c r="B277" s="4">
        <v>0.28592633837183357</v>
      </c>
      <c r="C277" s="1">
        <v>0</v>
      </c>
      <c r="D277" s="1">
        <v>10</v>
      </c>
      <c r="E277" s="1">
        <v>0</v>
      </c>
      <c r="F277" s="1">
        <v>0</v>
      </c>
    </row>
    <row r="278" spans="1:6" x14ac:dyDescent="0.2">
      <c r="A278" s="2">
        <v>43101</v>
      </c>
      <c r="B278" s="4">
        <v>0.33405002975825182</v>
      </c>
      <c r="C278" s="1">
        <v>0</v>
      </c>
      <c r="D278" s="1">
        <v>10</v>
      </c>
      <c r="E278" s="1">
        <v>0</v>
      </c>
      <c r="F278" s="1">
        <v>0</v>
      </c>
    </row>
    <row r="279" spans="1:6" x14ac:dyDescent="0.2">
      <c r="A279" s="2">
        <v>43132</v>
      </c>
      <c r="B279" s="4">
        <v>0.37358753363744945</v>
      </c>
      <c r="C279" s="1">
        <v>0</v>
      </c>
      <c r="D279" s="1">
        <v>10</v>
      </c>
      <c r="E279" s="1">
        <v>0</v>
      </c>
      <c r="F279" s="1">
        <v>0</v>
      </c>
    </row>
    <row r="280" spans="1:6" x14ac:dyDescent="0.2">
      <c r="A280" s="2">
        <v>43160</v>
      </c>
      <c r="B280" s="4">
        <v>0.31102962086327446</v>
      </c>
      <c r="C280" s="1">
        <v>0</v>
      </c>
      <c r="D280" s="1">
        <v>0</v>
      </c>
      <c r="E280" s="1">
        <v>10</v>
      </c>
      <c r="F280" s="1">
        <v>0</v>
      </c>
    </row>
    <row r="281" spans="1:6" x14ac:dyDescent="0.2">
      <c r="A281" s="2">
        <v>43191</v>
      </c>
      <c r="B281" s="4">
        <v>0.34536710055457864</v>
      </c>
      <c r="C281" s="1">
        <v>0</v>
      </c>
      <c r="D281" s="1">
        <v>0</v>
      </c>
      <c r="E281" s="1">
        <v>10</v>
      </c>
      <c r="F281" s="1">
        <v>0</v>
      </c>
    </row>
    <row r="282" spans="1:6" x14ac:dyDescent="0.2">
      <c r="A282" s="2">
        <v>43221</v>
      </c>
      <c r="B282" s="4">
        <v>0.32957614784679101</v>
      </c>
      <c r="C282" s="1">
        <v>0</v>
      </c>
      <c r="D282" s="1">
        <v>0</v>
      </c>
      <c r="E282" s="1">
        <v>0</v>
      </c>
      <c r="F282" s="1">
        <v>10</v>
      </c>
    </row>
    <row r="283" spans="1:6" x14ac:dyDescent="0.2">
      <c r="A283" s="2">
        <v>43252</v>
      </c>
      <c r="B283" s="4">
        <v>0.35589711161915627</v>
      </c>
      <c r="C283" s="1">
        <v>0</v>
      </c>
      <c r="D283" s="1">
        <v>0</v>
      </c>
      <c r="E283" s="1">
        <v>10</v>
      </c>
      <c r="F283" s="1">
        <v>0</v>
      </c>
    </row>
    <row r="284" spans="1:6" x14ac:dyDescent="0.2">
      <c r="A284" s="2">
        <v>43282</v>
      </c>
      <c r="B284" s="4">
        <v>0.38844934142188658</v>
      </c>
      <c r="C284" s="1">
        <v>0</v>
      </c>
      <c r="D284" s="1">
        <v>0</v>
      </c>
      <c r="E284" s="1">
        <v>10</v>
      </c>
      <c r="F284" s="1">
        <v>0</v>
      </c>
    </row>
    <row r="285" spans="1:6" x14ac:dyDescent="0.2">
      <c r="A285" s="2">
        <v>43313</v>
      </c>
      <c r="B285" s="4">
        <v>0.3344385778674499</v>
      </c>
      <c r="C285" s="1">
        <v>0</v>
      </c>
      <c r="D285" s="1">
        <v>0</v>
      </c>
      <c r="E285" s="1">
        <v>0</v>
      </c>
      <c r="F285" s="1">
        <v>10</v>
      </c>
    </row>
    <row r="286" spans="1:6" x14ac:dyDescent="0.2">
      <c r="A286" s="2">
        <v>43344</v>
      </c>
      <c r="B286" s="4">
        <v>0.40819902752722859</v>
      </c>
      <c r="C286" s="1">
        <v>0</v>
      </c>
      <c r="D286" s="1">
        <v>0</v>
      </c>
      <c r="E286" s="1">
        <v>10</v>
      </c>
      <c r="F286" s="1">
        <v>0</v>
      </c>
    </row>
    <row r="287" spans="1:6" x14ac:dyDescent="0.2">
      <c r="A287" s="2">
        <v>43374</v>
      </c>
      <c r="B287" s="4">
        <v>0.40016929955607017</v>
      </c>
      <c r="C287" s="1">
        <v>0</v>
      </c>
      <c r="D287" s="1">
        <v>0</v>
      </c>
      <c r="E287" s="1">
        <v>10</v>
      </c>
      <c r="F287" s="1">
        <v>0</v>
      </c>
    </row>
    <row r="288" spans="1:6" x14ac:dyDescent="0.2">
      <c r="A288" s="2">
        <v>43405</v>
      </c>
      <c r="B288" s="4">
        <v>0.37256076112159175</v>
      </c>
      <c r="C288" s="1">
        <v>0</v>
      </c>
      <c r="D288" s="1">
        <v>0</v>
      </c>
      <c r="E288" s="1">
        <v>10</v>
      </c>
      <c r="F288" s="1">
        <v>0</v>
      </c>
    </row>
    <row r="289" spans="1:6" x14ac:dyDescent="0.2">
      <c r="A289" s="2">
        <v>43435</v>
      </c>
      <c r="B289" s="4">
        <v>0.47960600475265069</v>
      </c>
      <c r="C289" s="1">
        <v>0</v>
      </c>
      <c r="D289" s="1">
        <v>0</v>
      </c>
      <c r="E289" s="1">
        <v>10</v>
      </c>
      <c r="F289" s="1">
        <v>0</v>
      </c>
    </row>
    <row r="290" spans="1:6" x14ac:dyDescent="0.2">
      <c r="A290" s="2">
        <v>43466</v>
      </c>
      <c r="B290" s="4">
        <v>0.38644181198519756</v>
      </c>
      <c r="C290" s="1">
        <v>0</v>
      </c>
      <c r="D290" s="1">
        <v>0</v>
      </c>
      <c r="E290" s="1">
        <v>0</v>
      </c>
      <c r="F290" s="1">
        <v>10</v>
      </c>
    </row>
    <row r="291" spans="1:6" x14ac:dyDescent="0.2">
      <c r="A291" s="2">
        <v>43497</v>
      </c>
      <c r="B291" s="4">
        <v>0.46982242814945485</v>
      </c>
      <c r="C291" s="1">
        <v>0</v>
      </c>
      <c r="D291" s="1">
        <v>0</v>
      </c>
      <c r="E291" s="1">
        <v>10</v>
      </c>
      <c r="F291" s="1">
        <v>0</v>
      </c>
    </row>
    <row r="292" spans="1:6" x14ac:dyDescent="0.2">
      <c r="A292" s="2">
        <v>43525</v>
      </c>
      <c r="B292" s="4">
        <v>0.42929572038706987</v>
      </c>
      <c r="C292" s="1">
        <v>0</v>
      </c>
      <c r="D292" s="1">
        <v>0</v>
      </c>
      <c r="E292" s="1">
        <v>0</v>
      </c>
      <c r="F292" s="1">
        <v>10</v>
      </c>
    </row>
    <row r="293" spans="1:6" x14ac:dyDescent="0.2">
      <c r="A293" s="2">
        <v>43556</v>
      </c>
      <c r="B293" s="4">
        <v>0.45008603205575537</v>
      </c>
      <c r="C293" s="1">
        <v>0</v>
      </c>
      <c r="D293" s="1">
        <v>0</v>
      </c>
      <c r="E293" s="1">
        <v>10</v>
      </c>
      <c r="F293" s="1">
        <v>0</v>
      </c>
    </row>
    <row r="294" spans="1:6" x14ac:dyDescent="0.2">
      <c r="A294" s="2">
        <v>43586</v>
      </c>
      <c r="B294" s="4">
        <v>0.41976131882757572</v>
      </c>
      <c r="C294" s="1">
        <v>0</v>
      </c>
      <c r="D294" s="1">
        <v>0</v>
      </c>
      <c r="E294" s="1">
        <v>0</v>
      </c>
      <c r="F294" s="1">
        <v>10</v>
      </c>
    </row>
    <row r="295" spans="1:6" x14ac:dyDescent="0.2">
      <c r="A295" s="2">
        <v>43617</v>
      </c>
      <c r="B295" s="4">
        <v>0.39164230854629767</v>
      </c>
      <c r="C295" s="1">
        <v>10</v>
      </c>
      <c r="D295" s="1">
        <v>0</v>
      </c>
      <c r="E295" s="1">
        <v>0</v>
      </c>
      <c r="F295" s="1">
        <v>0</v>
      </c>
    </row>
    <row r="296" spans="1:6" x14ac:dyDescent="0.2">
      <c r="A296" s="2">
        <v>43647</v>
      </c>
      <c r="B296" s="4">
        <v>0.45669443987540581</v>
      </c>
      <c r="C296" s="1">
        <v>10</v>
      </c>
      <c r="D296" s="1">
        <v>0</v>
      </c>
      <c r="E296" s="1">
        <v>0</v>
      </c>
      <c r="F296" s="1">
        <v>0</v>
      </c>
    </row>
    <row r="297" spans="1:6" x14ac:dyDescent="0.2">
      <c r="A297" s="2">
        <v>43678</v>
      </c>
      <c r="B297" s="4">
        <v>0.41663243253970594</v>
      </c>
      <c r="C297" s="1">
        <v>10</v>
      </c>
      <c r="D297" s="1">
        <v>0</v>
      </c>
      <c r="E297" s="1">
        <v>0</v>
      </c>
      <c r="F297" s="1">
        <v>0</v>
      </c>
    </row>
    <row r="298" spans="1:6" x14ac:dyDescent="0.2">
      <c r="A298" s="2">
        <v>43709</v>
      </c>
      <c r="B298" s="4">
        <v>0.51924901214006913</v>
      </c>
      <c r="C298" s="1">
        <v>0</v>
      </c>
      <c r="D298" s="1">
        <v>10</v>
      </c>
      <c r="E298" s="1">
        <v>0</v>
      </c>
      <c r="F298" s="1">
        <v>0</v>
      </c>
    </row>
    <row r="299" spans="1:6" x14ac:dyDescent="0.2">
      <c r="A299" s="2">
        <v>43739</v>
      </c>
      <c r="B299" s="4">
        <v>0.48307213314106301</v>
      </c>
      <c r="C299" s="1">
        <v>0</v>
      </c>
      <c r="D299" s="1">
        <v>10</v>
      </c>
      <c r="E299" s="1">
        <v>0</v>
      </c>
      <c r="F299" s="1">
        <v>0</v>
      </c>
    </row>
    <row r="300" spans="1:6" x14ac:dyDescent="0.2">
      <c r="A300" s="2">
        <v>43770</v>
      </c>
      <c r="B300" s="4">
        <v>0.49794955286993137</v>
      </c>
      <c r="C300" s="1">
        <v>0</v>
      </c>
      <c r="D300" s="1">
        <v>0</v>
      </c>
      <c r="E300" s="1">
        <v>10</v>
      </c>
      <c r="F300" s="1">
        <v>0</v>
      </c>
    </row>
    <row r="301" spans="1:6" x14ac:dyDescent="0.2">
      <c r="A301" s="2">
        <v>43800</v>
      </c>
      <c r="B301" s="4">
        <v>0.53320828625223438</v>
      </c>
      <c r="C301" s="1">
        <v>0</v>
      </c>
      <c r="D301" s="1">
        <v>0</v>
      </c>
      <c r="E301" s="1">
        <v>10</v>
      </c>
      <c r="F301" s="1">
        <v>0</v>
      </c>
    </row>
    <row r="302" spans="1:6" x14ac:dyDescent="0.2">
      <c r="A302" s="2">
        <v>43831</v>
      </c>
      <c r="B302" s="4">
        <v>0.48600833352107731</v>
      </c>
      <c r="C302" s="1">
        <v>0</v>
      </c>
      <c r="D302" s="1">
        <v>0</v>
      </c>
      <c r="E302" s="1">
        <v>0</v>
      </c>
      <c r="F302" s="1">
        <v>10</v>
      </c>
    </row>
    <row r="303" spans="1:6" x14ac:dyDescent="0.2">
      <c r="A303" s="2">
        <v>43862</v>
      </c>
      <c r="B303" s="4">
        <v>0.42100783294952049</v>
      </c>
      <c r="C303" s="1">
        <v>0</v>
      </c>
      <c r="D303" s="1">
        <v>0</v>
      </c>
      <c r="E303" s="1">
        <v>0</v>
      </c>
      <c r="F303" s="1">
        <v>10</v>
      </c>
    </row>
    <row r="304" spans="1:6" x14ac:dyDescent="0.2">
      <c r="A304" s="2">
        <v>43891</v>
      </c>
      <c r="B304" s="4">
        <v>0.53504454730498696</v>
      </c>
      <c r="C304" s="1">
        <v>0</v>
      </c>
      <c r="D304" s="1">
        <v>0</v>
      </c>
      <c r="E304" s="1">
        <v>10</v>
      </c>
      <c r="F304" s="1">
        <v>0</v>
      </c>
    </row>
    <row r="305" spans="1:6" x14ac:dyDescent="0.2">
      <c r="A305" s="2">
        <v>43922</v>
      </c>
      <c r="B305" s="4">
        <v>0.6084590122721788</v>
      </c>
      <c r="C305" s="1">
        <v>0</v>
      </c>
      <c r="D305" s="1">
        <v>0</v>
      </c>
      <c r="E305" s="1">
        <v>10</v>
      </c>
      <c r="F305" s="1">
        <v>0</v>
      </c>
    </row>
    <row r="306" spans="1:6" x14ac:dyDescent="0.2">
      <c r="A306" s="2">
        <v>43952</v>
      </c>
      <c r="B306" s="4">
        <v>0.60957300630191125</v>
      </c>
      <c r="C306" s="1">
        <v>0</v>
      </c>
      <c r="D306" s="1">
        <v>0</v>
      </c>
      <c r="E306" s="1">
        <v>10</v>
      </c>
      <c r="F306" s="1">
        <v>0</v>
      </c>
    </row>
    <row r="307" spans="1:6" x14ac:dyDescent="0.2">
      <c r="A307" s="2">
        <v>43983</v>
      </c>
      <c r="B307" s="4">
        <v>0.62924386713026093</v>
      </c>
      <c r="C307" s="1">
        <v>0</v>
      </c>
      <c r="D307" s="1">
        <v>0</v>
      </c>
      <c r="E307" s="1">
        <v>10</v>
      </c>
      <c r="F307" s="1">
        <v>0</v>
      </c>
    </row>
    <row r="308" spans="1:6" x14ac:dyDescent="0.2">
      <c r="A308" s="2">
        <v>44013</v>
      </c>
      <c r="B308" s="4">
        <v>0.51075283746791511</v>
      </c>
      <c r="C308" s="1">
        <v>0</v>
      </c>
      <c r="D308" s="1">
        <v>0</v>
      </c>
      <c r="E308" s="1">
        <v>0</v>
      </c>
      <c r="F308" s="1">
        <v>10</v>
      </c>
    </row>
    <row r="309" spans="1:6" x14ac:dyDescent="0.2">
      <c r="A309" s="2">
        <v>44044</v>
      </c>
      <c r="B309" s="4">
        <v>0.5083121719779613</v>
      </c>
      <c r="C309" s="1">
        <v>0</v>
      </c>
      <c r="D309" s="1">
        <v>0</v>
      </c>
      <c r="E309" s="1">
        <v>0</v>
      </c>
      <c r="F309" s="1">
        <v>10</v>
      </c>
    </row>
    <row r="310" spans="1:6" x14ac:dyDescent="0.2">
      <c r="A310" s="2">
        <v>44075</v>
      </c>
      <c r="B310" s="4">
        <v>0.49221675042653779</v>
      </c>
      <c r="C310" s="1">
        <v>0</v>
      </c>
      <c r="D310" s="1">
        <v>0</v>
      </c>
      <c r="E310" s="1">
        <v>0</v>
      </c>
      <c r="F310" s="1">
        <v>10</v>
      </c>
    </row>
    <row r="311" spans="1:6" x14ac:dyDescent="0.2">
      <c r="A311" s="2">
        <v>44105</v>
      </c>
      <c r="B311" s="4">
        <v>0.41265700181411258</v>
      </c>
      <c r="C311" s="1">
        <v>0</v>
      </c>
      <c r="D311" s="1">
        <v>0</v>
      </c>
      <c r="E311" s="1">
        <v>0</v>
      </c>
      <c r="F311" s="1">
        <v>10</v>
      </c>
    </row>
    <row r="312" spans="1:6" x14ac:dyDescent="0.2">
      <c r="A312" s="2">
        <v>44136</v>
      </c>
      <c r="B312" s="4">
        <v>0.44133298217288996</v>
      </c>
      <c r="C312" s="1">
        <v>0</v>
      </c>
      <c r="D312" s="1">
        <v>0</v>
      </c>
      <c r="E312" s="1">
        <v>0</v>
      </c>
      <c r="F312" s="1">
        <v>10</v>
      </c>
    </row>
    <row r="313" spans="1:6" x14ac:dyDescent="0.2">
      <c r="A313" s="2">
        <v>44166</v>
      </c>
      <c r="B313" s="4">
        <v>0.42663843611021512</v>
      </c>
      <c r="C313" s="1">
        <v>10</v>
      </c>
      <c r="D313" s="1">
        <v>0</v>
      </c>
      <c r="E313" s="1">
        <v>0</v>
      </c>
      <c r="F313" s="1">
        <v>0</v>
      </c>
    </row>
    <row r="314" spans="1:6" x14ac:dyDescent="0.2">
      <c r="A314" s="2">
        <v>44197</v>
      </c>
      <c r="B314" s="4">
        <v>0.50508006088863366</v>
      </c>
      <c r="C314" s="1">
        <v>0</v>
      </c>
      <c r="D314" s="1">
        <v>0</v>
      </c>
      <c r="E314" s="1">
        <v>10</v>
      </c>
      <c r="F314" s="1">
        <v>0</v>
      </c>
    </row>
    <row r="315" spans="1:6" x14ac:dyDescent="0.2">
      <c r="A315" s="2">
        <v>44228</v>
      </c>
      <c r="B315" s="4">
        <v>0.48915933506976006</v>
      </c>
      <c r="C315" s="1">
        <v>0</v>
      </c>
      <c r="D315" s="1">
        <v>0</v>
      </c>
      <c r="E315" s="1">
        <v>10</v>
      </c>
      <c r="F315" s="1">
        <v>0</v>
      </c>
    </row>
    <row r="316" spans="1:6" x14ac:dyDescent="0.2">
      <c r="A316" s="2">
        <v>44256</v>
      </c>
      <c r="B316" s="4">
        <v>0.44224740112631777</v>
      </c>
      <c r="C316" s="1">
        <v>0</v>
      </c>
      <c r="D316" s="1">
        <v>0</v>
      </c>
      <c r="E316" s="1">
        <v>10</v>
      </c>
      <c r="F316" s="1">
        <v>0</v>
      </c>
    </row>
    <row r="317" spans="1:6" x14ac:dyDescent="0.2">
      <c r="A317" s="2">
        <v>44287</v>
      </c>
      <c r="B317" s="4">
        <v>0.44534433110574756</v>
      </c>
      <c r="C317" s="1">
        <v>10</v>
      </c>
      <c r="D317" s="1">
        <v>0</v>
      </c>
      <c r="E317" s="1">
        <v>0</v>
      </c>
      <c r="F317" s="1">
        <v>0</v>
      </c>
    </row>
    <row r="318" spans="1:6" x14ac:dyDescent="0.2">
      <c r="A318" s="2">
        <v>44317</v>
      </c>
      <c r="B318" s="4">
        <v>0.43606201066748862</v>
      </c>
      <c r="C318" s="1">
        <v>10</v>
      </c>
      <c r="D318" s="1">
        <v>0</v>
      </c>
      <c r="E318" s="1">
        <v>0</v>
      </c>
      <c r="F318" s="1">
        <v>0</v>
      </c>
    </row>
    <row r="319" spans="1:6" x14ac:dyDescent="0.2">
      <c r="A319" s="2">
        <v>44348</v>
      </c>
      <c r="B319" s="4">
        <v>0.34418257192206814</v>
      </c>
      <c r="C319" s="1">
        <v>10</v>
      </c>
      <c r="D319" s="1">
        <v>0</v>
      </c>
      <c r="E319" s="1">
        <v>0</v>
      </c>
      <c r="F319" s="1">
        <v>0</v>
      </c>
    </row>
    <row r="320" spans="1:6" x14ac:dyDescent="0.2">
      <c r="A320" s="2">
        <v>44378</v>
      </c>
      <c r="B320" s="4">
        <v>0.34962676558636696</v>
      </c>
      <c r="C320" s="1">
        <v>10</v>
      </c>
      <c r="D320" s="1">
        <v>0</v>
      </c>
      <c r="E320" s="1">
        <v>0</v>
      </c>
      <c r="F320" s="1">
        <v>0</v>
      </c>
    </row>
    <row r="321" spans="1:6" x14ac:dyDescent="0.2">
      <c r="A321" s="2">
        <v>44409</v>
      </c>
      <c r="B321" s="4">
        <v>0.36644527551005368</v>
      </c>
      <c r="C321" s="1">
        <v>10</v>
      </c>
      <c r="D321" s="1">
        <v>0</v>
      </c>
      <c r="E321" s="1">
        <v>0</v>
      </c>
      <c r="F321" s="1">
        <v>0</v>
      </c>
    </row>
    <row r="322" spans="1:6" x14ac:dyDescent="0.2">
      <c r="A322" s="2">
        <v>44440</v>
      </c>
      <c r="B322" s="4">
        <v>0.35452929277957901</v>
      </c>
      <c r="C322" s="1">
        <v>0</v>
      </c>
      <c r="D322" s="1">
        <v>10</v>
      </c>
      <c r="E322" s="1">
        <v>0</v>
      </c>
      <c r="F322" s="1">
        <v>0</v>
      </c>
    </row>
    <row r="323" spans="1:6" x14ac:dyDescent="0.2">
      <c r="A323" s="2">
        <v>44470</v>
      </c>
      <c r="B323" s="4">
        <v>0.40845618659852367</v>
      </c>
      <c r="C323" s="1">
        <v>0</v>
      </c>
      <c r="D323" s="1">
        <v>10</v>
      </c>
      <c r="E323" s="1">
        <v>0</v>
      </c>
      <c r="F323" s="1">
        <v>0</v>
      </c>
    </row>
    <row r="324" spans="1:6" x14ac:dyDescent="0.2">
      <c r="A324" s="2">
        <v>44501</v>
      </c>
      <c r="B324" s="4">
        <v>0.37981143596928413</v>
      </c>
      <c r="C324" s="1">
        <v>0</v>
      </c>
      <c r="D324" s="1">
        <v>10</v>
      </c>
      <c r="E324" s="1">
        <v>0</v>
      </c>
      <c r="F324" s="1">
        <v>0</v>
      </c>
    </row>
    <row r="325" spans="1:6" x14ac:dyDescent="0.2">
      <c r="A325" s="2">
        <v>44531</v>
      </c>
      <c r="B325" s="4">
        <v>0.40912785837644483</v>
      </c>
      <c r="C325" s="1">
        <v>0</v>
      </c>
      <c r="D325" s="1">
        <v>10</v>
      </c>
      <c r="E325" s="1">
        <v>0</v>
      </c>
      <c r="F325" s="1">
        <v>0</v>
      </c>
    </row>
    <row r="326" spans="1:6" x14ac:dyDescent="0.2">
      <c r="A326" s="2">
        <v>44562</v>
      </c>
      <c r="B326" s="4">
        <v>0.4514276834813491</v>
      </c>
      <c r="C326" s="1">
        <v>0</v>
      </c>
      <c r="D326" s="1">
        <v>10</v>
      </c>
      <c r="E326" s="1">
        <v>0</v>
      </c>
      <c r="F326" s="1">
        <v>0</v>
      </c>
    </row>
    <row r="327" spans="1:6" x14ac:dyDescent="0.2">
      <c r="A327" s="2">
        <v>44593</v>
      </c>
      <c r="B327" s="4">
        <v>0.45950278225991481</v>
      </c>
      <c r="C327" s="1">
        <v>0</v>
      </c>
      <c r="D327" s="1">
        <v>0</v>
      </c>
      <c r="E327" s="1">
        <v>10</v>
      </c>
      <c r="F327" s="1">
        <v>0</v>
      </c>
    </row>
    <row r="328" spans="1:6" x14ac:dyDescent="0.2">
      <c r="A328" s="2">
        <v>44621</v>
      </c>
      <c r="B328" s="4">
        <v>0.51867544789210707</v>
      </c>
      <c r="C328" s="1">
        <v>0</v>
      </c>
      <c r="D328" s="1">
        <v>0</v>
      </c>
      <c r="E328" s="1">
        <v>10</v>
      </c>
      <c r="F328" s="1">
        <v>0</v>
      </c>
    </row>
    <row r="329" spans="1:6" x14ac:dyDescent="0.2">
      <c r="A329" s="2">
        <v>44652</v>
      </c>
      <c r="B329" s="4">
        <v>0.53327488785779276</v>
      </c>
      <c r="C329" s="1">
        <v>0</v>
      </c>
      <c r="D329" s="1">
        <v>0</v>
      </c>
      <c r="E329" s="1">
        <v>10</v>
      </c>
      <c r="F329" s="1">
        <v>0</v>
      </c>
    </row>
    <row r="330" spans="1:6" x14ac:dyDescent="0.2">
      <c r="A330" s="2">
        <v>44682</v>
      </c>
      <c r="B330" s="4">
        <v>0.52123030487425615</v>
      </c>
      <c r="C330" s="1">
        <v>0</v>
      </c>
      <c r="D330" s="1">
        <v>0</v>
      </c>
      <c r="E330" s="1">
        <v>10</v>
      </c>
      <c r="F330" s="1">
        <v>0</v>
      </c>
    </row>
    <row r="331" spans="1:6" x14ac:dyDescent="0.2">
      <c r="A331" s="2">
        <v>44713</v>
      </c>
      <c r="B331" s="4">
        <v>0.65019213983589563</v>
      </c>
      <c r="C331" s="1">
        <v>0</v>
      </c>
      <c r="D331" s="1">
        <v>0</v>
      </c>
      <c r="E331" s="1">
        <v>10</v>
      </c>
      <c r="F331" s="1">
        <v>0</v>
      </c>
    </row>
    <row r="332" spans="1:6" x14ac:dyDescent="0.2">
      <c r="A332" s="2">
        <v>44743</v>
      </c>
      <c r="B332" s="4">
        <v>0.70087946887041774</v>
      </c>
      <c r="C332" s="1">
        <v>0</v>
      </c>
      <c r="D332" s="1">
        <v>0</v>
      </c>
      <c r="E332" s="1">
        <v>10</v>
      </c>
      <c r="F332" s="1">
        <v>0</v>
      </c>
    </row>
    <row r="333" spans="1:6" x14ac:dyDescent="0.2">
      <c r="A333" s="2">
        <v>44774</v>
      </c>
      <c r="B333" s="4">
        <v>0.68940246163438235</v>
      </c>
      <c r="C333" s="1">
        <v>0</v>
      </c>
      <c r="D333" s="1">
        <v>0</v>
      </c>
      <c r="E333" s="1">
        <v>10</v>
      </c>
      <c r="F333" s="1">
        <v>0</v>
      </c>
    </row>
    <row r="334" spans="1:6" x14ac:dyDescent="0.2">
      <c r="A334" s="2">
        <v>44805</v>
      </c>
      <c r="B334" s="4">
        <v>0.73815032399580194</v>
      </c>
      <c r="C334" s="1">
        <v>0</v>
      </c>
      <c r="D334" s="1">
        <v>0</v>
      </c>
      <c r="E334" s="1">
        <v>0</v>
      </c>
      <c r="F334" s="1">
        <v>10</v>
      </c>
    </row>
    <row r="335" spans="1:6" x14ac:dyDescent="0.2">
      <c r="A335" s="2">
        <v>44835</v>
      </c>
      <c r="B335" s="4">
        <v>0.72192541784646136</v>
      </c>
      <c r="C335" s="1">
        <v>0</v>
      </c>
      <c r="D335" s="1">
        <v>0</v>
      </c>
      <c r="E335" s="1">
        <v>0</v>
      </c>
      <c r="F335" s="1">
        <v>10</v>
      </c>
    </row>
    <row r="336" spans="1:6" x14ac:dyDescent="0.2">
      <c r="A336" s="2">
        <v>44866</v>
      </c>
      <c r="B336" s="4">
        <v>0.7393241987708481</v>
      </c>
      <c r="C336" s="1">
        <v>0</v>
      </c>
      <c r="D336" s="1">
        <v>0</v>
      </c>
      <c r="E336" s="1">
        <v>0</v>
      </c>
      <c r="F336" s="1">
        <v>10</v>
      </c>
    </row>
    <row r="337" spans="1:6" x14ac:dyDescent="0.2">
      <c r="A337" s="2">
        <v>44896</v>
      </c>
      <c r="B337" s="4">
        <v>0.74364397640590385</v>
      </c>
      <c r="C337" s="1">
        <v>0</v>
      </c>
      <c r="D337" s="1">
        <v>0</v>
      </c>
      <c r="E337" s="1">
        <v>0</v>
      </c>
      <c r="F337" s="1">
        <v>10</v>
      </c>
    </row>
    <row r="338" spans="1:6" x14ac:dyDescent="0.2">
      <c r="A338" s="2">
        <v>44927</v>
      </c>
      <c r="B338" s="4">
        <v>0.81747723996519861</v>
      </c>
      <c r="C338" s="1">
        <v>0</v>
      </c>
      <c r="D338" s="1">
        <v>0</v>
      </c>
      <c r="E338" s="1">
        <v>0</v>
      </c>
      <c r="F338" s="1">
        <v>10</v>
      </c>
    </row>
    <row r="339" spans="1:6" x14ac:dyDescent="0.2">
      <c r="A339" s="2">
        <v>44958</v>
      </c>
      <c r="B339" s="4">
        <v>0.77510349172107329</v>
      </c>
      <c r="C339" s="1">
        <v>0</v>
      </c>
      <c r="D339" s="1">
        <v>0</v>
      </c>
      <c r="E339" s="1">
        <v>0</v>
      </c>
      <c r="F339" s="1">
        <v>10</v>
      </c>
    </row>
    <row r="340" spans="1:6" x14ac:dyDescent="0.2">
      <c r="A340" s="2">
        <v>44986</v>
      </c>
      <c r="B340" s="4">
        <v>0.67104380302216149</v>
      </c>
      <c r="C340" s="1">
        <v>0</v>
      </c>
      <c r="D340" s="1">
        <v>0</v>
      </c>
      <c r="E340" s="1">
        <v>0</v>
      </c>
      <c r="F340" s="1">
        <v>10</v>
      </c>
    </row>
    <row r="341" spans="1:6" x14ac:dyDescent="0.2">
      <c r="A341" s="2">
        <v>45017</v>
      </c>
      <c r="B341" s="4">
        <v>0.73416265335366004</v>
      </c>
      <c r="C341" s="1">
        <v>10</v>
      </c>
      <c r="D341" s="1">
        <v>0</v>
      </c>
      <c r="E341" s="1">
        <v>0</v>
      </c>
      <c r="F341" s="1">
        <v>0</v>
      </c>
    </row>
    <row r="342" spans="1:6" x14ac:dyDescent="0.2">
      <c r="A342" s="2">
        <v>45047</v>
      </c>
      <c r="B342" s="4">
        <v>0.64832015410479271</v>
      </c>
      <c r="C342" s="1">
        <v>10</v>
      </c>
      <c r="D342" s="1">
        <v>0</v>
      </c>
      <c r="E342" s="1">
        <v>0</v>
      </c>
      <c r="F342" s="1">
        <v>0</v>
      </c>
    </row>
    <row r="343" spans="1:6" x14ac:dyDescent="0.2">
      <c r="A343" s="2">
        <v>45078</v>
      </c>
      <c r="B343" s="4">
        <v>0.70792018253912503</v>
      </c>
      <c r="C343" s="1">
        <v>0</v>
      </c>
      <c r="D343" s="1">
        <v>10</v>
      </c>
      <c r="E343" s="1">
        <v>0</v>
      </c>
      <c r="F343" s="1">
        <v>0</v>
      </c>
    </row>
    <row r="344" spans="1:6" x14ac:dyDescent="0.2">
      <c r="A344" s="2">
        <v>45108</v>
      </c>
      <c r="B344" s="4">
        <v>0.71767952088400544</v>
      </c>
      <c r="C344" s="1">
        <v>10</v>
      </c>
      <c r="D344" s="1">
        <v>0</v>
      </c>
      <c r="E344" s="1">
        <v>0</v>
      </c>
      <c r="F344" s="1">
        <v>0</v>
      </c>
    </row>
    <row r="345" spans="1:6" x14ac:dyDescent="0.2">
      <c r="A345" s="2">
        <v>45139</v>
      </c>
      <c r="B345" s="4">
        <v>0.70866096639512755</v>
      </c>
      <c r="C345" s="1">
        <v>0</v>
      </c>
      <c r="D345" s="1">
        <v>10</v>
      </c>
      <c r="E345" s="1">
        <v>0</v>
      </c>
      <c r="F345" s="1">
        <v>0</v>
      </c>
    </row>
    <row r="346" spans="1:6" x14ac:dyDescent="0.2">
      <c r="A346" s="2">
        <v>45170</v>
      </c>
      <c r="B346" s="4">
        <v>0.67901316322520588</v>
      </c>
      <c r="C346" s="1">
        <v>0</v>
      </c>
      <c r="D346" s="1">
        <v>10</v>
      </c>
      <c r="E346" s="1">
        <v>0</v>
      </c>
      <c r="F346" s="1">
        <v>0</v>
      </c>
    </row>
    <row r="347" spans="1:6" x14ac:dyDescent="0.2">
      <c r="A347" s="2">
        <v>45200</v>
      </c>
      <c r="B347" s="4">
        <v>0.61854164458577787</v>
      </c>
      <c r="C347" s="1">
        <v>10</v>
      </c>
      <c r="D347" s="1">
        <v>0</v>
      </c>
      <c r="E347" s="1">
        <v>0</v>
      </c>
      <c r="F347" s="1">
        <v>0</v>
      </c>
    </row>
    <row r="348" spans="1:6" x14ac:dyDescent="0.2">
      <c r="A348" s="2">
        <v>45231</v>
      </c>
      <c r="B348" s="4">
        <v>0.71808848939692804</v>
      </c>
      <c r="C348" s="1">
        <v>0</v>
      </c>
      <c r="D348" s="1">
        <v>10</v>
      </c>
      <c r="E348" s="1">
        <v>0</v>
      </c>
      <c r="F348" s="1">
        <v>0</v>
      </c>
    </row>
    <row r="349" spans="1:6" x14ac:dyDescent="0.2">
      <c r="A349" s="2">
        <v>45261</v>
      </c>
      <c r="B349" s="4">
        <v>0.65218403935740599</v>
      </c>
      <c r="C349" s="1">
        <v>0</v>
      </c>
      <c r="D349" s="1">
        <v>10</v>
      </c>
      <c r="E349" s="1">
        <v>0</v>
      </c>
      <c r="F349" s="1">
        <v>0</v>
      </c>
    </row>
    <row r="350" spans="1:6" x14ac:dyDescent="0.2">
      <c r="A350" s="2">
        <v>45292</v>
      </c>
      <c r="B350" s="4">
        <v>0.64643904172349864</v>
      </c>
      <c r="C350" s="1">
        <v>0</v>
      </c>
      <c r="D350" s="1">
        <v>10</v>
      </c>
      <c r="E350" s="1">
        <v>0</v>
      </c>
      <c r="F350" s="1">
        <v>0</v>
      </c>
    </row>
    <row r="351" spans="1:6" x14ac:dyDescent="0.2">
      <c r="A351" s="2">
        <v>45323</v>
      </c>
      <c r="B351" s="4">
        <v>0.62868615307884312</v>
      </c>
      <c r="C351" s="1">
        <v>10</v>
      </c>
      <c r="D351" s="1">
        <v>0</v>
      </c>
      <c r="E351" s="1">
        <v>0</v>
      </c>
      <c r="F351" s="1">
        <v>0</v>
      </c>
    </row>
    <row r="352" spans="1:6" x14ac:dyDescent="0.2">
      <c r="A352" s="2">
        <v>45352</v>
      </c>
      <c r="B352" s="4">
        <v>0.6769230749666133</v>
      </c>
      <c r="C352" s="1">
        <v>0</v>
      </c>
      <c r="D352" s="1">
        <v>10</v>
      </c>
      <c r="E352" s="1">
        <v>0</v>
      </c>
      <c r="F352" s="1">
        <v>0</v>
      </c>
    </row>
    <row r="353" spans="1:6" x14ac:dyDescent="0.2">
      <c r="A353" s="2">
        <v>45383</v>
      </c>
      <c r="B353" s="4">
        <v>0.62528393840828744</v>
      </c>
      <c r="C353" s="1">
        <v>0</v>
      </c>
      <c r="D353" s="1">
        <v>10</v>
      </c>
      <c r="E353" s="1">
        <v>0</v>
      </c>
      <c r="F353" s="1">
        <v>0</v>
      </c>
    </row>
    <row r="354" spans="1:6" x14ac:dyDescent="0.2">
      <c r="A354" s="2">
        <v>45413</v>
      </c>
      <c r="B354" s="4">
        <v>0.63605548079024932</v>
      </c>
      <c r="C354" s="1">
        <v>0</v>
      </c>
      <c r="D354" s="1">
        <v>10</v>
      </c>
      <c r="E354" s="1">
        <v>0</v>
      </c>
      <c r="F354" s="1">
        <v>0</v>
      </c>
    </row>
    <row r="355" spans="1:6" x14ac:dyDescent="0.2">
      <c r="A355" s="2">
        <v>45444</v>
      </c>
      <c r="B355" s="4">
        <v>0.66890665937317029</v>
      </c>
      <c r="C355" s="1">
        <v>10</v>
      </c>
      <c r="D355" s="1">
        <v>0</v>
      </c>
      <c r="E355" s="1">
        <v>0</v>
      </c>
      <c r="F355" s="1">
        <v>0</v>
      </c>
    </row>
    <row r="356" spans="1:6" x14ac:dyDescent="0.2">
      <c r="A356" s="2">
        <v>45474</v>
      </c>
      <c r="B356" s="4">
        <v>0.60272894801565891</v>
      </c>
      <c r="C356" s="1">
        <v>10</v>
      </c>
      <c r="D356" s="1">
        <v>0</v>
      </c>
      <c r="E356" s="1">
        <v>0</v>
      </c>
      <c r="F356" s="1">
        <v>0</v>
      </c>
    </row>
    <row r="357" spans="1:6" x14ac:dyDescent="0.2">
      <c r="A357" s="2">
        <v>45505</v>
      </c>
      <c r="B357" s="4">
        <v>0.63878824036398607</v>
      </c>
      <c r="C357" s="1">
        <f>[1]BNPP_V2!CD481</f>
        <v>0</v>
      </c>
      <c r="D357" s="1">
        <f>[1]BNPP_V2!CE481</f>
        <v>10</v>
      </c>
      <c r="E357" s="1">
        <f>[1]BNPP_V2!CF481</f>
        <v>0</v>
      </c>
      <c r="F357" s="1">
        <f>[1]BNPP_V2!CG481</f>
        <v>0</v>
      </c>
    </row>
    <row r="358" spans="1:6" x14ac:dyDescent="0.2">
      <c r="A358" s="2">
        <v>45536</v>
      </c>
      <c r="B358" s="4">
        <v>0.6390865180123837</v>
      </c>
      <c r="C358" s="1">
        <f>[1]BNPP_V2!CD482</f>
        <v>10</v>
      </c>
      <c r="D358" s="1">
        <f>[1]BNPP_V2!CE482</f>
        <v>0</v>
      </c>
      <c r="E358" s="1">
        <f>[1]BNPP_V2!CF482</f>
        <v>0</v>
      </c>
      <c r="F358" s="1">
        <f>[1]BNPP_V2!CG482</f>
        <v>0</v>
      </c>
    </row>
    <row r="359" spans="1:6" x14ac:dyDescent="0.2">
      <c r="A359" s="2">
        <v>45566</v>
      </c>
      <c r="B359" s="4">
        <v>0.70119360505715278</v>
      </c>
      <c r="C359" s="1">
        <f>[1]BNPP_V2!CD483</f>
        <v>0</v>
      </c>
      <c r="D359" s="1">
        <f>[1]BNPP_V2!CE483</f>
        <v>10</v>
      </c>
      <c r="E359" s="1">
        <f>[1]BNPP_V2!CF483</f>
        <v>0</v>
      </c>
      <c r="F359" s="1">
        <f>[1]BNPP_V2!CG483</f>
        <v>0</v>
      </c>
    </row>
    <row r="360" spans="1:6" x14ac:dyDescent="0.2">
      <c r="A360" s="2">
        <v>45597</v>
      </c>
      <c r="B360" s="4">
        <v>0.6080279238811912</v>
      </c>
      <c r="C360" s="1">
        <v>10</v>
      </c>
      <c r="D360" s="1">
        <v>0</v>
      </c>
      <c r="E360" s="1">
        <v>0</v>
      </c>
      <c r="F360" s="1">
        <v>0</v>
      </c>
    </row>
    <row r="361" spans="1:6" x14ac:dyDescent="0.2">
      <c r="A361" s="2">
        <v>45627</v>
      </c>
      <c r="B361" s="4">
        <v>0.62695152968163703</v>
      </c>
      <c r="C361" s="1">
        <v>0</v>
      </c>
      <c r="D361" s="1">
        <v>0</v>
      </c>
      <c r="E361" s="1">
        <v>10</v>
      </c>
      <c r="F361" s="1">
        <v>0</v>
      </c>
    </row>
    <row r="362" spans="1:6" x14ac:dyDescent="0.2">
      <c r="A362" s="2">
        <v>45658</v>
      </c>
      <c r="B362" s="4">
        <v>0.59664018468055158</v>
      </c>
      <c r="C362" s="1">
        <v>10</v>
      </c>
      <c r="D362" s="1">
        <v>0</v>
      </c>
      <c r="E362" s="1">
        <v>0</v>
      </c>
      <c r="F362" s="1">
        <v>0</v>
      </c>
    </row>
    <row r="363" spans="1:6" x14ac:dyDescent="0.2">
      <c r="A363" s="2">
        <v>45689</v>
      </c>
      <c r="B363" s="4">
        <v>0.67610558159164258</v>
      </c>
      <c r="C363" s="1">
        <v>0</v>
      </c>
      <c r="D363" s="1">
        <v>0</v>
      </c>
      <c r="E363" s="1">
        <v>10</v>
      </c>
      <c r="F363" s="1">
        <v>0</v>
      </c>
    </row>
    <row r="364" spans="1:6" x14ac:dyDescent="0.2">
      <c r="A364" s="2">
        <v>45717</v>
      </c>
      <c r="B364" s="4">
        <v>0.58953685283446933</v>
      </c>
      <c r="C364" s="1">
        <v>0</v>
      </c>
      <c r="D364" s="1">
        <v>0</v>
      </c>
      <c r="E364" s="1">
        <v>0</v>
      </c>
      <c r="F364" s="1">
        <v>10</v>
      </c>
    </row>
    <row r="365" spans="1:6" x14ac:dyDescent="0.2">
      <c r="A365" s="2">
        <v>45748</v>
      </c>
      <c r="B365" s="4">
        <v>0.61179360571444552</v>
      </c>
      <c r="C365" s="1">
        <v>0</v>
      </c>
      <c r="D365" s="1">
        <v>0</v>
      </c>
      <c r="E365" s="1">
        <v>10</v>
      </c>
      <c r="F365" s="1">
        <v>0</v>
      </c>
    </row>
    <row r="366" spans="1:6" x14ac:dyDescent="0.2">
      <c r="A366" s="2">
        <v>45778</v>
      </c>
      <c r="B366" s="4">
        <v>0.59802919852066416</v>
      </c>
      <c r="C366" s="1">
        <v>0</v>
      </c>
      <c r="D366" s="1">
        <v>0</v>
      </c>
      <c r="E366" s="1">
        <v>0</v>
      </c>
      <c r="F366" s="1">
        <v>10</v>
      </c>
    </row>
    <row r="367" spans="1:6" x14ac:dyDescent="0.2">
      <c r="A367" s="2">
        <v>45809</v>
      </c>
      <c r="B367" s="4">
        <v>0.62976918823802608</v>
      </c>
      <c r="C367" s="1">
        <v>0</v>
      </c>
      <c r="D367" s="1">
        <v>0</v>
      </c>
      <c r="E367" s="1">
        <v>10</v>
      </c>
      <c r="F367" s="1">
        <v>0</v>
      </c>
    </row>
    <row r="368" spans="1:6" x14ac:dyDescent="0.2">
      <c r="A368" s="2">
        <v>45839</v>
      </c>
      <c r="B368" s="4">
        <v>0.58592863724269029</v>
      </c>
      <c r="C368" s="1">
        <v>0</v>
      </c>
      <c r="D368" s="1">
        <v>0</v>
      </c>
      <c r="E368" s="1">
        <v>0</v>
      </c>
      <c r="F368" s="1">
        <v>10</v>
      </c>
    </row>
    <row r="369" spans="1:6" x14ac:dyDescent="0.2">
      <c r="A369" s="2">
        <v>45870</v>
      </c>
      <c r="B369" s="4">
        <v>0.61264443057833506</v>
      </c>
      <c r="C369" s="1">
        <v>0</v>
      </c>
      <c r="D369" s="1">
        <v>0</v>
      </c>
      <c r="E369" s="1">
        <v>10</v>
      </c>
      <c r="F369" s="1">
        <v>0</v>
      </c>
    </row>
    <row r="370" spans="1:6" x14ac:dyDescent="0.2">
      <c r="A370" s="2">
        <v>45901</v>
      </c>
      <c r="B370" s="4">
        <v>0.56807881349011324</v>
      </c>
      <c r="C370" s="1">
        <v>10</v>
      </c>
      <c r="D370" s="1">
        <v>0</v>
      </c>
      <c r="E370" s="1">
        <v>0</v>
      </c>
      <c r="F370" s="1">
        <v>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771"/>
  <sheetViews>
    <sheetView topLeftCell="A6728" workbookViewId="0"/>
  </sheetViews>
  <sheetFormatPr defaultRowHeight="12" x14ac:dyDescent="0.2"/>
  <cols>
    <col min="1" max="1" width="11.28515625" style="1" bestFit="1" customWidth="1"/>
    <col min="2" max="2" width="9.140625" style="1"/>
    <col min="3" max="3" width="14.5703125" style="1" bestFit="1" customWidth="1"/>
    <col min="4" max="16384" width="9.140625" style="1"/>
  </cols>
  <sheetData>
    <row r="1" spans="1:4" x14ac:dyDescent="0.2">
      <c r="A1" s="1" t="s">
        <v>10</v>
      </c>
      <c r="B1" s="1" t="s">
        <v>63</v>
      </c>
      <c r="C1" s="1" t="s">
        <v>64</v>
      </c>
      <c r="D1" s="1" t="s">
        <v>101</v>
      </c>
    </row>
    <row r="2" spans="1:4" x14ac:dyDescent="0.2">
      <c r="A2" s="5" t="e">
        <f ca="1">_xll.BDH(B1,"px_last","1999-12-01",TODAY()-1, "days=w","fill=p","cols=2;rows=6770")</f>
        <v>#NAME?</v>
      </c>
      <c r="B2" s="1">
        <v>6.2</v>
      </c>
      <c r="C2" s="1" t="e">
        <f ca="1">_xll.BDH(C1,"px_last","1999-12-01",TODAY()-1, "days=w","fill=p", "dts=h","cols=1;rows=6770")</f>
        <v>#NAME?</v>
      </c>
      <c r="D2" s="1" t="e">
        <f ca="1">_xll.BDH(D1,"px_last","1999-12-01",TODAY()-1, "days=w","fill=p", "dts=h","cols=1;rows=6770")</f>
        <v>#NAME?</v>
      </c>
    </row>
    <row r="3" spans="1:4" x14ac:dyDescent="0.2">
      <c r="A3" s="5">
        <v>36496</v>
      </c>
      <c r="B3" s="1">
        <v>6.2329999999999997</v>
      </c>
      <c r="C3" s="1">
        <v>1.1200000000000001</v>
      </c>
      <c r="D3" s="1">
        <v>6.3209999999999997</v>
      </c>
    </row>
    <row r="4" spans="1:4" x14ac:dyDescent="0.2">
      <c r="A4" s="5">
        <v>36497</v>
      </c>
      <c r="B4" s="1">
        <v>6.1609999999999996</v>
      </c>
      <c r="C4" s="1">
        <v>1.1200000000000001</v>
      </c>
      <c r="D4" s="1">
        <v>6.2519999999999998</v>
      </c>
    </row>
    <row r="5" spans="1:4" x14ac:dyDescent="0.2">
      <c r="A5" s="5">
        <v>36500</v>
      </c>
      <c r="B5" s="1">
        <v>6.1390000000000002</v>
      </c>
      <c r="C5" s="1">
        <v>1.1200000000000001</v>
      </c>
      <c r="D5" s="1">
        <v>6.2380000000000004</v>
      </c>
    </row>
    <row r="6" spans="1:4" x14ac:dyDescent="0.2">
      <c r="A6" s="5">
        <v>36501</v>
      </c>
      <c r="B6" s="1">
        <v>6.1</v>
      </c>
      <c r="C6" s="1">
        <v>1.1200000000000001</v>
      </c>
      <c r="D6" s="1">
        <v>6.2</v>
      </c>
    </row>
    <row r="7" spans="1:4" x14ac:dyDescent="0.2">
      <c r="A7" s="5">
        <v>36502</v>
      </c>
      <c r="B7" s="1">
        <v>6.1349999999999998</v>
      </c>
      <c r="C7" s="1">
        <v>1.1200000000000001</v>
      </c>
      <c r="D7" s="1">
        <v>6.2290000000000001</v>
      </c>
    </row>
    <row r="8" spans="1:4" x14ac:dyDescent="0.2">
      <c r="A8" s="5">
        <v>36503</v>
      </c>
      <c r="B8" s="1">
        <v>6.1260000000000003</v>
      </c>
      <c r="C8" s="1">
        <v>1.1200000000000001</v>
      </c>
      <c r="D8" s="1">
        <v>6.2149999999999999</v>
      </c>
    </row>
    <row r="9" spans="1:4" x14ac:dyDescent="0.2">
      <c r="A9" s="5">
        <v>36504</v>
      </c>
      <c r="B9" s="1">
        <v>6.0720000000000001</v>
      </c>
      <c r="C9" s="1">
        <v>1.1200000000000001</v>
      </c>
      <c r="D9" s="1">
        <v>6.1660000000000004</v>
      </c>
    </row>
    <row r="10" spans="1:4" x14ac:dyDescent="0.2">
      <c r="A10" s="5">
        <v>36507</v>
      </c>
      <c r="B10" s="1">
        <v>6.1</v>
      </c>
      <c r="C10" s="1">
        <v>1.1200000000000001</v>
      </c>
      <c r="D10" s="1">
        <v>6.202</v>
      </c>
    </row>
    <row r="11" spans="1:4" x14ac:dyDescent="0.2">
      <c r="A11" s="5">
        <v>36508</v>
      </c>
      <c r="B11" s="1">
        <v>6.2160000000000002</v>
      </c>
      <c r="C11" s="1">
        <v>1.1200000000000001</v>
      </c>
      <c r="D11" s="1">
        <v>6.306</v>
      </c>
    </row>
    <row r="12" spans="1:4" x14ac:dyDescent="0.2">
      <c r="A12" s="5">
        <v>36509</v>
      </c>
      <c r="B12" s="1">
        <v>6.2359999999999998</v>
      </c>
      <c r="C12" s="1">
        <v>1.1200000000000001</v>
      </c>
      <c r="D12" s="1">
        <v>6.3250000000000002</v>
      </c>
    </row>
    <row r="13" spans="1:4" x14ac:dyDescent="0.2">
      <c r="A13" s="5">
        <v>36510</v>
      </c>
      <c r="B13" s="1">
        <v>6.3049999999999997</v>
      </c>
      <c r="C13" s="1">
        <v>1.1200000000000001</v>
      </c>
      <c r="D13" s="1">
        <v>6.391</v>
      </c>
    </row>
    <row r="14" spans="1:4" x14ac:dyDescent="0.2">
      <c r="A14" s="5">
        <v>36511</v>
      </c>
      <c r="B14" s="1">
        <v>6.2830000000000004</v>
      </c>
      <c r="C14" s="1">
        <v>1.1200000000000001</v>
      </c>
      <c r="D14" s="1">
        <v>6.3739999999999997</v>
      </c>
    </row>
    <row r="15" spans="1:4" x14ac:dyDescent="0.2">
      <c r="A15" s="5">
        <v>36514</v>
      </c>
      <c r="B15" s="1">
        <v>6.3540000000000001</v>
      </c>
      <c r="C15" s="1">
        <v>1.1200000000000001</v>
      </c>
      <c r="D15" s="1">
        <v>6.4429999999999996</v>
      </c>
    </row>
    <row r="16" spans="1:4" x14ac:dyDescent="0.2">
      <c r="A16" s="5">
        <v>36515</v>
      </c>
      <c r="B16" s="1">
        <v>6.3760000000000003</v>
      </c>
      <c r="C16" s="1">
        <v>1.1200000000000001</v>
      </c>
      <c r="D16" s="1">
        <v>6.4610000000000003</v>
      </c>
    </row>
    <row r="17" spans="1:4" x14ac:dyDescent="0.2">
      <c r="A17" s="5">
        <v>36516</v>
      </c>
      <c r="B17" s="1">
        <v>6.3719999999999999</v>
      </c>
      <c r="C17" s="1">
        <v>1.1200000000000001</v>
      </c>
      <c r="D17" s="1">
        <v>6.4509999999999996</v>
      </c>
    </row>
    <row r="18" spans="1:4" x14ac:dyDescent="0.2">
      <c r="A18" s="5">
        <v>36517</v>
      </c>
      <c r="B18" s="1">
        <v>6.415</v>
      </c>
      <c r="C18" s="1">
        <v>1.1200000000000001</v>
      </c>
      <c r="D18" s="1">
        <v>6.4889999999999999</v>
      </c>
    </row>
    <row r="19" spans="1:4" x14ac:dyDescent="0.2">
      <c r="A19" s="5">
        <v>36518</v>
      </c>
      <c r="B19" s="1">
        <v>6.4080000000000004</v>
      </c>
      <c r="C19" s="1">
        <v>1.1200000000000001</v>
      </c>
      <c r="D19" s="1">
        <v>6.4859999999999998</v>
      </c>
    </row>
    <row r="20" spans="1:4" x14ac:dyDescent="0.2">
      <c r="A20" s="5">
        <v>36521</v>
      </c>
      <c r="B20" s="1">
        <v>6.4009999999999998</v>
      </c>
      <c r="C20" s="1">
        <v>1.1200000000000001</v>
      </c>
      <c r="D20" s="1">
        <v>6.4649999999999999</v>
      </c>
    </row>
    <row r="21" spans="1:4" x14ac:dyDescent="0.2">
      <c r="A21" s="5">
        <v>36522</v>
      </c>
      <c r="B21" s="1">
        <v>6.4130000000000003</v>
      </c>
      <c r="C21" s="1">
        <v>1.1200000000000001</v>
      </c>
      <c r="D21" s="1">
        <v>6.4740000000000002</v>
      </c>
    </row>
    <row r="22" spans="1:4" x14ac:dyDescent="0.2">
      <c r="A22" s="5">
        <v>36523</v>
      </c>
      <c r="B22" s="1">
        <v>6.3840000000000003</v>
      </c>
      <c r="C22" s="1">
        <v>1.1200000000000001</v>
      </c>
      <c r="D22" s="1">
        <v>6.4429999999999996</v>
      </c>
    </row>
    <row r="23" spans="1:4" x14ac:dyDescent="0.2">
      <c r="A23" s="5">
        <v>36524</v>
      </c>
      <c r="B23" s="1">
        <v>6.3659999999999997</v>
      </c>
      <c r="C23" s="1">
        <v>1.1200000000000001</v>
      </c>
      <c r="D23" s="1">
        <v>6.4180000000000001</v>
      </c>
    </row>
    <row r="24" spans="1:4" x14ac:dyDescent="0.2">
      <c r="A24" s="5">
        <v>36525</v>
      </c>
      <c r="B24" s="1">
        <v>6.4420000000000002</v>
      </c>
      <c r="C24" s="1">
        <v>1.1100000000000001</v>
      </c>
      <c r="D24" s="1">
        <v>6.4779999999999998</v>
      </c>
    </row>
    <row r="25" spans="1:4" x14ac:dyDescent="0.2">
      <c r="A25" s="5">
        <v>36528</v>
      </c>
      <c r="B25" s="1">
        <v>6.5919999999999996</v>
      </c>
      <c r="C25" s="1">
        <v>1.1100000000000001</v>
      </c>
      <c r="D25" s="1">
        <v>6.6219999999999999</v>
      </c>
    </row>
    <row r="26" spans="1:4" x14ac:dyDescent="0.2">
      <c r="A26" s="5">
        <v>36529</v>
      </c>
      <c r="B26" s="1">
        <v>6.4969999999999999</v>
      </c>
      <c r="C26" s="1">
        <v>1.1100000000000001</v>
      </c>
      <c r="D26" s="1">
        <v>6.5369999999999999</v>
      </c>
    </row>
    <row r="27" spans="1:4" x14ac:dyDescent="0.2">
      <c r="A27" s="5">
        <v>36530</v>
      </c>
      <c r="B27" s="1">
        <v>6.5940000000000003</v>
      </c>
      <c r="C27" s="1">
        <v>1.1100000000000001</v>
      </c>
      <c r="D27" s="1">
        <v>6.6210000000000004</v>
      </c>
    </row>
    <row r="28" spans="1:4" x14ac:dyDescent="0.2">
      <c r="A28" s="5">
        <v>36531</v>
      </c>
      <c r="B28" s="1">
        <v>6.524</v>
      </c>
      <c r="C28" s="1">
        <v>1.1100000000000001</v>
      </c>
      <c r="D28" s="1">
        <v>6.5529999999999999</v>
      </c>
    </row>
    <row r="29" spans="1:4" x14ac:dyDescent="0.2">
      <c r="A29" s="5">
        <v>36532</v>
      </c>
      <c r="B29" s="1">
        <v>6.5149999999999997</v>
      </c>
      <c r="C29" s="1">
        <v>1.1100000000000001</v>
      </c>
      <c r="D29" s="1">
        <v>6.5460000000000003</v>
      </c>
    </row>
    <row r="30" spans="1:4" x14ac:dyDescent="0.2">
      <c r="A30" s="5">
        <v>36535</v>
      </c>
      <c r="B30" s="1">
        <v>6.5519999999999996</v>
      </c>
      <c r="C30" s="1">
        <v>1.1100000000000001</v>
      </c>
      <c r="D30" s="1">
        <v>6.5839999999999996</v>
      </c>
    </row>
    <row r="31" spans="1:4" x14ac:dyDescent="0.2">
      <c r="A31" s="5">
        <v>36536</v>
      </c>
      <c r="B31" s="1">
        <v>6.657</v>
      </c>
      <c r="C31" s="1">
        <v>1.1100000000000001</v>
      </c>
      <c r="D31" s="1">
        <v>6.6710000000000003</v>
      </c>
    </row>
    <row r="32" spans="1:4" x14ac:dyDescent="0.2">
      <c r="A32" s="5">
        <v>36537</v>
      </c>
      <c r="B32" s="1">
        <v>6.7030000000000003</v>
      </c>
      <c r="C32" s="1">
        <v>1.1100000000000001</v>
      </c>
      <c r="D32" s="1">
        <v>6.7190000000000003</v>
      </c>
    </row>
    <row r="33" spans="1:4" x14ac:dyDescent="0.2">
      <c r="A33" s="5">
        <v>36538</v>
      </c>
      <c r="B33" s="1">
        <v>6.63</v>
      </c>
      <c r="C33" s="1">
        <v>1.1100000000000001</v>
      </c>
      <c r="D33" s="1">
        <v>6.6529999999999996</v>
      </c>
    </row>
    <row r="34" spans="1:4" x14ac:dyDescent="0.2">
      <c r="A34" s="5">
        <v>36539</v>
      </c>
      <c r="B34" s="1">
        <v>6.6790000000000003</v>
      </c>
      <c r="C34" s="1">
        <v>1.1100000000000001</v>
      </c>
      <c r="D34" s="1">
        <v>6.6970000000000001</v>
      </c>
    </row>
    <row r="35" spans="1:4" x14ac:dyDescent="0.2">
      <c r="A35" s="5">
        <v>36542</v>
      </c>
      <c r="B35" s="1">
        <v>6.681</v>
      </c>
      <c r="C35" s="1">
        <v>1.1100000000000001</v>
      </c>
      <c r="D35" s="1">
        <v>6.6890000000000001</v>
      </c>
    </row>
    <row r="36" spans="1:4" x14ac:dyDescent="0.2">
      <c r="A36" s="5">
        <v>36543</v>
      </c>
      <c r="B36" s="1">
        <v>6.7480000000000002</v>
      </c>
      <c r="C36" s="1">
        <v>1.1100000000000001</v>
      </c>
      <c r="D36" s="1">
        <v>6.7469999999999999</v>
      </c>
    </row>
    <row r="37" spans="1:4" x14ac:dyDescent="0.2">
      <c r="A37" s="5">
        <v>36544</v>
      </c>
      <c r="B37" s="1">
        <v>6.7320000000000002</v>
      </c>
      <c r="C37" s="1">
        <v>1.1100000000000001</v>
      </c>
      <c r="D37" s="1">
        <v>6.7169999999999996</v>
      </c>
    </row>
    <row r="38" spans="1:4" x14ac:dyDescent="0.2">
      <c r="A38" s="5">
        <v>36545</v>
      </c>
      <c r="B38" s="1">
        <v>6.7880000000000003</v>
      </c>
      <c r="C38" s="1">
        <v>1.1100000000000001</v>
      </c>
      <c r="D38" s="1">
        <v>6.7469999999999999</v>
      </c>
    </row>
    <row r="39" spans="1:4" x14ac:dyDescent="0.2">
      <c r="A39" s="5">
        <v>36546</v>
      </c>
      <c r="B39" s="1">
        <v>6.7649999999999997</v>
      </c>
      <c r="C39" s="1">
        <v>1.1100000000000001</v>
      </c>
      <c r="D39" s="1">
        <v>6.6950000000000003</v>
      </c>
    </row>
    <row r="40" spans="1:4" x14ac:dyDescent="0.2">
      <c r="A40" s="5">
        <v>36549</v>
      </c>
      <c r="B40" s="1">
        <v>6.6849999999999996</v>
      </c>
      <c r="C40" s="1">
        <v>1.1100000000000001</v>
      </c>
      <c r="D40" s="1">
        <v>6.65</v>
      </c>
    </row>
    <row r="41" spans="1:4" x14ac:dyDescent="0.2">
      <c r="A41" s="5">
        <v>36550</v>
      </c>
      <c r="B41" s="1">
        <v>6.6920000000000002</v>
      </c>
      <c r="C41" s="1">
        <v>1.1100000000000001</v>
      </c>
      <c r="D41" s="1">
        <v>6.6340000000000003</v>
      </c>
    </row>
    <row r="42" spans="1:4" x14ac:dyDescent="0.2">
      <c r="A42" s="5">
        <v>36551</v>
      </c>
      <c r="B42" s="1">
        <v>6.6639999999999997</v>
      </c>
      <c r="C42" s="1">
        <v>1.1100000000000001</v>
      </c>
      <c r="D42" s="1">
        <v>6.5709999999999997</v>
      </c>
    </row>
    <row r="43" spans="1:4" x14ac:dyDescent="0.2">
      <c r="A43" s="5">
        <v>36552</v>
      </c>
      <c r="B43" s="1">
        <v>6.6920000000000002</v>
      </c>
      <c r="C43" s="1">
        <v>1.1100000000000001</v>
      </c>
      <c r="D43" s="1">
        <v>6.5190000000000001</v>
      </c>
    </row>
    <row r="44" spans="1:4" x14ac:dyDescent="0.2">
      <c r="A44" s="5">
        <v>36553</v>
      </c>
      <c r="B44" s="1">
        <v>6.6580000000000004</v>
      </c>
      <c r="C44" s="1">
        <v>1.1100000000000001</v>
      </c>
      <c r="D44" s="1">
        <v>6.452</v>
      </c>
    </row>
    <row r="45" spans="1:4" x14ac:dyDescent="0.2">
      <c r="A45" s="5">
        <v>36556</v>
      </c>
      <c r="B45" s="1">
        <v>6.665</v>
      </c>
      <c r="C45" s="1">
        <v>1.1499999999999999</v>
      </c>
      <c r="D45" s="1">
        <v>6.4909999999999997</v>
      </c>
    </row>
    <row r="46" spans="1:4" x14ac:dyDescent="0.2">
      <c r="A46" s="5">
        <v>36557</v>
      </c>
      <c r="B46" s="1">
        <v>6.6189999999999998</v>
      </c>
      <c r="C46" s="1">
        <v>1.1499999999999999</v>
      </c>
      <c r="D46" s="1">
        <v>6.423</v>
      </c>
    </row>
    <row r="47" spans="1:4" x14ac:dyDescent="0.2">
      <c r="A47" s="5">
        <v>36558</v>
      </c>
      <c r="B47" s="1">
        <v>6.5730000000000004</v>
      </c>
      <c r="C47" s="1">
        <v>1.1499999999999999</v>
      </c>
      <c r="D47" s="1">
        <v>6.2839999999999998</v>
      </c>
    </row>
    <row r="48" spans="1:4" x14ac:dyDescent="0.2">
      <c r="A48" s="5">
        <v>36559</v>
      </c>
      <c r="B48" s="1">
        <v>6.4889999999999999</v>
      </c>
      <c r="C48" s="1">
        <v>1.1499999999999999</v>
      </c>
      <c r="D48" s="1">
        <v>6.1360000000000001</v>
      </c>
    </row>
    <row r="49" spans="1:4" x14ac:dyDescent="0.2">
      <c r="A49" s="5">
        <v>36560</v>
      </c>
      <c r="B49" s="1">
        <v>6.5490000000000004</v>
      </c>
      <c r="C49" s="1">
        <v>1.1499999999999999</v>
      </c>
      <c r="D49" s="1">
        <v>6.2709999999999999</v>
      </c>
    </row>
    <row r="50" spans="1:4" x14ac:dyDescent="0.2">
      <c r="A50" s="5">
        <v>36563</v>
      </c>
      <c r="B50" s="1">
        <v>6.6390000000000002</v>
      </c>
      <c r="C50" s="1">
        <v>1.1499999999999999</v>
      </c>
      <c r="D50" s="1">
        <v>6.3419999999999996</v>
      </c>
    </row>
    <row r="51" spans="1:4" x14ac:dyDescent="0.2">
      <c r="A51" s="5">
        <v>36564</v>
      </c>
      <c r="B51" s="1">
        <v>6.6130000000000004</v>
      </c>
      <c r="C51" s="1">
        <v>1.1499999999999999</v>
      </c>
      <c r="D51" s="1">
        <v>6.2309999999999999</v>
      </c>
    </row>
    <row r="52" spans="1:4" x14ac:dyDescent="0.2">
      <c r="A52" s="5">
        <v>36565</v>
      </c>
      <c r="B52" s="1">
        <v>6.66</v>
      </c>
      <c r="C52" s="1">
        <v>1.1499999999999999</v>
      </c>
      <c r="D52" s="1">
        <v>6.3140000000000001</v>
      </c>
    </row>
    <row r="53" spans="1:4" x14ac:dyDescent="0.2">
      <c r="A53" s="5">
        <v>36566</v>
      </c>
      <c r="B53" s="1">
        <v>6.6710000000000003</v>
      </c>
      <c r="C53" s="1">
        <v>1.1499999999999999</v>
      </c>
      <c r="D53" s="1">
        <v>6.4290000000000003</v>
      </c>
    </row>
    <row r="54" spans="1:4" x14ac:dyDescent="0.2">
      <c r="A54" s="5">
        <v>36567</v>
      </c>
      <c r="B54" s="1">
        <v>6.6040000000000001</v>
      </c>
      <c r="C54" s="1">
        <v>1.1499999999999999</v>
      </c>
      <c r="D54" s="1">
        <v>6.2690000000000001</v>
      </c>
    </row>
    <row r="55" spans="1:4" x14ac:dyDescent="0.2">
      <c r="A55" s="5">
        <v>36570</v>
      </c>
      <c r="B55" s="1">
        <v>6.5540000000000003</v>
      </c>
      <c r="C55" s="1">
        <v>1.1499999999999999</v>
      </c>
      <c r="D55" s="1">
        <v>6.2270000000000003</v>
      </c>
    </row>
    <row r="56" spans="1:4" x14ac:dyDescent="0.2">
      <c r="A56" s="5">
        <v>36571</v>
      </c>
      <c r="B56" s="1">
        <v>6.5519999999999996</v>
      </c>
      <c r="C56" s="1">
        <v>1.1499999999999999</v>
      </c>
      <c r="D56" s="1">
        <v>6.2460000000000004</v>
      </c>
    </row>
    <row r="57" spans="1:4" x14ac:dyDescent="0.2">
      <c r="A57" s="5">
        <v>36572</v>
      </c>
      <c r="B57" s="1">
        <v>6.5449999999999999</v>
      </c>
      <c r="C57" s="1">
        <v>1.1499999999999999</v>
      </c>
      <c r="D57" s="1">
        <v>6.2649999999999997</v>
      </c>
    </row>
    <row r="58" spans="1:4" x14ac:dyDescent="0.2">
      <c r="A58" s="5">
        <v>36573</v>
      </c>
      <c r="B58" s="1">
        <v>6.5670000000000002</v>
      </c>
      <c r="C58" s="1">
        <v>1.1499999999999999</v>
      </c>
      <c r="D58" s="1">
        <v>6.218</v>
      </c>
    </row>
    <row r="59" spans="1:4" x14ac:dyDescent="0.2">
      <c r="A59" s="5">
        <v>36574</v>
      </c>
      <c r="B59" s="1">
        <v>6.4889999999999999</v>
      </c>
      <c r="C59" s="1">
        <v>1.1499999999999999</v>
      </c>
      <c r="D59" s="1">
        <v>6.1580000000000004</v>
      </c>
    </row>
    <row r="60" spans="1:4" x14ac:dyDescent="0.2">
      <c r="A60" s="5">
        <v>36577</v>
      </c>
      <c r="B60" s="1">
        <v>6.4930000000000003</v>
      </c>
      <c r="C60" s="1">
        <v>1.1499999999999999</v>
      </c>
      <c r="D60" s="1">
        <v>6.1589999999999998</v>
      </c>
    </row>
    <row r="61" spans="1:4" x14ac:dyDescent="0.2">
      <c r="A61" s="5">
        <v>36578</v>
      </c>
      <c r="B61" s="1">
        <v>6.3609999999999998</v>
      </c>
      <c r="C61" s="1">
        <v>1.1499999999999999</v>
      </c>
      <c r="D61" s="1">
        <v>6.0860000000000003</v>
      </c>
    </row>
    <row r="62" spans="1:4" x14ac:dyDescent="0.2">
      <c r="A62" s="5">
        <v>36579</v>
      </c>
      <c r="B62" s="1">
        <v>6.4219999999999997</v>
      </c>
      <c r="C62" s="1">
        <v>1.1499999999999999</v>
      </c>
      <c r="D62" s="1">
        <v>6.1260000000000003</v>
      </c>
    </row>
    <row r="63" spans="1:4" x14ac:dyDescent="0.2">
      <c r="A63" s="5">
        <v>36580</v>
      </c>
      <c r="B63" s="1">
        <v>6.3650000000000002</v>
      </c>
      <c r="C63" s="1">
        <v>1.1499999999999999</v>
      </c>
      <c r="D63" s="1">
        <v>6.1369999999999996</v>
      </c>
    </row>
    <row r="64" spans="1:4" x14ac:dyDescent="0.2">
      <c r="A64" s="5">
        <v>36581</v>
      </c>
      <c r="B64" s="1">
        <v>6.3259999999999996</v>
      </c>
      <c r="C64" s="1">
        <v>1.1499999999999999</v>
      </c>
      <c r="D64" s="1">
        <v>6.1289999999999996</v>
      </c>
    </row>
    <row r="65" spans="1:4" x14ac:dyDescent="0.2">
      <c r="A65" s="5">
        <v>36584</v>
      </c>
      <c r="B65" s="1">
        <v>6.4219999999999997</v>
      </c>
      <c r="C65" s="1">
        <v>1.1499999999999999</v>
      </c>
      <c r="D65" s="1">
        <v>6.1870000000000003</v>
      </c>
    </row>
    <row r="66" spans="1:4" x14ac:dyDescent="0.2">
      <c r="A66" s="5">
        <v>36585</v>
      </c>
      <c r="B66" s="1">
        <v>6.4089999999999998</v>
      </c>
      <c r="C66" s="1">
        <v>1.22</v>
      </c>
      <c r="D66" s="1">
        <v>6.14</v>
      </c>
    </row>
    <row r="67" spans="1:4" x14ac:dyDescent="0.2">
      <c r="A67" s="5">
        <v>36586</v>
      </c>
      <c r="B67" s="1">
        <v>6.3860000000000001</v>
      </c>
      <c r="C67" s="1">
        <v>1.22</v>
      </c>
      <c r="D67" s="1">
        <v>6.1580000000000004</v>
      </c>
    </row>
    <row r="68" spans="1:4" x14ac:dyDescent="0.2">
      <c r="A68" s="5">
        <v>36587</v>
      </c>
      <c r="B68" s="1">
        <v>6.3840000000000003</v>
      </c>
      <c r="C68" s="1">
        <v>1.22</v>
      </c>
      <c r="D68" s="1">
        <v>6.1319999999999997</v>
      </c>
    </row>
    <row r="69" spans="1:4" x14ac:dyDescent="0.2">
      <c r="A69" s="5">
        <v>36588</v>
      </c>
      <c r="B69" s="1">
        <v>6.3879999999999999</v>
      </c>
      <c r="C69" s="1">
        <v>1.22</v>
      </c>
      <c r="D69" s="1">
        <v>6.1319999999999997</v>
      </c>
    </row>
    <row r="70" spans="1:4" x14ac:dyDescent="0.2">
      <c r="A70" s="5">
        <v>36591</v>
      </c>
      <c r="B70" s="1">
        <v>6.4109999999999996</v>
      </c>
      <c r="C70" s="1">
        <v>1.22</v>
      </c>
      <c r="D70" s="1">
        <v>6.1429999999999998</v>
      </c>
    </row>
    <row r="71" spans="1:4" x14ac:dyDescent="0.2">
      <c r="A71" s="5">
        <v>36592</v>
      </c>
      <c r="B71" s="1">
        <v>6.3730000000000002</v>
      </c>
      <c r="C71" s="1">
        <v>1.22</v>
      </c>
      <c r="D71" s="1">
        <v>6.1449999999999996</v>
      </c>
    </row>
    <row r="72" spans="1:4" x14ac:dyDescent="0.2">
      <c r="A72" s="5">
        <v>36593</v>
      </c>
      <c r="B72" s="1">
        <v>6.3789999999999996</v>
      </c>
      <c r="C72" s="1">
        <v>1.22</v>
      </c>
      <c r="D72" s="1">
        <v>6.1609999999999996</v>
      </c>
    </row>
    <row r="73" spans="1:4" x14ac:dyDescent="0.2">
      <c r="A73" s="5">
        <v>36594</v>
      </c>
      <c r="B73" s="1">
        <v>6.343</v>
      </c>
      <c r="C73" s="1">
        <v>1.22</v>
      </c>
      <c r="D73" s="1">
        <v>6.1520000000000001</v>
      </c>
    </row>
    <row r="74" spans="1:4" x14ac:dyDescent="0.2">
      <c r="A74" s="5">
        <v>36595</v>
      </c>
      <c r="B74" s="1">
        <v>6.383</v>
      </c>
      <c r="C74" s="1">
        <v>1.22</v>
      </c>
      <c r="D74" s="1">
        <v>6.1760000000000002</v>
      </c>
    </row>
    <row r="75" spans="1:4" x14ac:dyDescent="0.2">
      <c r="A75" s="5">
        <v>36598</v>
      </c>
      <c r="B75" s="1">
        <v>6.37</v>
      </c>
      <c r="C75" s="1">
        <v>1.22</v>
      </c>
      <c r="D75" s="1">
        <v>6.17</v>
      </c>
    </row>
    <row r="76" spans="1:4" x14ac:dyDescent="0.2">
      <c r="A76" s="5">
        <v>36599</v>
      </c>
      <c r="B76" s="1">
        <v>6.2919999999999998</v>
      </c>
      <c r="C76" s="1">
        <v>1.22</v>
      </c>
      <c r="D76" s="1">
        <v>6.09</v>
      </c>
    </row>
    <row r="77" spans="1:4" x14ac:dyDescent="0.2">
      <c r="A77" s="5">
        <v>36600</v>
      </c>
      <c r="B77" s="1">
        <v>6.2910000000000004</v>
      </c>
      <c r="C77" s="1">
        <v>1.22</v>
      </c>
      <c r="D77" s="1">
        <v>6.0789999999999997</v>
      </c>
    </row>
    <row r="78" spans="1:4" x14ac:dyDescent="0.2">
      <c r="A78" s="5">
        <v>36601</v>
      </c>
      <c r="B78" s="1">
        <v>6.2450000000000001</v>
      </c>
      <c r="C78" s="1">
        <v>1.22</v>
      </c>
      <c r="D78" s="1">
        <v>6.0430000000000001</v>
      </c>
    </row>
    <row r="79" spans="1:4" x14ac:dyDescent="0.2">
      <c r="A79" s="5">
        <v>36602</v>
      </c>
      <c r="B79" s="1">
        <v>6.194</v>
      </c>
      <c r="C79" s="1">
        <v>1.22</v>
      </c>
      <c r="D79" s="1">
        <v>6</v>
      </c>
    </row>
    <row r="80" spans="1:4" x14ac:dyDescent="0.2">
      <c r="A80" s="5">
        <v>36605</v>
      </c>
      <c r="B80" s="1">
        <v>6.1829999999999998</v>
      </c>
      <c r="C80" s="1">
        <v>1.22</v>
      </c>
      <c r="D80" s="1">
        <v>6.0039999999999996</v>
      </c>
    </row>
    <row r="81" spans="1:4" x14ac:dyDescent="0.2">
      <c r="A81" s="5">
        <v>36606</v>
      </c>
      <c r="B81" s="1">
        <v>6.1349999999999998</v>
      </c>
      <c r="C81" s="1">
        <v>1.22</v>
      </c>
      <c r="D81" s="1">
        <v>5.9690000000000003</v>
      </c>
    </row>
    <row r="82" spans="1:4" x14ac:dyDescent="0.2">
      <c r="A82" s="5">
        <v>36607</v>
      </c>
      <c r="B82" s="1">
        <v>6.1120000000000001</v>
      </c>
      <c r="C82" s="1">
        <v>1.22</v>
      </c>
      <c r="D82" s="1">
        <v>5.9580000000000002</v>
      </c>
    </row>
    <row r="83" spans="1:4" x14ac:dyDescent="0.2">
      <c r="A83" s="5">
        <v>36608</v>
      </c>
      <c r="B83" s="1">
        <v>6.0780000000000003</v>
      </c>
      <c r="C83" s="1">
        <v>1.22</v>
      </c>
      <c r="D83" s="1">
        <v>5.907</v>
      </c>
    </row>
    <row r="84" spans="1:4" x14ac:dyDescent="0.2">
      <c r="A84" s="5">
        <v>36609</v>
      </c>
      <c r="B84" s="1">
        <v>6.1909999999999998</v>
      </c>
      <c r="C84" s="1">
        <v>1.22</v>
      </c>
      <c r="D84" s="1">
        <v>5.9859999999999998</v>
      </c>
    </row>
    <row r="85" spans="1:4" x14ac:dyDescent="0.2">
      <c r="A85" s="5">
        <v>36612</v>
      </c>
      <c r="B85" s="1">
        <v>6.1849999999999996</v>
      </c>
      <c r="C85" s="1">
        <v>1.22</v>
      </c>
      <c r="D85" s="1">
        <v>5.9779999999999998</v>
      </c>
    </row>
    <row r="86" spans="1:4" x14ac:dyDescent="0.2">
      <c r="A86" s="5">
        <v>36613</v>
      </c>
      <c r="B86" s="1">
        <v>6.1509999999999998</v>
      </c>
      <c r="C86" s="1">
        <v>1.22</v>
      </c>
      <c r="D86" s="1">
        <v>5.9770000000000003</v>
      </c>
    </row>
    <row r="87" spans="1:4" x14ac:dyDescent="0.2">
      <c r="A87" s="5">
        <v>36614</v>
      </c>
      <c r="B87" s="1">
        <v>6.1470000000000002</v>
      </c>
      <c r="C87" s="1">
        <v>1.22</v>
      </c>
      <c r="D87" s="1">
        <v>5.9740000000000002</v>
      </c>
    </row>
    <row r="88" spans="1:4" x14ac:dyDescent="0.2">
      <c r="A88" s="5">
        <v>36615</v>
      </c>
      <c r="B88" s="1">
        <v>6.0549999999999997</v>
      </c>
      <c r="C88" s="1">
        <v>1.22</v>
      </c>
      <c r="D88" s="1">
        <v>5.8780000000000001</v>
      </c>
    </row>
    <row r="89" spans="1:4" x14ac:dyDescent="0.2">
      <c r="A89" s="5">
        <v>36616</v>
      </c>
      <c r="B89" s="1">
        <v>6.0039999999999996</v>
      </c>
      <c r="C89" s="1">
        <v>1.46</v>
      </c>
      <c r="D89" s="1">
        <v>5.8280000000000003</v>
      </c>
    </row>
    <row r="90" spans="1:4" x14ac:dyDescent="0.2">
      <c r="A90" s="5">
        <v>36619</v>
      </c>
      <c r="B90" s="1">
        <v>5.9649999999999999</v>
      </c>
      <c r="C90" s="1">
        <v>1.46</v>
      </c>
      <c r="D90" s="1">
        <v>5.8120000000000003</v>
      </c>
    </row>
    <row r="91" spans="1:4" x14ac:dyDescent="0.2">
      <c r="A91" s="5">
        <v>36620</v>
      </c>
      <c r="B91" s="1">
        <v>5.8949999999999996</v>
      </c>
      <c r="C91" s="1">
        <v>1.46</v>
      </c>
      <c r="D91" s="1">
        <v>5.7729999999999997</v>
      </c>
    </row>
    <row r="92" spans="1:4" x14ac:dyDescent="0.2">
      <c r="A92" s="5">
        <v>36621</v>
      </c>
      <c r="B92" s="1">
        <v>5.8719999999999999</v>
      </c>
      <c r="C92" s="1">
        <v>1.46</v>
      </c>
      <c r="D92" s="1">
        <v>5.7779999999999996</v>
      </c>
    </row>
    <row r="93" spans="1:4" x14ac:dyDescent="0.2">
      <c r="A93" s="5">
        <v>36622</v>
      </c>
      <c r="B93" s="1">
        <v>5.9340000000000002</v>
      </c>
      <c r="C93" s="1">
        <v>1.46</v>
      </c>
      <c r="D93" s="1">
        <v>5.7939999999999996</v>
      </c>
    </row>
    <row r="94" spans="1:4" x14ac:dyDescent="0.2">
      <c r="A94" s="5">
        <v>36623</v>
      </c>
      <c r="B94" s="1">
        <v>5.8529999999999998</v>
      </c>
      <c r="C94" s="1">
        <v>1.46</v>
      </c>
      <c r="D94" s="1">
        <v>5.7089999999999996</v>
      </c>
    </row>
    <row r="95" spans="1:4" x14ac:dyDescent="0.2">
      <c r="A95" s="5">
        <v>36626</v>
      </c>
      <c r="B95" s="1">
        <v>5.7709999999999999</v>
      </c>
      <c r="C95" s="1">
        <v>1.46</v>
      </c>
      <c r="D95" s="1">
        <v>5.6680000000000001</v>
      </c>
    </row>
    <row r="96" spans="1:4" x14ac:dyDescent="0.2">
      <c r="A96" s="5">
        <v>36627</v>
      </c>
      <c r="B96" s="1">
        <v>5.8819999999999997</v>
      </c>
      <c r="C96" s="1">
        <v>1.46</v>
      </c>
      <c r="D96" s="1">
        <v>5.77</v>
      </c>
    </row>
    <row r="97" spans="1:4" x14ac:dyDescent="0.2">
      <c r="A97" s="5">
        <v>36628</v>
      </c>
      <c r="B97" s="1">
        <v>5.9349999999999996</v>
      </c>
      <c r="C97" s="1">
        <v>1.46</v>
      </c>
      <c r="D97" s="1">
        <v>5.8129999999999997</v>
      </c>
    </row>
    <row r="98" spans="1:4" x14ac:dyDescent="0.2">
      <c r="A98" s="5">
        <v>36629</v>
      </c>
      <c r="B98" s="1">
        <v>5.9059999999999997</v>
      </c>
      <c r="C98" s="1">
        <v>1.46</v>
      </c>
      <c r="D98" s="1">
        <v>5.7919999999999998</v>
      </c>
    </row>
    <row r="99" spans="1:4" x14ac:dyDescent="0.2">
      <c r="A99" s="5">
        <v>36630</v>
      </c>
      <c r="B99" s="1">
        <v>5.85</v>
      </c>
      <c r="C99" s="1">
        <v>1.46</v>
      </c>
      <c r="D99" s="1">
        <v>5.7759999999999998</v>
      </c>
    </row>
    <row r="100" spans="1:4" x14ac:dyDescent="0.2">
      <c r="A100" s="5">
        <v>36633</v>
      </c>
      <c r="B100" s="1">
        <v>6.0380000000000003</v>
      </c>
      <c r="C100" s="1">
        <v>1.46</v>
      </c>
      <c r="D100" s="1">
        <v>5.9320000000000004</v>
      </c>
    </row>
    <row r="101" spans="1:4" x14ac:dyDescent="0.2">
      <c r="A101" s="5">
        <v>36634</v>
      </c>
      <c r="B101" s="1">
        <v>6.0590000000000002</v>
      </c>
      <c r="C101" s="1">
        <v>1.46</v>
      </c>
      <c r="D101" s="1">
        <v>5.91</v>
      </c>
    </row>
    <row r="102" spans="1:4" x14ac:dyDescent="0.2">
      <c r="A102" s="5">
        <v>36635</v>
      </c>
      <c r="B102" s="1">
        <v>5.992</v>
      </c>
      <c r="C102" s="1">
        <v>1.46</v>
      </c>
      <c r="D102" s="1">
        <v>5.8470000000000004</v>
      </c>
    </row>
    <row r="103" spans="1:4" x14ac:dyDescent="0.2">
      <c r="A103" s="5">
        <v>36636</v>
      </c>
      <c r="B103" s="1">
        <v>5.9939999999999998</v>
      </c>
      <c r="C103" s="1">
        <v>1.46</v>
      </c>
      <c r="D103" s="1">
        <v>5.83</v>
      </c>
    </row>
    <row r="104" spans="1:4" x14ac:dyDescent="0.2">
      <c r="A104" s="5">
        <v>36637</v>
      </c>
      <c r="B104" s="1">
        <v>5.9870000000000001</v>
      </c>
      <c r="C104" s="1">
        <v>1.46</v>
      </c>
      <c r="D104" s="1">
        <v>5.827</v>
      </c>
    </row>
    <row r="105" spans="1:4" x14ac:dyDescent="0.2">
      <c r="A105" s="5">
        <v>36640</v>
      </c>
      <c r="B105" s="1">
        <v>6.0170000000000003</v>
      </c>
      <c r="C105" s="1">
        <v>1.46</v>
      </c>
      <c r="D105" s="1">
        <v>5.875</v>
      </c>
    </row>
    <row r="106" spans="1:4" x14ac:dyDescent="0.2">
      <c r="A106" s="5">
        <v>36641</v>
      </c>
      <c r="B106" s="1">
        <v>6.1280000000000001</v>
      </c>
      <c r="C106" s="1">
        <v>1.46</v>
      </c>
      <c r="D106" s="1">
        <v>5.9359999999999999</v>
      </c>
    </row>
    <row r="107" spans="1:4" x14ac:dyDescent="0.2">
      <c r="A107" s="5">
        <v>36642</v>
      </c>
      <c r="B107" s="1">
        <v>6.13</v>
      </c>
      <c r="C107" s="1">
        <v>1.46</v>
      </c>
      <c r="D107" s="1">
        <v>5.944</v>
      </c>
    </row>
    <row r="108" spans="1:4" x14ac:dyDescent="0.2">
      <c r="A108" s="5">
        <v>36643</v>
      </c>
      <c r="B108" s="1">
        <v>6.2229999999999999</v>
      </c>
      <c r="C108" s="1">
        <v>1.46</v>
      </c>
      <c r="D108" s="1">
        <v>5.9850000000000003</v>
      </c>
    </row>
    <row r="109" spans="1:4" x14ac:dyDescent="0.2">
      <c r="A109" s="5">
        <v>36644</v>
      </c>
      <c r="B109" s="1">
        <v>6.2119999999999997</v>
      </c>
      <c r="C109" s="1">
        <v>1.56</v>
      </c>
      <c r="D109" s="1">
        <v>5.96</v>
      </c>
    </row>
    <row r="110" spans="1:4" x14ac:dyDescent="0.2">
      <c r="A110" s="5">
        <v>36647</v>
      </c>
      <c r="B110" s="1">
        <v>6.2779999999999996</v>
      </c>
      <c r="C110" s="1">
        <v>1.56</v>
      </c>
      <c r="D110" s="1">
        <v>5.9880000000000004</v>
      </c>
    </row>
    <row r="111" spans="1:4" x14ac:dyDescent="0.2">
      <c r="A111" s="5">
        <v>36648</v>
      </c>
      <c r="B111" s="1">
        <v>6.2990000000000004</v>
      </c>
      <c r="C111" s="1">
        <v>1.56</v>
      </c>
      <c r="D111" s="1">
        <v>6.0110000000000001</v>
      </c>
    </row>
    <row r="112" spans="1:4" x14ac:dyDescent="0.2">
      <c r="A112" s="5">
        <v>36649</v>
      </c>
      <c r="B112" s="1">
        <v>6.4009999999999998</v>
      </c>
      <c r="C112" s="1">
        <v>1.56</v>
      </c>
      <c r="D112" s="1">
        <v>6.1159999999999997</v>
      </c>
    </row>
    <row r="113" spans="1:4" x14ac:dyDescent="0.2">
      <c r="A113" s="5">
        <v>36650</v>
      </c>
      <c r="B113" s="1">
        <v>6.4269999999999996</v>
      </c>
      <c r="C113" s="1">
        <v>1.56</v>
      </c>
      <c r="D113" s="1">
        <v>6.1550000000000002</v>
      </c>
    </row>
    <row r="114" spans="1:4" x14ac:dyDescent="0.2">
      <c r="A114" s="5">
        <v>36651</v>
      </c>
      <c r="B114" s="1">
        <v>6.5049999999999999</v>
      </c>
      <c r="C114" s="1">
        <v>1.56</v>
      </c>
      <c r="D114" s="1">
        <v>6.1879999999999997</v>
      </c>
    </row>
    <row r="115" spans="1:4" x14ac:dyDescent="0.2">
      <c r="A115" s="5">
        <v>36654</v>
      </c>
      <c r="B115" s="1">
        <v>6.56</v>
      </c>
      <c r="C115" s="1">
        <v>1.56</v>
      </c>
      <c r="D115" s="1">
        <v>6.2430000000000003</v>
      </c>
    </row>
    <row r="116" spans="1:4" x14ac:dyDescent="0.2">
      <c r="A116" s="5">
        <v>36655</v>
      </c>
      <c r="B116" s="1">
        <v>6.5289999999999999</v>
      </c>
      <c r="C116" s="1">
        <v>1.56</v>
      </c>
      <c r="D116" s="1">
        <v>6.2130000000000001</v>
      </c>
    </row>
    <row r="117" spans="1:4" x14ac:dyDescent="0.2">
      <c r="A117" s="5">
        <v>36656</v>
      </c>
      <c r="B117" s="1">
        <v>6.42</v>
      </c>
      <c r="C117" s="1">
        <v>1.56</v>
      </c>
      <c r="D117" s="1">
        <v>6.149</v>
      </c>
    </row>
    <row r="118" spans="1:4" x14ac:dyDescent="0.2">
      <c r="A118" s="5">
        <v>36657</v>
      </c>
      <c r="B118" s="1">
        <v>6.4089999999999998</v>
      </c>
      <c r="C118" s="1">
        <v>1.56</v>
      </c>
      <c r="D118" s="1">
        <v>6.1459999999999999</v>
      </c>
    </row>
    <row r="119" spans="1:4" x14ac:dyDescent="0.2">
      <c r="A119" s="5">
        <v>36658</v>
      </c>
      <c r="B119" s="1">
        <v>6.5119999999999996</v>
      </c>
      <c r="C119" s="1">
        <v>1.56</v>
      </c>
      <c r="D119" s="1">
        <v>6.2009999999999996</v>
      </c>
    </row>
    <row r="120" spans="1:4" x14ac:dyDescent="0.2">
      <c r="A120" s="5">
        <v>36661</v>
      </c>
      <c r="B120" s="1">
        <v>6.4459999999999997</v>
      </c>
      <c r="C120" s="1">
        <v>1.56</v>
      </c>
      <c r="D120" s="1">
        <v>6.1539999999999999</v>
      </c>
    </row>
    <row r="121" spans="1:4" x14ac:dyDescent="0.2">
      <c r="A121" s="5">
        <v>36662</v>
      </c>
      <c r="B121" s="1">
        <v>6.4240000000000004</v>
      </c>
      <c r="C121" s="1">
        <v>1.56</v>
      </c>
      <c r="D121" s="1">
        <v>6.1130000000000004</v>
      </c>
    </row>
    <row r="122" spans="1:4" x14ac:dyDescent="0.2">
      <c r="A122" s="5">
        <v>36663</v>
      </c>
      <c r="B122" s="1">
        <v>6.4960000000000004</v>
      </c>
      <c r="C122" s="1">
        <v>1.56</v>
      </c>
      <c r="D122" s="1">
        <v>6.1840000000000002</v>
      </c>
    </row>
    <row r="123" spans="1:4" x14ac:dyDescent="0.2">
      <c r="A123" s="5">
        <v>36664</v>
      </c>
      <c r="B123" s="1">
        <v>6.54</v>
      </c>
      <c r="C123" s="1">
        <v>1.56</v>
      </c>
      <c r="D123" s="1">
        <v>6.2270000000000003</v>
      </c>
    </row>
    <row r="124" spans="1:4" x14ac:dyDescent="0.2">
      <c r="A124" s="5">
        <v>36665</v>
      </c>
      <c r="B124" s="1">
        <v>6.4939999999999998</v>
      </c>
      <c r="C124" s="1">
        <v>1.56</v>
      </c>
      <c r="D124" s="1">
        <v>6.2060000000000004</v>
      </c>
    </row>
    <row r="125" spans="1:4" x14ac:dyDescent="0.2">
      <c r="A125" s="5">
        <v>36668</v>
      </c>
      <c r="B125" s="1">
        <v>6.4390000000000001</v>
      </c>
      <c r="C125" s="1">
        <v>1.56</v>
      </c>
      <c r="D125" s="1">
        <v>6.1849999999999996</v>
      </c>
    </row>
    <row r="126" spans="1:4" x14ac:dyDescent="0.2">
      <c r="A126" s="5">
        <v>36669</v>
      </c>
      <c r="B126" s="1">
        <v>6.4349999999999996</v>
      </c>
      <c r="C126" s="1">
        <v>1.56</v>
      </c>
      <c r="D126" s="1">
        <v>6.16</v>
      </c>
    </row>
    <row r="127" spans="1:4" x14ac:dyDescent="0.2">
      <c r="A127" s="5">
        <v>36670</v>
      </c>
      <c r="B127" s="1">
        <v>6.47</v>
      </c>
      <c r="C127" s="1">
        <v>1.56</v>
      </c>
      <c r="D127" s="1">
        <v>6.1929999999999996</v>
      </c>
    </row>
    <row r="128" spans="1:4" x14ac:dyDescent="0.2">
      <c r="A128" s="5">
        <v>36671</v>
      </c>
      <c r="B128" s="1">
        <v>6.3940000000000001</v>
      </c>
      <c r="C128" s="1">
        <v>1.56</v>
      </c>
      <c r="D128" s="1">
        <v>6.1059999999999999</v>
      </c>
    </row>
    <row r="129" spans="1:4" x14ac:dyDescent="0.2">
      <c r="A129" s="5">
        <v>36672</v>
      </c>
      <c r="B129" s="1">
        <v>6.3310000000000004</v>
      </c>
      <c r="C129" s="1">
        <v>1.56</v>
      </c>
      <c r="D129" s="1">
        <v>6.0590000000000002</v>
      </c>
    </row>
    <row r="130" spans="1:4" x14ac:dyDescent="0.2">
      <c r="A130" s="5">
        <v>36675</v>
      </c>
      <c r="B130" s="1">
        <v>6.3259999999999996</v>
      </c>
      <c r="C130" s="1">
        <v>1.56</v>
      </c>
      <c r="D130" s="1">
        <v>6.06</v>
      </c>
    </row>
    <row r="131" spans="1:4" x14ac:dyDescent="0.2">
      <c r="A131" s="5">
        <v>36676</v>
      </c>
      <c r="B131" s="1">
        <v>6.3760000000000003</v>
      </c>
      <c r="C131" s="1">
        <v>1.56</v>
      </c>
      <c r="D131" s="1">
        <v>6.0919999999999996</v>
      </c>
    </row>
    <row r="132" spans="1:4" x14ac:dyDescent="0.2">
      <c r="A132" s="5">
        <v>36677</v>
      </c>
      <c r="B132" s="1">
        <v>6.2720000000000002</v>
      </c>
      <c r="C132" s="1">
        <v>1.65</v>
      </c>
      <c r="D132" s="1">
        <v>6.008</v>
      </c>
    </row>
    <row r="133" spans="1:4" x14ac:dyDescent="0.2">
      <c r="A133" s="5">
        <v>36678</v>
      </c>
      <c r="B133" s="1">
        <v>6.1909999999999998</v>
      </c>
      <c r="C133" s="1">
        <v>1.65</v>
      </c>
      <c r="D133" s="1">
        <v>5.9429999999999996</v>
      </c>
    </row>
    <row r="134" spans="1:4" x14ac:dyDescent="0.2">
      <c r="A134" s="5">
        <v>36679</v>
      </c>
      <c r="B134" s="1">
        <v>6.1520000000000001</v>
      </c>
      <c r="C134" s="1">
        <v>1.65</v>
      </c>
      <c r="D134" s="1">
        <v>5.9450000000000003</v>
      </c>
    </row>
    <row r="135" spans="1:4" x14ac:dyDescent="0.2">
      <c r="A135" s="5">
        <v>36682</v>
      </c>
      <c r="B135" s="1">
        <v>6.1219999999999999</v>
      </c>
      <c r="C135" s="1">
        <v>1.65</v>
      </c>
      <c r="D135" s="1">
        <v>5.915</v>
      </c>
    </row>
    <row r="136" spans="1:4" x14ac:dyDescent="0.2">
      <c r="A136" s="5">
        <v>36683</v>
      </c>
      <c r="B136" s="1">
        <v>6.1219999999999999</v>
      </c>
      <c r="C136" s="1">
        <v>1.65</v>
      </c>
      <c r="D136" s="1">
        <v>5.9080000000000004</v>
      </c>
    </row>
    <row r="137" spans="1:4" x14ac:dyDescent="0.2">
      <c r="A137" s="5">
        <v>36684</v>
      </c>
      <c r="B137" s="1">
        <v>6.141</v>
      </c>
      <c r="C137" s="1">
        <v>1.65</v>
      </c>
      <c r="D137" s="1">
        <v>5.907</v>
      </c>
    </row>
    <row r="138" spans="1:4" x14ac:dyDescent="0.2">
      <c r="A138" s="5">
        <v>36685</v>
      </c>
      <c r="B138" s="1">
        <v>6.1239999999999997</v>
      </c>
      <c r="C138" s="1">
        <v>1.65</v>
      </c>
      <c r="D138" s="1">
        <v>5.8860000000000001</v>
      </c>
    </row>
    <row r="139" spans="1:4" x14ac:dyDescent="0.2">
      <c r="A139" s="5">
        <v>36686</v>
      </c>
      <c r="B139" s="1">
        <v>6.1260000000000003</v>
      </c>
      <c r="C139" s="1">
        <v>1.65</v>
      </c>
      <c r="D139" s="1">
        <v>5.8949999999999996</v>
      </c>
    </row>
    <row r="140" spans="1:4" x14ac:dyDescent="0.2">
      <c r="A140" s="5">
        <v>36689</v>
      </c>
      <c r="B140" s="1">
        <v>6.0709999999999997</v>
      </c>
      <c r="C140" s="1">
        <v>1.65</v>
      </c>
      <c r="D140" s="1">
        <v>5.8710000000000004</v>
      </c>
    </row>
    <row r="141" spans="1:4" x14ac:dyDescent="0.2">
      <c r="A141" s="5">
        <v>36690</v>
      </c>
      <c r="B141" s="1">
        <v>6.1159999999999997</v>
      </c>
      <c r="C141" s="1">
        <v>1.65</v>
      </c>
      <c r="D141" s="1">
        <v>5.9489999999999998</v>
      </c>
    </row>
    <row r="142" spans="1:4" x14ac:dyDescent="0.2">
      <c r="A142" s="5">
        <v>36691</v>
      </c>
      <c r="B142" s="1">
        <v>6.0410000000000004</v>
      </c>
      <c r="C142" s="1">
        <v>1.65</v>
      </c>
      <c r="D142" s="1">
        <v>5.91</v>
      </c>
    </row>
    <row r="143" spans="1:4" x14ac:dyDescent="0.2">
      <c r="A143" s="5">
        <v>36692</v>
      </c>
      <c r="B143" s="1">
        <v>6.05</v>
      </c>
      <c r="C143" s="1">
        <v>1.65</v>
      </c>
      <c r="D143" s="1">
        <v>5.923</v>
      </c>
    </row>
    <row r="144" spans="1:4" x14ac:dyDescent="0.2">
      <c r="A144" s="5">
        <v>36693</v>
      </c>
      <c r="B144" s="1">
        <v>5.9710000000000001</v>
      </c>
      <c r="C144" s="1">
        <v>1.65</v>
      </c>
      <c r="D144" s="1">
        <v>5.8689999999999998</v>
      </c>
    </row>
    <row r="145" spans="1:4" x14ac:dyDescent="0.2">
      <c r="A145" s="5">
        <v>36696</v>
      </c>
      <c r="B145" s="1">
        <v>5.9989999999999997</v>
      </c>
      <c r="C145" s="1">
        <v>1.65</v>
      </c>
      <c r="D145" s="1">
        <v>5.891</v>
      </c>
    </row>
    <row r="146" spans="1:4" x14ac:dyDescent="0.2">
      <c r="A146" s="5">
        <v>36697</v>
      </c>
      <c r="B146" s="1">
        <v>6.02</v>
      </c>
      <c r="C146" s="1">
        <v>1.65</v>
      </c>
      <c r="D146" s="1">
        <v>5.8959999999999999</v>
      </c>
    </row>
    <row r="147" spans="1:4" x14ac:dyDescent="0.2">
      <c r="A147" s="5">
        <v>36698</v>
      </c>
      <c r="B147" s="1">
        <v>6.1130000000000004</v>
      </c>
      <c r="C147" s="1">
        <v>1.65</v>
      </c>
      <c r="D147" s="1">
        <v>5.9669999999999996</v>
      </c>
    </row>
    <row r="148" spans="1:4" x14ac:dyDescent="0.2">
      <c r="A148" s="5">
        <v>36699</v>
      </c>
      <c r="B148" s="1">
        <v>6.1040000000000001</v>
      </c>
      <c r="C148" s="1">
        <v>1.65</v>
      </c>
      <c r="D148" s="1">
        <v>5.9619999999999997</v>
      </c>
    </row>
    <row r="149" spans="1:4" x14ac:dyDescent="0.2">
      <c r="A149" s="5">
        <v>36700</v>
      </c>
      <c r="B149" s="1">
        <v>6.1849999999999996</v>
      </c>
      <c r="C149" s="1">
        <v>1.65</v>
      </c>
      <c r="D149" s="1">
        <v>6.0410000000000004</v>
      </c>
    </row>
    <row r="150" spans="1:4" x14ac:dyDescent="0.2">
      <c r="A150" s="5">
        <v>36703</v>
      </c>
      <c r="B150" s="1">
        <v>6.1020000000000003</v>
      </c>
      <c r="C150" s="1">
        <v>1.65</v>
      </c>
      <c r="D150" s="1">
        <v>5.9790000000000001</v>
      </c>
    </row>
    <row r="151" spans="1:4" x14ac:dyDescent="0.2">
      <c r="A151" s="5">
        <v>36704</v>
      </c>
      <c r="B151" s="1">
        <v>6.085</v>
      </c>
      <c r="C151" s="1">
        <v>1.65</v>
      </c>
      <c r="D151" s="1">
        <v>5.9329999999999998</v>
      </c>
    </row>
    <row r="152" spans="1:4" x14ac:dyDescent="0.2">
      <c r="A152" s="5">
        <v>36705</v>
      </c>
      <c r="B152" s="1">
        <v>6.1</v>
      </c>
      <c r="C152" s="1">
        <v>1.65</v>
      </c>
      <c r="D152" s="1">
        <v>5.952</v>
      </c>
    </row>
    <row r="153" spans="1:4" x14ac:dyDescent="0.2">
      <c r="A153" s="5">
        <v>36706</v>
      </c>
      <c r="B153" s="1">
        <v>6.0270000000000001</v>
      </c>
      <c r="C153" s="1">
        <v>1.65</v>
      </c>
      <c r="D153" s="1">
        <v>5.875</v>
      </c>
    </row>
    <row r="154" spans="1:4" x14ac:dyDescent="0.2">
      <c r="A154" s="5">
        <v>36707</v>
      </c>
      <c r="B154" s="1">
        <v>6.0309999999999997</v>
      </c>
      <c r="C154" s="1">
        <v>1.63</v>
      </c>
      <c r="D154" s="1">
        <v>5.8959999999999999</v>
      </c>
    </row>
    <row r="155" spans="1:4" x14ac:dyDescent="0.2">
      <c r="A155" s="5">
        <v>36710</v>
      </c>
      <c r="B155" s="1">
        <v>5.9889999999999999</v>
      </c>
      <c r="C155" s="1">
        <v>1.63</v>
      </c>
      <c r="D155" s="1">
        <v>5.867</v>
      </c>
    </row>
    <row r="156" spans="1:4" x14ac:dyDescent="0.2">
      <c r="A156" s="5">
        <v>36711</v>
      </c>
      <c r="B156" s="1">
        <v>5.9889999999999999</v>
      </c>
      <c r="C156" s="1">
        <v>1.63</v>
      </c>
      <c r="D156" s="1">
        <v>5.867</v>
      </c>
    </row>
    <row r="157" spans="1:4" x14ac:dyDescent="0.2">
      <c r="A157" s="5">
        <v>36712</v>
      </c>
      <c r="B157" s="1">
        <v>5.984</v>
      </c>
      <c r="C157" s="1">
        <v>1.63</v>
      </c>
      <c r="D157" s="1">
        <v>5.8570000000000002</v>
      </c>
    </row>
    <row r="158" spans="1:4" x14ac:dyDescent="0.2">
      <c r="A158" s="5">
        <v>36713</v>
      </c>
      <c r="B158" s="1">
        <v>6.048</v>
      </c>
      <c r="C158" s="1">
        <v>1.63</v>
      </c>
      <c r="D158" s="1">
        <v>5.9080000000000004</v>
      </c>
    </row>
    <row r="159" spans="1:4" x14ac:dyDescent="0.2">
      <c r="A159" s="5">
        <v>36714</v>
      </c>
      <c r="B159" s="1">
        <v>6.0010000000000003</v>
      </c>
      <c r="C159" s="1">
        <v>1.63</v>
      </c>
      <c r="D159" s="1">
        <v>5.8689999999999998</v>
      </c>
    </row>
    <row r="160" spans="1:4" x14ac:dyDescent="0.2">
      <c r="A160" s="5">
        <v>36717</v>
      </c>
      <c r="B160" s="1">
        <v>6.0350000000000001</v>
      </c>
      <c r="C160" s="1">
        <v>1.63</v>
      </c>
      <c r="D160" s="1">
        <v>5.8860000000000001</v>
      </c>
    </row>
    <row r="161" spans="1:4" x14ac:dyDescent="0.2">
      <c r="A161" s="5">
        <v>36718</v>
      </c>
      <c r="B161" s="1">
        <v>6.048</v>
      </c>
      <c r="C161" s="1">
        <v>1.63</v>
      </c>
      <c r="D161" s="1">
        <v>5.8849999999999998</v>
      </c>
    </row>
    <row r="162" spans="1:4" x14ac:dyDescent="0.2">
      <c r="A162" s="5">
        <v>36719</v>
      </c>
      <c r="B162" s="1">
        <v>6.08</v>
      </c>
      <c r="C162" s="1">
        <v>1.63</v>
      </c>
      <c r="D162" s="1">
        <v>5.8780000000000001</v>
      </c>
    </row>
    <row r="163" spans="1:4" x14ac:dyDescent="0.2">
      <c r="A163" s="5">
        <v>36720</v>
      </c>
      <c r="B163" s="1">
        <v>6.0049999999999999</v>
      </c>
      <c r="C163" s="1">
        <v>1.63</v>
      </c>
      <c r="D163" s="1">
        <v>5.8159999999999998</v>
      </c>
    </row>
    <row r="164" spans="1:4" x14ac:dyDescent="0.2">
      <c r="A164" s="5">
        <v>36721</v>
      </c>
      <c r="B164" s="1">
        <v>6.0960000000000001</v>
      </c>
      <c r="C164" s="1">
        <v>1.63</v>
      </c>
      <c r="D164" s="1">
        <v>5.8760000000000003</v>
      </c>
    </row>
    <row r="165" spans="1:4" x14ac:dyDescent="0.2">
      <c r="A165" s="5">
        <v>36724</v>
      </c>
      <c r="B165" s="1">
        <v>6.1479999999999997</v>
      </c>
      <c r="C165" s="1">
        <v>1.63</v>
      </c>
      <c r="D165" s="1">
        <v>5.915</v>
      </c>
    </row>
    <row r="166" spans="1:4" x14ac:dyDescent="0.2">
      <c r="A166" s="5">
        <v>36725</v>
      </c>
      <c r="B166" s="1">
        <v>6.141</v>
      </c>
      <c r="C166" s="1">
        <v>1.63</v>
      </c>
      <c r="D166" s="1">
        <v>5.9080000000000004</v>
      </c>
    </row>
    <row r="167" spans="1:4" x14ac:dyDescent="0.2">
      <c r="A167" s="5">
        <v>36726</v>
      </c>
      <c r="B167" s="1">
        <v>6.1539999999999999</v>
      </c>
      <c r="C167" s="1">
        <v>1.63</v>
      </c>
      <c r="D167" s="1">
        <v>5.9130000000000003</v>
      </c>
    </row>
    <row r="168" spans="1:4" x14ac:dyDescent="0.2">
      <c r="A168" s="5">
        <v>36727</v>
      </c>
      <c r="B168" s="1">
        <v>6.0019999999999998</v>
      </c>
      <c r="C168" s="1">
        <v>1.63</v>
      </c>
      <c r="D168" s="1">
        <v>5.8090000000000002</v>
      </c>
    </row>
    <row r="169" spans="1:4" x14ac:dyDescent="0.2">
      <c r="A169" s="5">
        <v>36728</v>
      </c>
      <c r="B169" s="1">
        <v>5.9980000000000002</v>
      </c>
      <c r="C169" s="1">
        <v>1.63</v>
      </c>
      <c r="D169" s="1">
        <v>5.7889999999999997</v>
      </c>
    </row>
    <row r="170" spans="1:4" x14ac:dyDescent="0.2">
      <c r="A170" s="5">
        <v>36731</v>
      </c>
      <c r="B170" s="1">
        <v>6.0339999999999998</v>
      </c>
      <c r="C170" s="1">
        <v>1.63</v>
      </c>
      <c r="D170" s="1">
        <v>5.8150000000000004</v>
      </c>
    </row>
    <row r="171" spans="1:4" x14ac:dyDescent="0.2">
      <c r="A171" s="5">
        <v>36732</v>
      </c>
      <c r="B171" s="1">
        <v>6.0279999999999996</v>
      </c>
      <c r="C171" s="1">
        <v>1.63</v>
      </c>
      <c r="D171" s="1">
        <v>5.8070000000000004</v>
      </c>
    </row>
    <row r="172" spans="1:4" x14ac:dyDescent="0.2">
      <c r="A172" s="5">
        <v>36733</v>
      </c>
      <c r="B172" s="1">
        <v>6.0270000000000001</v>
      </c>
      <c r="C172" s="1">
        <v>1.63</v>
      </c>
      <c r="D172" s="1">
        <v>5.8070000000000004</v>
      </c>
    </row>
    <row r="173" spans="1:4" x14ac:dyDescent="0.2">
      <c r="A173" s="5">
        <v>36734</v>
      </c>
      <c r="B173" s="1">
        <v>6</v>
      </c>
      <c r="C173" s="1">
        <v>1.63</v>
      </c>
      <c r="D173" s="1">
        <v>5.7709999999999999</v>
      </c>
    </row>
    <row r="174" spans="1:4" x14ac:dyDescent="0.2">
      <c r="A174" s="5">
        <v>36735</v>
      </c>
      <c r="B174" s="1">
        <v>6.0339999999999998</v>
      </c>
      <c r="C174" s="1">
        <v>1.63</v>
      </c>
      <c r="D174" s="1">
        <v>5.7850000000000001</v>
      </c>
    </row>
    <row r="175" spans="1:4" x14ac:dyDescent="0.2">
      <c r="A175" s="5">
        <v>36738</v>
      </c>
      <c r="B175" s="1">
        <v>6.0309999999999997</v>
      </c>
      <c r="C175" s="1">
        <v>1.62</v>
      </c>
      <c r="D175" s="1">
        <v>5.782</v>
      </c>
    </row>
    <row r="176" spans="1:4" x14ac:dyDescent="0.2">
      <c r="A176" s="5">
        <v>36739</v>
      </c>
      <c r="B176" s="1">
        <v>5.984</v>
      </c>
      <c r="C176" s="1">
        <v>1.62</v>
      </c>
      <c r="D176" s="1">
        <v>5.7270000000000003</v>
      </c>
    </row>
    <row r="177" spans="1:4" x14ac:dyDescent="0.2">
      <c r="A177" s="5">
        <v>36740</v>
      </c>
      <c r="B177" s="1">
        <v>5.976</v>
      </c>
      <c r="C177" s="1">
        <v>1.62</v>
      </c>
      <c r="D177" s="1">
        <v>5.7590000000000003</v>
      </c>
    </row>
    <row r="178" spans="1:4" x14ac:dyDescent="0.2">
      <c r="A178" s="5">
        <v>36741</v>
      </c>
      <c r="B178" s="1">
        <v>5.952</v>
      </c>
      <c r="C178" s="1">
        <v>1.62</v>
      </c>
      <c r="D178" s="1">
        <v>5.7370000000000001</v>
      </c>
    </row>
    <row r="179" spans="1:4" x14ac:dyDescent="0.2">
      <c r="A179" s="5">
        <v>36742</v>
      </c>
      <c r="B179" s="1">
        <v>5.9009999999999998</v>
      </c>
      <c r="C179" s="1">
        <v>1.62</v>
      </c>
      <c r="D179" s="1">
        <v>5.7080000000000002</v>
      </c>
    </row>
    <row r="180" spans="1:4" x14ac:dyDescent="0.2">
      <c r="A180" s="5">
        <v>36745</v>
      </c>
      <c r="B180" s="1">
        <v>5.9560000000000004</v>
      </c>
      <c r="C180" s="1">
        <v>1.62</v>
      </c>
      <c r="D180" s="1">
        <v>5.7519999999999998</v>
      </c>
    </row>
    <row r="181" spans="1:4" x14ac:dyDescent="0.2">
      <c r="A181" s="5">
        <v>36746</v>
      </c>
      <c r="B181" s="1">
        <v>5.92</v>
      </c>
      <c r="C181" s="1">
        <v>1.62</v>
      </c>
      <c r="D181" s="1">
        <v>5.7309999999999999</v>
      </c>
    </row>
    <row r="182" spans="1:4" x14ac:dyDescent="0.2">
      <c r="A182" s="5">
        <v>36747</v>
      </c>
      <c r="B182" s="1">
        <v>5.9160000000000004</v>
      </c>
      <c r="C182" s="1">
        <v>1.62</v>
      </c>
      <c r="D182" s="1">
        <v>5.7249999999999996</v>
      </c>
    </row>
    <row r="183" spans="1:4" x14ac:dyDescent="0.2">
      <c r="A183" s="5">
        <v>36748</v>
      </c>
      <c r="B183" s="1">
        <v>5.7629999999999999</v>
      </c>
      <c r="C183" s="1">
        <v>1.62</v>
      </c>
      <c r="D183" s="1">
        <v>5.681</v>
      </c>
    </row>
    <row r="184" spans="1:4" x14ac:dyDescent="0.2">
      <c r="A184" s="5">
        <v>36749</v>
      </c>
      <c r="B184" s="1">
        <v>5.79</v>
      </c>
      <c r="C184" s="1">
        <v>1.62</v>
      </c>
      <c r="D184" s="1">
        <v>5.7060000000000004</v>
      </c>
    </row>
    <row r="185" spans="1:4" x14ac:dyDescent="0.2">
      <c r="A185" s="5">
        <v>36752</v>
      </c>
      <c r="B185" s="1">
        <v>5.7709999999999999</v>
      </c>
      <c r="C185" s="1">
        <v>1.62</v>
      </c>
      <c r="D185" s="1">
        <v>5.69</v>
      </c>
    </row>
    <row r="186" spans="1:4" x14ac:dyDescent="0.2">
      <c r="A186" s="5">
        <v>36753</v>
      </c>
      <c r="B186" s="1">
        <v>5.8019999999999996</v>
      </c>
      <c r="C186" s="1">
        <v>1.63</v>
      </c>
      <c r="D186" s="1">
        <v>5.7089999999999996</v>
      </c>
    </row>
    <row r="187" spans="1:4" x14ac:dyDescent="0.2">
      <c r="A187" s="5">
        <v>36754</v>
      </c>
      <c r="B187" s="1">
        <v>5.8380000000000001</v>
      </c>
      <c r="C187" s="1">
        <v>1.62</v>
      </c>
      <c r="D187" s="1">
        <v>5.742</v>
      </c>
    </row>
    <row r="188" spans="1:4" x14ac:dyDescent="0.2">
      <c r="A188" s="5">
        <v>36755</v>
      </c>
      <c r="B188" s="1">
        <v>5.81</v>
      </c>
      <c r="C188" s="1">
        <v>1.63</v>
      </c>
      <c r="D188" s="1">
        <v>5.7119999999999997</v>
      </c>
    </row>
    <row r="189" spans="1:4" x14ac:dyDescent="0.2">
      <c r="A189" s="5">
        <v>36756</v>
      </c>
      <c r="B189" s="1">
        <v>5.7729999999999997</v>
      </c>
      <c r="C189" s="1">
        <v>1.64</v>
      </c>
      <c r="D189" s="1">
        <v>5.69</v>
      </c>
    </row>
    <row r="190" spans="1:4" x14ac:dyDescent="0.2">
      <c r="A190" s="5">
        <v>36759</v>
      </c>
      <c r="B190" s="1">
        <v>5.7809999999999997</v>
      </c>
      <c r="C190" s="1">
        <v>1.63</v>
      </c>
      <c r="D190" s="1">
        <v>5.7080000000000002</v>
      </c>
    </row>
    <row r="191" spans="1:4" x14ac:dyDescent="0.2">
      <c r="A191" s="5">
        <v>36760</v>
      </c>
      <c r="B191" s="1">
        <v>5.7750000000000004</v>
      </c>
      <c r="C191" s="1">
        <v>1.64</v>
      </c>
      <c r="D191" s="1">
        <v>5.7119999999999997</v>
      </c>
    </row>
    <row r="192" spans="1:4" x14ac:dyDescent="0.2">
      <c r="A192" s="5">
        <v>36761</v>
      </c>
      <c r="B192" s="1">
        <v>5.7270000000000003</v>
      </c>
      <c r="C192" s="1">
        <v>1.64</v>
      </c>
      <c r="D192" s="1">
        <v>5.6710000000000003</v>
      </c>
    </row>
    <row r="193" spans="1:4" x14ac:dyDescent="0.2">
      <c r="A193" s="5">
        <v>36762</v>
      </c>
      <c r="B193" s="1">
        <v>5.7190000000000003</v>
      </c>
      <c r="C193" s="1">
        <v>1.64</v>
      </c>
      <c r="D193" s="1">
        <v>5.657</v>
      </c>
    </row>
    <row r="194" spans="1:4" x14ac:dyDescent="0.2">
      <c r="A194" s="5">
        <v>36763</v>
      </c>
      <c r="B194" s="1">
        <v>5.7290000000000001</v>
      </c>
      <c r="C194" s="1">
        <v>1.63</v>
      </c>
      <c r="D194" s="1">
        <v>5.6689999999999996</v>
      </c>
    </row>
    <row r="195" spans="1:4" x14ac:dyDescent="0.2">
      <c r="A195" s="5">
        <v>36766</v>
      </c>
      <c r="B195" s="1">
        <v>5.7770000000000001</v>
      </c>
      <c r="C195" s="1">
        <v>1.62</v>
      </c>
      <c r="D195" s="1">
        <v>5.7229999999999999</v>
      </c>
    </row>
    <row r="196" spans="1:4" x14ac:dyDescent="0.2">
      <c r="A196" s="5">
        <v>36767</v>
      </c>
      <c r="B196" s="1">
        <v>5.8079999999999998</v>
      </c>
      <c r="C196" s="1">
        <v>1.62</v>
      </c>
      <c r="D196" s="1">
        <v>5.7469999999999999</v>
      </c>
    </row>
    <row r="197" spans="1:4" x14ac:dyDescent="0.2">
      <c r="A197" s="5">
        <v>36768</v>
      </c>
      <c r="B197" s="1">
        <v>5.8</v>
      </c>
      <c r="C197" s="1">
        <v>1.63</v>
      </c>
      <c r="D197" s="1">
        <v>5.7329999999999997</v>
      </c>
    </row>
    <row r="198" spans="1:4" x14ac:dyDescent="0.2">
      <c r="A198" s="5">
        <v>36769</v>
      </c>
      <c r="B198" s="1">
        <v>5.7249999999999996</v>
      </c>
      <c r="C198" s="1">
        <v>1.64</v>
      </c>
      <c r="D198" s="1">
        <v>5.6680000000000001</v>
      </c>
    </row>
    <row r="199" spans="1:4" x14ac:dyDescent="0.2">
      <c r="A199" s="5">
        <v>36770</v>
      </c>
      <c r="B199" s="1">
        <v>5.6790000000000003</v>
      </c>
      <c r="C199" s="1">
        <v>1.65</v>
      </c>
      <c r="D199" s="1">
        <v>5.6609999999999996</v>
      </c>
    </row>
    <row r="200" spans="1:4" x14ac:dyDescent="0.2">
      <c r="A200" s="5">
        <v>36773</v>
      </c>
      <c r="B200" s="1">
        <v>5.6829999999999998</v>
      </c>
      <c r="C200" s="1">
        <v>1.65</v>
      </c>
      <c r="D200" s="1">
        <v>5.665</v>
      </c>
    </row>
    <row r="201" spans="1:4" x14ac:dyDescent="0.2">
      <c r="A201" s="5">
        <v>36774</v>
      </c>
      <c r="B201" s="1">
        <v>5.6890000000000001</v>
      </c>
      <c r="C201" s="1">
        <v>1.65</v>
      </c>
      <c r="D201" s="1">
        <v>5.6669999999999998</v>
      </c>
    </row>
    <row r="202" spans="1:4" x14ac:dyDescent="0.2">
      <c r="A202" s="5">
        <v>36775</v>
      </c>
      <c r="B202" s="1">
        <v>5.7240000000000002</v>
      </c>
      <c r="C202" s="1">
        <v>1.64</v>
      </c>
      <c r="D202" s="1">
        <v>5.7069999999999999</v>
      </c>
    </row>
    <row r="203" spans="1:4" x14ac:dyDescent="0.2">
      <c r="A203" s="5">
        <v>36776</v>
      </c>
      <c r="B203" s="1">
        <v>5.7519999999999998</v>
      </c>
      <c r="C203" s="1">
        <v>1.65</v>
      </c>
      <c r="D203" s="1">
        <v>5.7149999999999999</v>
      </c>
    </row>
    <row r="204" spans="1:4" x14ac:dyDescent="0.2">
      <c r="A204" s="5">
        <v>36777</v>
      </c>
      <c r="B204" s="1">
        <v>5.7389999999999999</v>
      </c>
      <c r="C204" s="1">
        <v>1.65</v>
      </c>
      <c r="D204" s="1">
        <v>5.7</v>
      </c>
    </row>
    <row r="205" spans="1:4" x14ac:dyDescent="0.2">
      <c r="A205" s="5">
        <v>36780</v>
      </c>
      <c r="B205" s="1">
        <v>5.766</v>
      </c>
      <c r="C205" s="1">
        <v>1.65</v>
      </c>
      <c r="D205" s="1">
        <v>5.7249999999999996</v>
      </c>
    </row>
    <row r="206" spans="1:4" x14ac:dyDescent="0.2">
      <c r="A206" s="5">
        <v>36781</v>
      </c>
      <c r="B206" s="1">
        <v>5.7720000000000002</v>
      </c>
      <c r="C206" s="1">
        <v>1.64</v>
      </c>
      <c r="D206" s="1">
        <v>5.7510000000000003</v>
      </c>
    </row>
    <row r="207" spans="1:4" x14ac:dyDescent="0.2">
      <c r="A207" s="5">
        <v>36782</v>
      </c>
      <c r="B207" s="1">
        <v>5.7240000000000002</v>
      </c>
      <c r="C207" s="1">
        <v>1.64</v>
      </c>
      <c r="D207" s="1">
        <v>5.7309999999999999</v>
      </c>
    </row>
    <row r="208" spans="1:4" x14ac:dyDescent="0.2">
      <c r="A208" s="5">
        <v>36783</v>
      </c>
      <c r="B208" s="1">
        <v>5.7850000000000001</v>
      </c>
      <c r="C208" s="1">
        <v>1.64</v>
      </c>
      <c r="D208" s="1">
        <v>5.8150000000000004</v>
      </c>
    </row>
    <row r="209" spans="1:4" x14ac:dyDescent="0.2">
      <c r="A209" s="5">
        <v>36784</v>
      </c>
      <c r="B209" s="1">
        <v>5.84</v>
      </c>
      <c r="C209" s="1">
        <v>1.62</v>
      </c>
      <c r="D209" s="1">
        <v>5.9</v>
      </c>
    </row>
    <row r="210" spans="1:4" x14ac:dyDescent="0.2">
      <c r="A210" s="5">
        <v>36787</v>
      </c>
      <c r="B210" s="1">
        <v>5.8710000000000004</v>
      </c>
      <c r="C210" s="1">
        <v>1.62</v>
      </c>
      <c r="D210" s="1">
        <v>5.952</v>
      </c>
    </row>
    <row r="211" spans="1:4" x14ac:dyDescent="0.2">
      <c r="A211" s="5">
        <v>36788</v>
      </c>
      <c r="B211" s="1">
        <v>5.8520000000000003</v>
      </c>
      <c r="C211" s="1">
        <v>1.62</v>
      </c>
      <c r="D211" s="1">
        <v>5.9080000000000004</v>
      </c>
    </row>
    <row r="212" spans="1:4" x14ac:dyDescent="0.2">
      <c r="A212" s="5">
        <v>36789</v>
      </c>
      <c r="B212" s="1">
        <v>5.8970000000000002</v>
      </c>
      <c r="C212" s="1">
        <v>1.61</v>
      </c>
      <c r="D212" s="1">
        <v>5.9610000000000003</v>
      </c>
    </row>
    <row r="213" spans="1:4" x14ac:dyDescent="0.2">
      <c r="A213" s="5">
        <v>36790</v>
      </c>
      <c r="B213" s="1">
        <v>5.8230000000000004</v>
      </c>
      <c r="C213" s="1">
        <v>1.61</v>
      </c>
      <c r="D213" s="1">
        <v>5.8929999999999998</v>
      </c>
    </row>
    <row r="214" spans="1:4" x14ac:dyDescent="0.2">
      <c r="A214" s="5">
        <v>36791</v>
      </c>
      <c r="B214" s="1">
        <v>5.8479999999999999</v>
      </c>
      <c r="C214" s="1">
        <v>1.61</v>
      </c>
      <c r="D214" s="1">
        <v>5.9130000000000003</v>
      </c>
    </row>
    <row r="215" spans="1:4" x14ac:dyDescent="0.2">
      <c r="A215" s="5">
        <v>36794</v>
      </c>
      <c r="B215" s="1">
        <v>5.8369999999999997</v>
      </c>
      <c r="C215" s="1">
        <v>1.61</v>
      </c>
      <c r="D215" s="1">
        <v>5.8949999999999996</v>
      </c>
    </row>
    <row r="216" spans="1:4" x14ac:dyDescent="0.2">
      <c r="A216" s="5">
        <v>36795</v>
      </c>
      <c r="B216" s="1">
        <v>5.8019999999999996</v>
      </c>
      <c r="C216" s="1">
        <v>1.6</v>
      </c>
      <c r="D216" s="1">
        <v>5.8540000000000001</v>
      </c>
    </row>
    <row r="217" spans="1:4" x14ac:dyDescent="0.2">
      <c r="A217" s="5">
        <v>36796</v>
      </c>
      <c r="B217" s="1">
        <v>5.8209999999999997</v>
      </c>
      <c r="C217" s="1">
        <v>1.59</v>
      </c>
      <c r="D217" s="1">
        <v>5.9</v>
      </c>
    </row>
    <row r="218" spans="1:4" x14ac:dyDescent="0.2">
      <c r="A218" s="5">
        <v>36797</v>
      </c>
      <c r="B218" s="1">
        <v>5.8120000000000003</v>
      </c>
      <c r="C218" s="1">
        <v>1.6</v>
      </c>
      <c r="D218" s="1">
        <v>5.8819999999999997</v>
      </c>
    </row>
    <row r="219" spans="1:4" x14ac:dyDescent="0.2">
      <c r="A219" s="5">
        <v>36798</v>
      </c>
      <c r="B219" s="1">
        <v>5.8019999999999996</v>
      </c>
      <c r="C219" s="1">
        <v>1.61</v>
      </c>
      <c r="D219" s="1">
        <v>5.8849999999999998</v>
      </c>
    </row>
    <row r="220" spans="1:4" x14ac:dyDescent="0.2">
      <c r="A220" s="5">
        <v>36801</v>
      </c>
      <c r="B220" s="1">
        <v>5.8230000000000004</v>
      </c>
      <c r="C220" s="1">
        <v>1.61</v>
      </c>
      <c r="D220" s="1">
        <v>5.923</v>
      </c>
    </row>
    <row r="221" spans="1:4" x14ac:dyDescent="0.2">
      <c r="A221" s="5">
        <v>36802</v>
      </c>
      <c r="B221" s="1">
        <v>5.867</v>
      </c>
      <c r="C221" s="1">
        <v>1.62</v>
      </c>
      <c r="D221" s="1">
        <v>5.94</v>
      </c>
    </row>
    <row r="222" spans="1:4" x14ac:dyDescent="0.2">
      <c r="A222" s="5">
        <v>36803</v>
      </c>
      <c r="B222" s="1">
        <v>5.8860000000000001</v>
      </c>
      <c r="C222" s="1">
        <v>1.65</v>
      </c>
      <c r="D222" s="1">
        <v>5.9370000000000003</v>
      </c>
    </row>
    <row r="223" spans="1:4" x14ac:dyDescent="0.2">
      <c r="A223" s="5">
        <v>36804</v>
      </c>
      <c r="B223" s="1">
        <v>5.8520000000000003</v>
      </c>
      <c r="C223" s="1">
        <v>1.66</v>
      </c>
      <c r="D223" s="1">
        <v>5.8920000000000003</v>
      </c>
    </row>
    <row r="224" spans="1:4" x14ac:dyDescent="0.2">
      <c r="A224" s="5">
        <v>36805</v>
      </c>
      <c r="B224" s="1">
        <v>5.8120000000000003</v>
      </c>
      <c r="C224" s="1">
        <v>1.67</v>
      </c>
      <c r="D224" s="1">
        <v>5.8369999999999997</v>
      </c>
    </row>
    <row r="225" spans="1:4" x14ac:dyDescent="0.2">
      <c r="A225" s="5">
        <v>36808</v>
      </c>
      <c r="B225" s="1">
        <v>5.8230000000000004</v>
      </c>
      <c r="C225" s="1">
        <v>1.67</v>
      </c>
      <c r="D225" s="1">
        <v>5.8460000000000001</v>
      </c>
    </row>
    <row r="226" spans="1:4" x14ac:dyDescent="0.2">
      <c r="A226" s="5">
        <v>36809</v>
      </c>
      <c r="B226" s="1">
        <v>5.7720000000000002</v>
      </c>
      <c r="C226" s="1">
        <v>1.72</v>
      </c>
      <c r="D226" s="1">
        <v>5.806</v>
      </c>
    </row>
    <row r="227" spans="1:4" x14ac:dyDescent="0.2">
      <c r="A227" s="5">
        <v>36810</v>
      </c>
      <c r="B227" s="1">
        <v>5.774</v>
      </c>
      <c r="C227" s="1">
        <v>1.73</v>
      </c>
      <c r="D227" s="1">
        <v>5.8230000000000004</v>
      </c>
    </row>
    <row r="228" spans="1:4" x14ac:dyDescent="0.2">
      <c r="A228" s="5">
        <v>36811</v>
      </c>
      <c r="B228" s="1">
        <v>5.7089999999999996</v>
      </c>
      <c r="C228" s="1">
        <v>1.76</v>
      </c>
      <c r="D228" s="1">
        <v>5.8109999999999999</v>
      </c>
    </row>
    <row r="229" spans="1:4" x14ac:dyDescent="0.2">
      <c r="A229" s="5">
        <v>36812</v>
      </c>
      <c r="B229" s="1">
        <v>5.7240000000000002</v>
      </c>
      <c r="C229" s="1">
        <v>1.8</v>
      </c>
      <c r="D229" s="1">
        <v>5.8040000000000003</v>
      </c>
    </row>
    <row r="230" spans="1:4" x14ac:dyDescent="0.2">
      <c r="A230" s="5">
        <v>36815</v>
      </c>
      <c r="B230" s="1">
        <v>5.7320000000000002</v>
      </c>
      <c r="C230" s="1">
        <v>1.79</v>
      </c>
      <c r="D230" s="1">
        <v>5.8070000000000004</v>
      </c>
    </row>
    <row r="231" spans="1:4" x14ac:dyDescent="0.2">
      <c r="A231" s="5">
        <v>36816</v>
      </c>
      <c r="B231" s="1">
        <v>5.673</v>
      </c>
      <c r="C231" s="1">
        <v>1.83</v>
      </c>
      <c r="D231" s="1">
        <v>5.7670000000000003</v>
      </c>
    </row>
    <row r="232" spans="1:4" x14ac:dyDescent="0.2">
      <c r="A232" s="5">
        <v>36817</v>
      </c>
      <c r="B232" s="1">
        <v>5.6669999999999998</v>
      </c>
      <c r="C232" s="1">
        <v>1.85</v>
      </c>
      <c r="D232" s="1">
        <v>5.77</v>
      </c>
    </row>
    <row r="233" spans="1:4" x14ac:dyDescent="0.2">
      <c r="A233" s="5">
        <v>36818</v>
      </c>
      <c r="B233" s="1">
        <v>5.6550000000000002</v>
      </c>
      <c r="C233" s="1">
        <v>1.84</v>
      </c>
      <c r="D233" s="1">
        <v>5.75</v>
      </c>
    </row>
    <row r="234" spans="1:4" x14ac:dyDescent="0.2">
      <c r="A234" s="5">
        <v>36819</v>
      </c>
      <c r="B234" s="1">
        <v>5.6319999999999997</v>
      </c>
      <c r="C234" s="1">
        <v>1.83</v>
      </c>
      <c r="D234" s="1">
        <v>5.7270000000000003</v>
      </c>
    </row>
    <row r="235" spans="1:4" x14ac:dyDescent="0.2">
      <c r="A235" s="5">
        <v>36822</v>
      </c>
      <c r="B235" s="1">
        <v>5.5839999999999996</v>
      </c>
      <c r="C235" s="1">
        <v>1.84</v>
      </c>
      <c r="D235" s="1">
        <v>5.6820000000000004</v>
      </c>
    </row>
    <row r="236" spans="1:4" x14ac:dyDescent="0.2">
      <c r="A236" s="5">
        <v>36823</v>
      </c>
      <c r="B236" s="1">
        <v>5.6150000000000002</v>
      </c>
      <c r="C236" s="1">
        <v>1.81</v>
      </c>
      <c r="D236" s="1">
        <v>5.7050000000000001</v>
      </c>
    </row>
    <row r="237" spans="1:4" x14ac:dyDescent="0.2">
      <c r="A237" s="5">
        <v>36824</v>
      </c>
      <c r="B237" s="1">
        <v>5.6840000000000002</v>
      </c>
      <c r="C237" s="1">
        <v>1.81</v>
      </c>
      <c r="D237" s="1">
        <v>5.7460000000000004</v>
      </c>
    </row>
    <row r="238" spans="1:4" x14ac:dyDescent="0.2">
      <c r="A238" s="5">
        <v>36825</v>
      </c>
      <c r="B238" s="1">
        <v>5.69</v>
      </c>
      <c r="C238" s="1">
        <v>1.82</v>
      </c>
      <c r="D238" s="1">
        <v>5.7350000000000003</v>
      </c>
    </row>
    <row r="239" spans="1:4" x14ac:dyDescent="0.2">
      <c r="A239" s="5">
        <v>36826</v>
      </c>
      <c r="B239" s="1">
        <v>5.7130000000000001</v>
      </c>
      <c r="C239" s="1">
        <v>1.81</v>
      </c>
      <c r="D239" s="1">
        <v>5.7409999999999997</v>
      </c>
    </row>
    <row r="240" spans="1:4" x14ac:dyDescent="0.2">
      <c r="A240" s="5">
        <v>36829</v>
      </c>
      <c r="B240" s="1">
        <v>5.7320000000000002</v>
      </c>
      <c r="C240" s="1">
        <v>1.81</v>
      </c>
      <c r="D240" s="1">
        <v>5.758</v>
      </c>
    </row>
    <row r="241" spans="1:4" x14ac:dyDescent="0.2">
      <c r="A241" s="5">
        <v>36830</v>
      </c>
      <c r="B241" s="1">
        <v>5.7510000000000003</v>
      </c>
      <c r="C241" s="1">
        <v>1.82</v>
      </c>
      <c r="D241" s="1">
        <v>5.7880000000000003</v>
      </c>
    </row>
    <row r="242" spans="1:4" x14ac:dyDescent="0.2">
      <c r="A242" s="5">
        <v>36831</v>
      </c>
      <c r="B242" s="1">
        <v>5.742</v>
      </c>
      <c r="C242" s="1">
        <v>1.82</v>
      </c>
      <c r="D242" s="1">
        <v>5.78</v>
      </c>
    </row>
    <row r="243" spans="1:4" x14ac:dyDescent="0.2">
      <c r="A243" s="5">
        <v>36832</v>
      </c>
      <c r="B243" s="1">
        <v>5.7380000000000004</v>
      </c>
      <c r="C243" s="1">
        <v>1.81</v>
      </c>
      <c r="D243" s="1">
        <v>5.7850000000000001</v>
      </c>
    </row>
    <row r="244" spans="1:4" x14ac:dyDescent="0.2">
      <c r="A244" s="5">
        <v>36833</v>
      </c>
      <c r="B244" s="1">
        <v>5.827</v>
      </c>
      <c r="C244" s="1">
        <v>1.79</v>
      </c>
      <c r="D244" s="1">
        <v>5.859</v>
      </c>
    </row>
    <row r="245" spans="1:4" x14ac:dyDescent="0.2">
      <c r="A245" s="5">
        <v>36836</v>
      </c>
      <c r="B245" s="1">
        <v>5.8550000000000004</v>
      </c>
      <c r="C245" s="1">
        <v>1.79</v>
      </c>
      <c r="D245" s="1">
        <v>5.8849999999999998</v>
      </c>
    </row>
    <row r="246" spans="1:4" x14ac:dyDescent="0.2">
      <c r="A246" s="5">
        <v>36837</v>
      </c>
      <c r="B246" s="1">
        <v>5.8659999999999997</v>
      </c>
      <c r="C246" s="1">
        <v>1.78</v>
      </c>
      <c r="D246" s="1">
        <v>5.8940000000000001</v>
      </c>
    </row>
    <row r="247" spans="1:4" x14ac:dyDescent="0.2">
      <c r="A247" s="5">
        <v>36838</v>
      </c>
      <c r="B247" s="1">
        <v>5.8550000000000004</v>
      </c>
      <c r="C247" s="1">
        <v>1.77</v>
      </c>
      <c r="D247" s="1">
        <v>5.8730000000000002</v>
      </c>
    </row>
    <row r="248" spans="1:4" x14ac:dyDescent="0.2">
      <c r="A248" s="5">
        <v>36839</v>
      </c>
      <c r="B248" s="1">
        <v>5.8250000000000002</v>
      </c>
      <c r="C248" s="1">
        <v>1.77</v>
      </c>
      <c r="D248" s="1">
        <v>5.867</v>
      </c>
    </row>
    <row r="249" spans="1:4" x14ac:dyDescent="0.2">
      <c r="A249" s="5">
        <v>36840</v>
      </c>
      <c r="B249" s="1">
        <v>5.7830000000000004</v>
      </c>
      <c r="C249" s="1">
        <v>1.78</v>
      </c>
      <c r="D249" s="1">
        <v>5.8689999999999998</v>
      </c>
    </row>
    <row r="250" spans="1:4" x14ac:dyDescent="0.2">
      <c r="A250" s="5">
        <v>36843</v>
      </c>
      <c r="B250" s="1">
        <v>5.766</v>
      </c>
      <c r="C250" s="1">
        <v>1.79</v>
      </c>
      <c r="D250" s="1">
        <v>5.8380000000000001</v>
      </c>
    </row>
    <row r="251" spans="1:4" x14ac:dyDescent="0.2">
      <c r="A251" s="5">
        <v>36844</v>
      </c>
      <c r="B251" s="1">
        <v>5.7549999999999999</v>
      </c>
      <c r="C251" s="1">
        <v>1.79</v>
      </c>
      <c r="D251" s="1">
        <v>5.819</v>
      </c>
    </row>
    <row r="252" spans="1:4" x14ac:dyDescent="0.2">
      <c r="A252" s="5">
        <v>36845</v>
      </c>
      <c r="B252" s="1">
        <v>5.7110000000000003</v>
      </c>
      <c r="C252" s="1">
        <v>1.83</v>
      </c>
      <c r="D252" s="1">
        <v>5.766</v>
      </c>
    </row>
    <row r="253" spans="1:4" x14ac:dyDescent="0.2">
      <c r="A253" s="5">
        <v>36846</v>
      </c>
      <c r="B253" s="1">
        <v>5.6689999999999996</v>
      </c>
      <c r="C253" s="1">
        <v>1.84</v>
      </c>
      <c r="D253" s="1">
        <v>5.7409999999999997</v>
      </c>
    </row>
    <row r="254" spans="1:4" x14ac:dyDescent="0.2">
      <c r="A254" s="5">
        <v>36847</v>
      </c>
      <c r="B254" s="1">
        <v>5.7039999999999997</v>
      </c>
      <c r="C254" s="1">
        <v>1.86</v>
      </c>
      <c r="D254" s="1">
        <v>5.7759999999999998</v>
      </c>
    </row>
    <row r="255" spans="1:4" x14ac:dyDescent="0.2">
      <c r="A255" s="5">
        <v>36850</v>
      </c>
      <c r="B255" s="1">
        <v>5.6769999999999996</v>
      </c>
      <c r="C255" s="1">
        <v>1.92</v>
      </c>
      <c r="D255" s="1">
        <v>5.7539999999999996</v>
      </c>
    </row>
    <row r="256" spans="1:4" x14ac:dyDescent="0.2">
      <c r="A256" s="5">
        <v>36851</v>
      </c>
      <c r="B256" s="1">
        <v>5.6520000000000001</v>
      </c>
      <c r="C256" s="1">
        <v>1.93</v>
      </c>
      <c r="D256" s="1">
        <v>5.7279999999999998</v>
      </c>
    </row>
    <row r="257" spans="1:4" x14ac:dyDescent="0.2">
      <c r="A257" s="5">
        <v>36852</v>
      </c>
      <c r="B257" s="1">
        <v>5.6239999999999997</v>
      </c>
      <c r="C257" s="1">
        <v>1.95</v>
      </c>
      <c r="D257" s="1">
        <v>5.6559999999999997</v>
      </c>
    </row>
    <row r="258" spans="1:4" x14ac:dyDescent="0.2">
      <c r="A258" s="5">
        <v>36853</v>
      </c>
      <c r="B258" s="1">
        <v>5.6120000000000001</v>
      </c>
      <c r="C258" s="1">
        <v>1.95</v>
      </c>
      <c r="D258" s="1">
        <v>5.6749999999999998</v>
      </c>
    </row>
    <row r="259" spans="1:4" x14ac:dyDescent="0.2">
      <c r="A259" s="5">
        <v>36854</v>
      </c>
      <c r="B259" s="1">
        <v>5.6239999999999997</v>
      </c>
      <c r="C259" s="1">
        <v>1.95</v>
      </c>
      <c r="D259" s="1">
        <v>5.6669999999999998</v>
      </c>
    </row>
    <row r="260" spans="1:4" x14ac:dyDescent="0.2">
      <c r="A260" s="5">
        <v>36857</v>
      </c>
      <c r="B260" s="1">
        <v>5.6239999999999997</v>
      </c>
      <c r="C260" s="1">
        <v>1.96</v>
      </c>
      <c r="D260" s="1">
        <v>5.6959999999999997</v>
      </c>
    </row>
    <row r="261" spans="1:4" x14ac:dyDescent="0.2">
      <c r="A261" s="5">
        <v>36858</v>
      </c>
      <c r="B261" s="1">
        <v>5.5819999999999999</v>
      </c>
      <c r="C261" s="1">
        <v>1.98</v>
      </c>
      <c r="D261" s="1">
        <v>5.6749999999999998</v>
      </c>
    </row>
    <row r="262" spans="1:4" x14ac:dyDescent="0.2">
      <c r="A262" s="5">
        <v>36859</v>
      </c>
      <c r="B262" s="1">
        <v>5.524</v>
      </c>
      <c r="C262" s="1">
        <v>1.98</v>
      </c>
      <c r="D262" s="1">
        <v>5.641</v>
      </c>
    </row>
    <row r="263" spans="1:4" x14ac:dyDescent="0.2">
      <c r="A263" s="5">
        <v>36860</v>
      </c>
      <c r="B263" s="1">
        <v>5.468</v>
      </c>
      <c r="C263" s="1">
        <v>1.98</v>
      </c>
      <c r="D263" s="1">
        <v>5.6079999999999997</v>
      </c>
    </row>
    <row r="264" spans="1:4" x14ac:dyDescent="0.2">
      <c r="A264" s="5">
        <v>36861</v>
      </c>
      <c r="B264" s="1">
        <v>5.5030000000000001</v>
      </c>
      <c r="C264" s="1">
        <v>1.99</v>
      </c>
      <c r="D264" s="1">
        <v>5.6349999999999998</v>
      </c>
    </row>
    <row r="265" spans="1:4" x14ac:dyDescent="0.2">
      <c r="A265" s="5">
        <v>36864</v>
      </c>
      <c r="B265" s="1">
        <v>5.5510000000000002</v>
      </c>
      <c r="C265" s="1">
        <v>1.94</v>
      </c>
      <c r="D265" s="1">
        <v>5.6929999999999996</v>
      </c>
    </row>
    <row r="266" spans="1:4" x14ac:dyDescent="0.2">
      <c r="A266" s="5">
        <v>36865</v>
      </c>
      <c r="B266" s="1">
        <v>5.4180000000000001</v>
      </c>
      <c r="C266" s="1">
        <v>1.95</v>
      </c>
      <c r="D266" s="1">
        <v>5.5860000000000003</v>
      </c>
    </row>
    <row r="267" spans="1:4" x14ac:dyDescent="0.2">
      <c r="A267" s="5">
        <v>36866</v>
      </c>
      <c r="B267" s="1">
        <v>5.3259999999999996</v>
      </c>
      <c r="C267" s="1">
        <v>1.94</v>
      </c>
      <c r="D267" s="1">
        <v>5.5250000000000004</v>
      </c>
    </row>
    <row r="268" spans="1:4" x14ac:dyDescent="0.2">
      <c r="A268" s="5">
        <v>36867</v>
      </c>
      <c r="B268" s="1">
        <v>5.3090000000000002</v>
      </c>
      <c r="C268" s="1">
        <v>1.94</v>
      </c>
      <c r="D268" s="1">
        <v>5.508</v>
      </c>
    </row>
    <row r="269" spans="1:4" x14ac:dyDescent="0.2">
      <c r="A269" s="5">
        <v>36868</v>
      </c>
      <c r="B269" s="1">
        <v>5.2990000000000004</v>
      </c>
      <c r="C269" s="1">
        <v>1.92</v>
      </c>
      <c r="D269" s="1">
        <v>5.5019999999999998</v>
      </c>
    </row>
    <row r="270" spans="1:4" x14ac:dyDescent="0.2">
      <c r="A270" s="5">
        <v>36871</v>
      </c>
      <c r="B270" s="1">
        <v>5.3620000000000001</v>
      </c>
      <c r="C270" s="1">
        <v>1.91</v>
      </c>
      <c r="D270" s="1">
        <v>5.5460000000000003</v>
      </c>
    </row>
    <row r="271" spans="1:4" x14ac:dyDescent="0.2">
      <c r="A271" s="5">
        <v>36872</v>
      </c>
      <c r="B271" s="1">
        <v>5.3460000000000001</v>
      </c>
      <c r="C271" s="1">
        <v>1.91</v>
      </c>
      <c r="D271" s="1">
        <v>5.53</v>
      </c>
    </row>
    <row r="272" spans="1:4" x14ac:dyDescent="0.2">
      <c r="A272" s="5">
        <v>36873</v>
      </c>
      <c r="B272" s="1">
        <v>5.258</v>
      </c>
      <c r="C272" s="1">
        <v>1.9</v>
      </c>
      <c r="D272" s="1">
        <v>5.4669999999999996</v>
      </c>
    </row>
    <row r="273" spans="1:4" x14ac:dyDescent="0.2">
      <c r="A273" s="5">
        <v>36874</v>
      </c>
      <c r="B273" s="1">
        <v>5.2130000000000001</v>
      </c>
      <c r="C273" s="1">
        <v>1.89</v>
      </c>
      <c r="D273" s="1">
        <v>5.4370000000000003</v>
      </c>
    </row>
    <row r="274" spans="1:4" x14ac:dyDescent="0.2">
      <c r="A274" s="5">
        <v>36875</v>
      </c>
      <c r="B274" s="1">
        <v>5.18</v>
      </c>
      <c r="C274" s="1">
        <v>1.92</v>
      </c>
      <c r="D274" s="1">
        <v>5.4189999999999996</v>
      </c>
    </row>
    <row r="275" spans="1:4" x14ac:dyDescent="0.2">
      <c r="A275" s="5">
        <v>36878</v>
      </c>
      <c r="B275" s="1">
        <v>5.17</v>
      </c>
      <c r="C275" s="1">
        <v>1.93</v>
      </c>
      <c r="D275" s="1">
        <v>5.4420000000000002</v>
      </c>
    </row>
    <row r="276" spans="1:4" x14ac:dyDescent="0.2">
      <c r="A276" s="5">
        <v>36879</v>
      </c>
      <c r="B276" s="1">
        <v>5.1879999999999997</v>
      </c>
      <c r="C276" s="1">
        <v>1.93</v>
      </c>
      <c r="D276" s="1">
        <v>5.4729999999999999</v>
      </c>
    </row>
    <row r="277" spans="1:4" x14ac:dyDescent="0.2">
      <c r="A277" s="5">
        <v>36880</v>
      </c>
      <c r="B277" s="1">
        <v>5.0369999999999999</v>
      </c>
      <c r="C277" s="1">
        <v>1.92</v>
      </c>
      <c r="D277" s="1">
        <v>5.4</v>
      </c>
    </row>
    <row r="278" spans="1:4" x14ac:dyDescent="0.2">
      <c r="A278" s="5">
        <v>36881</v>
      </c>
      <c r="B278" s="1">
        <v>5.0250000000000004</v>
      </c>
      <c r="C278" s="1">
        <v>1.97</v>
      </c>
      <c r="D278" s="1">
        <v>5.407</v>
      </c>
    </row>
    <row r="279" spans="1:4" x14ac:dyDescent="0.2">
      <c r="A279" s="5">
        <v>36882</v>
      </c>
      <c r="B279" s="1">
        <v>5.0060000000000002</v>
      </c>
      <c r="C279" s="1">
        <v>1.98</v>
      </c>
      <c r="D279" s="1">
        <v>5.4020000000000001</v>
      </c>
    </row>
    <row r="280" spans="1:4" x14ac:dyDescent="0.2">
      <c r="A280" s="5">
        <v>36885</v>
      </c>
      <c r="B280" s="1">
        <v>5.008</v>
      </c>
      <c r="C280" s="1">
        <v>1.98</v>
      </c>
      <c r="D280" s="1">
        <v>5.3929999999999998</v>
      </c>
    </row>
    <row r="281" spans="1:4" x14ac:dyDescent="0.2">
      <c r="A281" s="5">
        <v>36886</v>
      </c>
      <c r="B281" s="1">
        <v>5.056</v>
      </c>
      <c r="C281" s="1">
        <v>1.98</v>
      </c>
      <c r="D281" s="1">
        <v>5.4320000000000004</v>
      </c>
    </row>
    <row r="282" spans="1:4" x14ac:dyDescent="0.2">
      <c r="A282" s="5">
        <v>36887</v>
      </c>
      <c r="B282" s="1">
        <v>5.1040000000000001</v>
      </c>
      <c r="C282" s="1">
        <v>1.98</v>
      </c>
      <c r="D282" s="1">
        <v>5.452</v>
      </c>
    </row>
    <row r="283" spans="1:4" x14ac:dyDescent="0.2">
      <c r="A283" s="5">
        <v>36888</v>
      </c>
      <c r="B283" s="1">
        <v>5.1180000000000003</v>
      </c>
      <c r="C283" s="1">
        <v>1.99</v>
      </c>
      <c r="D283" s="1">
        <v>5.444</v>
      </c>
    </row>
    <row r="284" spans="1:4" x14ac:dyDescent="0.2">
      <c r="A284" s="5">
        <v>36889</v>
      </c>
      <c r="B284" s="1">
        <v>5.1120000000000001</v>
      </c>
      <c r="C284" s="1">
        <v>1.99</v>
      </c>
      <c r="D284" s="1">
        <v>5.4569999999999999</v>
      </c>
    </row>
    <row r="285" spans="1:4" x14ac:dyDescent="0.2">
      <c r="A285" s="5">
        <v>36892</v>
      </c>
      <c r="B285" s="1">
        <v>5.1139999999999999</v>
      </c>
      <c r="C285" s="1">
        <v>1.99</v>
      </c>
      <c r="D285" s="1">
        <v>5.4580000000000002</v>
      </c>
    </row>
    <row r="286" spans="1:4" x14ac:dyDescent="0.2">
      <c r="A286" s="5">
        <v>36893</v>
      </c>
      <c r="B286" s="1">
        <v>4.915</v>
      </c>
      <c r="C286" s="1">
        <v>1.99</v>
      </c>
      <c r="D286" s="1">
        <v>5.3419999999999996</v>
      </c>
    </row>
    <row r="287" spans="1:4" x14ac:dyDescent="0.2">
      <c r="A287" s="5">
        <v>36894</v>
      </c>
      <c r="B287" s="1">
        <v>5.1580000000000004</v>
      </c>
      <c r="C287" s="1">
        <v>1.95</v>
      </c>
      <c r="D287" s="1">
        <v>5.5</v>
      </c>
    </row>
    <row r="288" spans="1:4" x14ac:dyDescent="0.2">
      <c r="A288" s="5">
        <v>36895</v>
      </c>
      <c r="B288" s="1">
        <v>5.0389999999999997</v>
      </c>
      <c r="C288" s="1">
        <v>1.95</v>
      </c>
      <c r="D288" s="1">
        <v>5.4409999999999998</v>
      </c>
    </row>
    <row r="289" spans="1:4" x14ac:dyDescent="0.2">
      <c r="A289" s="5">
        <v>36896</v>
      </c>
      <c r="B289" s="1">
        <v>4.931</v>
      </c>
      <c r="C289" s="1">
        <v>1.92</v>
      </c>
      <c r="D289" s="1">
        <v>5.3979999999999997</v>
      </c>
    </row>
    <row r="290" spans="1:4" x14ac:dyDescent="0.2">
      <c r="A290" s="5">
        <v>36899</v>
      </c>
      <c r="B290" s="1">
        <v>4.9560000000000004</v>
      </c>
      <c r="C290" s="1">
        <v>1.91</v>
      </c>
      <c r="D290" s="1">
        <v>5.4470000000000001</v>
      </c>
    </row>
    <row r="291" spans="1:4" x14ac:dyDescent="0.2">
      <c r="A291" s="5">
        <v>36900</v>
      </c>
      <c r="B291" s="1">
        <v>5</v>
      </c>
      <c r="C291" s="1">
        <v>1.91</v>
      </c>
      <c r="D291" s="1">
        <v>5.4290000000000003</v>
      </c>
    </row>
    <row r="292" spans="1:4" x14ac:dyDescent="0.2">
      <c r="A292" s="5">
        <v>36901</v>
      </c>
      <c r="B292" s="1">
        <v>5.1040000000000001</v>
      </c>
      <c r="C292" s="1">
        <v>1.92</v>
      </c>
      <c r="D292" s="1">
        <v>5.4989999999999997</v>
      </c>
    </row>
    <row r="293" spans="1:4" x14ac:dyDescent="0.2">
      <c r="A293" s="5">
        <v>36902</v>
      </c>
      <c r="B293" s="1">
        <v>5.1100000000000003</v>
      </c>
      <c r="C293" s="1">
        <v>1.85</v>
      </c>
      <c r="D293" s="1">
        <v>5.54</v>
      </c>
    </row>
    <row r="294" spans="1:4" x14ac:dyDescent="0.2">
      <c r="A294" s="5">
        <v>36903</v>
      </c>
      <c r="B294" s="1">
        <v>5.25</v>
      </c>
      <c r="C294" s="1">
        <v>1.86</v>
      </c>
      <c r="D294" s="1">
        <v>5.6180000000000003</v>
      </c>
    </row>
    <row r="295" spans="1:4" x14ac:dyDescent="0.2">
      <c r="A295" s="5">
        <v>36906</v>
      </c>
      <c r="B295" s="1">
        <v>5.242</v>
      </c>
      <c r="C295" s="1">
        <v>1.86</v>
      </c>
      <c r="D295" s="1">
        <v>5.6180000000000003</v>
      </c>
    </row>
    <row r="296" spans="1:4" x14ac:dyDescent="0.2">
      <c r="A296" s="5">
        <v>36907</v>
      </c>
      <c r="B296" s="1">
        <v>5.23</v>
      </c>
      <c r="C296" s="1">
        <v>1.87</v>
      </c>
      <c r="D296" s="1">
        <v>5.5960000000000001</v>
      </c>
    </row>
    <row r="297" spans="1:4" x14ac:dyDescent="0.2">
      <c r="A297" s="5">
        <v>36908</v>
      </c>
      <c r="B297" s="1">
        <v>5.1749999999999998</v>
      </c>
      <c r="C297" s="1">
        <v>1.84</v>
      </c>
      <c r="D297" s="1">
        <v>5.524</v>
      </c>
    </row>
    <row r="298" spans="1:4" x14ac:dyDescent="0.2">
      <c r="A298" s="5">
        <v>36909</v>
      </c>
      <c r="B298" s="1">
        <v>5.1139999999999999</v>
      </c>
      <c r="C298" s="1">
        <v>1.8</v>
      </c>
      <c r="D298" s="1">
        <v>5.4749999999999996</v>
      </c>
    </row>
    <row r="299" spans="1:4" x14ac:dyDescent="0.2">
      <c r="A299" s="5">
        <v>36910</v>
      </c>
      <c r="B299" s="1">
        <v>5.1680000000000001</v>
      </c>
      <c r="C299" s="1">
        <v>1.79</v>
      </c>
      <c r="D299" s="1">
        <v>5.5529999999999999</v>
      </c>
    </row>
    <row r="300" spans="1:4" x14ac:dyDescent="0.2">
      <c r="A300" s="5">
        <v>36913</v>
      </c>
      <c r="B300" s="1">
        <v>5.2249999999999996</v>
      </c>
      <c r="C300" s="1">
        <v>1.78</v>
      </c>
      <c r="D300" s="1">
        <v>5.6029999999999998</v>
      </c>
    </row>
    <row r="301" spans="1:4" x14ac:dyDescent="0.2">
      <c r="A301" s="5">
        <v>36914</v>
      </c>
      <c r="B301" s="1">
        <v>5.2809999999999997</v>
      </c>
      <c r="C301" s="1">
        <v>1.77</v>
      </c>
      <c r="D301" s="1">
        <v>5.6520000000000001</v>
      </c>
    </row>
    <row r="302" spans="1:4" x14ac:dyDescent="0.2">
      <c r="A302" s="5">
        <v>36915</v>
      </c>
      <c r="B302" s="1">
        <v>5.3049999999999997</v>
      </c>
      <c r="C302" s="1">
        <v>1.73</v>
      </c>
      <c r="D302" s="1">
        <v>5.6589999999999998</v>
      </c>
    </row>
    <row r="303" spans="1:4" x14ac:dyDescent="0.2">
      <c r="A303" s="5">
        <v>36916</v>
      </c>
      <c r="B303" s="1">
        <v>5.2450000000000001</v>
      </c>
      <c r="C303" s="1">
        <v>1.73</v>
      </c>
      <c r="D303" s="1">
        <v>5.5919999999999996</v>
      </c>
    </row>
    <row r="304" spans="1:4" x14ac:dyDescent="0.2">
      <c r="A304" s="5">
        <v>36917</v>
      </c>
      <c r="B304" s="1">
        <v>5.2679999999999998</v>
      </c>
      <c r="C304" s="1">
        <v>1.73</v>
      </c>
      <c r="D304" s="1">
        <v>5.64</v>
      </c>
    </row>
    <row r="305" spans="1:4" x14ac:dyDescent="0.2">
      <c r="A305" s="5">
        <v>36920</v>
      </c>
      <c r="B305" s="1">
        <v>5.3029999999999999</v>
      </c>
      <c r="C305" s="1">
        <v>1.73</v>
      </c>
      <c r="D305" s="1">
        <v>5.6870000000000003</v>
      </c>
    </row>
    <row r="306" spans="1:4" x14ac:dyDescent="0.2">
      <c r="A306" s="5">
        <v>36921</v>
      </c>
      <c r="B306" s="1">
        <v>5.2290000000000001</v>
      </c>
      <c r="C306" s="1">
        <v>1.74</v>
      </c>
      <c r="D306" s="1">
        <v>5.593</v>
      </c>
    </row>
    <row r="307" spans="1:4" x14ac:dyDescent="0.2">
      <c r="A307" s="5">
        <v>36922</v>
      </c>
      <c r="B307" s="1">
        <v>5.1139999999999999</v>
      </c>
      <c r="C307" s="1">
        <v>1.71</v>
      </c>
      <c r="D307" s="1">
        <v>5.5010000000000003</v>
      </c>
    </row>
    <row r="308" spans="1:4" x14ac:dyDescent="0.2">
      <c r="A308" s="5">
        <v>36923</v>
      </c>
      <c r="B308" s="1">
        <v>5.0860000000000003</v>
      </c>
      <c r="C308" s="1">
        <v>1.72</v>
      </c>
      <c r="D308" s="1">
        <v>5.46</v>
      </c>
    </row>
    <row r="309" spans="1:4" x14ac:dyDescent="0.2">
      <c r="A309" s="5">
        <v>36924</v>
      </c>
      <c r="B309" s="1">
        <v>5.1479999999999997</v>
      </c>
      <c r="C309" s="1">
        <v>1.72</v>
      </c>
      <c r="D309" s="1">
        <v>5.5090000000000003</v>
      </c>
    </row>
    <row r="310" spans="1:4" x14ac:dyDescent="0.2">
      <c r="A310" s="5">
        <v>36927</v>
      </c>
      <c r="B310" s="1">
        <v>5.1669999999999998</v>
      </c>
      <c r="C310" s="1">
        <v>1.75</v>
      </c>
      <c r="D310" s="1">
        <v>5.49</v>
      </c>
    </row>
    <row r="311" spans="1:4" x14ac:dyDescent="0.2">
      <c r="A311" s="5">
        <v>36928</v>
      </c>
      <c r="B311" s="1">
        <v>5.1829999999999998</v>
      </c>
      <c r="C311" s="1">
        <v>1.79</v>
      </c>
      <c r="D311" s="1">
        <v>5.5010000000000003</v>
      </c>
    </row>
    <row r="312" spans="1:4" x14ac:dyDescent="0.2">
      <c r="A312" s="5">
        <v>36929</v>
      </c>
      <c r="B312" s="1">
        <v>5.1870000000000003</v>
      </c>
      <c r="C312" s="1">
        <v>1.8</v>
      </c>
      <c r="D312" s="1">
        <v>5.55</v>
      </c>
    </row>
    <row r="313" spans="1:4" x14ac:dyDescent="0.2">
      <c r="A313" s="5">
        <v>36930</v>
      </c>
      <c r="B313" s="1">
        <v>5.0890000000000004</v>
      </c>
      <c r="C313" s="1">
        <v>1.79</v>
      </c>
      <c r="D313" s="1">
        <v>5.5289999999999999</v>
      </c>
    </row>
    <row r="314" spans="1:4" x14ac:dyDescent="0.2">
      <c r="A314" s="5">
        <v>36931</v>
      </c>
      <c r="B314" s="1">
        <v>5.03</v>
      </c>
      <c r="C314" s="1">
        <v>1.8</v>
      </c>
      <c r="D314" s="1">
        <v>5.3890000000000002</v>
      </c>
    </row>
    <row r="315" spans="1:4" x14ac:dyDescent="0.2">
      <c r="A315" s="5">
        <v>36934</v>
      </c>
      <c r="B315" s="1">
        <v>5.0460000000000003</v>
      </c>
      <c r="C315" s="1">
        <v>1.8</v>
      </c>
      <c r="D315" s="1">
        <v>5.4160000000000004</v>
      </c>
    </row>
    <row r="316" spans="1:4" x14ac:dyDescent="0.2">
      <c r="A316" s="5">
        <v>36935</v>
      </c>
      <c r="B316" s="1">
        <v>5.07</v>
      </c>
      <c r="C316" s="1">
        <v>1.8</v>
      </c>
      <c r="D316" s="1">
        <v>5.4119999999999999</v>
      </c>
    </row>
    <row r="317" spans="1:4" x14ac:dyDescent="0.2">
      <c r="A317" s="5">
        <v>36936</v>
      </c>
      <c r="B317" s="1">
        <v>5.1639999999999997</v>
      </c>
      <c r="C317" s="1">
        <v>1.8</v>
      </c>
      <c r="D317" s="1">
        <v>5.4569999999999999</v>
      </c>
    </row>
    <row r="318" spans="1:4" x14ac:dyDescent="0.2">
      <c r="A318" s="5">
        <v>36937</v>
      </c>
      <c r="B318" s="1">
        <v>5.1660000000000004</v>
      </c>
      <c r="C318" s="1">
        <v>1.76</v>
      </c>
      <c r="D318" s="1">
        <v>5.4870000000000001</v>
      </c>
    </row>
    <row r="319" spans="1:4" x14ac:dyDescent="0.2">
      <c r="A319" s="5">
        <v>36938</v>
      </c>
      <c r="B319" s="1">
        <v>5.109</v>
      </c>
      <c r="C319" s="1">
        <v>1.76</v>
      </c>
      <c r="D319" s="1">
        <v>5.4539999999999997</v>
      </c>
    </row>
    <row r="320" spans="1:4" x14ac:dyDescent="0.2">
      <c r="A320" s="5">
        <v>36941</v>
      </c>
      <c r="B320" s="1">
        <v>5.0970000000000004</v>
      </c>
      <c r="C320" s="1">
        <v>1.76</v>
      </c>
      <c r="D320" s="1">
        <v>5.4560000000000004</v>
      </c>
    </row>
    <row r="321" spans="1:4" x14ac:dyDescent="0.2">
      <c r="A321" s="5">
        <v>36942</v>
      </c>
      <c r="B321" s="1">
        <v>5.1050000000000004</v>
      </c>
      <c r="C321" s="1">
        <v>1.78</v>
      </c>
      <c r="D321" s="1">
        <v>5.4589999999999996</v>
      </c>
    </row>
    <row r="322" spans="1:4" x14ac:dyDescent="0.2">
      <c r="A322" s="5">
        <v>36943</v>
      </c>
      <c r="B322" s="1">
        <v>5.1390000000000002</v>
      </c>
      <c r="C322" s="1">
        <v>1.79</v>
      </c>
      <c r="D322" s="1">
        <v>5.4870000000000001</v>
      </c>
    </row>
    <row r="323" spans="1:4" x14ac:dyDescent="0.2">
      <c r="A323" s="5">
        <v>36944</v>
      </c>
      <c r="B323" s="1">
        <v>5.1559999999999997</v>
      </c>
      <c r="C323" s="1">
        <v>1.79</v>
      </c>
      <c r="D323" s="1">
        <v>5.5279999999999996</v>
      </c>
    </row>
    <row r="324" spans="1:4" x14ac:dyDescent="0.2">
      <c r="A324" s="5">
        <v>36945</v>
      </c>
      <c r="B324" s="1">
        <v>5.0970000000000004</v>
      </c>
      <c r="C324" s="1">
        <v>1.81</v>
      </c>
      <c r="D324" s="1">
        <v>5.4779999999999998</v>
      </c>
    </row>
    <row r="325" spans="1:4" x14ac:dyDescent="0.2">
      <c r="A325" s="5">
        <v>36948</v>
      </c>
      <c r="B325" s="1">
        <v>5.0339999999999998</v>
      </c>
      <c r="C325" s="1">
        <v>1.81</v>
      </c>
      <c r="D325" s="1">
        <v>5.4279999999999999</v>
      </c>
    </row>
    <row r="326" spans="1:4" x14ac:dyDescent="0.2">
      <c r="A326" s="5">
        <v>36949</v>
      </c>
      <c r="B326" s="1">
        <v>4.952</v>
      </c>
      <c r="C326" s="1">
        <v>1.8</v>
      </c>
      <c r="D326" s="1">
        <v>5.3520000000000003</v>
      </c>
    </row>
    <row r="327" spans="1:4" x14ac:dyDescent="0.2">
      <c r="A327" s="5">
        <v>36950</v>
      </c>
      <c r="B327" s="1">
        <v>4.8959999999999999</v>
      </c>
      <c r="C327" s="1">
        <v>1.77</v>
      </c>
      <c r="D327" s="1">
        <v>5.3140000000000001</v>
      </c>
    </row>
    <row r="328" spans="1:4" x14ac:dyDescent="0.2">
      <c r="A328" s="5">
        <v>36951</v>
      </c>
      <c r="B328" s="1">
        <v>4.8739999999999997</v>
      </c>
      <c r="C328" s="1">
        <v>1.76</v>
      </c>
      <c r="D328" s="1">
        <v>5.2930000000000001</v>
      </c>
    </row>
    <row r="329" spans="1:4" x14ac:dyDescent="0.2">
      <c r="A329" s="5">
        <v>36952</v>
      </c>
      <c r="B329" s="1">
        <v>4.9470000000000001</v>
      </c>
      <c r="C329" s="1">
        <v>1.76</v>
      </c>
      <c r="D329" s="1">
        <v>5.367</v>
      </c>
    </row>
    <row r="330" spans="1:4" x14ac:dyDescent="0.2">
      <c r="A330" s="5">
        <v>36955</v>
      </c>
      <c r="B330" s="1">
        <v>4.976</v>
      </c>
      <c r="C330" s="1">
        <v>1.76</v>
      </c>
      <c r="D330" s="1">
        <v>5.375</v>
      </c>
    </row>
    <row r="331" spans="1:4" x14ac:dyDescent="0.2">
      <c r="A331" s="5">
        <v>36956</v>
      </c>
      <c r="B331" s="1">
        <v>4.9710000000000001</v>
      </c>
      <c r="C331" s="1">
        <v>1.75</v>
      </c>
      <c r="D331" s="1">
        <v>5.3810000000000002</v>
      </c>
    </row>
    <row r="332" spans="1:4" x14ac:dyDescent="0.2">
      <c r="A332" s="5">
        <v>36957</v>
      </c>
      <c r="B332" s="1">
        <v>4.899</v>
      </c>
      <c r="C332" s="1">
        <v>1.75</v>
      </c>
      <c r="D332" s="1">
        <v>5.3109999999999999</v>
      </c>
    </row>
    <row r="333" spans="1:4" x14ac:dyDescent="0.2">
      <c r="A333" s="5">
        <v>36958</v>
      </c>
      <c r="B333" s="1">
        <v>4.8890000000000002</v>
      </c>
      <c r="C333" s="1">
        <v>1.74</v>
      </c>
      <c r="D333" s="1">
        <v>5.3010000000000002</v>
      </c>
    </row>
    <row r="334" spans="1:4" x14ac:dyDescent="0.2">
      <c r="A334" s="5">
        <v>36959</v>
      </c>
      <c r="B334" s="1">
        <v>4.9290000000000003</v>
      </c>
      <c r="C334" s="1">
        <v>1.75</v>
      </c>
      <c r="D334" s="1">
        <v>5.3220000000000001</v>
      </c>
    </row>
    <row r="335" spans="1:4" x14ac:dyDescent="0.2">
      <c r="A335" s="5">
        <v>36962</v>
      </c>
      <c r="B335" s="1">
        <v>4.891</v>
      </c>
      <c r="C335" s="1">
        <v>1.78</v>
      </c>
      <c r="D335" s="1">
        <v>5.2969999999999997</v>
      </c>
    </row>
    <row r="336" spans="1:4" x14ac:dyDescent="0.2">
      <c r="A336" s="5">
        <v>36963</v>
      </c>
      <c r="B336" s="1">
        <v>4.9290000000000003</v>
      </c>
      <c r="C336" s="1">
        <v>1.79</v>
      </c>
      <c r="D336" s="1">
        <v>5.3220000000000001</v>
      </c>
    </row>
    <row r="337" spans="1:4" x14ac:dyDescent="0.2">
      <c r="A337" s="5">
        <v>36964</v>
      </c>
      <c r="B337" s="1">
        <v>4.8179999999999996</v>
      </c>
      <c r="C337" s="1">
        <v>1.79</v>
      </c>
      <c r="D337" s="1">
        <v>5.2679999999999998</v>
      </c>
    </row>
    <row r="338" spans="1:4" x14ac:dyDescent="0.2">
      <c r="A338" s="5">
        <v>36965</v>
      </c>
      <c r="B338" s="1">
        <v>4.7859999999999996</v>
      </c>
      <c r="C338" s="1">
        <v>1.82</v>
      </c>
      <c r="D338" s="1">
        <v>5.2679999999999998</v>
      </c>
    </row>
    <row r="339" spans="1:4" x14ac:dyDescent="0.2">
      <c r="A339" s="5">
        <v>36966</v>
      </c>
      <c r="B339" s="1">
        <v>4.7699999999999996</v>
      </c>
      <c r="C339" s="1">
        <v>1.81</v>
      </c>
      <c r="D339" s="1">
        <v>5.2709999999999999</v>
      </c>
    </row>
    <row r="340" spans="1:4" x14ac:dyDescent="0.2">
      <c r="A340" s="5">
        <v>36969</v>
      </c>
      <c r="B340" s="1">
        <v>4.8129999999999997</v>
      </c>
      <c r="C340" s="1">
        <v>1.8</v>
      </c>
      <c r="D340" s="1">
        <v>5.2910000000000004</v>
      </c>
    </row>
    <row r="341" spans="1:4" x14ac:dyDescent="0.2">
      <c r="A341" s="5">
        <v>36970</v>
      </c>
      <c r="B341" s="1">
        <v>4.758</v>
      </c>
      <c r="C341" s="1">
        <v>1.8</v>
      </c>
      <c r="D341" s="1">
        <v>5.26</v>
      </c>
    </row>
    <row r="342" spans="1:4" x14ac:dyDescent="0.2">
      <c r="A342" s="5">
        <v>36971</v>
      </c>
      <c r="B342" s="1">
        <v>4.7779999999999996</v>
      </c>
      <c r="C342" s="1">
        <v>1.8</v>
      </c>
      <c r="D342" s="1">
        <v>5.2830000000000004</v>
      </c>
    </row>
    <row r="343" spans="1:4" x14ac:dyDescent="0.2">
      <c r="A343" s="5">
        <v>36972</v>
      </c>
      <c r="B343" s="1">
        <v>4.7560000000000002</v>
      </c>
      <c r="C343" s="1">
        <v>1.81</v>
      </c>
      <c r="D343" s="1">
        <v>5.2709999999999999</v>
      </c>
    </row>
    <row r="344" spans="1:4" x14ac:dyDescent="0.2">
      <c r="A344" s="5">
        <v>36973</v>
      </c>
      <c r="B344" s="1">
        <v>4.8150000000000004</v>
      </c>
      <c r="C344" s="1">
        <v>1.8</v>
      </c>
      <c r="D344" s="1">
        <v>5.3140000000000001</v>
      </c>
    </row>
    <row r="345" spans="1:4" x14ac:dyDescent="0.2">
      <c r="A345" s="5">
        <v>36976</v>
      </c>
      <c r="B345" s="1">
        <v>4.8689999999999998</v>
      </c>
      <c r="C345" s="1">
        <v>1.79</v>
      </c>
      <c r="D345" s="1">
        <v>5.3650000000000002</v>
      </c>
    </row>
    <row r="346" spans="1:4" x14ac:dyDescent="0.2">
      <c r="A346" s="5">
        <v>36977</v>
      </c>
      <c r="B346" s="1">
        <v>5.0110000000000001</v>
      </c>
      <c r="C346" s="1">
        <v>1.77</v>
      </c>
      <c r="D346" s="1">
        <v>5.4589999999999996</v>
      </c>
    </row>
    <row r="347" spans="1:4" x14ac:dyDescent="0.2">
      <c r="A347" s="5">
        <v>36978</v>
      </c>
      <c r="B347" s="1">
        <v>4.9749999999999996</v>
      </c>
      <c r="C347" s="1">
        <v>1.78</v>
      </c>
      <c r="D347" s="1">
        <v>5.4640000000000004</v>
      </c>
    </row>
    <row r="348" spans="1:4" x14ac:dyDescent="0.2">
      <c r="A348" s="5">
        <v>36979</v>
      </c>
      <c r="B348" s="1">
        <v>4.9969999999999999</v>
      </c>
      <c r="C348" s="1">
        <v>1.77</v>
      </c>
      <c r="D348" s="1">
        <v>5.4960000000000004</v>
      </c>
    </row>
    <row r="349" spans="1:4" x14ac:dyDescent="0.2">
      <c r="A349" s="5">
        <v>36980</v>
      </c>
      <c r="B349" s="1">
        <v>4.9169999999999998</v>
      </c>
      <c r="C349" s="1">
        <v>1.78</v>
      </c>
      <c r="D349" s="1">
        <v>5.444</v>
      </c>
    </row>
    <row r="350" spans="1:4" x14ac:dyDescent="0.2">
      <c r="A350" s="5">
        <v>36983</v>
      </c>
      <c r="B350" s="1">
        <v>4.9770000000000003</v>
      </c>
      <c r="C350" s="1">
        <v>1.78</v>
      </c>
      <c r="D350" s="1">
        <v>5.4880000000000004</v>
      </c>
    </row>
    <row r="351" spans="1:4" x14ac:dyDescent="0.2">
      <c r="A351" s="5">
        <v>36984</v>
      </c>
      <c r="B351" s="1">
        <v>4.9290000000000003</v>
      </c>
      <c r="C351" s="1">
        <v>1.81</v>
      </c>
      <c r="D351" s="1">
        <v>5.4660000000000002</v>
      </c>
    </row>
    <row r="352" spans="1:4" x14ac:dyDescent="0.2">
      <c r="A352" s="5">
        <v>36985</v>
      </c>
      <c r="B352" s="1">
        <v>4.9139999999999997</v>
      </c>
      <c r="C352" s="1">
        <v>1.8</v>
      </c>
      <c r="D352" s="1">
        <v>5.476</v>
      </c>
    </row>
    <row r="353" spans="1:4" x14ac:dyDescent="0.2">
      <c r="A353" s="5">
        <v>36986</v>
      </c>
      <c r="B353" s="1">
        <v>4.9729999999999999</v>
      </c>
      <c r="C353" s="1">
        <v>1.8</v>
      </c>
      <c r="D353" s="1">
        <v>5.5270000000000001</v>
      </c>
    </row>
    <row r="354" spans="1:4" x14ac:dyDescent="0.2">
      <c r="A354" s="5">
        <v>36987</v>
      </c>
      <c r="B354" s="1">
        <v>4.8899999999999997</v>
      </c>
      <c r="C354" s="1">
        <v>1.82</v>
      </c>
      <c r="D354" s="1">
        <v>5.4640000000000004</v>
      </c>
    </row>
    <row r="355" spans="1:4" x14ac:dyDescent="0.2">
      <c r="A355" s="5">
        <v>36990</v>
      </c>
      <c r="B355" s="1">
        <v>4.9320000000000004</v>
      </c>
      <c r="C355" s="1">
        <v>1.83</v>
      </c>
      <c r="D355" s="1">
        <v>5.5140000000000002</v>
      </c>
    </row>
    <row r="356" spans="1:4" x14ac:dyDescent="0.2">
      <c r="A356" s="5">
        <v>36991</v>
      </c>
      <c r="B356" s="1">
        <v>5.0830000000000002</v>
      </c>
      <c r="C356" s="1">
        <v>1.82</v>
      </c>
      <c r="D356" s="1">
        <v>5.6269999999999998</v>
      </c>
    </row>
    <row r="357" spans="1:4" x14ac:dyDescent="0.2">
      <c r="A357" s="5">
        <v>36992</v>
      </c>
      <c r="B357" s="1">
        <v>5.1189999999999998</v>
      </c>
      <c r="C357" s="1">
        <v>1.81</v>
      </c>
      <c r="D357" s="1">
        <v>5.6150000000000002</v>
      </c>
    </row>
    <row r="358" spans="1:4" x14ac:dyDescent="0.2">
      <c r="A358" s="5">
        <v>36993</v>
      </c>
      <c r="B358" s="1">
        <v>5.1689999999999996</v>
      </c>
      <c r="C358" s="1">
        <v>1.8</v>
      </c>
      <c r="D358" s="1">
        <v>5.6130000000000004</v>
      </c>
    </row>
    <row r="359" spans="1:4" x14ac:dyDescent="0.2">
      <c r="A359" s="5">
        <v>36994</v>
      </c>
      <c r="B359" s="1">
        <v>5.1630000000000003</v>
      </c>
      <c r="C359" s="1">
        <v>1.8</v>
      </c>
      <c r="D359" s="1">
        <v>5.6029999999999998</v>
      </c>
    </row>
    <row r="360" spans="1:4" x14ac:dyDescent="0.2">
      <c r="A360" s="5">
        <v>36997</v>
      </c>
      <c r="B360" s="1">
        <v>5.2539999999999996</v>
      </c>
      <c r="C360" s="1">
        <v>1.79</v>
      </c>
      <c r="D360" s="1">
        <v>5.6829999999999998</v>
      </c>
    </row>
    <row r="361" spans="1:4" x14ac:dyDescent="0.2">
      <c r="A361" s="5">
        <v>36998</v>
      </c>
      <c r="B361" s="1">
        <v>5.2249999999999996</v>
      </c>
      <c r="C361" s="1">
        <v>1.8</v>
      </c>
      <c r="D361" s="1">
        <v>5.665</v>
      </c>
    </row>
    <row r="362" spans="1:4" x14ac:dyDescent="0.2">
      <c r="A362" s="5">
        <v>36999</v>
      </c>
      <c r="B362" s="1">
        <v>5.1459999999999999</v>
      </c>
      <c r="C362" s="1">
        <v>1.77</v>
      </c>
      <c r="D362" s="1">
        <v>5.6580000000000004</v>
      </c>
    </row>
    <row r="363" spans="1:4" x14ac:dyDescent="0.2">
      <c r="A363" s="5">
        <v>37000</v>
      </c>
      <c r="B363" s="1">
        <v>5.2939999999999996</v>
      </c>
      <c r="C363" s="1">
        <v>1.75</v>
      </c>
      <c r="D363" s="1">
        <v>5.79</v>
      </c>
    </row>
    <row r="364" spans="1:4" x14ac:dyDescent="0.2">
      <c r="A364" s="5">
        <v>37001</v>
      </c>
      <c r="B364" s="1">
        <v>5.2880000000000003</v>
      </c>
      <c r="C364" s="1">
        <v>1.74</v>
      </c>
      <c r="D364" s="1">
        <v>5.7969999999999997</v>
      </c>
    </row>
    <row r="365" spans="1:4" x14ac:dyDescent="0.2">
      <c r="A365" s="5">
        <v>37004</v>
      </c>
      <c r="B365" s="1">
        <v>5.1769999999999996</v>
      </c>
      <c r="C365" s="1">
        <v>1.76</v>
      </c>
      <c r="D365" s="1">
        <v>5.7190000000000003</v>
      </c>
    </row>
    <row r="366" spans="1:4" x14ac:dyDescent="0.2">
      <c r="A366" s="5">
        <v>37005</v>
      </c>
      <c r="B366" s="1">
        <v>5.2089999999999996</v>
      </c>
      <c r="C366" s="1">
        <v>1.75</v>
      </c>
      <c r="D366" s="1">
        <v>5.758</v>
      </c>
    </row>
    <row r="367" spans="1:4" x14ac:dyDescent="0.2">
      <c r="A367" s="5">
        <v>37006</v>
      </c>
      <c r="B367" s="1">
        <v>5.2560000000000002</v>
      </c>
      <c r="C367" s="1">
        <v>1.72</v>
      </c>
      <c r="D367" s="1">
        <v>5.7670000000000003</v>
      </c>
    </row>
    <row r="368" spans="1:4" x14ac:dyDescent="0.2">
      <c r="A368" s="5">
        <v>37007</v>
      </c>
      <c r="B368" s="1">
        <v>5.1920000000000002</v>
      </c>
      <c r="C368" s="1">
        <v>1.69</v>
      </c>
      <c r="D368" s="1">
        <v>5.7110000000000003</v>
      </c>
    </row>
    <row r="369" spans="1:4" x14ac:dyDescent="0.2">
      <c r="A369" s="5">
        <v>37008</v>
      </c>
      <c r="B369" s="1">
        <v>5.3280000000000003</v>
      </c>
      <c r="C369" s="1">
        <v>1.69</v>
      </c>
      <c r="D369" s="1">
        <v>5.8</v>
      </c>
    </row>
    <row r="370" spans="1:4" x14ac:dyDescent="0.2">
      <c r="A370" s="5">
        <v>37011</v>
      </c>
      <c r="B370" s="1">
        <v>5.3380000000000001</v>
      </c>
      <c r="C370" s="1">
        <v>1.64</v>
      </c>
      <c r="D370" s="1">
        <v>5.7880000000000003</v>
      </c>
    </row>
    <row r="371" spans="1:4" x14ac:dyDescent="0.2">
      <c r="A371" s="5">
        <v>37012</v>
      </c>
      <c r="B371" s="1">
        <v>5.2919999999999998</v>
      </c>
      <c r="C371" s="1">
        <v>1.63</v>
      </c>
      <c r="D371" s="1">
        <v>5.742</v>
      </c>
    </row>
    <row r="372" spans="1:4" x14ac:dyDescent="0.2">
      <c r="A372" s="5">
        <v>37013</v>
      </c>
      <c r="B372" s="1">
        <v>5.2880000000000003</v>
      </c>
      <c r="C372" s="1">
        <v>1.63</v>
      </c>
      <c r="D372" s="1">
        <v>5.702</v>
      </c>
    </row>
    <row r="373" spans="1:4" x14ac:dyDescent="0.2">
      <c r="A373" s="5">
        <v>37014</v>
      </c>
      <c r="B373" s="1">
        <v>5.2050000000000001</v>
      </c>
      <c r="C373" s="1">
        <v>1.62</v>
      </c>
      <c r="D373" s="1">
        <v>5.6390000000000002</v>
      </c>
    </row>
    <row r="374" spans="1:4" x14ac:dyDescent="0.2">
      <c r="A374" s="5">
        <v>37015</v>
      </c>
      <c r="B374" s="1">
        <v>5.2050000000000001</v>
      </c>
      <c r="C374" s="1">
        <v>1.63</v>
      </c>
      <c r="D374" s="1">
        <v>5.6760000000000002</v>
      </c>
    </row>
    <row r="375" spans="1:4" x14ac:dyDescent="0.2">
      <c r="A375" s="5">
        <v>37018</v>
      </c>
      <c r="B375" s="1">
        <v>5.1970000000000001</v>
      </c>
      <c r="C375" s="1">
        <v>1.64</v>
      </c>
      <c r="D375" s="1">
        <v>5.6689999999999996</v>
      </c>
    </row>
    <row r="376" spans="1:4" x14ac:dyDescent="0.2">
      <c r="A376" s="5">
        <v>37019</v>
      </c>
      <c r="B376" s="1">
        <v>5.2450000000000001</v>
      </c>
      <c r="C376" s="1">
        <v>1.65</v>
      </c>
      <c r="D376" s="1">
        <v>5.7380000000000004</v>
      </c>
    </row>
    <row r="377" spans="1:4" x14ac:dyDescent="0.2">
      <c r="A377" s="5">
        <v>37020</v>
      </c>
      <c r="B377" s="1">
        <v>5.1740000000000004</v>
      </c>
      <c r="C377" s="1">
        <v>1.65</v>
      </c>
      <c r="D377" s="1">
        <v>5.6680000000000001</v>
      </c>
    </row>
    <row r="378" spans="1:4" x14ac:dyDescent="0.2">
      <c r="A378" s="5">
        <v>37021</v>
      </c>
      <c r="B378" s="1">
        <v>5.2949999999999999</v>
      </c>
      <c r="C378" s="1">
        <v>1.65</v>
      </c>
      <c r="D378" s="1">
        <v>5.7619999999999996</v>
      </c>
    </row>
    <row r="379" spans="1:4" x14ac:dyDescent="0.2">
      <c r="A379" s="5">
        <v>37022</v>
      </c>
      <c r="B379" s="1">
        <v>5.4470000000000001</v>
      </c>
      <c r="C379" s="1">
        <v>1.64</v>
      </c>
      <c r="D379" s="1">
        <v>5.8540000000000001</v>
      </c>
    </row>
    <row r="380" spans="1:4" x14ac:dyDescent="0.2">
      <c r="A380" s="5">
        <v>37025</v>
      </c>
      <c r="B380" s="1">
        <v>5.42</v>
      </c>
      <c r="C380" s="1">
        <v>1.63</v>
      </c>
      <c r="D380" s="1">
        <v>5.8419999999999996</v>
      </c>
    </row>
    <row r="381" spans="1:4" x14ac:dyDescent="0.2">
      <c r="A381" s="5">
        <v>37026</v>
      </c>
      <c r="B381" s="1">
        <v>5.5119999999999996</v>
      </c>
      <c r="C381" s="1">
        <v>1.62</v>
      </c>
      <c r="D381" s="1">
        <v>5.9109999999999996</v>
      </c>
    </row>
    <row r="382" spans="1:4" x14ac:dyDescent="0.2">
      <c r="A382" s="5">
        <v>37027</v>
      </c>
      <c r="B382" s="1">
        <v>5.4450000000000003</v>
      </c>
      <c r="C382" s="1">
        <v>1.61</v>
      </c>
      <c r="D382" s="1">
        <v>5.8529999999999998</v>
      </c>
    </row>
    <row r="383" spans="1:4" x14ac:dyDescent="0.2">
      <c r="A383" s="5">
        <v>37028</v>
      </c>
      <c r="B383" s="1">
        <v>5.407</v>
      </c>
      <c r="C383" s="1">
        <v>1.58</v>
      </c>
      <c r="D383" s="1">
        <v>5.7629999999999999</v>
      </c>
    </row>
    <row r="384" spans="1:4" x14ac:dyDescent="0.2">
      <c r="A384" s="5">
        <v>37029</v>
      </c>
      <c r="B384" s="1">
        <v>5.4050000000000002</v>
      </c>
      <c r="C384" s="1">
        <v>1.57</v>
      </c>
      <c r="D384" s="1">
        <v>5.7670000000000003</v>
      </c>
    </row>
    <row r="385" spans="1:4" x14ac:dyDescent="0.2">
      <c r="A385" s="5">
        <v>37032</v>
      </c>
      <c r="B385" s="1">
        <v>5.3739999999999997</v>
      </c>
      <c r="C385" s="1">
        <v>1.58</v>
      </c>
      <c r="D385" s="1">
        <v>5.7380000000000004</v>
      </c>
    </row>
    <row r="386" spans="1:4" x14ac:dyDescent="0.2">
      <c r="A386" s="5">
        <v>37033</v>
      </c>
      <c r="B386" s="1">
        <v>5.41</v>
      </c>
      <c r="C386" s="1">
        <v>1.58</v>
      </c>
      <c r="D386" s="1">
        <v>5.7779999999999996</v>
      </c>
    </row>
    <row r="387" spans="1:4" x14ac:dyDescent="0.2">
      <c r="A387" s="5">
        <v>37034</v>
      </c>
      <c r="B387" s="1">
        <v>5.4009999999999998</v>
      </c>
      <c r="C387" s="1">
        <v>1.57</v>
      </c>
      <c r="D387" s="1">
        <v>5.7990000000000004</v>
      </c>
    </row>
    <row r="388" spans="1:4" x14ac:dyDescent="0.2">
      <c r="A388" s="5">
        <v>37035</v>
      </c>
      <c r="B388" s="1">
        <v>5.4909999999999997</v>
      </c>
      <c r="C388" s="1">
        <v>1.57</v>
      </c>
      <c r="D388" s="1">
        <v>5.8460000000000001</v>
      </c>
    </row>
    <row r="389" spans="1:4" x14ac:dyDescent="0.2">
      <c r="A389" s="5">
        <v>37036</v>
      </c>
      <c r="B389" s="1">
        <v>5.5110000000000001</v>
      </c>
      <c r="C389" s="1">
        <v>1.57</v>
      </c>
      <c r="D389" s="1">
        <v>5.8529999999999998</v>
      </c>
    </row>
    <row r="390" spans="1:4" x14ac:dyDescent="0.2">
      <c r="A390" s="5">
        <v>37039</v>
      </c>
      <c r="B390" s="1">
        <v>5.4939999999999998</v>
      </c>
      <c r="C390" s="1">
        <v>1.57</v>
      </c>
      <c r="D390" s="1">
        <v>5.8540000000000001</v>
      </c>
    </row>
    <row r="391" spans="1:4" x14ac:dyDescent="0.2">
      <c r="A391" s="5">
        <v>37040</v>
      </c>
      <c r="B391" s="1">
        <v>5.5149999999999997</v>
      </c>
      <c r="C391" s="1">
        <v>1.56</v>
      </c>
      <c r="D391" s="1">
        <v>5.86</v>
      </c>
    </row>
    <row r="392" spans="1:4" x14ac:dyDescent="0.2">
      <c r="A392" s="5">
        <v>37041</v>
      </c>
      <c r="B392" s="1">
        <v>5.5090000000000003</v>
      </c>
      <c r="C392" s="1">
        <v>1.55</v>
      </c>
      <c r="D392" s="1">
        <v>5.8419999999999996</v>
      </c>
    </row>
    <row r="393" spans="1:4" x14ac:dyDescent="0.2">
      <c r="A393" s="5">
        <v>37042</v>
      </c>
      <c r="B393" s="1">
        <v>5.3810000000000002</v>
      </c>
      <c r="C393" s="1">
        <v>1.56</v>
      </c>
      <c r="D393" s="1">
        <v>5.7530000000000001</v>
      </c>
    </row>
    <row r="394" spans="1:4" x14ac:dyDescent="0.2">
      <c r="A394" s="5">
        <v>37043</v>
      </c>
      <c r="B394" s="1">
        <v>5.3639999999999999</v>
      </c>
      <c r="C394" s="1">
        <v>1.54</v>
      </c>
      <c r="D394" s="1">
        <v>5.7050000000000001</v>
      </c>
    </row>
    <row r="395" spans="1:4" x14ac:dyDescent="0.2">
      <c r="A395" s="5">
        <v>37046</v>
      </c>
      <c r="B395" s="1">
        <v>5.3410000000000002</v>
      </c>
      <c r="C395" s="1">
        <v>1.53</v>
      </c>
      <c r="D395" s="1">
        <v>5.6920000000000002</v>
      </c>
    </row>
    <row r="396" spans="1:4" x14ac:dyDescent="0.2">
      <c r="A396" s="5">
        <v>37047</v>
      </c>
      <c r="B396" s="1">
        <v>5.2690000000000001</v>
      </c>
      <c r="C396" s="1">
        <v>1.51</v>
      </c>
      <c r="D396" s="1">
        <v>5.6529999999999996</v>
      </c>
    </row>
    <row r="397" spans="1:4" x14ac:dyDescent="0.2">
      <c r="A397" s="5">
        <v>37048</v>
      </c>
      <c r="B397" s="1">
        <v>5.2549999999999999</v>
      </c>
      <c r="C397" s="1">
        <v>1.49</v>
      </c>
      <c r="D397" s="1">
        <v>5.6470000000000002</v>
      </c>
    </row>
    <row r="398" spans="1:4" x14ac:dyDescent="0.2">
      <c r="A398" s="5">
        <v>37049</v>
      </c>
      <c r="B398" s="1">
        <v>5.3239999999999998</v>
      </c>
      <c r="C398" s="1">
        <v>1.5</v>
      </c>
      <c r="D398" s="1">
        <v>5.7290000000000001</v>
      </c>
    </row>
    <row r="399" spans="1:4" x14ac:dyDescent="0.2">
      <c r="A399" s="5">
        <v>37050</v>
      </c>
      <c r="B399" s="1">
        <v>5.3559999999999999</v>
      </c>
      <c r="C399" s="1">
        <v>1.51</v>
      </c>
      <c r="D399" s="1">
        <v>5.7370000000000001</v>
      </c>
    </row>
    <row r="400" spans="1:4" x14ac:dyDescent="0.2">
      <c r="A400" s="5">
        <v>37053</v>
      </c>
      <c r="B400" s="1">
        <v>5.2839999999999998</v>
      </c>
      <c r="C400" s="1">
        <v>1.52</v>
      </c>
      <c r="D400" s="1">
        <v>5.6829999999999998</v>
      </c>
    </row>
    <row r="401" spans="1:4" x14ac:dyDescent="0.2">
      <c r="A401" s="5">
        <v>37054</v>
      </c>
      <c r="B401" s="1">
        <v>5.2530000000000001</v>
      </c>
      <c r="C401" s="1">
        <v>1.53</v>
      </c>
      <c r="D401" s="1">
        <v>5.6520000000000001</v>
      </c>
    </row>
    <row r="402" spans="1:4" x14ac:dyDescent="0.2">
      <c r="A402" s="5">
        <v>37055</v>
      </c>
      <c r="B402" s="1">
        <v>5.2629999999999999</v>
      </c>
      <c r="C402" s="1">
        <v>1.54</v>
      </c>
      <c r="D402" s="1">
        <v>5.6619999999999999</v>
      </c>
    </row>
    <row r="403" spans="1:4" x14ac:dyDescent="0.2">
      <c r="A403" s="5">
        <v>37056</v>
      </c>
      <c r="B403" s="1">
        <v>5.2210000000000001</v>
      </c>
      <c r="C403" s="1">
        <v>1.54</v>
      </c>
      <c r="D403" s="1">
        <v>5.6420000000000003</v>
      </c>
    </row>
    <row r="404" spans="1:4" x14ac:dyDescent="0.2">
      <c r="A404" s="5">
        <v>37057</v>
      </c>
      <c r="B404" s="1">
        <v>5.2320000000000002</v>
      </c>
      <c r="C404" s="1">
        <v>1.56</v>
      </c>
      <c r="D404" s="1">
        <v>5.6769999999999996</v>
      </c>
    </row>
    <row r="405" spans="1:4" x14ac:dyDescent="0.2">
      <c r="A405" s="5">
        <v>37060</v>
      </c>
      <c r="B405" s="1">
        <v>5.2510000000000003</v>
      </c>
      <c r="C405" s="1">
        <v>1.59</v>
      </c>
      <c r="D405" s="1">
        <v>5.7009999999999996</v>
      </c>
    </row>
    <row r="406" spans="1:4" x14ac:dyDescent="0.2">
      <c r="A406" s="5">
        <v>37061</v>
      </c>
      <c r="B406" s="1">
        <v>5.2359999999999998</v>
      </c>
      <c r="C406" s="1">
        <v>1.61</v>
      </c>
      <c r="D406" s="1">
        <v>5.6890000000000001</v>
      </c>
    </row>
    <row r="407" spans="1:4" x14ac:dyDescent="0.2">
      <c r="A407" s="5">
        <v>37062</v>
      </c>
      <c r="B407" s="1">
        <v>5.2050000000000001</v>
      </c>
      <c r="C407" s="1">
        <v>1.62</v>
      </c>
      <c r="D407" s="1">
        <v>5.665</v>
      </c>
    </row>
    <row r="408" spans="1:4" x14ac:dyDescent="0.2">
      <c r="A408" s="5">
        <v>37063</v>
      </c>
      <c r="B408" s="1">
        <v>5.1719999999999997</v>
      </c>
      <c r="C408" s="1">
        <v>1.62</v>
      </c>
      <c r="D408" s="1">
        <v>5.6230000000000002</v>
      </c>
    </row>
    <row r="409" spans="1:4" x14ac:dyDescent="0.2">
      <c r="A409" s="5">
        <v>37064</v>
      </c>
      <c r="B409" s="1">
        <v>5.1150000000000002</v>
      </c>
      <c r="C409" s="1">
        <v>1.61</v>
      </c>
      <c r="D409" s="1">
        <v>5.5750000000000002</v>
      </c>
    </row>
    <row r="410" spans="1:4" x14ac:dyDescent="0.2">
      <c r="A410" s="5">
        <v>37067</v>
      </c>
      <c r="B410" s="1">
        <v>5.13</v>
      </c>
      <c r="C410" s="1">
        <v>1.6</v>
      </c>
      <c r="D410" s="1">
        <v>5.5869999999999997</v>
      </c>
    </row>
    <row r="411" spans="1:4" x14ac:dyDescent="0.2">
      <c r="A411" s="5">
        <v>37068</v>
      </c>
      <c r="B411" s="1">
        <v>5.2240000000000002</v>
      </c>
      <c r="C411" s="1">
        <v>1.6</v>
      </c>
      <c r="D411" s="1">
        <v>5.6520000000000001</v>
      </c>
    </row>
    <row r="412" spans="1:4" x14ac:dyDescent="0.2">
      <c r="A412" s="5">
        <v>37069</v>
      </c>
      <c r="B412" s="1">
        <v>5.2350000000000003</v>
      </c>
      <c r="C412" s="1">
        <v>1.59</v>
      </c>
      <c r="D412" s="1">
        <v>5.6180000000000003</v>
      </c>
    </row>
    <row r="413" spans="1:4" x14ac:dyDescent="0.2">
      <c r="A413" s="5">
        <v>37070</v>
      </c>
      <c r="B413" s="1">
        <v>5.3339999999999996</v>
      </c>
      <c r="C413" s="1">
        <v>1.59</v>
      </c>
      <c r="D413" s="1">
        <v>5.6710000000000003</v>
      </c>
    </row>
    <row r="414" spans="1:4" x14ac:dyDescent="0.2">
      <c r="A414" s="5">
        <v>37071</v>
      </c>
      <c r="B414" s="1">
        <v>5.4119999999999999</v>
      </c>
      <c r="C414" s="1">
        <v>1.56</v>
      </c>
      <c r="D414" s="1">
        <v>5.7590000000000003</v>
      </c>
    </row>
    <row r="415" spans="1:4" x14ac:dyDescent="0.2">
      <c r="A415" s="5">
        <v>37074</v>
      </c>
      <c r="B415" s="1">
        <v>5.3220000000000001</v>
      </c>
      <c r="C415" s="1">
        <v>1.55</v>
      </c>
      <c r="D415" s="1">
        <v>5.6870000000000003</v>
      </c>
    </row>
    <row r="416" spans="1:4" x14ac:dyDescent="0.2">
      <c r="A416" s="5">
        <v>37075</v>
      </c>
      <c r="B416" s="1">
        <v>5.38</v>
      </c>
      <c r="C416" s="1">
        <v>1.55</v>
      </c>
      <c r="D416" s="1">
        <v>5.7190000000000003</v>
      </c>
    </row>
    <row r="417" spans="1:4" x14ac:dyDescent="0.2">
      <c r="A417" s="5">
        <v>37076</v>
      </c>
      <c r="B417" s="1">
        <v>5.3780000000000001</v>
      </c>
      <c r="C417" s="1">
        <v>1.55</v>
      </c>
      <c r="D417" s="1">
        <v>5.7249999999999996</v>
      </c>
    </row>
    <row r="418" spans="1:4" x14ac:dyDescent="0.2">
      <c r="A418" s="5">
        <v>37077</v>
      </c>
      <c r="B418" s="1">
        <v>5.391</v>
      </c>
      <c r="C418" s="1">
        <v>1.55</v>
      </c>
      <c r="D418" s="1">
        <v>5.74</v>
      </c>
    </row>
    <row r="419" spans="1:4" x14ac:dyDescent="0.2">
      <c r="A419" s="5">
        <v>37078</v>
      </c>
      <c r="B419" s="1">
        <v>5.359</v>
      </c>
      <c r="C419" s="1">
        <v>1.55</v>
      </c>
      <c r="D419" s="1">
        <v>5.7320000000000002</v>
      </c>
    </row>
    <row r="420" spans="1:4" x14ac:dyDescent="0.2">
      <c r="A420" s="5">
        <v>37081</v>
      </c>
      <c r="B420" s="1">
        <v>5.327</v>
      </c>
      <c r="C420" s="1">
        <v>1.56</v>
      </c>
      <c r="D420" s="1">
        <v>5.694</v>
      </c>
    </row>
    <row r="421" spans="1:4" x14ac:dyDescent="0.2">
      <c r="A421" s="5">
        <v>37082</v>
      </c>
      <c r="B421" s="1">
        <v>5.274</v>
      </c>
      <c r="C421" s="1">
        <v>1.56</v>
      </c>
      <c r="D421" s="1">
        <v>5.67</v>
      </c>
    </row>
    <row r="422" spans="1:4" x14ac:dyDescent="0.2">
      <c r="A422" s="5">
        <v>37083</v>
      </c>
      <c r="B422" s="1">
        <v>5.2889999999999997</v>
      </c>
      <c r="C422" s="1">
        <v>1.57</v>
      </c>
      <c r="D422" s="1">
        <v>5.6840000000000002</v>
      </c>
    </row>
    <row r="423" spans="1:4" x14ac:dyDescent="0.2">
      <c r="A423" s="5">
        <v>37084</v>
      </c>
      <c r="B423" s="1">
        <v>5.234</v>
      </c>
      <c r="C423" s="1">
        <v>1.57</v>
      </c>
      <c r="D423" s="1">
        <v>5.649</v>
      </c>
    </row>
    <row r="424" spans="1:4" x14ac:dyDescent="0.2">
      <c r="A424" s="5">
        <v>37085</v>
      </c>
      <c r="B424" s="1">
        <v>5.2169999999999996</v>
      </c>
      <c r="C424" s="1">
        <v>1.58</v>
      </c>
      <c r="D424" s="1">
        <v>5.6189999999999998</v>
      </c>
    </row>
    <row r="425" spans="1:4" x14ac:dyDescent="0.2">
      <c r="A425" s="5">
        <v>37088</v>
      </c>
      <c r="B425" s="1">
        <v>5.173</v>
      </c>
      <c r="C425" s="1">
        <v>1.58</v>
      </c>
      <c r="D425" s="1">
        <v>5.5789999999999997</v>
      </c>
    </row>
    <row r="426" spans="1:4" x14ac:dyDescent="0.2">
      <c r="A426" s="5">
        <v>37089</v>
      </c>
      <c r="B426" s="1">
        <v>5.2039999999999997</v>
      </c>
      <c r="C426" s="1">
        <v>1.58</v>
      </c>
      <c r="D426" s="1">
        <v>5.5990000000000002</v>
      </c>
    </row>
    <row r="427" spans="1:4" x14ac:dyDescent="0.2">
      <c r="A427" s="5">
        <v>37090</v>
      </c>
      <c r="B427" s="1">
        <v>5.0910000000000002</v>
      </c>
      <c r="C427" s="1">
        <v>1.57</v>
      </c>
      <c r="D427" s="1">
        <v>5.516</v>
      </c>
    </row>
    <row r="428" spans="1:4" x14ac:dyDescent="0.2">
      <c r="A428" s="5">
        <v>37091</v>
      </c>
      <c r="B428" s="1">
        <v>5.1059999999999999</v>
      </c>
      <c r="C428" s="1">
        <v>1.55</v>
      </c>
      <c r="D428" s="1">
        <v>5.5270000000000001</v>
      </c>
    </row>
    <row r="429" spans="1:4" x14ac:dyDescent="0.2">
      <c r="A429" s="5">
        <v>37092</v>
      </c>
      <c r="B429" s="1">
        <v>5.1289999999999996</v>
      </c>
      <c r="C429" s="1">
        <v>1.53</v>
      </c>
      <c r="D429" s="1">
        <v>5.5490000000000004</v>
      </c>
    </row>
    <row r="430" spans="1:4" x14ac:dyDescent="0.2">
      <c r="A430" s="5">
        <v>37095</v>
      </c>
      <c r="B430" s="1">
        <v>5.1040000000000001</v>
      </c>
      <c r="C430" s="1">
        <v>1.54</v>
      </c>
      <c r="D430" s="1">
        <v>5.5270000000000001</v>
      </c>
    </row>
    <row r="431" spans="1:4" x14ac:dyDescent="0.2">
      <c r="A431" s="5">
        <v>37096</v>
      </c>
      <c r="B431" s="1">
        <v>5.1100000000000003</v>
      </c>
      <c r="C431" s="1">
        <v>1.53</v>
      </c>
      <c r="D431" s="1">
        <v>5.5279999999999996</v>
      </c>
    </row>
    <row r="432" spans="1:4" x14ac:dyDescent="0.2">
      <c r="A432" s="5">
        <v>37097</v>
      </c>
      <c r="B432" s="1">
        <v>5.1820000000000004</v>
      </c>
      <c r="C432" s="1">
        <v>1.53</v>
      </c>
      <c r="D432" s="1">
        <v>5.5970000000000004</v>
      </c>
    </row>
    <row r="433" spans="1:4" x14ac:dyDescent="0.2">
      <c r="A433" s="5">
        <v>37098</v>
      </c>
      <c r="B433" s="1">
        <v>5.1289999999999996</v>
      </c>
      <c r="C433" s="1">
        <v>1.53</v>
      </c>
      <c r="D433" s="1">
        <v>5.5709999999999997</v>
      </c>
    </row>
    <row r="434" spans="1:4" x14ac:dyDescent="0.2">
      <c r="A434" s="5">
        <v>37099</v>
      </c>
      <c r="B434" s="1">
        <v>5.0979999999999999</v>
      </c>
      <c r="C434" s="1">
        <v>1.53</v>
      </c>
      <c r="D434" s="1">
        <v>5.5430000000000001</v>
      </c>
    </row>
    <row r="435" spans="1:4" x14ac:dyDescent="0.2">
      <c r="A435" s="5">
        <v>37102</v>
      </c>
      <c r="B435" s="1">
        <v>5.0659999999999998</v>
      </c>
      <c r="C435" s="1">
        <v>1.52</v>
      </c>
      <c r="D435" s="1">
        <v>5.5140000000000002</v>
      </c>
    </row>
    <row r="436" spans="1:4" x14ac:dyDescent="0.2">
      <c r="A436" s="5">
        <v>37103</v>
      </c>
      <c r="B436" s="1">
        <v>5.0540000000000003</v>
      </c>
      <c r="C436" s="1">
        <v>1.54</v>
      </c>
      <c r="D436" s="1">
        <v>5.5220000000000002</v>
      </c>
    </row>
    <row r="437" spans="1:4" x14ac:dyDescent="0.2">
      <c r="A437" s="5">
        <v>37104</v>
      </c>
      <c r="B437" s="1">
        <v>5.0709999999999997</v>
      </c>
      <c r="C437" s="1">
        <v>1.53</v>
      </c>
      <c r="D437" s="1">
        <v>5.5259999999999998</v>
      </c>
    </row>
    <row r="438" spans="1:4" x14ac:dyDescent="0.2">
      <c r="A438" s="5">
        <v>37105</v>
      </c>
      <c r="B438" s="1">
        <v>5.1509999999999998</v>
      </c>
      <c r="C438" s="1">
        <v>1.53</v>
      </c>
      <c r="D438" s="1">
        <v>5.5780000000000003</v>
      </c>
    </row>
    <row r="439" spans="1:4" x14ac:dyDescent="0.2">
      <c r="A439" s="5">
        <v>37106</v>
      </c>
      <c r="B439" s="1">
        <v>5.157</v>
      </c>
      <c r="C439" s="1">
        <v>1.54</v>
      </c>
      <c r="D439" s="1">
        <v>5.585</v>
      </c>
    </row>
    <row r="440" spans="1:4" x14ac:dyDescent="0.2">
      <c r="A440" s="5">
        <v>37109</v>
      </c>
      <c r="B440" s="1">
        <v>5.1529999999999996</v>
      </c>
      <c r="C440" s="1">
        <v>1.54</v>
      </c>
      <c r="D440" s="1">
        <v>5.5919999999999996</v>
      </c>
    </row>
    <row r="441" spans="1:4" x14ac:dyDescent="0.2">
      <c r="A441" s="5">
        <v>37110</v>
      </c>
      <c r="B441" s="1">
        <v>5.1680000000000001</v>
      </c>
      <c r="C441" s="1">
        <v>1.53</v>
      </c>
      <c r="D441" s="1">
        <v>5.5990000000000002</v>
      </c>
    </row>
    <row r="442" spans="1:4" x14ac:dyDescent="0.2">
      <c r="A442" s="5">
        <v>37111</v>
      </c>
      <c r="B442" s="1">
        <v>5.05</v>
      </c>
      <c r="C442" s="1">
        <v>1.53</v>
      </c>
      <c r="D442" s="1">
        <v>5.5069999999999997</v>
      </c>
    </row>
    <row r="443" spans="1:4" x14ac:dyDescent="0.2">
      <c r="A443" s="5">
        <v>37112</v>
      </c>
      <c r="B443" s="1">
        <v>5.0339999999999998</v>
      </c>
      <c r="C443" s="1">
        <v>1.54</v>
      </c>
      <c r="D443" s="1">
        <v>5.5339999999999998</v>
      </c>
    </row>
    <row r="444" spans="1:4" x14ac:dyDescent="0.2">
      <c r="A444" s="5">
        <v>37113</v>
      </c>
      <c r="B444" s="1">
        <v>4.9800000000000004</v>
      </c>
      <c r="C444" s="1">
        <v>1.54</v>
      </c>
      <c r="D444" s="1">
        <v>5.5039999999999996</v>
      </c>
    </row>
    <row r="445" spans="1:4" x14ac:dyDescent="0.2">
      <c r="A445" s="5">
        <v>37116</v>
      </c>
      <c r="B445" s="1">
        <v>4.976</v>
      </c>
      <c r="C445" s="1">
        <v>1.56</v>
      </c>
      <c r="D445" s="1">
        <v>5.5119999999999996</v>
      </c>
    </row>
    <row r="446" spans="1:4" x14ac:dyDescent="0.2">
      <c r="A446" s="5">
        <v>37117</v>
      </c>
      <c r="B446" s="1">
        <v>4.9660000000000002</v>
      </c>
      <c r="C446" s="1">
        <v>1.56</v>
      </c>
      <c r="D446" s="1">
        <v>5.5060000000000002</v>
      </c>
    </row>
    <row r="447" spans="1:4" x14ac:dyDescent="0.2">
      <c r="A447" s="5">
        <v>37118</v>
      </c>
      <c r="B447" s="1">
        <v>5</v>
      </c>
      <c r="C447" s="1">
        <v>1.56</v>
      </c>
      <c r="D447" s="1">
        <v>5.5170000000000003</v>
      </c>
    </row>
    <row r="448" spans="1:4" x14ac:dyDescent="0.2">
      <c r="A448" s="5">
        <v>37119</v>
      </c>
      <c r="B448" s="1">
        <v>4.9400000000000004</v>
      </c>
      <c r="C448" s="1">
        <v>1.57</v>
      </c>
      <c r="D448" s="1">
        <v>5.4770000000000003</v>
      </c>
    </row>
    <row r="449" spans="1:4" x14ac:dyDescent="0.2">
      <c r="A449" s="5">
        <v>37120</v>
      </c>
      <c r="B449" s="1">
        <v>4.8390000000000004</v>
      </c>
      <c r="C449" s="1">
        <v>1.58</v>
      </c>
      <c r="D449" s="1">
        <v>5.42</v>
      </c>
    </row>
    <row r="450" spans="1:4" x14ac:dyDescent="0.2">
      <c r="A450" s="5">
        <v>37123</v>
      </c>
      <c r="B450" s="1">
        <v>4.9020000000000001</v>
      </c>
      <c r="C450" s="1">
        <v>1.59</v>
      </c>
      <c r="D450" s="1">
        <v>5.4530000000000003</v>
      </c>
    </row>
    <row r="451" spans="1:4" x14ac:dyDescent="0.2">
      <c r="A451" s="5">
        <v>37124</v>
      </c>
      <c r="B451" s="1">
        <v>4.8639999999999999</v>
      </c>
      <c r="C451" s="1">
        <v>1.59</v>
      </c>
      <c r="D451" s="1">
        <v>5.4320000000000004</v>
      </c>
    </row>
    <row r="452" spans="1:4" x14ac:dyDescent="0.2">
      <c r="A452" s="5">
        <v>37125</v>
      </c>
      <c r="B452" s="1">
        <v>4.8940000000000001</v>
      </c>
      <c r="C452" s="1">
        <v>1.59</v>
      </c>
      <c r="D452" s="1">
        <v>5.4349999999999996</v>
      </c>
    </row>
    <row r="453" spans="1:4" x14ac:dyDescent="0.2">
      <c r="A453" s="5">
        <v>37126</v>
      </c>
      <c r="B453" s="1">
        <v>4.88</v>
      </c>
      <c r="C453" s="1">
        <v>1.58</v>
      </c>
      <c r="D453" s="1">
        <v>5.4119999999999999</v>
      </c>
    </row>
    <row r="454" spans="1:4" x14ac:dyDescent="0.2">
      <c r="A454" s="5">
        <v>37127</v>
      </c>
      <c r="B454" s="1">
        <v>4.9219999999999997</v>
      </c>
      <c r="C454" s="1">
        <v>1.57</v>
      </c>
      <c r="D454" s="1">
        <v>5.4489999999999998</v>
      </c>
    </row>
    <row r="455" spans="1:4" x14ac:dyDescent="0.2">
      <c r="A455" s="5">
        <v>37130</v>
      </c>
      <c r="B455" s="1">
        <v>4.9240000000000004</v>
      </c>
      <c r="C455" s="1">
        <v>1.57</v>
      </c>
      <c r="D455" s="1">
        <v>5.4630000000000001</v>
      </c>
    </row>
    <row r="456" spans="1:4" x14ac:dyDescent="0.2">
      <c r="A456" s="5">
        <v>37131</v>
      </c>
      <c r="B456" s="1">
        <v>4.8360000000000003</v>
      </c>
      <c r="C456" s="1">
        <v>1.57</v>
      </c>
      <c r="D456" s="1">
        <v>5.4050000000000002</v>
      </c>
    </row>
    <row r="457" spans="1:4" x14ac:dyDescent="0.2">
      <c r="A457" s="5">
        <v>37132</v>
      </c>
      <c r="B457" s="1">
        <v>4.7709999999999999</v>
      </c>
      <c r="C457" s="1">
        <v>1.57</v>
      </c>
      <c r="D457" s="1">
        <v>5.3620000000000001</v>
      </c>
    </row>
    <row r="458" spans="1:4" x14ac:dyDescent="0.2">
      <c r="A458" s="5">
        <v>37133</v>
      </c>
      <c r="B458" s="1">
        <v>4.8120000000000003</v>
      </c>
      <c r="C458" s="1">
        <v>1.57</v>
      </c>
      <c r="D458" s="1">
        <v>5.3849999999999998</v>
      </c>
    </row>
    <row r="459" spans="1:4" x14ac:dyDescent="0.2">
      <c r="A459" s="5">
        <v>37134</v>
      </c>
      <c r="B459" s="1">
        <v>4.8319999999999999</v>
      </c>
      <c r="C459" s="1">
        <v>1.56</v>
      </c>
      <c r="D459" s="1">
        <v>5.3680000000000003</v>
      </c>
    </row>
    <row r="460" spans="1:4" x14ac:dyDescent="0.2">
      <c r="A460" s="5">
        <v>37137</v>
      </c>
      <c r="B460" s="1">
        <v>4.8259999999999996</v>
      </c>
      <c r="C460" s="1">
        <v>1.56</v>
      </c>
      <c r="D460" s="1">
        <v>5.3689999999999998</v>
      </c>
    </row>
    <row r="461" spans="1:4" x14ac:dyDescent="0.2">
      <c r="A461" s="5">
        <v>37138</v>
      </c>
      <c r="B461" s="1">
        <v>4.9589999999999996</v>
      </c>
      <c r="C461" s="1">
        <v>1.59</v>
      </c>
      <c r="D461" s="1">
        <v>5.4829999999999997</v>
      </c>
    </row>
    <row r="462" spans="1:4" x14ac:dyDescent="0.2">
      <c r="A462" s="5">
        <v>37139</v>
      </c>
      <c r="B462" s="1">
        <v>4.9669999999999996</v>
      </c>
      <c r="C462" s="1">
        <v>1.59</v>
      </c>
      <c r="D462" s="1">
        <v>5.4790000000000001</v>
      </c>
    </row>
    <row r="463" spans="1:4" x14ac:dyDescent="0.2">
      <c r="A463" s="5">
        <v>37140</v>
      </c>
      <c r="B463" s="1">
        <v>4.8730000000000002</v>
      </c>
      <c r="C463" s="1">
        <v>1.6</v>
      </c>
      <c r="D463" s="1">
        <v>5.4130000000000003</v>
      </c>
    </row>
    <row r="464" spans="1:4" x14ac:dyDescent="0.2">
      <c r="A464" s="5">
        <v>37141</v>
      </c>
      <c r="B464" s="1">
        <v>4.79</v>
      </c>
      <c r="C464" s="1">
        <v>1.62</v>
      </c>
      <c r="D464" s="1">
        <v>5.3689999999999998</v>
      </c>
    </row>
    <row r="465" spans="1:4" x14ac:dyDescent="0.2">
      <c r="A465" s="5">
        <v>37144</v>
      </c>
      <c r="B465" s="1">
        <v>4.835</v>
      </c>
      <c r="C465" s="1">
        <v>1.63</v>
      </c>
      <c r="D465" s="1">
        <v>5.4370000000000003</v>
      </c>
    </row>
    <row r="466" spans="1:4" x14ac:dyDescent="0.2">
      <c r="A466" s="5">
        <v>37145</v>
      </c>
      <c r="B466" s="1">
        <v>4.8090000000000002</v>
      </c>
      <c r="C466" s="1">
        <v>1.63</v>
      </c>
      <c r="D466" s="1">
        <v>5.4160000000000004</v>
      </c>
    </row>
    <row r="467" spans="1:4" x14ac:dyDescent="0.2">
      <c r="A467" s="5">
        <v>37146</v>
      </c>
      <c r="B467" s="1">
        <v>4.8090000000000002</v>
      </c>
      <c r="C467" s="1">
        <v>1.63</v>
      </c>
      <c r="D467" s="1">
        <v>5.4160000000000004</v>
      </c>
    </row>
    <row r="468" spans="1:4" x14ac:dyDescent="0.2">
      <c r="A468" s="5">
        <v>37147</v>
      </c>
      <c r="B468" s="1">
        <v>4.6230000000000002</v>
      </c>
      <c r="C468" s="1">
        <v>1.63</v>
      </c>
      <c r="D468" s="1">
        <v>5.3920000000000003</v>
      </c>
    </row>
    <row r="469" spans="1:4" x14ac:dyDescent="0.2">
      <c r="A469" s="5">
        <v>37148</v>
      </c>
      <c r="B469" s="1">
        <v>4.5529999999999999</v>
      </c>
      <c r="C469" s="1">
        <v>1.9</v>
      </c>
      <c r="D469" s="1">
        <v>5.35</v>
      </c>
    </row>
    <row r="470" spans="1:4" x14ac:dyDescent="0.2">
      <c r="A470" s="5">
        <v>37151</v>
      </c>
      <c r="B470" s="1">
        <v>4.6230000000000002</v>
      </c>
      <c r="C470" s="1">
        <v>1.89</v>
      </c>
      <c r="D470" s="1">
        <v>5.423</v>
      </c>
    </row>
    <row r="471" spans="1:4" x14ac:dyDescent="0.2">
      <c r="A471" s="5">
        <v>37152</v>
      </c>
      <c r="B471" s="1">
        <v>4.7069999999999999</v>
      </c>
      <c r="C471" s="1">
        <v>1.88</v>
      </c>
      <c r="D471" s="1">
        <v>5.5419999999999998</v>
      </c>
    </row>
    <row r="472" spans="1:4" x14ac:dyDescent="0.2">
      <c r="A472" s="5">
        <v>37153</v>
      </c>
      <c r="B472" s="1">
        <v>4.6909999999999998</v>
      </c>
      <c r="C472" s="1">
        <v>1.88</v>
      </c>
      <c r="D472" s="1">
        <v>5.5510000000000002</v>
      </c>
    </row>
    <row r="473" spans="1:4" x14ac:dyDescent="0.2">
      <c r="A473" s="5">
        <v>37154</v>
      </c>
      <c r="B473" s="1">
        <v>4.742</v>
      </c>
      <c r="C473" s="1">
        <v>1.9</v>
      </c>
      <c r="D473" s="1">
        <v>5.6230000000000002</v>
      </c>
    </row>
    <row r="474" spans="1:4" x14ac:dyDescent="0.2">
      <c r="A474" s="5">
        <v>37155</v>
      </c>
      <c r="B474" s="1">
        <v>4.6909999999999998</v>
      </c>
      <c r="C474" s="1">
        <v>1.92</v>
      </c>
      <c r="D474" s="1">
        <v>5.5830000000000002</v>
      </c>
    </row>
    <row r="475" spans="1:4" x14ac:dyDescent="0.2">
      <c r="A475" s="5">
        <v>37158</v>
      </c>
      <c r="B475" s="1">
        <v>4.7160000000000002</v>
      </c>
      <c r="C475" s="1">
        <v>1.9</v>
      </c>
      <c r="D475" s="1">
        <v>5.5759999999999996</v>
      </c>
    </row>
    <row r="476" spans="1:4" x14ac:dyDescent="0.2">
      <c r="A476" s="5">
        <v>37159</v>
      </c>
      <c r="B476" s="1">
        <v>4.7</v>
      </c>
      <c r="C476" s="1">
        <v>1.9</v>
      </c>
      <c r="D476" s="1">
        <v>5.5679999999999996</v>
      </c>
    </row>
    <row r="477" spans="1:4" x14ac:dyDescent="0.2">
      <c r="A477" s="5">
        <v>37160</v>
      </c>
      <c r="B477" s="1">
        <v>4.6280000000000001</v>
      </c>
      <c r="C477" s="1">
        <v>1.9</v>
      </c>
      <c r="D477" s="1">
        <v>5.5019999999999998</v>
      </c>
    </row>
    <row r="478" spans="1:4" x14ac:dyDescent="0.2">
      <c r="A478" s="5">
        <v>37161</v>
      </c>
      <c r="B478" s="1">
        <v>4.548</v>
      </c>
      <c r="C478" s="1">
        <v>1.89</v>
      </c>
      <c r="D478" s="1">
        <v>5.4349999999999996</v>
      </c>
    </row>
    <row r="479" spans="1:4" x14ac:dyDescent="0.2">
      <c r="A479" s="5">
        <v>37162</v>
      </c>
      <c r="B479" s="1">
        <v>4.5880000000000001</v>
      </c>
      <c r="C479" s="1">
        <v>1.95</v>
      </c>
      <c r="D479" s="1">
        <v>5.4210000000000003</v>
      </c>
    </row>
    <row r="480" spans="1:4" x14ac:dyDescent="0.2">
      <c r="A480" s="5">
        <v>37165</v>
      </c>
      <c r="B480" s="1">
        <v>4.54</v>
      </c>
      <c r="C480" s="1">
        <v>1.94</v>
      </c>
      <c r="D480" s="1">
        <v>5.3730000000000002</v>
      </c>
    </row>
    <row r="481" spans="1:4" x14ac:dyDescent="0.2">
      <c r="A481" s="5">
        <v>37166</v>
      </c>
      <c r="B481" s="1">
        <v>4.5010000000000003</v>
      </c>
      <c r="C481" s="1">
        <v>1.91</v>
      </c>
      <c r="D481" s="1">
        <v>5.3220000000000001</v>
      </c>
    </row>
    <row r="482" spans="1:4" x14ac:dyDescent="0.2">
      <c r="A482" s="5">
        <v>37167</v>
      </c>
      <c r="B482" s="1">
        <v>4.468</v>
      </c>
      <c r="C482" s="1">
        <v>1.9</v>
      </c>
      <c r="D482" s="1">
        <v>5.2930000000000001</v>
      </c>
    </row>
    <row r="483" spans="1:4" x14ac:dyDescent="0.2">
      <c r="A483" s="5">
        <v>37168</v>
      </c>
      <c r="B483" s="1">
        <v>4.5060000000000002</v>
      </c>
      <c r="C483" s="1">
        <v>1.91</v>
      </c>
      <c r="D483" s="1">
        <v>5.3019999999999996</v>
      </c>
    </row>
    <row r="484" spans="1:4" x14ac:dyDescent="0.2">
      <c r="A484" s="5">
        <v>37169</v>
      </c>
      <c r="B484" s="1">
        <v>4.5039999999999996</v>
      </c>
      <c r="C484" s="1">
        <v>1.91</v>
      </c>
      <c r="D484" s="1">
        <v>5.3079999999999998</v>
      </c>
    </row>
    <row r="485" spans="1:4" x14ac:dyDescent="0.2">
      <c r="A485" s="5">
        <v>37172</v>
      </c>
      <c r="B485" s="1">
        <v>4.5060000000000002</v>
      </c>
      <c r="C485" s="1">
        <v>1.91</v>
      </c>
      <c r="D485" s="1">
        <v>5.3120000000000003</v>
      </c>
    </row>
    <row r="486" spans="1:4" x14ac:dyDescent="0.2">
      <c r="A486" s="5">
        <v>37173</v>
      </c>
      <c r="B486" s="1">
        <v>4.593</v>
      </c>
      <c r="C486" s="1">
        <v>1.92</v>
      </c>
      <c r="D486" s="1">
        <v>5.3760000000000003</v>
      </c>
    </row>
    <row r="487" spans="1:4" x14ac:dyDescent="0.2">
      <c r="A487" s="5">
        <v>37174</v>
      </c>
      <c r="B487" s="1">
        <v>4.5970000000000004</v>
      </c>
      <c r="C487" s="1">
        <v>1.92</v>
      </c>
      <c r="D487" s="1">
        <v>5.3650000000000002</v>
      </c>
    </row>
    <row r="488" spans="1:4" x14ac:dyDescent="0.2">
      <c r="A488" s="5">
        <v>37175</v>
      </c>
      <c r="B488" s="1">
        <v>4.6660000000000004</v>
      </c>
      <c r="C488" s="1">
        <v>1.91</v>
      </c>
      <c r="D488" s="1">
        <v>5.4009999999999998</v>
      </c>
    </row>
    <row r="489" spans="1:4" x14ac:dyDescent="0.2">
      <c r="A489" s="5">
        <v>37176</v>
      </c>
      <c r="B489" s="1">
        <v>4.6689999999999996</v>
      </c>
      <c r="C489" s="1">
        <v>1.9</v>
      </c>
      <c r="D489" s="1">
        <v>5.4260000000000002</v>
      </c>
    </row>
    <row r="490" spans="1:4" x14ac:dyDescent="0.2">
      <c r="A490" s="5">
        <v>37179</v>
      </c>
      <c r="B490" s="1">
        <v>4.5990000000000002</v>
      </c>
      <c r="C490" s="1">
        <v>1.89</v>
      </c>
      <c r="D490" s="1">
        <v>5.3710000000000004</v>
      </c>
    </row>
    <row r="491" spans="1:4" x14ac:dyDescent="0.2">
      <c r="A491" s="5">
        <v>37180</v>
      </c>
      <c r="B491" s="1">
        <v>4.5590000000000002</v>
      </c>
      <c r="C491" s="1">
        <v>1.88</v>
      </c>
      <c r="D491" s="1">
        <v>5.343</v>
      </c>
    </row>
    <row r="492" spans="1:4" x14ac:dyDescent="0.2">
      <c r="A492" s="5">
        <v>37181</v>
      </c>
      <c r="B492" s="1">
        <v>4.5670000000000002</v>
      </c>
      <c r="C492" s="1">
        <v>1.88</v>
      </c>
      <c r="D492" s="1">
        <v>5.3140000000000001</v>
      </c>
    </row>
    <row r="493" spans="1:4" x14ac:dyDescent="0.2">
      <c r="A493" s="5">
        <v>37182</v>
      </c>
      <c r="B493" s="1">
        <v>4.577</v>
      </c>
      <c r="C493" s="1">
        <v>1.87</v>
      </c>
      <c r="D493" s="1">
        <v>5.3179999999999996</v>
      </c>
    </row>
    <row r="494" spans="1:4" x14ac:dyDescent="0.2">
      <c r="A494" s="5">
        <v>37183</v>
      </c>
      <c r="B494" s="1">
        <v>4.6210000000000004</v>
      </c>
      <c r="C494" s="1">
        <v>1.86</v>
      </c>
      <c r="D494" s="1">
        <v>5.3579999999999997</v>
      </c>
    </row>
    <row r="495" spans="1:4" x14ac:dyDescent="0.2">
      <c r="A495" s="5">
        <v>37186</v>
      </c>
      <c r="B495" s="1">
        <v>4.633</v>
      </c>
      <c r="C495" s="1">
        <v>1.87</v>
      </c>
      <c r="D495" s="1">
        <v>5.3840000000000003</v>
      </c>
    </row>
    <row r="496" spans="1:4" x14ac:dyDescent="0.2">
      <c r="A496" s="5">
        <v>37187</v>
      </c>
      <c r="B496" s="1">
        <v>4.6429999999999998</v>
      </c>
      <c r="C496" s="1">
        <v>1.88</v>
      </c>
      <c r="D496" s="1">
        <v>5.3890000000000002</v>
      </c>
    </row>
    <row r="497" spans="1:4" x14ac:dyDescent="0.2">
      <c r="A497" s="5">
        <v>37188</v>
      </c>
      <c r="B497" s="1">
        <v>4.5960000000000001</v>
      </c>
      <c r="C497" s="1">
        <v>1.89</v>
      </c>
      <c r="D497" s="1">
        <v>5.3390000000000004</v>
      </c>
    </row>
    <row r="498" spans="1:4" x14ac:dyDescent="0.2">
      <c r="A498" s="5">
        <v>37189</v>
      </c>
      <c r="B498" s="1">
        <v>4.5510000000000002</v>
      </c>
      <c r="C498" s="1">
        <v>1.92</v>
      </c>
      <c r="D498" s="1">
        <v>5.2969999999999997</v>
      </c>
    </row>
    <row r="499" spans="1:4" x14ac:dyDescent="0.2">
      <c r="A499" s="5">
        <v>37190</v>
      </c>
      <c r="B499" s="1">
        <v>4.5289999999999999</v>
      </c>
      <c r="C499" s="1">
        <v>1.93</v>
      </c>
      <c r="D499" s="1">
        <v>5.2709999999999999</v>
      </c>
    </row>
    <row r="500" spans="1:4" x14ac:dyDescent="0.2">
      <c r="A500" s="5">
        <v>37193</v>
      </c>
      <c r="B500" s="1">
        <v>4.4800000000000004</v>
      </c>
      <c r="C500" s="1">
        <v>1.96</v>
      </c>
      <c r="D500" s="1">
        <v>5.2619999999999996</v>
      </c>
    </row>
    <row r="501" spans="1:4" x14ac:dyDescent="0.2">
      <c r="A501" s="5">
        <v>37194</v>
      </c>
      <c r="B501" s="1">
        <v>4.41</v>
      </c>
      <c r="C501" s="1">
        <v>1.98</v>
      </c>
      <c r="D501" s="1">
        <v>5.2050000000000001</v>
      </c>
    </row>
    <row r="502" spans="1:4" x14ac:dyDescent="0.2">
      <c r="A502" s="5">
        <v>37195</v>
      </c>
      <c r="B502" s="1">
        <v>4.2320000000000002</v>
      </c>
      <c r="C502" s="1">
        <v>2.0099999999999998</v>
      </c>
      <c r="D502" s="1">
        <v>4.8739999999999997</v>
      </c>
    </row>
    <row r="503" spans="1:4" x14ac:dyDescent="0.2">
      <c r="A503" s="5">
        <v>37196</v>
      </c>
      <c r="B503" s="1">
        <v>4.24</v>
      </c>
      <c r="C503" s="1">
        <v>2.02</v>
      </c>
      <c r="D503" s="1">
        <v>4.8029999999999999</v>
      </c>
    </row>
    <row r="504" spans="1:4" x14ac:dyDescent="0.2">
      <c r="A504" s="5">
        <v>37197</v>
      </c>
      <c r="B504" s="1">
        <v>4.3579999999999997</v>
      </c>
      <c r="C504" s="1">
        <v>2.02</v>
      </c>
      <c r="D504" s="1">
        <v>4.9560000000000004</v>
      </c>
    </row>
    <row r="505" spans="1:4" x14ac:dyDescent="0.2">
      <c r="A505" s="5">
        <v>37200</v>
      </c>
      <c r="B505" s="1">
        <v>4.2960000000000003</v>
      </c>
      <c r="C505" s="1">
        <v>2.0099999999999998</v>
      </c>
      <c r="D505" s="1">
        <v>4.8570000000000002</v>
      </c>
    </row>
    <row r="506" spans="1:4" x14ac:dyDescent="0.2">
      <c r="A506" s="5">
        <v>37201</v>
      </c>
      <c r="B506" s="1">
        <v>4.2560000000000002</v>
      </c>
      <c r="C506" s="1">
        <v>1.99</v>
      </c>
      <c r="D506" s="1">
        <v>4.8460000000000001</v>
      </c>
    </row>
    <row r="507" spans="1:4" x14ac:dyDescent="0.2">
      <c r="A507" s="5">
        <v>37202</v>
      </c>
      <c r="B507" s="1">
        <v>4.1779999999999999</v>
      </c>
      <c r="C507" s="1">
        <v>1.97</v>
      </c>
      <c r="D507" s="1">
        <v>4.7910000000000004</v>
      </c>
    </row>
    <row r="508" spans="1:4" x14ac:dyDescent="0.2">
      <c r="A508" s="5">
        <v>37203</v>
      </c>
      <c r="B508" s="1">
        <v>4.2859999999999996</v>
      </c>
      <c r="C508" s="1">
        <v>1.95</v>
      </c>
      <c r="D508" s="1">
        <v>4.8639999999999999</v>
      </c>
    </row>
    <row r="509" spans="1:4" x14ac:dyDescent="0.2">
      <c r="A509" s="5">
        <v>37204</v>
      </c>
      <c r="B509" s="1">
        <v>4.3029999999999999</v>
      </c>
      <c r="C509" s="1">
        <v>1.96</v>
      </c>
      <c r="D509" s="1">
        <v>4.8730000000000002</v>
      </c>
    </row>
    <row r="510" spans="1:4" x14ac:dyDescent="0.2">
      <c r="A510" s="5">
        <v>37207</v>
      </c>
      <c r="B510" s="1">
        <v>4.3029999999999999</v>
      </c>
      <c r="C510" s="1">
        <v>1.96</v>
      </c>
      <c r="D510" s="1">
        <v>4.8760000000000003</v>
      </c>
    </row>
    <row r="511" spans="1:4" x14ac:dyDescent="0.2">
      <c r="A511" s="5">
        <v>37208</v>
      </c>
      <c r="B511" s="1">
        <v>4.3780000000000001</v>
      </c>
      <c r="C511" s="1">
        <v>1.93</v>
      </c>
      <c r="D511" s="1">
        <v>4.9210000000000003</v>
      </c>
    </row>
    <row r="512" spans="1:4" x14ac:dyDescent="0.2">
      <c r="A512" s="5">
        <v>37209</v>
      </c>
      <c r="B512" s="1">
        <v>4.5389999999999997</v>
      </c>
      <c r="C512" s="1">
        <v>1.89</v>
      </c>
      <c r="D512" s="1">
        <v>5.0270000000000001</v>
      </c>
    </row>
    <row r="513" spans="1:4" x14ac:dyDescent="0.2">
      <c r="A513" s="5">
        <v>37210</v>
      </c>
      <c r="B513" s="1">
        <v>4.7619999999999996</v>
      </c>
      <c r="C513" s="1">
        <v>1.87</v>
      </c>
      <c r="D513" s="1">
        <v>5.2210000000000001</v>
      </c>
    </row>
    <row r="514" spans="1:4" x14ac:dyDescent="0.2">
      <c r="A514" s="5">
        <v>37211</v>
      </c>
      <c r="B514" s="1">
        <v>4.843</v>
      </c>
      <c r="C514" s="1">
        <v>1.84</v>
      </c>
      <c r="D514" s="1">
        <v>5.2679999999999998</v>
      </c>
    </row>
    <row r="515" spans="1:4" x14ac:dyDescent="0.2">
      <c r="A515" s="5">
        <v>37214</v>
      </c>
      <c r="B515" s="1">
        <v>4.798</v>
      </c>
      <c r="C515" s="1">
        <v>1.83</v>
      </c>
      <c r="D515" s="1">
        <v>5.2370000000000001</v>
      </c>
    </row>
    <row r="516" spans="1:4" x14ac:dyDescent="0.2">
      <c r="A516" s="5">
        <v>37215</v>
      </c>
      <c r="B516" s="1">
        <v>4.8630000000000004</v>
      </c>
      <c r="C516" s="1">
        <v>1.82</v>
      </c>
      <c r="D516" s="1">
        <v>5.3179999999999996</v>
      </c>
    </row>
    <row r="517" spans="1:4" x14ac:dyDescent="0.2">
      <c r="A517" s="5">
        <v>37216</v>
      </c>
      <c r="B517" s="1">
        <v>5.0129999999999999</v>
      </c>
      <c r="C517" s="1">
        <v>1.8</v>
      </c>
      <c r="D517" s="1">
        <v>5.3550000000000004</v>
      </c>
    </row>
    <row r="518" spans="1:4" x14ac:dyDescent="0.2">
      <c r="A518" s="5">
        <v>37217</v>
      </c>
      <c r="B518" s="1">
        <v>4.9660000000000002</v>
      </c>
      <c r="C518" s="1">
        <v>1.8</v>
      </c>
      <c r="D518" s="1">
        <v>5.3550000000000004</v>
      </c>
    </row>
    <row r="519" spans="1:4" x14ac:dyDescent="0.2">
      <c r="A519" s="5">
        <v>37218</v>
      </c>
      <c r="B519" s="1">
        <v>4.9870000000000001</v>
      </c>
      <c r="C519" s="1">
        <v>1.79</v>
      </c>
      <c r="D519" s="1">
        <v>5.36</v>
      </c>
    </row>
    <row r="520" spans="1:4" x14ac:dyDescent="0.2">
      <c r="A520" s="5">
        <v>37221</v>
      </c>
      <c r="B520" s="1">
        <v>5.0149999999999997</v>
      </c>
      <c r="C520" s="1">
        <v>1.76</v>
      </c>
      <c r="D520" s="1">
        <v>5.3810000000000002</v>
      </c>
    </row>
    <row r="521" spans="1:4" x14ac:dyDescent="0.2">
      <c r="A521" s="5">
        <v>37222</v>
      </c>
      <c r="B521" s="1">
        <v>4.9189999999999996</v>
      </c>
      <c r="C521" s="1">
        <v>1.75</v>
      </c>
      <c r="D521" s="1">
        <v>5.3330000000000002</v>
      </c>
    </row>
    <row r="522" spans="1:4" x14ac:dyDescent="0.2">
      <c r="A522" s="5">
        <v>37223</v>
      </c>
      <c r="B522" s="1">
        <v>4.9249999999999998</v>
      </c>
      <c r="C522" s="1">
        <v>1.77</v>
      </c>
      <c r="D522" s="1">
        <v>5.3520000000000003</v>
      </c>
    </row>
    <row r="523" spans="1:4" x14ac:dyDescent="0.2">
      <c r="A523" s="5">
        <v>37224</v>
      </c>
      <c r="B523" s="1">
        <v>4.7560000000000002</v>
      </c>
      <c r="C523" s="1">
        <v>1.77</v>
      </c>
      <c r="D523" s="1">
        <v>5.2370000000000001</v>
      </c>
    </row>
    <row r="524" spans="1:4" x14ac:dyDescent="0.2">
      <c r="A524" s="5">
        <v>37225</v>
      </c>
      <c r="B524" s="1">
        <v>4.7519999999999998</v>
      </c>
      <c r="C524" s="1">
        <v>1.78</v>
      </c>
      <c r="D524" s="1">
        <v>5.2859999999999996</v>
      </c>
    </row>
    <row r="525" spans="1:4" x14ac:dyDescent="0.2">
      <c r="A525" s="5">
        <v>37228</v>
      </c>
      <c r="B525" s="1">
        <v>4.6870000000000003</v>
      </c>
      <c r="C525" s="1">
        <v>1.83</v>
      </c>
      <c r="D525" s="1">
        <v>5.2430000000000003</v>
      </c>
    </row>
    <row r="526" spans="1:4" x14ac:dyDescent="0.2">
      <c r="A526" s="5">
        <v>37229</v>
      </c>
      <c r="B526" s="1">
        <v>4.66</v>
      </c>
      <c r="C526" s="1">
        <v>1.83</v>
      </c>
      <c r="D526" s="1">
        <v>5.2060000000000004</v>
      </c>
    </row>
    <row r="527" spans="1:4" x14ac:dyDescent="0.2">
      <c r="A527" s="5">
        <v>37230</v>
      </c>
      <c r="B527" s="1">
        <v>4.8929999999999998</v>
      </c>
      <c r="C527" s="1">
        <v>1.8</v>
      </c>
      <c r="D527" s="1">
        <v>5.3550000000000004</v>
      </c>
    </row>
    <row r="528" spans="1:4" x14ac:dyDescent="0.2">
      <c r="A528" s="5">
        <v>37231</v>
      </c>
      <c r="B528" s="1">
        <v>5.0129999999999999</v>
      </c>
      <c r="C528" s="1">
        <v>1.75</v>
      </c>
      <c r="D528" s="1">
        <v>5.4610000000000003</v>
      </c>
    </row>
    <row r="529" spans="1:4" x14ac:dyDescent="0.2">
      <c r="A529" s="5">
        <v>37232</v>
      </c>
      <c r="B529" s="1">
        <v>5.1669999999999998</v>
      </c>
      <c r="C529" s="1">
        <v>1.74</v>
      </c>
      <c r="D529" s="1">
        <v>5.5839999999999996</v>
      </c>
    </row>
    <row r="530" spans="1:4" x14ac:dyDescent="0.2">
      <c r="A530" s="5">
        <v>37235</v>
      </c>
      <c r="B530" s="1">
        <v>5.0979999999999999</v>
      </c>
      <c r="C530" s="1">
        <v>1.77</v>
      </c>
      <c r="D530" s="1">
        <v>5.5579999999999998</v>
      </c>
    </row>
    <row r="531" spans="1:4" x14ac:dyDescent="0.2">
      <c r="A531" s="5">
        <v>37236</v>
      </c>
      <c r="B531" s="1">
        <v>5.0510000000000002</v>
      </c>
      <c r="C531" s="1">
        <v>1.77</v>
      </c>
      <c r="D531" s="1">
        <v>5.5389999999999997</v>
      </c>
    </row>
    <row r="532" spans="1:4" x14ac:dyDescent="0.2">
      <c r="A532" s="5">
        <v>37237</v>
      </c>
      <c r="B532" s="1">
        <v>5.0049999999999999</v>
      </c>
      <c r="C532" s="1">
        <v>1.79</v>
      </c>
      <c r="D532" s="1">
        <v>5.476</v>
      </c>
    </row>
    <row r="533" spans="1:4" x14ac:dyDescent="0.2">
      <c r="A533" s="5">
        <v>37238</v>
      </c>
      <c r="B533" s="1">
        <v>5.0730000000000004</v>
      </c>
      <c r="C533" s="1">
        <v>1.79</v>
      </c>
      <c r="D533" s="1">
        <v>5.5090000000000003</v>
      </c>
    </row>
    <row r="534" spans="1:4" x14ac:dyDescent="0.2">
      <c r="A534" s="5">
        <v>37239</v>
      </c>
      <c r="B534" s="1">
        <v>5.1879999999999997</v>
      </c>
      <c r="C534" s="1">
        <v>1.84</v>
      </c>
      <c r="D534" s="1">
        <v>5.585</v>
      </c>
    </row>
    <row r="535" spans="1:4" x14ac:dyDescent="0.2">
      <c r="A535" s="5">
        <v>37242</v>
      </c>
      <c r="B535" s="1">
        <v>5.1859999999999999</v>
      </c>
      <c r="C535" s="1">
        <v>1.85</v>
      </c>
      <c r="D535" s="1">
        <v>5.5670000000000002</v>
      </c>
    </row>
    <row r="536" spans="1:4" x14ac:dyDescent="0.2">
      <c r="A536" s="5">
        <v>37243</v>
      </c>
      <c r="B536" s="1">
        <v>5.1210000000000004</v>
      </c>
      <c r="C536" s="1">
        <v>1.83</v>
      </c>
      <c r="D536" s="1">
        <v>5.5119999999999996</v>
      </c>
    </row>
    <row r="537" spans="1:4" x14ac:dyDescent="0.2">
      <c r="A537" s="5">
        <v>37244</v>
      </c>
      <c r="B537" s="1">
        <v>5.0469999999999997</v>
      </c>
      <c r="C537" s="1">
        <v>1.83</v>
      </c>
      <c r="D537" s="1">
        <v>5.4480000000000004</v>
      </c>
    </row>
    <row r="538" spans="1:4" x14ac:dyDescent="0.2">
      <c r="A538" s="5">
        <v>37245</v>
      </c>
      <c r="B538" s="1">
        <v>5.03</v>
      </c>
      <c r="C538" s="1">
        <v>1.82</v>
      </c>
      <c r="D538" s="1">
        <v>5.4130000000000003</v>
      </c>
    </row>
    <row r="539" spans="1:4" x14ac:dyDescent="0.2">
      <c r="A539" s="5">
        <v>37246</v>
      </c>
      <c r="B539" s="1">
        <v>5.0839999999999996</v>
      </c>
      <c r="C539" s="1">
        <v>1.77</v>
      </c>
      <c r="D539" s="1">
        <v>5.4420000000000002</v>
      </c>
    </row>
    <row r="540" spans="1:4" x14ac:dyDescent="0.2">
      <c r="A540" s="5">
        <v>37249</v>
      </c>
      <c r="B540" s="1">
        <v>5.1360000000000001</v>
      </c>
      <c r="C540" s="1">
        <v>1.77</v>
      </c>
      <c r="D540" s="1">
        <v>5.4880000000000004</v>
      </c>
    </row>
    <row r="541" spans="1:4" x14ac:dyDescent="0.2">
      <c r="A541" s="5">
        <v>37250</v>
      </c>
      <c r="B541" s="1">
        <v>5.1360000000000001</v>
      </c>
      <c r="C541" s="1">
        <v>1.77</v>
      </c>
      <c r="D541" s="1">
        <v>5.49</v>
      </c>
    </row>
    <row r="542" spans="1:4" x14ac:dyDescent="0.2">
      <c r="A542" s="5">
        <v>37251</v>
      </c>
      <c r="B542" s="1">
        <v>5.1989999999999998</v>
      </c>
      <c r="C542" s="1">
        <v>1.75</v>
      </c>
      <c r="D542" s="1">
        <v>5.5389999999999997</v>
      </c>
    </row>
    <row r="543" spans="1:4" x14ac:dyDescent="0.2">
      <c r="A543" s="5">
        <v>37252</v>
      </c>
      <c r="B543" s="1">
        <v>5.0650000000000004</v>
      </c>
      <c r="C543" s="1">
        <v>1.75</v>
      </c>
      <c r="D543" s="1">
        <v>5.4720000000000004</v>
      </c>
    </row>
    <row r="544" spans="1:4" x14ac:dyDescent="0.2">
      <c r="A544" s="5">
        <v>37253</v>
      </c>
      <c r="B544" s="1">
        <v>5.1130000000000004</v>
      </c>
      <c r="C544" s="1">
        <v>1.73</v>
      </c>
      <c r="D544" s="1">
        <v>5.5350000000000001</v>
      </c>
    </row>
    <row r="545" spans="1:4" x14ac:dyDescent="0.2">
      <c r="A545" s="5">
        <v>37256</v>
      </c>
      <c r="B545" s="1">
        <v>5.0510000000000002</v>
      </c>
      <c r="C545" s="1">
        <v>1.74</v>
      </c>
      <c r="D545" s="1">
        <v>5.4660000000000002</v>
      </c>
    </row>
    <row r="546" spans="1:4" x14ac:dyDescent="0.2">
      <c r="A546" s="5">
        <v>37257</v>
      </c>
      <c r="B546" s="1">
        <v>5.032</v>
      </c>
      <c r="C546" s="1">
        <v>1.74</v>
      </c>
      <c r="D546" s="1">
        <v>5.4720000000000004</v>
      </c>
    </row>
    <row r="547" spans="1:4" x14ac:dyDescent="0.2">
      <c r="A547" s="5">
        <v>37258</v>
      </c>
      <c r="B547" s="1">
        <v>5.16</v>
      </c>
      <c r="C547" s="1">
        <v>1.7</v>
      </c>
      <c r="D547" s="1">
        <v>5.556</v>
      </c>
    </row>
    <row r="548" spans="1:4" x14ac:dyDescent="0.2">
      <c r="A548" s="5">
        <v>37259</v>
      </c>
      <c r="B548" s="1">
        <v>5.1109999999999998</v>
      </c>
      <c r="C548" s="1">
        <v>1.68</v>
      </c>
      <c r="D548" s="1">
        <v>5.5339999999999998</v>
      </c>
    </row>
    <row r="549" spans="1:4" x14ac:dyDescent="0.2">
      <c r="A549" s="5">
        <v>37260</v>
      </c>
      <c r="B549" s="1">
        <v>5.1280000000000001</v>
      </c>
      <c r="C549" s="1">
        <v>1.68</v>
      </c>
      <c r="D549" s="1">
        <v>5.548</v>
      </c>
    </row>
    <row r="550" spans="1:4" x14ac:dyDescent="0.2">
      <c r="A550" s="5">
        <v>37263</v>
      </c>
      <c r="B550" s="1">
        <v>5.0490000000000004</v>
      </c>
      <c r="C550" s="1">
        <v>1.68</v>
      </c>
      <c r="D550" s="1">
        <v>5.4880000000000004</v>
      </c>
    </row>
    <row r="551" spans="1:4" x14ac:dyDescent="0.2">
      <c r="A551" s="5">
        <v>37264</v>
      </c>
      <c r="B551" s="1">
        <v>5.08</v>
      </c>
      <c r="C551" s="1">
        <v>1.69</v>
      </c>
      <c r="D551" s="1">
        <v>5.5289999999999999</v>
      </c>
    </row>
    <row r="552" spans="1:4" x14ac:dyDescent="0.2">
      <c r="A552" s="5">
        <v>37265</v>
      </c>
      <c r="B552" s="1">
        <v>5.0510000000000002</v>
      </c>
      <c r="C552" s="1">
        <v>1.67</v>
      </c>
      <c r="D552" s="1">
        <v>5.4969999999999999</v>
      </c>
    </row>
    <row r="553" spans="1:4" x14ac:dyDescent="0.2">
      <c r="A553" s="5">
        <v>37266</v>
      </c>
      <c r="B553" s="1">
        <v>4.9790000000000001</v>
      </c>
      <c r="C553" s="1">
        <v>1.68</v>
      </c>
      <c r="D553" s="1">
        <v>5.4160000000000004</v>
      </c>
    </row>
    <row r="554" spans="1:4" x14ac:dyDescent="0.2">
      <c r="A554" s="5">
        <v>37267</v>
      </c>
      <c r="B554" s="1">
        <v>4.8659999999999997</v>
      </c>
      <c r="C554" s="1">
        <v>1.7</v>
      </c>
      <c r="D554" s="1">
        <v>5.3710000000000004</v>
      </c>
    </row>
    <row r="555" spans="1:4" x14ac:dyDescent="0.2">
      <c r="A555" s="5">
        <v>37270</v>
      </c>
      <c r="B555" s="1">
        <v>4.8760000000000003</v>
      </c>
      <c r="C555" s="1">
        <v>1.7</v>
      </c>
      <c r="D555" s="1">
        <v>5.3789999999999996</v>
      </c>
    </row>
    <row r="556" spans="1:4" x14ac:dyDescent="0.2">
      <c r="A556" s="5">
        <v>37271</v>
      </c>
      <c r="B556" s="1">
        <v>4.835</v>
      </c>
      <c r="C556" s="1">
        <v>1.69</v>
      </c>
      <c r="D556" s="1">
        <v>5.3369999999999997</v>
      </c>
    </row>
    <row r="557" spans="1:4" x14ac:dyDescent="0.2">
      <c r="A557" s="5">
        <v>37272</v>
      </c>
      <c r="B557" s="1">
        <v>4.8390000000000004</v>
      </c>
      <c r="C557" s="1">
        <v>1.7</v>
      </c>
      <c r="D557" s="1">
        <v>5.3470000000000004</v>
      </c>
    </row>
    <row r="558" spans="1:4" x14ac:dyDescent="0.2">
      <c r="A558" s="5">
        <v>37273</v>
      </c>
      <c r="B558" s="1">
        <v>4.9249999999999998</v>
      </c>
      <c r="C558" s="1">
        <v>1.71</v>
      </c>
      <c r="D558" s="1">
        <v>5.4</v>
      </c>
    </row>
    <row r="559" spans="1:4" x14ac:dyDescent="0.2">
      <c r="A559" s="5">
        <v>37274</v>
      </c>
      <c r="B559" s="1">
        <v>4.8940000000000001</v>
      </c>
      <c r="C559" s="1">
        <v>1.7</v>
      </c>
      <c r="D559" s="1">
        <v>5.3579999999999997</v>
      </c>
    </row>
    <row r="560" spans="1:4" x14ac:dyDescent="0.2">
      <c r="A560" s="5">
        <v>37277</v>
      </c>
      <c r="B560" s="1">
        <v>4.8920000000000003</v>
      </c>
      <c r="C560" s="1">
        <v>1.7</v>
      </c>
      <c r="D560" s="1">
        <v>5.36</v>
      </c>
    </row>
    <row r="561" spans="1:4" x14ac:dyDescent="0.2">
      <c r="A561" s="5">
        <v>37278</v>
      </c>
      <c r="B561" s="1">
        <v>4.9189999999999996</v>
      </c>
      <c r="C561" s="1">
        <v>1.69</v>
      </c>
      <c r="D561" s="1">
        <v>5.3840000000000003</v>
      </c>
    </row>
    <row r="562" spans="1:4" x14ac:dyDescent="0.2">
      <c r="A562" s="5">
        <v>37279</v>
      </c>
      <c r="B562" s="1">
        <v>5.0289999999999999</v>
      </c>
      <c r="C562" s="1">
        <v>1.68</v>
      </c>
      <c r="D562" s="1">
        <v>5.47</v>
      </c>
    </row>
    <row r="563" spans="1:4" x14ac:dyDescent="0.2">
      <c r="A563" s="5">
        <v>37280</v>
      </c>
      <c r="B563" s="1">
        <v>5.008</v>
      </c>
      <c r="C563" s="1">
        <v>1.67</v>
      </c>
      <c r="D563" s="1">
        <v>5.444</v>
      </c>
    </row>
    <row r="564" spans="1:4" x14ac:dyDescent="0.2">
      <c r="A564" s="5">
        <v>37281</v>
      </c>
      <c r="B564" s="1">
        <v>5.0709999999999997</v>
      </c>
      <c r="C564" s="1">
        <v>1.66</v>
      </c>
      <c r="D564" s="1">
        <v>5.4669999999999996</v>
      </c>
    </row>
    <row r="565" spans="1:4" x14ac:dyDescent="0.2">
      <c r="A565" s="5">
        <v>37284</v>
      </c>
      <c r="B565" s="1">
        <v>5.0730000000000004</v>
      </c>
      <c r="C565" s="1">
        <v>1.67</v>
      </c>
      <c r="D565" s="1">
        <v>5.4669999999999996</v>
      </c>
    </row>
    <row r="566" spans="1:4" x14ac:dyDescent="0.2">
      <c r="A566" s="5">
        <v>37285</v>
      </c>
      <c r="B566" s="1">
        <v>4.9420000000000002</v>
      </c>
      <c r="C566" s="1">
        <v>1.69</v>
      </c>
      <c r="D566" s="1">
        <v>5.3869999999999996</v>
      </c>
    </row>
    <row r="567" spans="1:4" x14ac:dyDescent="0.2">
      <c r="A567" s="5">
        <v>37286</v>
      </c>
      <c r="B567" s="1">
        <v>5.0140000000000002</v>
      </c>
      <c r="C567" s="1">
        <v>1.7</v>
      </c>
      <c r="D567" s="1">
        <v>5.4340000000000002</v>
      </c>
    </row>
    <row r="568" spans="1:4" x14ac:dyDescent="0.2">
      <c r="A568" s="5">
        <v>37287</v>
      </c>
      <c r="B568" s="1">
        <v>5.0330000000000004</v>
      </c>
      <c r="C568" s="1">
        <v>1.72</v>
      </c>
      <c r="D568" s="1">
        <v>5.431</v>
      </c>
    </row>
    <row r="569" spans="1:4" x14ac:dyDescent="0.2">
      <c r="A569" s="5">
        <v>37288</v>
      </c>
      <c r="B569" s="1">
        <v>4.9850000000000003</v>
      </c>
      <c r="C569" s="1">
        <v>1.74</v>
      </c>
      <c r="D569" s="1">
        <v>5.3929999999999998</v>
      </c>
    </row>
    <row r="570" spans="1:4" x14ac:dyDescent="0.2">
      <c r="A570" s="5">
        <v>37291</v>
      </c>
      <c r="B570" s="1">
        <v>4.9020000000000001</v>
      </c>
      <c r="C570" s="1">
        <v>1.79</v>
      </c>
      <c r="D570" s="1">
        <v>5.3479999999999999</v>
      </c>
    </row>
    <row r="571" spans="1:4" x14ac:dyDescent="0.2">
      <c r="A571" s="5">
        <v>37292</v>
      </c>
      <c r="B571" s="1">
        <v>4.8940000000000001</v>
      </c>
      <c r="C571" s="1">
        <v>1.87</v>
      </c>
      <c r="D571" s="1">
        <v>5.3419999999999996</v>
      </c>
    </row>
    <row r="572" spans="1:4" x14ac:dyDescent="0.2">
      <c r="A572" s="5">
        <v>37293</v>
      </c>
      <c r="B572" s="1">
        <v>4.923</v>
      </c>
      <c r="C572" s="1">
        <v>1.89</v>
      </c>
      <c r="D572" s="1">
        <v>5.3730000000000002</v>
      </c>
    </row>
    <row r="573" spans="1:4" x14ac:dyDescent="0.2">
      <c r="A573" s="5">
        <v>37294</v>
      </c>
      <c r="B573" s="1">
        <v>4.9390000000000001</v>
      </c>
      <c r="C573" s="1">
        <v>1.88</v>
      </c>
      <c r="D573" s="1">
        <v>5.41</v>
      </c>
    </row>
    <row r="574" spans="1:4" x14ac:dyDescent="0.2">
      <c r="A574" s="5">
        <v>37295</v>
      </c>
      <c r="B574" s="1">
        <v>4.8789999999999996</v>
      </c>
      <c r="C574" s="1">
        <v>1.86</v>
      </c>
      <c r="D574" s="1">
        <v>5.375</v>
      </c>
    </row>
    <row r="575" spans="1:4" x14ac:dyDescent="0.2">
      <c r="A575" s="5">
        <v>37298</v>
      </c>
      <c r="B575" s="1">
        <v>4.907</v>
      </c>
      <c r="C575" s="1">
        <v>1.87</v>
      </c>
      <c r="D575" s="1">
        <v>5.4039999999999999</v>
      </c>
    </row>
    <row r="576" spans="1:4" x14ac:dyDescent="0.2">
      <c r="A576" s="5">
        <v>37299</v>
      </c>
      <c r="B576" s="1">
        <v>4.9749999999999996</v>
      </c>
      <c r="C576" s="1">
        <v>1.84</v>
      </c>
      <c r="D576" s="1">
        <v>5.4560000000000004</v>
      </c>
    </row>
    <row r="577" spans="1:4" x14ac:dyDescent="0.2">
      <c r="A577" s="5">
        <v>37300</v>
      </c>
      <c r="B577" s="1">
        <v>4.9870000000000001</v>
      </c>
      <c r="C577" s="1">
        <v>1.82</v>
      </c>
      <c r="D577" s="1">
        <v>5.4539999999999997</v>
      </c>
    </row>
    <row r="578" spans="1:4" x14ac:dyDescent="0.2">
      <c r="A578" s="5">
        <v>37301</v>
      </c>
      <c r="B578" s="1">
        <v>4.9450000000000003</v>
      </c>
      <c r="C578" s="1">
        <v>1.83</v>
      </c>
      <c r="D578" s="1">
        <v>5.41</v>
      </c>
    </row>
    <row r="579" spans="1:4" x14ac:dyDescent="0.2">
      <c r="A579" s="5">
        <v>37302</v>
      </c>
      <c r="B579" s="1">
        <v>4.875</v>
      </c>
      <c r="C579" s="1">
        <v>1.83</v>
      </c>
      <c r="D579" s="1">
        <v>5.3659999999999997</v>
      </c>
    </row>
    <row r="580" spans="1:4" x14ac:dyDescent="0.2">
      <c r="A580" s="5">
        <v>37305</v>
      </c>
      <c r="B580" s="1">
        <v>4.8630000000000004</v>
      </c>
      <c r="C580" s="1">
        <v>1.83</v>
      </c>
      <c r="D580" s="1">
        <v>5.3689999999999998</v>
      </c>
    </row>
    <row r="581" spans="1:4" x14ac:dyDescent="0.2">
      <c r="A581" s="5">
        <v>37306</v>
      </c>
      <c r="B581" s="1">
        <v>4.8730000000000002</v>
      </c>
      <c r="C581" s="1">
        <v>1.84</v>
      </c>
      <c r="D581" s="1">
        <v>5.3879999999999999</v>
      </c>
    </row>
    <row r="582" spans="1:4" x14ac:dyDescent="0.2">
      <c r="A582" s="5">
        <v>37307</v>
      </c>
      <c r="B582" s="1">
        <v>4.8890000000000002</v>
      </c>
      <c r="C582" s="1">
        <v>1.85</v>
      </c>
      <c r="D582" s="1">
        <v>5.3890000000000002</v>
      </c>
    </row>
    <row r="583" spans="1:4" x14ac:dyDescent="0.2">
      <c r="A583" s="5">
        <v>37308</v>
      </c>
      <c r="B583" s="1">
        <v>4.8529999999999998</v>
      </c>
      <c r="C583" s="1">
        <v>1.85</v>
      </c>
      <c r="D583" s="1">
        <v>5.367</v>
      </c>
    </row>
    <row r="584" spans="1:4" x14ac:dyDescent="0.2">
      <c r="A584" s="5">
        <v>37309</v>
      </c>
      <c r="B584" s="1">
        <v>4.8310000000000004</v>
      </c>
      <c r="C584" s="1">
        <v>1.85</v>
      </c>
      <c r="D584" s="1">
        <v>5.3440000000000003</v>
      </c>
    </row>
    <row r="585" spans="1:4" x14ac:dyDescent="0.2">
      <c r="A585" s="5">
        <v>37312</v>
      </c>
      <c r="B585" s="1">
        <v>4.8490000000000002</v>
      </c>
      <c r="C585" s="1">
        <v>1.84</v>
      </c>
      <c r="D585" s="1">
        <v>5.3659999999999997</v>
      </c>
    </row>
    <row r="586" spans="1:4" x14ac:dyDescent="0.2">
      <c r="A586" s="5">
        <v>37313</v>
      </c>
      <c r="B586" s="1">
        <v>4.9269999999999996</v>
      </c>
      <c r="C586" s="1">
        <v>1.81</v>
      </c>
      <c r="D586" s="1">
        <v>5.4249999999999998</v>
      </c>
    </row>
    <row r="587" spans="1:4" x14ac:dyDescent="0.2">
      <c r="A587" s="5">
        <v>37314</v>
      </c>
      <c r="B587" s="1">
        <v>4.8330000000000002</v>
      </c>
      <c r="C587" s="1">
        <v>1.81</v>
      </c>
      <c r="D587" s="1">
        <v>5.3719999999999999</v>
      </c>
    </row>
    <row r="588" spans="1:4" x14ac:dyDescent="0.2">
      <c r="A588" s="5">
        <v>37315</v>
      </c>
      <c r="B588" s="1">
        <v>4.8769999999999998</v>
      </c>
      <c r="C588" s="1">
        <v>1.79</v>
      </c>
      <c r="D588" s="1">
        <v>5.4169999999999998</v>
      </c>
    </row>
    <row r="589" spans="1:4" x14ac:dyDescent="0.2">
      <c r="A589" s="5">
        <v>37316</v>
      </c>
      <c r="B589" s="1">
        <v>4.9809999999999999</v>
      </c>
      <c r="C589" s="1">
        <v>1.78</v>
      </c>
      <c r="D589" s="1">
        <v>5.5039999999999996</v>
      </c>
    </row>
    <row r="590" spans="1:4" x14ac:dyDescent="0.2">
      <c r="A590" s="5">
        <v>37319</v>
      </c>
      <c r="B590" s="1">
        <v>4.9989999999999997</v>
      </c>
      <c r="C590" s="1">
        <v>1.77</v>
      </c>
      <c r="D590" s="1">
        <v>5.5019999999999998</v>
      </c>
    </row>
    <row r="591" spans="1:4" x14ac:dyDescent="0.2">
      <c r="A591" s="5">
        <v>37320</v>
      </c>
      <c r="B591" s="1">
        <v>5.0010000000000003</v>
      </c>
      <c r="C591" s="1">
        <v>1.73</v>
      </c>
      <c r="D591" s="1">
        <v>5.4870000000000001</v>
      </c>
    </row>
    <row r="592" spans="1:4" x14ac:dyDescent="0.2">
      <c r="A592" s="5">
        <v>37321</v>
      </c>
      <c r="B592" s="1">
        <v>5.0519999999999996</v>
      </c>
      <c r="C592" s="1">
        <v>1.73</v>
      </c>
      <c r="D592" s="1">
        <v>5.5469999999999997</v>
      </c>
    </row>
    <row r="593" spans="1:4" x14ac:dyDescent="0.2">
      <c r="A593" s="5">
        <v>37322</v>
      </c>
      <c r="B593" s="1">
        <v>5.2270000000000003</v>
      </c>
      <c r="C593" s="1">
        <v>1.68</v>
      </c>
      <c r="D593" s="1">
        <v>5.6619999999999999</v>
      </c>
    </row>
    <row r="594" spans="1:4" x14ac:dyDescent="0.2">
      <c r="A594" s="5">
        <v>37323</v>
      </c>
      <c r="B594" s="1">
        <v>5.3250000000000002</v>
      </c>
      <c r="C594" s="1">
        <v>1.64</v>
      </c>
      <c r="D594" s="1">
        <v>5.7169999999999996</v>
      </c>
    </row>
    <row r="595" spans="1:4" x14ac:dyDescent="0.2">
      <c r="A595" s="5">
        <v>37326</v>
      </c>
      <c r="B595" s="1">
        <v>5.32</v>
      </c>
      <c r="C595" s="1">
        <v>1.63</v>
      </c>
      <c r="D595" s="1">
        <v>5.7190000000000003</v>
      </c>
    </row>
    <row r="596" spans="1:4" x14ac:dyDescent="0.2">
      <c r="A596" s="5">
        <v>37327</v>
      </c>
      <c r="B596" s="1">
        <v>5.31</v>
      </c>
      <c r="C596" s="1">
        <v>1.65</v>
      </c>
      <c r="D596" s="1">
        <v>5.7240000000000002</v>
      </c>
    </row>
    <row r="597" spans="1:4" x14ac:dyDescent="0.2">
      <c r="A597" s="5">
        <v>37328</v>
      </c>
      <c r="B597" s="1">
        <v>5.2789999999999999</v>
      </c>
      <c r="C597" s="1">
        <v>1.66</v>
      </c>
      <c r="D597" s="1">
        <v>5.7460000000000004</v>
      </c>
    </row>
    <row r="598" spans="1:4" x14ac:dyDescent="0.2">
      <c r="A598" s="5">
        <v>37329</v>
      </c>
      <c r="B598" s="1">
        <v>5.4089999999999998</v>
      </c>
      <c r="C598" s="1">
        <v>1.65</v>
      </c>
      <c r="D598" s="1">
        <v>5.8339999999999996</v>
      </c>
    </row>
    <row r="599" spans="1:4" x14ac:dyDescent="0.2">
      <c r="A599" s="5">
        <v>37330</v>
      </c>
      <c r="B599" s="1">
        <v>5.327</v>
      </c>
      <c r="C599" s="1">
        <v>1.7</v>
      </c>
      <c r="D599" s="1">
        <v>5.76</v>
      </c>
    </row>
    <row r="600" spans="1:4" x14ac:dyDescent="0.2">
      <c r="A600" s="5">
        <v>37333</v>
      </c>
      <c r="B600" s="1">
        <v>5.3</v>
      </c>
      <c r="C600" s="1">
        <v>1.7</v>
      </c>
      <c r="D600" s="1">
        <v>5.7350000000000003</v>
      </c>
    </row>
    <row r="601" spans="1:4" x14ac:dyDescent="0.2">
      <c r="A601" s="5">
        <v>37334</v>
      </c>
      <c r="B601" s="1">
        <v>5.2859999999999996</v>
      </c>
      <c r="C601" s="1">
        <v>1.7</v>
      </c>
      <c r="D601" s="1">
        <v>5.7329999999999997</v>
      </c>
    </row>
    <row r="602" spans="1:4" x14ac:dyDescent="0.2">
      <c r="A602" s="5">
        <v>37335</v>
      </c>
      <c r="B602" s="1">
        <v>5.4059999999999997</v>
      </c>
      <c r="C602" s="1">
        <v>1.69</v>
      </c>
      <c r="D602" s="1">
        <v>5.8209999999999997</v>
      </c>
    </row>
    <row r="603" spans="1:4" x14ac:dyDescent="0.2">
      <c r="A603" s="5">
        <v>37336</v>
      </c>
      <c r="B603" s="1">
        <v>5.3650000000000002</v>
      </c>
      <c r="C603" s="1">
        <v>1.69</v>
      </c>
      <c r="D603" s="1">
        <v>5.7889999999999997</v>
      </c>
    </row>
    <row r="604" spans="1:4" x14ac:dyDescent="0.2">
      <c r="A604" s="5">
        <v>37337</v>
      </c>
      <c r="B604" s="1">
        <v>5.4039999999999999</v>
      </c>
      <c r="C604" s="1">
        <v>1.68</v>
      </c>
      <c r="D604" s="1">
        <v>5.8120000000000003</v>
      </c>
    </row>
    <row r="605" spans="1:4" x14ac:dyDescent="0.2">
      <c r="A605" s="5">
        <v>37340</v>
      </c>
      <c r="B605" s="1">
        <v>5.4080000000000004</v>
      </c>
      <c r="C605" s="1">
        <v>1.69</v>
      </c>
      <c r="D605" s="1">
        <v>5.8029999999999999</v>
      </c>
    </row>
    <row r="606" spans="1:4" x14ac:dyDescent="0.2">
      <c r="A606" s="5">
        <v>37341</v>
      </c>
      <c r="B606" s="1">
        <v>5.3449999999999998</v>
      </c>
      <c r="C606" s="1">
        <v>1.7</v>
      </c>
      <c r="D606" s="1">
        <v>5.7560000000000002</v>
      </c>
    </row>
    <row r="607" spans="1:4" x14ac:dyDescent="0.2">
      <c r="A607" s="5">
        <v>37342</v>
      </c>
      <c r="B607" s="1">
        <v>5.3410000000000002</v>
      </c>
      <c r="C607" s="1">
        <v>1.7</v>
      </c>
      <c r="D607" s="1">
        <v>5.7569999999999997</v>
      </c>
    </row>
    <row r="608" spans="1:4" x14ac:dyDescent="0.2">
      <c r="A608" s="5">
        <v>37343</v>
      </c>
      <c r="B608" s="1">
        <v>5.4</v>
      </c>
      <c r="C608" s="1">
        <v>1.69</v>
      </c>
      <c r="D608" s="1">
        <v>5.7990000000000004</v>
      </c>
    </row>
    <row r="609" spans="1:4" x14ac:dyDescent="0.2">
      <c r="A609" s="5">
        <v>37344</v>
      </c>
      <c r="B609" s="1">
        <v>5.3959999999999999</v>
      </c>
      <c r="C609" s="1">
        <v>1.69</v>
      </c>
      <c r="D609" s="1">
        <v>5.7949999999999999</v>
      </c>
    </row>
    <row r="610" spans="1:4" x14ac:dyDescent="0.2">
      <c r="A610" s="5">
        <v>37347</v>
      </c>
      <c r="B610" s="1">
        <v>5.4260000000000002</v>
      </c>
      <c r="C610" s="1">
        <v>1.69</v>
      </c>
      <c r="D610" s="1">
        <v>5.8289999999999997</v>
      </c>
    </row>
    <row r="611" spans="1:4" x14ac:dyDescent="0.2">
      <c r="A611" s="5">
        <v>37348</v>
      </c>
      <c r="B611" s="1">
        <v>5.3410000000000002</v>
      </c>
      <c r="C611" s="1">
        <v>1.71</v>
      </c>
      <c r="D611" s="1">
        <v>5.7619999999999996</v>
      </c>
    </row>
    <row r="612" spans="1:4" x14ac:dyDescent="0.2">
      <c r="A612" s="5">
        <v>37349</v>
      </c>
      <c r="B612" s="1">
        <v>5.2779999999999996</v>
      </c>
      <c r="C612" s="1">
        <v>1.72</v>
      </c>
      <c r="D612" s="1">
        <v>5.7190000000000003</v>
      </c>
    </row>
    <row r="613" spans="1:4" x14ac:dyDescent="0.2">
      <c r="A613" s="5">
        <v>37350</v>
      </c>
      <c r="B613" s="1">
        <v>5.258</v>
      </c>
      <c r="C613" s="1">
        <v>1.72</v>
      </c>
      <c r="D613" s="1">
        <v>5.7110000000000003</v>
      </c>
    </row>
    <row r="614" spans="1:4" x14ac:dyDescent="0.2">
      <c r="A614" s="5">
        <v>37351</v>
      </c>
      <c r="B614" s="1">
        <v>5.2060000000000004</v>
      </c>
      <c r="C614" s="1">
        <v>1.74</v>
      </c>
      <c r="D614" s="1">
        <v>5.6660000000000004</v>
      </c>
    </row>
    <row r="615" spans="1:4" x14ac:dyDescent="0.2">
      <c r="A615" s="5">
        <v>37354</v>
      </c>
      <c r="B615" s="1">
        <v>5.2619999999999996</v>
      </c>
      <c r="C615" s="1">
        <v>1.73</v>
      </c>
      <c r="D615" s="1">
        <v>5.7130000000000001</v>
      </c>
    </row>
    <row r="616" spans="1:4" x14ac:dyDescent="0.2">
      <c r="A616" s="5">
        <v>37355</v>
      </c>
      <c r="B616" s="1">
        <v>5.202</v>
      </c>
      <c r="C616" s="1">
        <v>1.75</v>
      </c>
      <c r="D616" s="1">
        <v>5.6689999999999996</v>
      </c>
    </row>
    <row r="617" spans="1:4" x14ac:dyDescent="0.2">
      <c r="A617" s="5">
        <v>37356</v>
      </c>
      <c r="B617" s="1">
        <v>5.2329999999999997</v>
      </c>
      <c r="C617" s="1">
        <v>1.75</v>
      </c>
      <c r="D617" s="1">
        <v>5.7009999999999996</v>
      </c>
    </row>
    <row r="618" spans="1:4" x14ac:dyDescent="0.2">
      <c r="A618" s="5">
        <v>37357</v>
      </c>
      <c r="B618" s="1">
        <v>5.2060000000000004</v>
      </c>
      <c r="C618" s="1">
        <v>1.77</v>
      </c>
      <c r="D618" s="1">
        <v>5.6710000000000003</v>
      </c>
    </row>
    <row r="619" spans="1:4" x14ac:dyDescent="0.2">
      <c r="A619" s="5">
        <v>37358</v>
      </c>
      <c r="B619" s="1">
        <v>5.1559999999999997</v>
      </c>
      <c r="C619" s="1">
        <v>1.8</v>
      </c>
      <c r="D619" s="1">
        <v>5.6470000000000002</v>
      </c>
    </row>
    <row r="620" spans="1:4" x14ac:dyDescent="0.2">
      <c r="A620" s="5">
        <v>37361</v>
      </c>
      <c r="B620" s="1">
        <v>5.1379999999999999</v>
      </c>
      <c r="C620" s="1">
        <v>1.73</v>
      </c>
      <c r="D620" s="1">
        <v>5.6180000000000003</v>
      </c>
    </row>
    <row r="621" spans="1:4" x14ac:dyDescent="0.2">
      <c r="A621" s="5">
        <v>37362</v>
      </c>
      <c r="B621" s="1">
        <v>5.1920000000000002</v>
      </c>
      <c r="C621" s="1">
        <v>1.72</v>
      </c>
      <c r="D621" s="1">
        <v>5.6630000000000003</v>
      </c>
    </row>
    <row r="622" spans="1:4" x14ac:dyDescent="0.2">
      <c r="A622" s="5">
        <v>37363</v>
      </c>
      <c r="B622" s="1">
        <v>5.2329999999999997</v>
      </c>
      <c r="C622" s="1">
        <v>1.69</v>
      </c>
      <c r="D622" s="1">
        <v>5.73</v>
      </c>
    </row>
    <row r="623" spans="1:4" x14ac:dyDescent="0.2">
      <c r="A623" s="5">
        <v>37364</v>
      </c>
      <c r="B623" s="1">
        <v>5.1980000000000004</v>
      </c>
      <c r="C623" s="1">
        <v>1.68</v>
      </c>
      <c r="D623" s="1">
        <v>5.6989999999999998</v>
      </c>
    </row>
    <row r="624" spans="1:4" x14ac:dyDescent="0.2">
      <c r="A624" s="5">
        <v>37365</v>
      </c>
      <c r="B624" s="1">
        <v>5.1962000000000002</v>
      </c>
      <c r="C624" s="1">
        <v>1.68</v>
      </c>
      <c r="D624" s="1">
        <v>5.6837</v>
      </c>
    </row>
    <row r="625" spans="1:4" x14ac:dyDescent="0.2">
      <c r="A625" s="5">
        <v>37368</v>
      </c>
      <c r="B625" s="1">
        <v>5.1755000000000004</v>
      </c>
      <c r="C625" s="1">
        <v>1.72</v>
      </c>
      <c r="D625" s="1">
        <v>5.6734</v>
      </c>
    </row>
    <row r="626" spans="1:4" x14ac:dyDescent="0.2">
      <c r="A626" s="5">
        <v>37369</v>
      </c>
      <c r="B626" s="1">
        <v>5.1609999999999996</v>
      </c>
      <c r="C626" s="1">
        <v>1.74</v>
      </c>
      <c r="D626" s="1">
        <v>5.6608000000000001</v>
      </c>
    </row>
    <row r="627" spans="1:4" x14ac:dyDescent="0.2">
      <c r="A627" s="5">
        <v>37370</v>
      </c>
      <c r="B627" s="1">
        <v>5.1113</v>
      </c>
      <c r="C627" s="1">
        <v>1.77</v>
      </c>
      <c r="D627" s="1">
        <v>5.6233000000000004</v>
      </c>
    </row>
    <row r="628" spans="1:4" x14ac:dyDescent="0.2">
      <c r="A628" s="5">
        <v>37371</v>
      </c>
      <c r="B628" s="1">
        <v>5.0928000000000004</v>
      </c>
      <c r="C628" s="1">
        <v>1.78</v>
      </c>
      <c r="D628" s="1">
        <v>5.6222000000000003</v>
      </c>
    </row>
    <row r="629" spans="1:4" x14ac:dyDescent="0.2">
      <c r="A629" s="5">
        <v>37372</v>
      </c>
      <c r="B629" s="1">
        <v>5.0537000000000001</v>
      </c>
      <c r="C629" s="1">
        <v>1.79</v>
      </c>
      <c r="D629" s="1">
        <v>5.5872999999999999</v>
      </c>
    </row>
    <row r="630" spans="1:4" x14ac:dyDescent="0.2">
      <c r="A630" s="5">
        <v>37375</v>
      </c>
      <c r="B630" s="1">
        <v>5.1197999999999997</v>
      </c>
      <c r="C630" s="1">
        <v>1.83</v>
      </c>
      <c r="D630" s="1">
        <v>5.6256000000000004</v>
      </c>
    </row>
    <row r="631" spans="1:4" x14ac:dyDescent="0.2">
      <c r="A631" s="5">
        <v>37376</v>
      </c>
      <c r="B631" s="1">
        <v>5.0846999999999998</v>
      </c>
      <c r="C631" s="1">
        <v>1.87</v>
      </c>
      <c r="D631" s="1">
        <v>5.5918000000000001</v>
      </c>
    </row>
    <row r="632" spans="1:4" x14ac:dyDescent="0.2">
      <c r="A632" s="5">
        <v>37377</v>
      </c>
      <c r="B632" s="1">
        <v>5.0579000000000001</v>
      </c>
      <c r="C632" s="1">
        <v>1.91</v>
      </c>
      <c r="D632" s="1">
        <v>5.5637999999999996</v>
      </c>
    </row>
    <row r="633" spans="1:4" x14ac:dyDescent="0.2">
      <c r="A633" s="5">
        <v>37378</v>
      </c>
      <c r="B633" s="1">
        <v>5.0930999999999997</v>
      </c>
      <c r="C633" s="1">
        <v>1.88</v>
      </c>
      <c r="D633" s="1">
        <v>5.5861999999999998</v>
      </c>
    </row>
    <row r="634" spans="1:4" x14ac:dyDescent="0.2">
      <c r="A634" s="5">
        <v>37379</v>
      </c>
      <c r="B634" s="1">
        <v>5.0540000000000003</v>
      </c>
      <c r="C634" s="1">
        <v>1.89</v>
      </c>
      <c r="D634" s="1">
        <v>5.5359999999999996</v>
      </c>
    </row>
    <row r="635" spans="1:4" x14ac:dyDescent="0.2">
      <c r="A635" s="5">
        <v>37382</v>
      </c>
      <c r="B635" s="1">
        <v>5.0643000000000002</v>
      </c>
      <c r="C635" s="1">
        <v>1.89</v>
      </c>
      <c r="D635" s="1">
        <v>5.5370999999999997</v>
      </c>
    </row>
    <row r="636" spans="1:4" x14ac:dyDescent="0.2">
      <c r="A636" s="5">
        <v>37383</v>
      </c>
      <c r="B636" s="1">
        <v>5.0540000000000003</v>
      </c>
      <c r="C636" s="1">
        <v>1.92</v>
      </c>
      <c r="D636" s="1">
        <v>5.5336999999999996</v>
      </c>
    </row>
    <row r="637" spans="1:4" x14ac:dyDescent="0.2">
      <c r="A637" s="5">
        <v>37384</v>
      </c>
      <c r="B637" s="1">
        <v>5.2161999999999997</v>
      </c>
      <c r="C637" s="1">
        <v>1.86</v>
      </c>
      <c r="D637" s="1">
        <v>5.6700999999999997</v>
      </c>
    </row>
    <row r="638" spans="1:4" x14ac:dyDescent="0.2">
      <c r="A638" s="5">
        <v>37385</v>
      </c>
      <c r="B638" s="1">
        <v>5.1619000000000002</v>
      </c>
      <c r="C638" s="1">
        <v>1.86</v>
      </c>
      <c r="D638" s="1">
        <v>5.6325000000000003</v>
      </c>
    </row>
    <row r="639" spans="1:4" x14ac:dyDescent="0.2">
      <c r="A639" s="5">
        <v>37386</v>
      </c>
      <c r="B639" s="1">
        <v>5.1162999999999998</v>
      </c>
      <c r="C639" s="1">
        <v>1.75</v>
      </c>
      <c r="D639" s="1">
        <v>5.5986000000000002</v>
      </c>
    </row>
    <row r="640" spans="1:4" x14ac:dyDescent="0.2">
      <c r="A640" s="5">
        <v>37389</v>
      </c>
      <c r="B640" s="1">
        <v>5.2206999999999999</v>
      </c>
      <c r="C640" s="1">
        <v>1.76</v>
      </c>
      <c r="D640" s="1">
        <v>5.6849999999999996</v>
      </c>
    </row>
    <row r="641" spans="1:4" x14ac:dyDescent="0.2">
      <c r="A641" s="5">
        <v>37390</v>
      </c>
      <c r="B641" s="1">
        <v>5.2755000000000001</v>
      </c>
      <c r="C641" s="1">
        <v>1.72</v>
      </c>
      <c r="D641" s="1">
        <v>5.7427999999999999</v>
      </c>
    </row>
    <row r="642" spans="1:4" x14ac:dyDescent="0.2">
      <c r="A642" s="5">
        <v>37391</v>
      </c>
      <c r="B642" s="1">
        <v>5.2439999999999998</v>
      </c>
      <c r="C642" s="1">
        <v>1.73</v>
      </c>
      <c r="D642" s="1">
        <v>5.73</v>
      </c>
    </row>
    <row r="643" spans="1:4" x14ac:dyDescent="0.2">
      <c r="A643" s="5">
        <v>37392</v>
      </c>
      <c r="B643" s="1">
        <v>5.1665000000000001</v>
      </c>
      <c r="C643" s="1">
        <v>1.73</v>
      </c>
      <c r="D643" s="1">
        <v>5.6816000000000004</v>
      </c>
    </row>
    <row r="644" spans="1:4" x14ac:dyDescent="0.2">
      <c r="A644" s="5">
        <v>37393</v>
      </c>
      <c r="B644" s="1">
        <v>5.2506000000000004</v>
      </c>
      <c r="C644" s="1">
        <v>1.72</v>
      </c>
      <c r="D644" s="1">
        <v>5.7556000000000003</v>
      </c>
    </row>
    <row r="645" spans="1:4" x14ac:dyDescent="0.2">
      <c r="A645" s="5">
        <v>37396</v>
      </c>
      <c r="B645" s="1">
        <v>5.1981999999999999</v>
      </c>
      <c r="C645" s="1">
        <v>1.73</v>
      </c>
      <c r="D645" s="1">
        <v>5.6966000000000001</v>
      </c>
    </row>
    <row r="646" spans="1:4" x14ac:dyDescent="0.2">
      <c r="A646" s="5">
        <v>37397</v>
      </c>
      <c r="B646" s="1">
        <v>5.1481000000000003</v>
      </c>
      <c r="C646" s="1">
        <v>1.72</v>
      </c>
      <c r="D646" s="1">
        <v>5.6634000000000002</v>
      </c>
    </row>
    <row r="647" spans="1:4" x14ac:dyDescent="0.2">
      <c r="A647" s="5">
        <v>37398</v>
      </c>
      <c r="B647" s="1">
        <v>5.1127000000000002</v>
      </c>
      <c r="C647" s="1">
        <v>1.72</v>
      </c>
      <c r="D647" s="1">
        <v>5.6395</v>
      </c>
    </row>
    <row r="648" spans="1:4" x14ac:dyDescent="0.2">
      <c r="A648" s="5">
        <v>37399</v>
      </c>
      <c r="B648" s="1">
        <v>5.1482000000000001</v>
      </c>
      <c r="C648" s="1">
        <v>1.69</v>
      </c>
      <c r="D648" s="1">
        <v>5.6657000000000002</v>
      </c>
    </row>
    <row r="649" spans="1:4" x14ac:dyDescent="0.2">
      <c r="A649" s="5">
        <v>37400</v>
      </c>
      <c r="B649" s="1">
        <v>5.1443000000000003</v>
      </c>
      <c r="C649" s="1">
        <v>1.69</v>
      </c>
      <c r="D649" s="1">
        <v>5.6612</v>
      </c>
    </row>
    <row r="650" spans="1:4" x14ac:dyDescent="0.2">
      <c r="A650" s="5">
        <v>37403</v>
      </c>
      <c r="B650" s="1">
        <v>5.1360000000000001</v>
      </c>
      <c r="C650" s="1">
        <v>1.69</v>
      </c>
      <c r="D650" s="1">
        <v>5.6669</v>
      </c>
    </row>
    <row r="651" spans="1:4" x14ac:dyDescent="0.2">
      <c r="A651" s="5">
        <v>37404</v>
      </c>
      <c r="B651" s="1">
        <v>5.1276999999999999</v>
      </c>
      <c r="C651" s="1">
        <v>1.68</v>
      </c>
      <c r="D651" s="1">
        <v>5.6635</v>
      </c>
    </row>
    <row r="652" spans="1:4" x14ac:dyDescent="0.2">
      <c r="A652" s="5">
        <v>37405</v>
      </c>
      <c r="B652" s="1">
        <v>5.0610999999999997</v>
      </c>
      <c r="C652" s="1">
        <v>1.67</v>
      </c>
      <c r="D652" s="1">
        <v>5.6237000000000004</v>
      </c>
    </row>
    <row r="653" spans="1:4" x14ac:dyDescent="0.2">
      <c r="A653" s="5">
        <v>37406</v>
      </c>
      <c r="B653" s="1">
        <v>5.0198</v>
      </c>
      <c r="C653" s="1">
        <v>1.67</v>
      </c>
      <c r="D653" s="1">
        <v>5.5942999999999996</v>
      </c>
    </row>
    <row r="654" spans="1:4" x14ac:dyDescent="0.2">
      <c r="A654" s="5">
        <v>37407</v>
      </c>
      <c r="B654" s="1">
        <v>5.0427</v>
      </c>
      <c r="C654" s="1">
        <v>1.61</v>
      </c>
      <c r="D654" s="1">
        <v>5.6147</v>
      </c>
    </row>
    <row r="655" spans="1:4" x14ac:dyDescent="0.2">
      <c r="A655" s="5">
        <v>37410</v>
      </c>
      <c r="B655" s="1">
        <v>4.9972000000000003</v>
      </c>
      <c r="C655" s="1">
        <v>1.61</v>
      </c>
      <c r="D655" s="1">
        <v>5.5965999999999996</v>
      </c>
    </row>
    <row r="656" spans="1:4" x14ac:dyDescent="0.2">
      <c r="A656" s="5">
        <v>37411</v>
      </c>
      <c r="B656" s="1">
        <v>5.0262000000000002</v>
      </c>
      <c r="C656" s="1">
        <v>1.62</v>
      </c>
      <c r="D656" s="1">
        <v>5.6237000000000004</v>
      </c>
    </row>
    <row r="657" spans="1:4" x14ac:dyDescent="0.2">
      <c r="A657" s="5">
        <v>37412</v>
      </c>
      <c r="B657" s="1">
        <v>5.0468999999999999</v>
      </c>
      <c r="C657" s="1">
        <v>1.61</v>
      </c>
      <c r="D657" s="1">
        <v>5.6566999999999998</v>
      </c>
    </row>
    <row r="658" spans="1:4" x14ac:dyDescent="0.2">
      <c r="A658" s="5">
        <v>37413</v>
      </c>
      <c r="B658" s="1">
        <v>4.9745999999999997</v>
      </c>
      <c r="C658" s="1">
        <v>1.61</v>
      </c>
      <c r="D658" s="1">
        <v>5.6056999999999997</v>
      </c>
    </row>
    <row r="659" spans="1:4" x14ac:dyDescent="0.2">
      <c r="A659" s="5">
        <v>37414</v>
      </c>
      <c r="B659" s="1">
        <v>5.0658000000000003</v>
      </c>
      <c r="C659" s="1">
        <v>1.65</v>
      </c>
      <c r="D659" s="1">
        <v>5.6590999999999996</v>
      </c>
    </row>
    <row r="660" spans="1:4" x14ac:dyDescent="0.2">
      <c r="A660" s="5">
        <v>37417</v>
      </c>
      <c r="B660" s="1">
        <v>5.0263999999999998</v>
      </c>
      <c r="C660" s="1">
        <v>1.65</v>
      </c>
      <c r="D660" s="1">
        <v>5.6056999999999997</v>
      </c>
    </row>
    <row r="661" spans="1:4" x14ac:dyDescent="0.2">
      <c r="A661" s="5">
        <v>37418</v>
      </c>
      <c r="B661" s="1">
        <v>4.9726999999999997</v>
      </c>
      <c r="C661" s="1">
        <v>1.65</v>
      </c>
      <c r="D661" s="1">
        <v>5.5507</v>
      </c>
    </row>
    <row r="662" spans="1:4" x14ac:dyDescent="0.2">
      <c r="A662" s="5">
        <v>37419</v>
      </c>
      <c r="B662" s="1">
        <v>4.9623999999999997</v>
      </c>
      <c r="C662" s="1">
        <v>1.68</v>
      </c>
      <c r="D662" s="1">
        <v>5.5396000000000001</v>
      </c>
    </row>
    <row r="663" spans="1:4" x14ac:dyDescent="0.2">
      <c r="A663" s="5">
        <v>37420</v>
      </c>
      <c r="B663" s="1">
        <v>4.8986999999999998</v>
      </c>
      <c r="C663" s="1">
        <v>1.65</v>
      </c>
      <c r="D663" s="1">
        <v>5.492</v>
      </c>
    </row>
    <row r="664" spans="1:4" x14ac:dyDescent="0.2">
      <c r="A664" s="5">
        <v>37421</v>
      </c>
      <c r="B664" s="1">
        <v>4.7967000000000004</v>
      </c>
      <c r="C664" s="1">
        <v>1.66</v>
      </c>
      <c r="D664" s="1">
        <v>5.4111000000000002</v>
      </c>
    </row>
    <row r="665" spans="1:4" x14ac:dyDescent="0.2">
      <c r="A665" s="5">
        <v>37424</v>
      </c>
      <c r="B665" s="1">
        <v>4.8434999999999997</v>
      </c>
      <c r="C665" s="1">
        <v>1.65</v>
      </c>
      <c r="D665" s="1">
        <v>5.4602000000000004</v>
      </c>
    </row>
    <row r="666" spans="1:4" x14ac:dyDescent="0.2">
      <c r="A666" s="5">
        <v>37425</v>
      </c>
      <c r="B666" s="1">
        <v>4.8333000000000004</v>
      </c>
      <c r="C666" s="1">
        <v>1.68</v>
      </c>
      <c r="D666" s="1">
        <v>5.4602000000000004</v>
      </c>
    </row>
    <row r="667" spans="1:4" x14ac:dyDescent="0.2">
      <c r="A667" s="5">
        <v>37426</v>
      </c>
      <c r="B667" s="1">
        <v>4.7256999999999998</v>
      </c>
      <c r="C667" s="1">
        <v>1.69</v>
      </c>
      <c r="D667" s="1">
        <v>5.3863000000000003</v>
      </c>
    </row>
    <row r="668" spans="1:4" x14ac:dyDescent="0.2">
      <c r="A668" s="5">
        <v>37427</v>
      </c>
      <c r="B668" s="1">
        <v>4.7885</v>
      </c>
      <c r="C668" s="1">
        <v>1.7</v>
      </c>
      <c r="D668" s="1">
        <v>5.4264000000000001</v>
      </c>
    </row>
    <row r="669" spans="1:4" x14ac:dyDescent="0.2">
      <c r="A669" s="5">
        <v>37428</v>
      </c>
      <c r="B669" s="1">
        <v>4.7660999999999998</v>
      </c>
      <c r="C669" s="1">
        <v>1.72</v>
      </c>
      <c r="D669" s="1">
        <v>5.3971</v>
      </c>
    </row>
    <row r="670" spans="1:4" x14ac:dyDescent="0.2">
      <c r="A670" s="5">
        <v>37431</v>
      </c>
      <c r="B670" s="1">
        <v>4.8272000000000004</v>
      </c>
      <c r="C670" s="1">
        <v>1.74</v>
      </c>
      <c r="D670" s="1">
        <v>5.4535999999999998</v>
      </c>
    </row>
    <row r="671" spans="1:4" x14ac:dyDescent="0.2">
      <c r="A671" s="5">
        <v>37432</v>
      </c>
      <c r="B671" s="1">
        <v>4.8170000000000002</v>
      </c>
      <c r="C671" s="1">
        <v>1.74</v>
      </c>
      <c r="D671" s="1">
        <v>5.4569000000000001</v>
      </c>
    </row>
    <row r="672" spans="1:4" x14ac:dyDescent="0.2">
      <c r="A672" s="5">
        <v>37433</v>
      </c>
      <c r="B672" s="1">
        <v>4.7416999999999998</v>
      </c>
      <c r="C672" s="1">
        <v>1.81</v>
      </c>
      <c r="D672" s="1">
        <v>5.4275000000000002</v>
      </c>
    </row>
    <row r="673" spans="1:4" x14ac:dyDescent="0.2">
      <c r="A673" s="5">
        <v>37434</v>
      </c>
      <c r="B673" s="1">
        <v>4.8209999999999997</v>
      </c>
      <c r="C673" s="1">
        <v>1.8</v>
      </c>
      <c r="D673" s="1">
        <v>5.5141999999999998</v>
      </c>
    </row>
    <row r="674" spans="1:4" x14ac:dyDescent="0.2">
      <c r="A674" s="5">
        <v>37435</v>
      </c>
      <c r="B674" s="1">
        <v>4.7965</v>
      </c>
      <c r="C674" s="1">
        <v>1.84</v>
      </c>
      <c r="D674" s="1">
        <v>5.5076000000000001</v>
      </c>
    </row>
    <row r="675" spans="1:4" x14ac:dyDescent="0.2">
      <c r="A675" s="5">
        <v>37438</v>
      </c>
      <c r="B675" s="1">
        <v>4.7801999999999998</v>
      </c>
      <c r="C675" s="1">
        <v>1.85</v>
      </c>
      <c r="D675" s="1">
        <v>5.4767000000000001</v>
      </c>
    </row>
    <row r="676" spans="1:4" x14ac:dyDescent="0.2">
      <c r="A676" s="5">
        <v>37439</v>
      </c>
      <c r="B676" s="1">
        <v>4.7253999999999996</v>
      </c>
      <c r="C676" s="1">
        <v>1.89</v>
      </c>
      <c r="D676" s="1">
        <v>5.4363000000000001</v>
      </c>
    </row>
    <row r="677" spans="1:4" x14ac:dyDescent="0.2">
      <c r="A677" s="5">
        <v>37440</v>
      </c>
      <c r="B677" s="1">
        <v>4.7638999999999996</v>
      </c>
      <c r="C677" s="1">
        <v>1.89</v>
      </c>
      <c r="D677" s="1">
        <v>5.4516</v>
      </c>
    </row>
    <row r="678" spans="1:4" x14ac:dyDescent="0.2">
      <c r="A678" s="5">
        <v>37441</v>
      </c>
      <c r="B678" s="1">
        <v>4.7618</v>
      </c>
      <c r="C678" s="1">
        <v>1.89</v>
      </c>
      <c r="D678" s="1">
        <v>5.4461000000000004</v>
      </c>
    </row>
    <row r="679" spans="1:4" x14ac:dyDescent="0.2">
      <c r="A679" s="5">
        <v>37442</v>
      </c>
      <c r="B679" s="1">
        <v>4.8559999999999999</v>
      </c>
      <c r="C679" s="1">
        <v>1.88</v>
      </c>
      <c r="D679" s="1">
        <v>5.5244</v>
      </c>
    </row>
    <row r="680" spans="1:4" x14ac:dyDescent="0.2">
      <c r="A680" s="5">
        <v>37445</v>
      </c>
      <c r="B680" s="1">
        <v>4.7945000000000002</v>
      </c>
      <c r="C680" s="1">
        <v>1.88</v>
      </c>
      <c r="D680" s="1">
        <v>5.4779</v>
      </c>
    </row>
    <row r="681" spans="1:4" x14ac:dyDescent="0.2">
      <c r="A681" s="5">
        <v>37446</v>
      </c>
      <c r="B681" s="1">
        <v>4.7252000000000001</v>
      </c>
      <c r="C681" s="1">
        <v>1.88</v>
      </c>
      <c r="D681" s="1">
        <v>5.4135</v>
      </c>
    </row>
    <row r="682" spans="1:4" x14ac:dyDescent="0.2">
      <c r="A682" s="5">
        <v>37447</v>
      </c>
      <c r="B682" s="1">
        <v>4.6120999999999999</v>
      </c>
      <c r="C682" s="1">
        <v>1.89</v>
      </c>
      <c r="D682" s="1">
        <v>5.3361000000000001</v>
      </c>
    </row>
    <row r="683" spans="1:4" x14ac:dyDescent="0.2">
      <c r="A683" s="5">
        <v>37448</v>
      </c>
      <c r="B683" s="1">
        <v>4.6361999999999997</v>
      </c>
      <c r="C683" s="1">
        <v>1.93</v>
      </c>
      <c r="D683" s="1">
        <v>5.3681999999999999</v>
      </c>
    </row>
    <row r="684" spans="1:4" x14ac:dyDescent="0.2">
      <c r="A684" s="5">
        <v>37449</v>
      </c>
      <c r="B684" s="1">
        <v>4.5717999999999996</v>
      </c>
      <c r="C684" s="1">
        <v>1.93</v>
      </c>
      <c r="D684" s="1">
        <v>5.3274999999999997</v>
      </c>
    </row>
    <row r="685" spans="1:4" x14ac:dyDescent="0.2">
      <c r="A685" s="5">
        <v>37452</v>
      </c>
      <c r="B685" s="1">
        <v>4.6260000000000003</v>
      </c>
      <c r="C685" s="1">
        <v>1.97</v>
      </c>
      <c r="D685" s="1">
        <v>5.38</v>
      </c>
    </row>
    <row r="686" spans="1:4" x14ac:dyDescent="0.2">
      <c r="A686" s="5">
        <v>37453</v>
      </c>
      <c r="B686" s="1">
        <v>4.6805000000000003</v>
      </c>
      <c r="C686" s="1">
        <v>1.97</v>
      </c>
      <c r="D686" s="1">
        <v>5.4484000000000004</v>
      </c>
    </row>
    <row r="687" spans="1:4" x14ac:dyDescent="0.2">
      <c r="A687" s="5">
        <v>37454</v>
      </c>
      <c r="B687" s="1">
        <v>4.6825000000000001</v>
      </c>
      <c r="C687" s="1">
        <v>1.96</v>
      </c>
      <c r="D687" s="1">
        <v>5.4505999999999997</v>
      </c>
    </row>
    <row r="688" spans="1:4" x14ac:dyDescent="0.2">
      <c r="A688" s="5">
        <v>37455</v>
      </c>
      <c r="B688" s="1">
        <v>4.6056999999999997</v>
      </c>
      <c r="C688" s="1">
        <v>1.97</v>
      </c>
      <c r="D688" s="1">
        <v>5.4059999999999997</v>
      </c>
    </row>
    <row r="689" spans="1:4" x14ac:dyDescent="0.2">
      <c r="A689" s="5">
        <v>37456</v>
      </c>
      <c r="B689" s="1">
        <v>4.5194000000000001</v>
      </c>
      <c r="C689" s="1">
        <v>2.0099999999999998</v>
      </c>
      <c r="D689" s="1">
        <v>5.3232999999999997</v>
      </c>
    </row>
    <row r="690" spans="1:4" x14ac:dyDescent="0.2">
      <c r="A690" s="5">
        <v>37459</v>
      </c>
      <c r="B690" s="1">
        <v>4.4436999999999998</v>
      </c>
      <c r="C690" s="1">
        <v>2.06</v>
      </c>
      <c r="D690" s="1">
        <v>5.2789000000000001</v>
      </c>
    </row>
    <row r="691" spans="1:4" x14ac:dyDescent="0.2">
      <c r="A691" s="5">
        <v>37460</v>
      </c>
      <c r="B691" s="1">
        <v>4.4058999999999999</v>
      </c>
      <c r="C691" s="1">
        <v>2.1</v>
      </c>
      <c r="D691" s="1">
        <v>5.2756999999999996</v>
      </c>
    </row>
    <row r="692" spans="1:4" x14ac:dyDescent="0.2">
      <c r="A692" s="5">
        <v>37461</v>
      </c>
      <c r="B692" s="1">
        <v>4.4851999999999999</v>
      </c>
      <c r="C692" s="1">
        <v>2.17</v>
      </c>
      <c r="D692" s="1">
        <v>5.3414999999999999</v>
      </c>
    </row>
    <row r="693" spans="1:4" x14ac:dyDescent="0.2">
      <c r="A693" s="5">
        <v>37462</v>
      </c>
      <c r="B693" s="1">
        <v>4.3800999999999997</v>
      </c>
      <c r="C693" s="1">
        <v>2.17</v>
      </c>
      <c r="D693" s="1">
        <v>5.2968000000000002</v>
      </c>
    </row>
    <row r="694" spans="1:4" x14ac:dyDescent="0.2">
      <c r="A694" s="5">
        <v>37463</v>
      </c>
      <c r="B694" s="1">
        <v>4.3817000000000004</v>
      </c>
      <c r="C694" s="1">
        <v>2.23</v>
      </c>
      <c r="D694" s="1">
        <v>5.3095999999999997</v>
      </c>
    </row>
    <row r="695" spans="1:4" x14ac:dyDescent="0.2">
      <c r="A695" s="5">
        <v>37466</v>
      </c>
      <c r="B695" s="1">
        <v>4.5609000000000002</v>
      </c>
      <c r="C695" s="1">
        <v>2.23</v>
      </c>
      <c r="D695" s="1">
        <v>5.4169999999999998</v>
      </c>
    </row>
    <row r="696" spans="1:4" x14ac:dyDescent="0.2">
      <c r="A696" s="5">
        <v>37467</v>
      </c>
      <c r="B696" s="1">
        <v>4.585</v>
      </c>
      <c r="C696" s="1">
        <v>2.21</v>
      </c>
      <c r="D696" s="1">
        <v>5.3963999999999999</v>
      </c>
    </row>
    <row r="697" spans="1:4" x14ac:dyDescent="0.2">
      <c r="A697" s="5">
        <v>37468</v>
      </c>
      <c r="B697" s="1">
        <v>4.4588000000000001</v>
      </c>
      <c r="C697" s="1">
        <v>2.29</v>
      </c>
      <c r="D697" s="1">
        <v>5.3010999999999999</v>
      </c>
    </row>
    <row r="698" spans="1:4" x14ac:dyDescent="0.2">
      <c r="A698" s="5">
        <v>37469</v>
      </c>
      <c r="B698" s="1">
        <v>4.3893000000000004</v>
      </c>
      <c r="C698" s="1">
        <v>2.27</v>
      </c>
      <c r="D698" s="1">
        <v>5.2850000000000001</v>
      </c>
    </row>
    <row r="699" spans="1:4" x14ac:dyDescent="0.2">
      <c r="A699" s="5">
        <v>37470</v>
      </c>
      <c r="B699" s="1">
        <v>4.2904</v>
      </c>
      <c r="C699" s="1">
        <v>2.31</v>
      </c>
      <c r="D699" s="1">
        <v>5.2171000000000003</v>
      </c>
    </row>
    <row r="700" spans="1:4" x14ac:dyDescent="0.2">
      <c r="A700" s="5">
        <v>37473</v>
      </c>
      <c r="B700" s="1">
        <v>4.2081999999999997</v>
      </c>
      <c r="C700" s="1">
        <v>2.44</v>
      </c>
      <c r="D700" s="1">
        <v>5.1592000000000002</v>
      </c>
    </row>
    <row r="701" spans="1:4" x14ac:dyDescent="0.2">
      <c r="A701" s="5">
        <v>37474</v>
      </c>
      <c r="B701" s="1">
        <v>4.3315000000000001</v>
      </c>
      <c r="C701" s="1">
        <v>2.42</v>
      </c>
      <c r="D701" s="1">
        <v>5.2286000000000001</v>
      </c>
    </row>
    <row r="702" spans="1:4" x14ac:dyDescent="0.2">
      <c r="A702" s="5">
        <v>37475</v>
      </c>
      <c r="B702" s="1">
        <v>4.3037999999999998</v>
      </c>
      <c r="C702" s="1">
        <v>2.42</v>
      </c>
      <c r="D702" s="1">
        <v>5.2149999999999999</v>
      </c>
    </row>
    <row r="703" spans="1:4" x14ac:dyDescent="0.2">
      <c r="A703" s="5">
        <v>37476</v>
      </c>
      <c r="B703" s="1">
        <v>4.3944999999999999</v>
      </c>
      <c r="C703" s="1">
        <v>2.41</v>
      </c>
      <c r="D703" s="1">
        <v>5.2222999999999997</v>
      </c>
    </row>
    <row r="704" spans="1:4" x14ac:dyDescent="0.2">
      <c r="A704" s="5">
        <v>37477</v>
      </c>
      <c r="B704" s="1">
        <v>4.2549999999999999</v>
      </c>
      <c r="C704" s="1">
        <v>2.42</v>
      </c>
      <c r="D704" s="1">
        <v>5.1090999999999998</v>
      </c>
    </row>
    <row r="705" spans="1:4" x14ac:dyDescent="0.2">
      <c r="A705" s="5">
        <v>37480</v>
      </c>
      <c r="B705" s="1">
        <v>4.2149999999999999</v>
      </c>
      <c r="C705" s="1">
        <v>2.4500000000000002</v>
      </c>
      <c r="D705" s="1">
        <v>5.0666000000000002</v>
      </c>
    </row>
    <row r="706" spans="1:4" x14ac:dyDescent="0.2">
      <c r="A706" s="5">
        <v>37481</v>
      </c>
      <c r="B706" s="1">
        <v>4.0852000000000004</v>
      </c>
      <c r="C706" s="1">
        <v>2.46</v>
      </c>
      <c r="D706" s="1">
        <v>4.9659000000000004</v>
      </c>
    </row>
    <row r="707" spans="1:4" x14ac:dyDescent="0.2">
      <c r="A707" s="5">
        <v>37482</v>
      </c>
      <c r="B707" s="1">
        <v>4.1193999999999997</v>
      </c>
      <c r="C707" s="1">
        <v>2.44</v>
      </c>
      <c r="D707" s="1">
        <v>4.9295</v>
      </c>
    </row>
    <row r="708" spans="1:4" x14ac:dyDescent="0.2">
      <c r="A708" s="5">
        <v>37483</v>
      </c>
      <c r="B708" s="1">
        <v>4.1802000000000001</v>
      </c>
      <c r="C708" s="1">
        <v>2.42</v>
      </c>
      <c r="D708" s="1">
        <v>4.9756999999999998</v>
      </c>
    </row>
    <row r="709" spans="1:4" x14ac:dyDescent="0.2">
      <c r="A709" s="5">
        <v>37484</v>
      </c>
      <c r="B709" s="1">
        <v>4.3243999999999998</v>
      </c>
      <c r="C709" s="1">
        <v>2.41</v>
      </c>
      <c r="D709" s="1">
        <v>5.0917000000000003</v>
      </c>
    </row>
    <row r="710" spans="1:4" x14ac:dyDescent="0.2">
      <c r="A710" s="5">
        <v>37487</v>
      </c>
      <c r="B710" s="1">
        <v>4.2838000000000003</v>
      </c>
      <c r="C710" s="1">
        <v>2.38</v>
      </c>
      <c r="D710" s="1">
        <v>5.0522999999999998</v>
      </c>
    </row>
    <row r="711" spans="1:4" x14ac:dyDescent="0.2">
      <c r="A711" s="5">
        <v>37488</v>
      </c>
      <c r="B711" s="1">
        <v>4.1475</v>
      </c>
      <c r="C711" s="1">
        <v>2.3199999999999998</v>
      </c>
      <c r="D711" s="1">
        <v>4.9667000000000003</v>
      </c>
    </row>
    <row r="712" spans="1:4" x14ac:dyDescent="0.2">
      <c r="A712" s="5">
        <v>37489</v>
      </c>
      <c r="B712" s="1">
        <v>4.1970999999999998</v>
      </c>
      <c r="C712" s="1">
        <v>2.2999999999999998</v>
      </c>
      <c r="D712" s="1">
        <v>5.0103</v>
      </c>
    </row>
    <row r="713" spans="1:4" x14ac:dyDescent="0.2">
      <c r="A713" s="5">
        <v>37490</v>
      </c>
      <c r="B713" s="1">
        <v>4.3166000000000002</v>
      </c>
      <c r="C713" s="1">
        <v>2.2599999999999998</v>
      </c>
      <c r="D713" s="1">
        <v>5.0906000000000002</v>
      </c>
    </row>
    <row r="714" spans="1:4" x14ac:dyDescent="0.2">
      <c r="A714" s="5">
        <v>37491</v>
      </c>
      <c r="B714" s="1">
        <v>4.2333999999999996</v>
      </c>
      <c r="C714" s="1">
        <v>2.2599999999999998</v>
      </c>
      <c r="D714" s="1">
        <v>5.0320999999999998</v>
      </c>
    </row>
    <row r="715" spans="1:4" x14ac:dyDescent="0.2">
      <c r="A715" s="5">
        <v>37494</v>
      </c>
      <c r="B715" s="1">
        <v>4.2237</v>
      </c>
      <c r="C715" s="1">
        <v>2.27</v>
      </c>
      <c r="D715" s="1">
        <v>5.0151000000000003</v>
      </c>
    </row>
    <row r="716" spans="1:4" x14ac:dyDescent="0.2">
      <c r="A716" s="5">
        <v>37495</v>
      </c>
      <c r="B716" s="1">
        <v>4.2816000000000001</v>
      </c>
      <c r="C716" s="1">
        <v>2.2400000000000002</v>
      </c>
      <c r="D716" s="1">
        <v>5.0602</v>
      </c>
    </row>
    <row r="717" spans="1:4" x14ac:dyDescent="0.2">
      <c r="A717" s="5">
        <v>37496</v>
      </c>
      <c r="B717" s="1">
        <v>4.2121000000000004</v>
      </c>
      <c r="C717" s="1">
        <v>2.2400000000000002</v>
      </c>
      <c r="D717" s="1">
        <v>5.0190999999999999</v>
      </c>
    </row>
    <row r="718" spans="1:4" x14ac:dyDescent="0.2">
      <c r="A718" s="5">
        <v>37497</v>
      </c>
      <c r="B718" s="1">
        <v>4.1374000000000004</v>
      </c>
      <c r="C718" s="1">
        <v>2.2599999999999998</v>
      </c>
      <c r="D718" s="1">
        <v>4.9585999999999997</v>
      </c>
    </row>
    <row r="719" spans="1:4" x14ac:dyDescent="0.2">
      <c r="A719" s="5">
        <v>37498</v>
      </c>
      <c r="B719" s="1">
        <v>4.1409000000000002</v>
      </c>
      <c r="C719" s="1">
        <v>2.2400000000000002</v>
      </c>
      <c r="D719" s="1">
        <v>4.9250999999999996</v>
      </c>
    </row>
    <row r="720" spans="1:4" x14ac:dyDescent="0.2">
      <c r="A720" s="5">
        <v>37501</v>
      </c>
      <c r="B720" s="1">
        <v>4.1332000000000004</v>
      </c>
      <c r="C720" s="1">
        <v>2.2400000000000002</v>
      </c>
      <c r="D720" s="1">
        <v>4.9279999999999999</v>
      </c>
    </row>
    <row r="721" spans="1:4" x14ac:dyDescent="0.2">
      <c r="A721" s="5">
        <v>37502</v>
      </c>
      <c r="B721" s="1">
        <v>3.9626999999999999</v>
      </c>
      <c r="C721" s="1">
        <v>2.2799999999999998</v>
      </c>
      <c r="D721" s="1">
        <v>4.8099999999999996</v>
      </c>
    </row>
    <row r="722" spans="1:4" x14ac:dyDescent="0.2">
      <c r="A722" s="5">
        <v>37503</v>
      </c>
      <c r="B722" s="1">
        <v>3.9607999999999999</v>
      </c>
      <c r="C722" s="1">
        <v>2.29</v>
      </c>
      <c r="D722" s="1">
        <v>4.8023999999999996</v>
      </c>
    </row>
    <row r="723" spans="1:4" x14ac:dyDescent="0.2">
      <c r="A723" s="5">
        <v>37504</v>
      </c>
      <c r="B723" s="1">
        <v>3.9249999999999998</v>
      </c>
      <c r="C723" s="1">
        <v>2.2999999999999998</v>
      </c>
      <c r="D723" s="1">
        <v>4.7824</v>
      </c>
    </row>
    <row r="724" spans="1:4" x14ac:dyDescent="0.2">
      <c r="A724" s="5">
        <v>37505</v>
      </c>
      <c r="B724" s="1">
        <v>4.0113000000000003</v>
      </c>
      <c r="C724" s="1">
        <v>2.2799999999999998</v>
      </c>
      <c r="D724" s="1">
        <v>4.8587999999999996</v>
      </c>
    </row>
    <row r="725" spans="1:4" x14ac:dyDescent="0.2">
      <c r="A725" s="5">
        <v>37508</v>
      </c>
      <c r="B725" s="1">
        <v>4.0585000000000004</v>
      </c>
      <c r="C725" s="1">
        <v>2.29</v>
      </c>
      <c r="D725" s="1">
        <v>4.8685</v>
      </c>
    </row>
    <row r="726" spans="1:4" x14ac:dyDescent="0.2">
      <c r="A726" s="5">
        <v>37509</v>
      </c>
      <c r="B726" s="1">
        <v>3.9941</v>
      </c>
      <c r="C726" s="1">
        <v>2.2599999999999998</v>
      </c>
      <c r="D726" s="1">
        <v>4.8385999999999996</v>
      </c>
    </row>
    <row r="727" spans="1:4" x14ac:dyDescent="0.2">
      <c r="A727" s="5">
        <v>37510</v>
      </c>
      <c r="B727" s="1">
        <v>4.0583999999999998</v>
      </c>
      <c r="C727" s="1">
        <v>2.25</v>
      </c>
      <c r="D727" s="1">
        <v>4.8791000000000002</v>
      </c>
    </row>
    <row r="728" spans="1:4" x14ac:dyDescent="0.2">
      <c r="A728" s="5">
        <v>37511</v>
      </c>
      <c r="B728" s="1">
        <v>3.96</v>
      </c>
      <c r="C728" s="1">
        <v>2.23</v>
      </c>
      <c r="D728" s="1">
        <v>4.8146000000000004</v>
      </c>
    </row>
    <row r="729" spans="1:4" x14ac:dyDescent="0.2">
      <c r="A729" s="5">
        <v>37512</v>
      </c>
      <c r="B729" s="1">
        <v>3.9051999999999998</v>
      </c>
      <c r="C729" s="1">
        <v>2.2200000000000002</v>
      </c>
      <c r="D729" s="1">
        <v>4.7668999999999997</v>
      </c>
    </row>
    <row r="730" spans="1:4" x14ac:dyDescent="0.2">
      <c r="A730" s="5">
        <v>37515</v>
      </c>
      <c r="B730" s="1">
        <v>3.9125999999999999</v>
      </c>
      <c r="C730" s="1">
        <v>2.2200000000000002</v>
      </c>
      <c r="D730" s="1">
        <v>4.7594000000000003</v>
      </c>
    </row>
    <row r="731" spans="1:4" x14ac:dyDescent="0.2">
      <c r="A731" s="5">
        <v>37516</v>
      </c>
      <c r="B731" s="1">
        <v>3.8172000000000001</v>
      </c>
      <c r="C731" s="1">
        <v>2.2200000000000002</v>
      </c>
      <c r="D731" s="1">
        <v>4.7272999999999996</v>
      </c>
    </row>
    <row r="732" spans="1:4" x14ac:dyDescent="0.2">
      <c r="A732" s="5">
        <v>37517</v>
      </c>
      <c r="B732" s="1">
        <v>3.8412999999999999</v>
      </c>
      <c r="C732" s="1">
        <v>2.23</v>
      </c>
      <c r="D732" s="1">
        <v>4.7442000000000002</v>
      </c>
    </row>
    <row r="733" spans="1:4" x14ac:dyDescent="0.2">
      <c r="A733" s="5">
        <v>37518</v>
      </c>
      <c r="B733" s="1">
        <v>3.7761</v>
      </c>
      <c r="C733" s="1">
        <v>2.25</v>
      </c>
      <c r="D733" s="1">
        <v>4.7039</v>
      </c>
    </row>
    <row r="734" spans="1:4" x14ac:dyDescent="0.2">
      <c r="A734" s="5">
        <v>37519</v>
      </c>
      <c r="B734" s="1">
        <v>3.7850000000000001</v>
      </c>
      <c r="C734" s="1">
        <v>2.27</v>
      </c>
      <c r="D734" s="1">
        <v>4.7422000000000004</v>
      </c>
    </row>
    <row r="735" spans="1:4" x14ac:dyDescent="0.2">
      <c r="A735" s="5">
        <v>37522</v>
      </c>
      <c r="B735" s="1">
        <v>3.6943000000000001</v>
      </c>
      <c r="C735" s="1">
        <v>2.33</v>
      </c>
      <c r="D735" s="1">
        <v>4.6711999999999998</v>
      </c>
    </row>
    <row r="736" spans="1:4" x14ac:dyDescent="0.2">
      <c r="A736" s="5">
        <v>37523</v>
      </c>
      <c r="B736" s="1">
        <v>3.6446000000000001</v>
      </c>
      <c r="C736" s="1">
        <v>2.39</v>
      </c>
      <c r="D736" s="1">
        <v>4.6288</v>
      </c>
    </row>
    <row r="737" spans="1:4" x14ac:dyDescent="0.2">
      <c r="A737" s="5">
        <v>37524</v>
      </c>
      <c r="B737" s="1">
        <v>3.7475000000000001</v>
      </c>
      <c r="C737" s="1">
        <v>2.35</v>
      </c>
      <c r="D737" s="1">
        <v>4.7186000000000003</v>
      </c>
    </row>
    <row r="738" spans="1:4" x14ac:dyDescent="0.2">
      <c r="A738" s="5">
        <v>37525</v>
      </c>
      <c r="B738" s="1">
        <v>3.7639999999999998</v>
      </c>
      <c r="C738" s="1">
        <v>2.34</v>
      </c>
      <c r="D738" s="1">
        <v>4.7298</v>
      </c>
    </row>
    <row r="739" spans="1:4" x14ac:dyDescent="0.2">
      <c r="A739" s="5">
        <v>37526</v>
      </c>
      <c r="B739" s="1">
        <v>3.6583999999999999</v>
      </c>
      <c r="C739" s="1">
        <v>2.35</v>
      </c>
      <c r="D739" s="1">
        <v>4.6783999999999999</v>
      </c>
    </row>
    <row r="740" spans="1:4" x14ac:dyDescent="0.2">
      <c r="A740" s="5">
        <v>37529</v>
      </c>
      <c r="B740" s="1">
        <v>3.5941999999999998</v>
      </c>
      <c r="C740" s="1">
        <v>2.38</v>
      </c>
      <c r="D740" s="1">
        <v>4.6681999999999997</v>
      </c>
    </row>
    <row r="741" spans="1:4" x14ac:dyDescent="0.2">
      <c r="A741" s="5">
        <v>37530</v>
      </c>
      <c r="B741" s="1">
        <v>3.7151999999999998</v>
      </c>
      <c r="C741" s="1">
        <v>2.37</v>
      </c>
      <c r="D741" s="1">
        <v>4.7457000000000003</v>
      </c>
    </row>
    <row r="742" spans="1:4" x14ac:dyDescent="0.2">
      <c r="A742" s="5">
        <v>37531</v>
      </c>
      <c r="B742" s="1">
        <v>3.6671</v>
      </c>
      <c r="C742" s="1">
        <v>2.33</v>
      </c>
      <c r="D742" s="1">
        <v>4.7221000000000002</v>
      </c>
    </row>
    <row r="743" spans="1:4" x14ac:dyDescent="0.2">
      <c r="A743" s="5">
        <v>37532</v>
      </c>
      <c r="B743" s="1">
        <v>3.6835</v>
      </c>
      <c r="C743" s="1">
        <v>2.34</v>
      </c>
      <c r="D743" s="1">
        <v>4.7333999999999996</v>
      </c>
    </row>
    <row r="744" spans="1:4" x14ac:dyDescent="0.2">
      <c r="A744" s="5">
        <v>37533</v>
      </c>
      <c r="B744" s="1">
        <v>3.6646000000000001</v>
      </c>
      <c r="C744" s="1">
        <v>2.38</v>
      </c>
      <c r="D744" s="1">
        <v>4.7135999999999996</v>
      </c>
    </row>
    <row r="745" spans="1:4" x14ac:dyDescent="0.2">
      <c r="A745" s="5">
        <v>37536</v>
      </c>
      <c r="B745" s="1">
        <v>3.6131000000000002</v>
      </c>
      <c r="C745" s="1">
        <v>2.4500000000000002</v>
      </c>
      <c r="D745" s="1">
        <v>4.7079000000000004</v>
      </c>
    </row>
    <row r="746" spans="1:4" x14ac:dyDescent="0.2">
      <c r="A746" s="5">
        <v>37537</v>
      </c>
      <c r="B746" s="1">
        <v>3.6331000000000002</v>
      </c>
      <c r="C746" s="1">
        <v>2.5499999999999998</v>
      </c>
      <c r="D746" s="1">
        <v>4.6958000000000002</v>
      </c>
    </row>
    <row r="747" spans="1:4" x14ac:dyDescent="0.2">
      <c r="A747" s="5">
        <v>37538</v>
      </c>
      <c r="B747" s="1">
        <v>3.5670000000000002</v>
      </c>
      <c r="C747" s="1">
        <v>2.63</v>
      </c>
      <c r="D747" s="1">
        <v>4.6548999999999996</v>
      </c>
    </row>
    <row r="748" spans="1:4" x14ac:dyDescent="0.2">
      <c r="A748" s="5">
        <v>37539</v>
      </c>
      <c r="B748" s="1">
        <v>3.6566000000000001</v>
      </c>
      <c r="C748" s="1">
        <v>2.66</v>
      </c>
      <c r="D748" s="1">
        <v>4.7153</v>
      </c>
    </row>
    <row r="749" spans="1:4" x14ac:dyDescent="0.2">
      <c r="A749" s="5">
        <v>37540</v>
      </c>
      <c r="B749" s="1">
        <v>3.7782</v>
      </c>
      <c r="C749" s="1">
        <v>2.59</v>
      </c>
      <c r="D749" s="1">
        <v>4.8041</v>
      </c>
    </row>
    <row r="750" spans="1:4" x14ac:dyDescent="0.2">
      <c r="A750" s="5">
        <v>37543</v>
      </c>
      <c r="B750" s="1">
        <v>3.7856000000000001</v>
      </c>
      <c r="C750" s="1">
        <v>2.59</v>
      </c>
      <c r="D750" s="1">
        <v>4.8106999999999998</v>
      </c>
    </row>
    <row r="751" spans="1:4" x14ac:dyDescent="0.2">
      <c r="A751" s="5">
        <v>37544</v>
      </c>
      <c r="B751" s="1">
        <v>3.9927000000000001</v>
      </c>
      <c r="C751" s="1">
        <v>2.5499999999999998</v>
      </c>
      <c r="D751" s="1">
        <v>4.9683000000000002</v>
      </c>
    </row>
    <row r="752" spans="1:4" x14ac:dyDescent="0.2">
      <c r="A752" s="5">
        <v>37545</v>
      </c>
      <c r="B752" s="1">
        <v>4.048</v>
      </c>
      <c r="C752" s="1">
        <v>2.57</v>
      </c>
      <c r="D752" s="1">
        <v>5.0060000000000002</v>
      </c>
    </row>
    <row r="753" spans="1:4" x14ac:dyDescent="0.2">
      <c r="A753" s="5">
        <v>37546</v>
      </c>
      <c r="B753" s="1">
        <v>4.2001999999999997</v>
      </c>
      <c r="C753" s="1">
        <v>2.5499999999999998</v>
      </c>
      <c r="D753" s="1">
        <v>5.1089000000000002</v>
      </c>
    </row>
    <row r="754" spans="1:4" x14ac:dyDescent="0.2">
      <c r="A754" s="5">
        <v>37547</v>
      </c>
      <c r="B754" s="1">
        <v>4.1052999999999997</v>
      </c>
      <c r="C754" s="1">
        <v>2.5499999999999998</v>
      </c>
      <c r="D754" s="1">
        <v>5.0580999999999996</v>
      </c>
    </row>
    <row r="755" spans="1:4" x14ac:dyDescent="0.2">
      <c r="A755" s="5">
        <v>37550</v>
      </c>
      <c r="B755" s="1">
        <v>4.2510000000000003</v>
      </c>
      <c r="C755" s="1">
        <v>2.54</v>
      </c>
      <c r="D755" s="1">
        <v>5.1425999999999998</v>
      </c>
    </row>
    <row r="756" spans="1:4" x14ac:dyDescent="0.2">
      <c r="A756" s="5">
        <v>37551</v>
      </c>
      <c r="B756" s="1">
        <v>4.2584</v>
      </c>
      <c r="C756" s="1">
        <v>2.5099999999999998</v>
      </c>
      <c r="D756" s="1">
        <v>5.1539000000000001</v>
      </c>
    </row>
    <row r="757" spans="1:4" x14ac:dyDescent="0.2">
      <c r="A757" s="5">
        <v>37552</v>
      </c>
      <c r="B757" s="1">
        <v>4.2309999999999999</v>
      </c>
      <c r="C757" s="1">
        <v>2.5099999999999998</v>
      </c>
      <c r="D757" s="1">
        <v>5.1642000000000001</v>
      </c>
    </row>
    <row r="758" spans="1:4" x14ac:dyDescent="0.2">
      <c r="A758" s="5">
        <v>37553</v>
      </c>
      <c r="B758" s="1">
        <v>4.1147</v>
      </c>
      <c r="C758" s="1">
        <v>2.5299999999999998</v>
      </c>
      <c r="D758" s="1">
        <v>5.0864000000000003</v>
      </c>
    </row>
    <row r="759" spans="1:4" x14ac:dyDescent="0.2">
      <c r="A759" s="5">
        <v>37554</v>
      </c>
      <c r="B759" s="1">
        <v>4.0914000000000001</v>
      </c>
      <c r="C759" s="1">
        <v>2.5499999999999998</v>
      </c>
      <c r="D759" s="1">
        <v>5.0833000000000004</v>
      </c>
    </row>
    <row r="760" spans="1:4" x14ac:dyDescent="0.2">
      <c r="A760" s="5">
        <v>37557</v>
      </c>
      <c r="B760" s="1">
        <v>4.0854999999999997</v>
      </c>
      <c r="C760" s="1">
        <v>2.52</v>
      </c>
      <c r="D760" s="1">
        <v>5.1047000000000002</v>
      </c>
    </row>
    <row r="761" spans="1:4" x14ac:dyDescent="0.2">
      <c r="A761" s="5">
        <v>37558</v>
      </c>
      <c r="B761" s="1">
        <v>3.9382000000000001</v>
      </c>
      <c r="C761" s="1">
        <v>2.5099999999999998</v>
      </c>
      <c r="D761" s="1">
        <v>5.0118</v>
      </c>
    </row>
    <row r="762" spans="1:4" x14ac:dyDescent="0.2">
      <c r="A762" s="5">
        <v>37559</v>
      </c>
      <c r="B762" s="1">
        <v>3.9609999999999999</v>
      </c>
      <c r="C762" s="1">
        <v>2.5</v>
      </c>
      <c r="D762" s="1">
        <v>5.0267999999999997</v>
      </c>
    </row>
    <row r="763" spans="1:4" x14ac:dyDescent="0.2">
      <c r="A763" s="5">
        <v>37560</v>
      </c>
      <c r="B763" s="1">
        <v>3.8925000000000001</v>
      </c>
      <c r="C763" s="1">
        <v>2.4700000000000002</v>
      </c>
      <c r="D763" s="1">
        <v>4.9858000000000002</v>
      </c>
    </row>
    <row r="764" spans="1:4" x14ac:dyDescent="0.2">
      <c r="A764" s="5">
        <v>37561</v>
      </c>
      <c r="B764" s="1">
        <v>4.0045000000000002</v>
      </c>
      <c r="C764" s="1">
        <v>2.46</v>
      </c>
      <c r="D764" s="1">
        <v>5.0407999999999999</v>
      </c>
    </row>
    <row r="765" spans="1:4" x14ac:dyDescent="0.2">
      <c r="A765" s="5">
        <v>37564</v>
      </c>
      <c r="B765" s="1">
        <v>4.0427</v>
      </c>
      <c r="C765" s="1">
        <v>2.38</v>
      </c>
      <c r="D765" s="1">
        <v>5.0589000000000004</v>
      </c>
    </row>
    <row r="766" spans="1:4" x14ac:dyDescent="0.2">
      <c r="A766" s="5">
        <v>37565</v>
      </c>
      <c r="B766" s="1">
        <v>4.0696000000000003</v>
      </c>
      <c r="C766" s="1">
        <v>2.35</v>
      </c>
      <c r="D766" s="1">
        <v>5.0770999999999997</v>
      </c>
    </row>
    <row r="767" spans="1:4" x14ac:dyDescent="0.2">
      <c r="A767" s="5">
        <v>37566</v>
      </c>
      <c r="B767" s="1">
        <v>4.0330000000000004</v>
      </c>
      <c r="C767" s="1">
        <v>2.31</v>
      </c>
      <c r="D767" s="1">
        <v>5.0579000000000001</v>
      </c>
    </row>
    <row r="768" spans="1:4" x14ac:dyDescent="0.2">
      <c r="A768" s="5">
        <v>37567</v>
      </c>
      <c r="B768" s="1">
        <v>3.8915999999999999</v>
      </c>
      <c r="C768" s="1">
        <v>2.31</v>
      </c>
      <c r="D768" s="1">
        <v>4.8853999999999997</v>
      </c>
    </row>
    <row r="769" spans="1:4" x14ac:dyDescent="0.2">
      <c r="A769" s="5">
        <v>37568</v>
      </c>
      <c r="B769" s="1">
        <v>3.8557999999999999</v>
      </c>
      <c r="C769" s="1">
        <v>2.31</v>
      </c>
      <c r="D769" s="1">
        <v>4.7633999999999999</v>
      </c>
    </row>
    <row r="770" spans="1:4" x14ac:dyDescent="0.2">
      <c r="A770" s="5">
        <v>37571</v>
      </c>
      <c r="B770" s="1">
        <v>3.8388</v>
      </c>
      <c r="C770" s="1">
        <v>2.31</v>
      </c>
      <c r="D770" s="1">
        <v>4.7889999999999997</v>
      </c>
    </row>
    <row r="771" spans="1:4" x14ac:dyDescent="0.2">
      <c r="A771" s="5">
        <v>37572</v>
      </c>
      <c r="B771" s="1">
        <v>3.8481999999999998</v>
      </c>
      <c r="C771" s="1">
        <v>2.34</v>
      </c>
      <c r="D771" s="1">
        <v>4.7975000000000003</v>
      </c>
    </row>
    <row r="772" spans="1:4" x14ac:dyDescent="0.2">
      <c r="A772" s="5">
        <v>37573</v>
      </c>
      <c r="B772" s="1">
        <v>3.8388</v>
      </c>
      <c r="C772" s="1">
        <v>2.34</v>
      </c>
      <c r="D772" s="1">
        <v>4.7880000000000003</v>
      </c>
    </row>
    <row r="773" spans="1:4" x14ac:dyDescent="0.2">
      <c r="A773" s="5">
        <v>37574</v>
      </c>
      <c r="B773" s="1">
        <v>4.0556000000000001</v>
      </c>
      <c r="C773" s="1">
        <v>2.2400000000000002</v>
      </c>
      <c r="D773" s="1">
        <v>4.9539</v>
      </c>
    </row>
    <row r="774" spans="1:4" x14ac:dyDescent="0.2">
      <c r="A774" s="5">
        <v>37575</v>
      </c>
      <c r="B774" s="1">
        <v>4.0286999999999997</v>
      </c>
      <c r="C774" s="1">
        <v>2.13</v>
      </c>
      <c r="D774" s="1">
        <v>4.9096000000000002</v>
      </c>
    </row>
    <row r="775" spans="1:4" x14ac:dyDescent="0.2">
      <c r="A775" s="5">
        <v>37578</v>
      </c>
      <c r="B775" s="1">
        <v>3.9961000000000002</v>
      </c>
      <c r="C775" s="1">
        <v>2.11</v>
      </c>
      <c r="D775" s="1">
        <v>4.8638000000000003</v>
      </c>
    </row>
    <row r="776" spans="1:4" x14ac:dyDescent="0.2">
      <c r="A776" s="5">
        <v>37579</v>
      </c>
      <c r="B776" s="1">
        <v>3.9769999999999999</v>
      </c>
      <c r="C776" s="1">
        <v>2.11</v>
      </c>
      <c r="D776" s="1">
        <v>4.8502000000000001</v>
      </c>
    </row>
    <row r="777" spans="1:4" x14ac:dyDescent="0.2">
      <c r="A777" s="5">
        <v>37580</v>
      </c>
      <c r="B777" s="1">
        <v>4.0575000000000001</v>
      </c>
      <c r="C777" s="1">
        <v>2.09</v>
      </c>
      <c r="D777" s="1">
        <v>4.9349999999999996</v>
      </c>
    </row>
    <row r="778" spans="1:4" x14ac:dyDescent="0.2">
      <c r="A778" s="5">
        <v>37581</v>
      </c>
      <c r="B778" s="1">
        <v>4.1521999999999997</v>
      </c>
      <c r="C778" s="1">
        <v>2.04</v>
      </c>
      <c r="D778" s="1">
        <v>5.0263999999999998</v>
      </c>
    </row>
    <row r="779" spans="1:4" x14ac:dyDescent="0.2">
      <c r="A779" s="5">
        <v>37582</v>
      </c>
      <c r="B779" s="1">
        <v>4.1776</v>
      </c>
      <c r="C779" s="1">
        <v>2.0299999999999998</v>
      </c>
      <c r="D779" s="1">
        <v>5.0213999999999999</v>
      </c>
    </row>
    <row r="780" spans="1:4" x14ac:dyDescent="0.2">
      <c r="A780" s="5">
        <v>37585</v>
      </c>
      <c r="B780" s="1">
        <v>4.1737000000000002</v>
      </c>
      <c r="C780" s="1">
        <v>2.0299999999999998</v>
      </c>
      <c r="D780" s="1">
        <v>5.0244</v>
      </c>
    </row>
    <row r="781" spans="1:4" x14ac:dyDescent="0.2">
      <c r="A781" s="5">
        <v>37586</v>
      </c>
      <c r="B781" s="1">
        <v>4.0651999999999999</v>
      </c>
      <c r="C781" s="1">
        <v>2.0299999999999998</v>
      </c>
      <c r="D781" s="1">
        <v>4.9368999999999996</v>
      </c>
    </row>
    <row r="782" spans="1:4" x14ac:dyDescent="0.2">
      <c r="A782" s="5">
        <v>37587</v>
      </c>
      <c r="B782" s="1">
        <v>4.258</v>
      </c>
      <c r="C782" s="1">
        <v>1.95</v>
      </c>
      <c r="D782" s="1">
        <v>5.1083999999999996</v>
      </c>
    </row>
    <row r="783" spans="1:4" x14ac:dyDescent="0.2">
      <c r="A783" s="5">
        <v>37588</v>
      </c>
      <c r="B783" s="1">
        <v>4.2503000000000002</v>
      </c>
      <c r="C783" s="1">
        <v>1.95</v>
      </c>
      <c r="D783" s="1">
        <v>5.1073000000000004</v>
      </c>
    </row>
    <row r="784" spans="1:4" x14ac:dyDescent="0.2">
      <c r="A784" s="5">
        <v>37589</v>
      </c>
      <c r="B784" s="1">
        <v>4.2051999999999996</v>
      </c>
      <c r="C784" s="1">
        <v>1.92</v>
      </c>
      <c r="D784" s="1">
        <v>5.0353000000000003</v>
      </c>
    </row>
    <row r="785" spans="1:4" x14ac:dyDescent="0.2">
      <c r="A785" s="5">
        <v>37592</v>
      </c>
      <c r="B785" s="1">
        <v>4.2286999999999999</v>
      </c>
      <c r="C785" s="1">
        <v>1.89</v>
      </c>
      <c r="D785" s="1">
        <v>5.0444000000000004</v>
      </c>
    </row>
    <row r="786" spans="1:4" x14ac:dyDescent="0.2">
      <c r="A786" s="5">
        <v>37593</v>
      </c>
      <c r="B786" s="1">
        <v>4.2012999999999998</v>
      </c>
      <c r="C786" s="1">
        <v>1.89</v>
      </c>
      <c r="D786" s="1">
        <v>5.0323000000000002</v>
      </c>
    </row>
    <row r="787" spans="1:4" x14ac:dyDescent="0.2">
      <c r="A787" s="5">
        <v>37594</v>
      </c>
      <c r="B787" s="1">
        <v>4.1505999999999998</v>
      </c>
      <c r="C787" s="1">
        <v>1.91</v>
      </c>
      <c r="D787" s="1">
        <v>4.9972000000000003</v>
      </c>
    </row>
    <row r="788" spans="1:4" x14ac:dyDescent="0.2">
      <c r="A788" s="5">
        <v>37595</v>
      </c>
      <c r="B788" s="1">
        <v>4.1369999999999996</v>
      </c>
      <c r="C788" s="1">
        <v>1.92</v>
      </c>
      <c r="D788" s="1">
        <v>4.9873000000000003</v>
      </c>
    </row>
    <row r="789" spans="1:4" x14ac:dyDescent="0.2">
      <c r="A789" s="5">
        <v>37596</v>
      </c>
      <c r="B789" s="1">
        <v>4.0827</v>
      </c>
      <c r="C789" s="1">
        <v>1.94</v>
      </c>
      <c r="D789" s="1">
        <v>4.9772999999999996</v>
      </c>
    </row>
    <row r="790" spans="1:4" x14ac:dyDescent="0.2">
      <c r="A790" s="5">
        <v>37599</v>
      </c>
      <c r="B790" s="1">
        <v>4.0343999999999998</v>
      </c>
      <c r="C790" s="1">
        <v>1.95</v>
      </c>
      <c r="D790" s="1">
        <v>4.9307999999999996</v>
      </c>
    </row>
    <row r="791" spans="1:4" x14ac:dyDescent="0.2">
      <c r="A791" s="5">
        <v>37600</v>
      </c>
      <c r="B791" s="1">
        <v>4.0458999999999996</v>
      </c>
      <c r="C791" s="1">
        <v>1.96</v>
      </c>
      <c r="D791" s="1">
        <v>4.9169999999999998</v>
      </c>
    </row>
    <row r="792" spans="1:4" x14ac:dyDescent="0.2">
      <c r="A792" s="5">
        <v>37601</v>
      </c>
      <c r="B792" s="1">
        <v>4.0228000000000002</v>
      </c>
      <c r="C792" s="1">
        <v>1.97</v>
      </c>
      <c r="D792" s="1">
        <v>4.8856999999999999</v>
      </c>
    </row>
    <row r="793" spans="1:4" x14ac:dyDescent="0.2">
      <c r="A793" s="5">
        <v>37602</v>
      </c>
      <c r="B793" s="1">
        <v>4.0228000000000002</v>
      </c>
      <c r="C793" s="1">
        <v>1.95</v>
      </c>
      <c r="D793" s="1">
        <v>4.8925000000000001</v>
      </c>
    </row>
    <row r="794" spans="1:4" x14ac:dyDescent="0.2">
      <c r="A794" s="5">
        <v>37603</v>
      </c>
      <c r="B794" s="1">
        <v>4.0671999999999997</v>
      </c>
      <c r="C794" s="1">
        <v>1.89</v>
      </c>
      <c r="D794" s="1">
        <v>4.9484000000000004</v>
      </c>
    </row>
    <row r="795" spans="1:4" x14ac:dyDescent="0.2">
      <c r="A795" s="5">
        <v>37606</v>
      </c>
      <c r="B795" s="1">
        <v>4.1586999999999996</v>
      </c>
      <c r="C795" s="1">
        <v>1.87</v>
      </c>
      <c r="D795" s="1">
        <v>5.0210999999999997</v>
      </c>
    </row>
    <row r="796" spans="1:4" x14ac:dyDescent="0.2">
      <c r="A796" s="5">
        <v>37607</v>
      </c>
      <c r="B796" s="1">
        <v>4.1235999999999997</v>
      </c>
      <c r="C796" s="1">
        <v>1.85</v>
      </c>
      <c r="D796" s="1">
        <v>5.0190999999999999</v>
      </c>
    </row>
    <row r="797" spans="1:4" x14ac:dyDescent="0.2">
      <c r="A797" s="5">
        <v>37608</v>
      </c>
      <c r="B797" s="1">
        <v>4.0343</v>
      </c>
      <c r="C797" s="1">
        <v>1.86</v>
      </c>
      <c r="D797" s="1">
        <v>4.9603000000000002</v>
      </c>
    </row>
    <row r="798" spans="1:4" x14ac:dyDescent="0.2">
      <c r="A798" s="5">
        <v>37609</v>
      </c>
      <c r="B798" s="1">
        <v>3.9382000000000001</v>
      </c>
      <c r="C798" s="1">
        <v>1.86</v>
      </c>
      <c r="D798" s="1">
        <v>4.8894000000000002</v>
      </c>
    </row>
    <row r="799" spans="1:4" x14ac:dyDescent="0.2">
      <c r="A799" s="5">
        <v>37610</v>
      </c>
      <c r="B799" s="1">
        <v>3.9573</v>
      </c>
      <c r="C799" s="1">
        <v>1.86</v>
      </c>
      <c r="D799" s="1">
        <v>4.8933</v>
      </c>
    </row>
    <row r="800" spans="1:4" x14ac:dyDescent="0.2">
      <c r="A800" s="5">
        <v>37613</v>
      </c>
      <c r="B800" s="1">
        <v>3.9706999999999999</v>
      </c>
      <c r="C800" s="1">
        <v>1.86</v>
      </c>
      <c r="D800" s="1">
        <v>4.8943000000000003</v>
      </c>
    </row>
    <row r="801" spans="1:4" x14ac:dyDescent="0.2">
      <c r="A801" s="5">
        <v>37614</v>
      </c>
      <c r="B801" s="1">
        <v>3.9342000000000001</v>
      </c>
      <c r="C801" s="1">
        <v>1.87</v>
      </c>
      <c r="D801" s="1">
        <v>4.867</v>
      </c>
    </row>
    <row r="802" spans="1:4" x14ac:dyDescent="0.2">
      <c r="A802" s="5">
        <v>37615</v>
      </c>
      <c r="B802" s="1">
        <v>3.9323000000000001</v>
      </c>
      <c r="C802" s="1">
        <v>1.87</v>
      </c>
      <c r="D802" s="1">
        <v>4.8669000000000002</v>
      </c>
    </row>
    <row r="803" spans="1:4" x14ac:dyDescent="0.2">
      <c r="A803" s="5">
        <v>37616</v>
      </c>
      <c r="B803" s="1">
        <v>3.9016000000000002</v>
      </c>
      <c r="C803" s="1">
        <v>1.87</v>
      </c>
      <c r="D803" s="1">
        <v>4.8571999999999997</v>
      </c>
    </row>
    <row r="804" spans="1:4" x14ac:dyDescent="0.2">
      <c r="A804" s="5">
        <v>37617</v>
      </c>
      <c r="B804" s="1">
        <v>3.8083</v>
      </c>
      <c r="C804" s="1">
        <v>1.86</v>
      </c>
      <c r="D804" s="1">
        <v>4.7812000000000001</v>
      </c>
    </row>
    <row r="805" spans="1:4" x14ac:dyDescent="0.2">
      <c r="A805" s="5">
        <v>37620</v>
      </c>
      <c r="B805" s="1">
        <v>3.7949000000000002</v>
      </c>
      <c r="C805" s="1">
        <v>1.85</v>
      </c>
      <c r="D805" s="1">
        <v>4.7526999999999999</v>
      </c>
    </row>
    <row r="806" spans="1:4" x14ac:dyDescent="0.2">
      <c r="A806" s="5">
        <v>37621</v>
      </c>
      <c r="B806" s="1">
        <v>3.8159999999999998</v>
      </c>
      <c r="C806" s="1">
        <v>1.84</v>
      </c>
      <c r="D806" s="1">
        <v>4.7779999999999996</v>
      </c>
    </row>
    <row r="807" spans="1:4" x14ac:dyDescent="0.2">
      <c r="A807" s="5">
        <v>37622</v>
      </c>
      <c r="B807" s="1">
        <v>3.8174999999999999</v>
      </c>
      <c r="C807" s="1">
        <v>1.84</v>
      </c>
      <c r="D807" s="1">
        <v>4.7792000000000003</v>
      </c>
    </row>
    <row r="808" spans="1:4" x14ac:dyDescent="0.2">
      <c r="A808" s="5">
        <v>37623</v>
      </c>
      <c r="B808" s="1">
        <v>4.0305</v>
      </c>
      <c r="C808" s="1">
        <v>1.82</v>
      </c>
      <c r="D808" s="1">
        <v>4.9550999999999998</v>
      </c>
    </row>
    <row r="809" spans="1:4" x14ac:dyDescent="0.2">
      <c r="A809" s="5">
        <v>37624</v>
      </c>
      <c r="B809" s="1">
        <v>4.0168999999999997</v>
      </c>
      <c r="C809" s="1">
        <v>1.81</v>
      </c>
      <c r="D809" s="1">
        <v>4.9531000000000001</v>
      </c>
    </row>
    <row r="810" spans="1:4" x14ac:dyDescent="0.2">
      <c r="A810" s="5">
        <v>37627</v>
      </c>
      <c r="B810" s="1">
        <v>4.0518000000000001</v>
      </c>
      <c r="C810" s="1">
        <v>1.79</v>
      </c>
      <c r="D810" s="1">
        <v>4.9748999999999999</v>
      </c>
    </row>
    <row r="811" spans="1:4" x14ac:dyDescent="0.2">
      <c r="A811" s="5">
        <v>37628</v>
      </c>
      <c r="B811" s="1">
        <v>4.0053000000000001</v>
      </c>
      <c r="C811" s="1">
        <v>1.76</v>
      </c>
      <c r="D811" s="1">
        <v>4.9490999999999996</v>
      </c>
    </row>
    <row r="812" spans="1:4" x14ac:dyDescent="0.2">
      <c r="A812" s="5">
        <v>37629</v>
      </c>
      <c r="B812" s="1">
        <v>4.0168999999999997</v>
      </c>
      <c r="C812" s="1">
        <v>1.76</v>
      </c>
      <c r="D812" s="1">
        <v>4.9432</v>
      </c>
    </row>
    <row r="813" spans="1:4" x14ac:dyDescent="0.2">
      <c r="A813" s="5">
        <v>37630</v>
      </c>
      <c r="B813" s="1">
        <v>4.1790000000000003</v>
      </c>
      <c r="C813" s="1">
        <v>1.75</v>
      </c>
      <c r="D813" s="1">
        <v>5.0713999999999997</v>
      </c>
    </row>
    <row r="814" spans="1:4" x14ac:dyDescent="0.2">
      <c r="A814" s="5">
        <v>37631</v>
      </c>
      <c r="B814" s="1">
        <v>4.1319999999999997</v>
      </c>
      <c r="C814" s="1">
        <v>1.75</v>
      </c>
      <c r="D814" s="1">
        <v>5.0449999999999999</v>
      </c>
    </row>
    <row r="815" spans="1:4" x14ac:dyDescent="0.2">
      <c r="A815" s="5">
        <v>37634</v>
      </c>
      <c r="B815" s="1">
        <v>4.1201999999999996</v>
      </c>
      <c r="C815" s="1">
        <v>1.71</v>
      </c>
      <c r="D815" s="1">
        <v>5.0248999999999997</v>
      </c>
    </row>
    <row r="816" spans="1:4" x14ac:dyDescent="0.2">
      <c r="A816" s="5">
        <v>37635</v>
      </c>
      <c r="B816" s="1">
        <v>4.0772000000000004</v>
      </c>
      <c r="C816" s="1">
        <v>1.71</v>
      </c>
      <c r="D816" s="1">
        <v>4.9988000000000001</v>
      </c>
    </row>
    <row r="817" spans="1:4" x14ac:dyDescent="0.2">
      <c r="A817" s="5">
        <v>37636</v>
      </c>
      <c r="B817" s="1">
        <v>4.0597000000000003</v>
      </c>
      <c r="C817" s="1">
        <v>1.67</v>
      </c>
      <c r="D817" s="1">
        <v>4.9608999999999996</v>
      </c>
    </row>
    <row r="818" spans="1:4" x14ac:dyDescent="0.2">
      <c r="A818" s="5">
        <v>37637</v>
      </c>
      <c r="B818" s="1">
        <v>4.0773000000000001</v>
      </c>
      <c r="C818" s="1">
        <v>1.69</v>
      </c>
      <c r="D818" s="1">
        <v>4.9687999999999999</v>
      </c>
    </row>
    <row r="819" spans="1:4" x14ac:dyDescent="0.2">
      <c r="A819" s="5">
        <v>37638</v>
      </c>
      <c r="B819" s="1">
        <v>4.0091000000000001</v>
      </c>
      <c r="C819" s="1">
        <v>1.69</v>
      </c>
      <c r="D819" s="1">
        <v>4.9212999999999996</v>
      </c>
    </row>
    <row r="820" spans="1:4" x14ac:dyDescent="0.2">
      <c r="A820" s="5">
        <v>37641</v>
      </c>
      <c r="B820" s="1">
        <v>4.0149999999999997</v>
      </c>
      <c r="C820" s="1">
        <v>1.69</v>
      </c>
      <c r="D820" s="1">
        <v>4.9222999999999999</v>
      </c>
    </row>
    <row r="821" spans="1:4" x14ac:dyDescent="0.2">
      <c r="A821" s="5">
        <v>37642</v>
      </c>
      <c r="B821" s="1">
        <v>3.9702999999999999</v>
      </c>
      <c r="C821" s="1">
        <v>1.71</v>
      </c>
      <c r="D821" s="1">
        <v>4.8918999999999997</v>
      </c>
    </row>
    <row r="822" spans="1:4" x14ac:dyDescent="0.2">
      <c r="A822" s="5">
        <v>37643</v>
      </c>
      <c r="B822" s="1">
        <v>3.9144000000000001</v>
      </c>
      <c r="C822" s="1">
        <v>1.74</v>
      </c>
      <c r="D822" s="1">
        <v>4.8529</v>
      </c>
    </row>
    <row r="823" spans="1:4" x14ac:dyDescent="0.2">
      <c r="A823" s="5">
        <v>37644</v>
      </c>
      <c r="B823" s="1">
        <v>3.9355000000000002</v>
      </c>
      <c r="C823" s="1">
        <v>1.73</v>
      </c>
      <c r="D823" s="1">
        <v>4.8849999999999998</v>
      </c>
    </row>
    <row r="824" spans="1:4" x14ac:dyDescent="0.2">
      <c r="A824" s="5">
        <v>37645</v>
      </c>
      <c r="B824" s="1">
        <v>3.9278</v>
      </c>
      <c r="C824" s="1">
        <v>1.72</v>
      </c>
      <c r="D824" s="1">
        <v>4.8616000000000001</v>
      </c>
    </row>
    <row r="825" spans="1:4" x14ac:dyDescent="0.2">
      <c r="A825" s="5">
        <v>37648</v>
      </c>
      <c r="B825" s="1">
        <v>3.9624999999999999</v>
      </c>
      <c r="C825" s="1">
        <v>1.73</v>
      </c>
      <c r="D825" s="1">
        <v>4.883</v>
      </c>
    </row>
    <row r="826" spans="1:4" x14ac:dyDescent="0.2">
      <c r="A826" s="5">
        <v>37649</v>
      </c>
      <c r="B826" s="1">
        <v>3.9683000000000002</v>
      </c>
      <c r="C826" s="1">
        <v>1.73</v>
      </c>
      <c r="D826" s="1">
        <v>4.8703000000000003</v>
      </c>
    </row>
    <row r="827" spans="1:4" x14ac:dyDescent="0.2">
      <c r="A827" s="5">
        <v>37650</v>
      </c>
      <c r="B827" s="1">
        <v>4.0208000000000004</v>
      </c>
      <c r="C827" s="1">
        <v>1.72</v>
      </c>
      <c r="D827" s="1">
        <v>4.9085000000000001</v>
      </c>
    </row>
    <row r="828" spans="1:4" x14ac:dyDescent="0.2">
      <c r="A828" s="5">
        <v>37651</v>
      </c>
      <c r="B828" s="1">
        <v>3.9605999999999999</v>
      </c>
      <c r="C828" s="1">
        <v>1.71</v>
      </c>
      <c r="D828" s="1">
        <v>4.8684000000000003</v>
      </c>
    </row>
    <row r="829" spans="1:4" x14ac:dyDescent="0.2">
      <c r="A829" s="5">
        <v>37652</v>
      </c>
      <c r="B829" s="1">
        <v>3.9624999999999999</v>
      </c>
      <c r="C829" s="1">
        <v>1.68</v>
      </c>
      <c r="D829" s="1">
        <v>4.8411</v>
      </c>
    </row>
    <row r="830" spans="1:4" x14ac:dyDescent="0.2">
      <c r="A830" s="5">
        <v>37655</v>
      </c>
      <c r="B830" s="1">
        <v>3.9916</v>
      </c>
      <c r="C830" s="1">
        <v>1.67</v>
      </c>
      <c r="D830" s="1">
        <v>4.8381999999999996</v>
      </c>
    </row>
    <row r="831" spans="1:4" x14ac:dyDescent="0.2">
      <c r="A831" s="5">
        <v>37656</v>
      </c>
      <c r="B831" s="1">
        <v>3.9199000000000002</v>
      </c>
      <c r="C831" s="1">
        <v>1.68</v>
      </c>
      <c r="D831" s="1">
        <v>4.7892000000000001</v>
      </c>
    </row>
    <row r="832" spans="1:4" x14ac:dyDescent="0.2">
      <c r="A832" s="5">
        <v>37657</v>
      </c>
      <c r="B832" s="1">
        <v>3.9954999999999998</v>
      </c>
      <c r="C832" s="1">
        <v>1.67</v>
      </c>
      <c r="D832" s="1">
        <v>4.8556999999999997</v>
      </c>
    </row>
    <row r="833" spans="1:4" x14ac:dyDescent="0.2">
      <c r="A833" s="5">
        <v>37658</v>
      </c>
      <c r="B833" s="1">
        <v>3.9449999999999998</v>
      </c>
      <c r="C833" s="1">
        <v>1.67</v>
      </c>
      <c r="D833" s="1">
        <v>4.8112000000000004</v>
      </c>
    </row>
    <row r="834" spans="1:4" x14ac:dyDescent="0.2">
      <c r="A834" s="5">
        <v>37659</v>
      </c>
      <c r="B834" s="1">
        <v>3.9293999999999998</v>
      </c>
      <c r="C834" s="1">
        <v>1.66</v>
      </c>
      <c r="D834" s="1">
        <v>4.8063000000000002</v>
      </c>
    </row>
    <row r="835" spans="1:4" x14ac:dyDescent="0.2">
      <c r="A835" s="5">
        <v>37662</v>
      </c>
      <c r="B835" s="1">
        <v>3.9643000000000002</v>
      </c>
      <c r="C835" s="1">
        <v>1.66</v>
      </c>
      <c r="D835" s="1">
        <v>4.8498000000000001</v>
      </c>
    </row>
    <row r="836" spans="1:4" x14ac:dyDescent="0.2">
      <c r="A836" s="5">
        <v>37663</v>
      </c>
      <c r="B836" s="1">
        <v>3.9565999999999999</v>
      </c>
      <c r="C836" s="1">
        <v>1.66</v>
      </c>
      <c r="D836" s="1">
        <v>4.8613999999999997</v>
      </c>
    </row>
    <row r="837" spans="1:4" x14ac:dyDescent="0.2">
      <c r="A837" s="5">
        <v>37664</v>
      </c>
      <c r="B837" s="1">
        <v>3.9081000000000001</v>
      </c>
      <c r="C837" s="1">
        <v>1.66</v>
      </c>
      <c r="D837" s="1">
        <v>4.8438999999999997</v>
      </c>
    </row>
    <row r="838" spans="1:4" x14ac:dyDescent="0.2">
      <c r="A838" s="5">
        <v>37665</v>
      </c>
      <c r="B838" s="1">
        <v>3.8769</v>
      </c>
      <c r="C838" s="1">
        <v>1.69</v>
      </c>
      <c r="D838" s="1">
        <v>4.8091999999999997</v>
      </c>
    </row>
    <row r="839" spans="1:4" x14ac:dyDescent="0.2">
      <c r="A839" s="5">
        <v>37666</v>
      </c>
      <c r="B839" s="1">
        <v>3.9609999999999999</v>
      </c>
      <c r="C839" s="1">
        <v>1.69</v>
      </c>
      <c r="D839" s="1">
        <v>4.8798000000000004</v>
      </c>
    </row>
    <row r="840" spans="1:4" x14ac:dyDescent="0.2">
      <c r="A840" s="5">
        <v>37669</v>
      </c>
      <c r="B840" s="1">
        <v>3.9628000000000001</v>
      </c>
      <c r="C840" s="1">
        <v>1.69</v>
      </c>
      <c r="D840" s="1">
        <v>4.8826999999999998</v>
      </c>
    </row>
    <row r="841" spans="1:4" x14ac:dyDescent="0.2">
      <c r="A841" s="5">
        <v>37670</v>
      </c>
      <c r="B841" s="1">
        <v>3.9493999999999998</v>
      </c>
      <c r="C841" s="1">
        <v>1.69</v>
      </c>
      <c r="D841" s="1">
        <v>4.8632</v>
      </c>
    </row>
    <row r="842" spans="1:4" x14ac:dyDescent="0.2">
      <c r="A842" s="5">
        <v>37671</v>
      </c>
      <c r="B842" s="1">
        <v>3.8824999999999998</v>
      </c>
      <c r="C842" s="1">
        <v>1.69</v>
      </c>
      <c r="D842" s="1">
        <v>4.8167</v>
      </c>
    </row>
    <row r="843" spans="1:4" x14ac:dyDescent="0.2">
      <c r="A843" s="5">
        <v>37672</v>
      </c>
      <c r="B843" s="1">
        <v>3.8673000000000002</v>
      </c>
      <c r="C843" s="1">
        <v>1.68</v>
      </c>
      <c r="D843" s="1">
        <v>4.8089000000000004</v>
      </c>
    </row>
    <row r="844" spans="1:4" x14ac:dyDescent="0.2">
      <c r="A844" s="5">
        <v>37673</v>
      </c>
      <c r="B844" s="1">
        <v>3.8881999999999999</v>
      </c>
      <c r="C844" s="1">
        <v>1.68</v>
      </c>
      <c r="D844" s="1">
        <v>4.8455000000000004</v>
      </c>
    </row>
    <row r="845" spans="1:4" x14ac:dyDescent="0.2">
      <c r="A845" s="5">
        <v>37676</v>
      </c>
      <c r="B845" s="1">
        <v>3.8445</v>
      </c>
      <c r="C845" s="1">
        <v>1.67</v>
      </c>
      <c r="D845" s="1">
        <v>4.8098000000000001</v>
      </c>
    </row>
    <row r="846" spans="1:4" x14ac:dyDescent="0.2">
      <c r="A846" s="5">
        <v>37677</v>
      </c>
      <c r="B846" s="1">
        <v>3.8197999999999999</v>
      </c>
      <c r="C846" s="1">
        <v>1.68</v>
      </c>
      <c r="D846" s="1">
        <v>4.7781000000000002</v>
      </c>
    </row>
    <row r="847" spans="1:4" x14ac:dyDescent="0.2">
      <c r="A847" s="5">
        <v>37678</v>
      </c>
      <c r="B847" s="1">
        <v>3.7650000000000001</v>
      </c>
      <c r="C847" s="1">
        <v>1.67</v>
      </c>
      <c r="D847" s="1">
        <v>4.7419000000000002</v>
      </c>
    </row>
    <row r="848" spans="1:4" x14ac:dyDescent="0.2">
      <c r="A848" s="5">
        <v>37679</v>
      </c>
      <c r="B848" s="1">
        <v>3.7366999999999999</v>
      </c>
      <c r="C848" s="1">
        <v>1.67</v>
      </c>
      <c r="D848" s="1">
        <v>4.7172000000000001</v>
      </c>
    </row>
    <row r="849" spans="1:4" x14ac:dyDescent="0.2">
      <c r="A849" s="5">
        <v>37680</v>
      </c>
      <c r="B849" s="1">
        <v>3.6897000000000002</v>
      </c>
      <c r="C849" s="1">
        <v>1.64</v>
      </c>
      <c r="D849" s="1">
        <v>4.6692</v>
      </c>
    </row>
    <row r="850" spans="1:4" x14ac:dyDescent="0.2">
      <c r="A850" s="5">
        <v>37683</v>
      </c>
      <c r="B850" s="1">
        <v>3.6728000000000001</v>
      </c>
      <c r="C850" s="1">
        <v>1.63</v>
      </c>
      <c r="D850" s="1">
        <v>4.6692</v>
      </c>
    </row>
    <row r="851" spans="1:4" x14ac:dyDescent="0.2">
      <c r="A851" s="5">
        <v>37684</v>
      </c>
      <c r="B851" s="1">
        <v>3.6465000000000001</v>
      </c>
      <c r="C851" s="1">
        <v>1.65</v>
      </c>
      <c r="D851" s="1">
        <v>4.6700999999999997</v>
      </c>
    </row>
    <row r="852" spans="1:4" x14ac:dyDescent="0.2">
      <c r="A852" s="5">
        <v>37685</v>
      </c>
      <c r="B852" s="1">
        <v>3.6278000000000001</v>
      </c>
      <c r="C852" s="1">
        <v>1.67</v>
      </c>
      <c r="D852" s="1">
        <v>4.6635</v>
      </c>
    </row>
    <row r="853" spans="1:4" x14ac:dyDescent="0.2">
      <c r="A853" s="5">
        <v>37686</v>
      </c>
      <c r="B853" s="1">
        <v>3.6558000000000002</v>
      </c>
      <c r="C853" s="1">
        <v>1.68</v>
      </c>
      <c r="D853" s="1">
        <v>4.6971999999999996</v>
      </c>
    </row>
    <row r="854" spans="1:4" x14ac:dyDescent="0.2">
      <c r="A854" s="5">
        <v>37687</v>
      </c>
      <c r="B854" s="1">
        <v>3.6406000000000001</v>
      </c>
      <c r="C854" s="1">
        <v>1.7</v>
      </c>
      <c r="D854" s="1">
        <v>4.6839000000000004</v>
      </c>
    </row>
    <row r="855" spans="1:4" x14ac:dyDescent="0.2">
      <c r="A855" s="5">
        <v>37690</v>
      </c>
      <c r="B855" s="1">
        <v>3.5606</v>
      </c>
      <c r="C855" s="1">
        <v>1.71</v>
      </c>
      <c r="D855" s="1">
        <v>4.641</v>
      </c>
    </row>
    <row r="856" spans="1:4" x14ac:dyDescent="0.2">
      <c r="A856" s="5">
        <v>37691</v>
      </c>
      <c r="B856" s="1">
        <v>3.5809000000000002</v>
      </c>
      <c r="C856" s="1">
        <v>1.71</v>
      </c>
      <c r="D856" s="1">
        <v>4.6436999999999999</v>
      </c>
    </row>
    <row r="857" spans="1:4" x14ac:dyDescent="0.2">
      <c r="A857" s="5">
        <v>37692</v>
      </c>
      <c r="B857" s="1">
        <v>3.5808</v>
      </c>
      <c r="C857" s="1">
        <v>1.72</v>
      </c>
      <c r="D857" s="1">
        <v>4.6104000000000003</v>
      </c>
    </row>
    <row r="858" spans="1:4" x14ac:dyDescent="0.2">
      <c r="A858" s="5">
        <v>37693</v>
      </c>
      <c r="B858" s="1">
        <v>3.7456</v>
      </c>
      <c r="C858" s="1">
        <v>1.69</v>
      </c>
      <c r="D858" s="1">
        <v>4.7450999999999999</v>
      </c>
    </row>
    <row r="859" spans="1:4" x14ac:dyDescent="0.2">
      <c r="A859" s="5">
        <v>37694</v>
      </c>
      <c r="B859" s="1">
        <v>3.7002000000000002</v>
      </c>
      <c r="C859" s="1">
        <v>1.68</v>
      </c>
      <c r="D859" s="1">
        <v>4.7061999999999999</v>
      </c>
    </row>
    <row r="860" spans="1:4" x14ac:dyDescent="0.2">
      <c r="A860" s="5">
        <v>37697</v>
      </c>
      <c r="B860" s="1">
        <v>3.8384</v>
      </c>
      <c r="C860" s="1">
        <v>1.67</v>
      </c>
      <c r="D860" s="1">
        <v>4.8003999999999998</v>
      </c>
    </row>
    <row r="861" spans="1:4" x14ac:dyDescent="0.2">
      <c r="A861" s="5">
        <v>37698</v>
      </c>
      <c r="B861" s="1">
        <v>3.9053</v>
      </c>
      <c r="C861" s="1">
        <v>1.66</v>
      </c>
      <c r="D861" s="1">
        <v>4.8760000000000003</v>
      </c>
    </row>
    <row r="862" spans="1:4" x14ac:dyDescent="0.2">
      <c r="A862" s="5">
        <v>37699</v>
      </c>
      <c r="B862" s="1">
        <v>3.9843000000000002</v>
      </c>
      <c r="C862" s="1">
        <v>1.65</v>
      </c>
      <c r="D862" s="1">
        <v>4.9250999999999996</v>
      </c>
    </row>
    <row r="863" spans="1:4" x14ac:dyDescent="0.2">
      <c r="A863" s="5">
        <v>37700</v>
      </c>
      <c r="B863" s="1">
        <v>3.9533999999999998</v>
      </c>
      <c r="C863" s="1">
        <v>1.65</v>
      </c>
      <c r="D863" s="1">
        <v>4.9279999999999999</v>
      </c>
    </row>
    <row r="864" spans="1:4" x14ac:dyDescent="0.2">
      <c r="A864" s="5">
        <v>37701</v>
      </c>
      <c r="B864" s="1">
        <v>4.1031000000000004</v>
      </c>
      <c r="C864" s="1">
        <v>1.63</v>
      </c>
      <c r="D864" s="1">
        <v>5.0399000000000003</v>
      </c>
    </row>
    <row r="865" spans="1:4" x14ac:dyDescent="0.2">
      <c r="A865" s="5">
        <v>37704</v>
      </c>
      <c r="B865" s="1">
        <v>3.9651000000000001</v>
      </c>
      <c r="C865" s="1">
        <v>1.63</v>
      </c>
      <c r="D865" s="1">
        <v>4.9268999999999998</v>
      </c>
    </row>
    <row r="866" spans="1:4" x14ac:dyDescent="0.2">
      <c r="A866" s="5">
        <v>37705</v>
      </c>
      <c r="B866" s="1">
        <v>3.9419</v>
      </c>
      <c r="C866" s="1">
        <v>1.62</v>
      </c>
      <c r="D866" s="1">
        <v>4.9238999999999997</v>
      </c>
    </row>
    <row r="867" spans="1:4" x14ac:dyDescent="0.2">
      <c r="A867" s="5">
        <v>37706</v>
      </c>
      <c r="B867" s="1">
        <v>3.9283999999999999</v>
      </c>
      <c r="C867" s="1">
        <v>1.59</v>
      </c>
      <c r="D867" s="1">
        <v>4.9249000000000001</v>
      </c>
    </row>
    <row r="868" spans="1:4" x14ac:dyDescent="0.2">
      <c r="A868" s="5">
        <v>37707</v>
      </c>
      <c r="B868" s="1">
        <v>3.9226000000000001</v>
      </c>
      <c r="C868" s="1">
        <v>1.6</v>
      </c>
      <c r="D868" s="1">
        <v>4.9298000000000002</v>
      </c>
    </row>
    <row r="869" spans="1:4" x14ac:dyDescent="0.2">
      <c r="A869" s="5">
        <v>37708</v>
      </c>
      <c r="B869" s="1">
        <v>3.8976000000000002</v>
      </c>
      <c r="C869" s="1">
        <v>1.59</v>
      </c>
      <c r="D869" s="1">
        <v>4.9128999999999996</v>
      </c>
    </row>
    <row r="870" spans="1:4" x14ac:dyDescent="0.2">
      <c r="A870" s="5">
        <v>37711</v>
      </c>
      <c r="B870" s="1">
        <v>3.7959999999999998</v>
      </c>
      <c r="C870" s="1">
        <v>1.59</v>
      </c>
      <c r="D870" s="1">
        <v>4.8154000000000003</v>
      </c>
    </row>
    <row r="871" spans="1:4" x14ac:dyDescent="0.2">
      <c r="A871" s="5">
        <v>37712</v>
      </c>
      <c r="B871" s="1">
        <v>3.8094999999999999</v>
      </c>
      <c r="C871" s="1">
        <v>1.59</v>
      </c>
      <c r="D871" s="1">
        <v>4.8250000000000002</v>
      </c>
    </row>
    <row r="872" spans="1:4" x14ac:dyDescent="0.2">
      <c r="A872" s="5">
        <v>37713</v>
      </c>
      <c r="B872" s="1">
        <v>3.9285000000000001</v>
      </c>
      <c r="C872" s="1">
        <v>1.58</v>
      </c>
      <c r="D872" s="1">
        <v>4.9207000000000001</v>
      </c>
    </row>
    <row r="873" spans="1:4" x14ac:dyDescent="0.2">
      <c r="A873" s="5">
        <v>37714</v>
      </c>
      <c r="B873" s="1">
        <v>3.9091999999999998</v>
      </c>
      <c r="C873" s="1">
        <v>1.57</v>
      </c>
      <c r="D873" s="1">
        <v>4.9276</v>
      </c>
    </row>
    <row r="874" spans="1:4" x14ac:dyDescent="0.2">
      <c r="A874" s="5">
        <v>37715</v>
      </c>
      <c r="B874" s="1">
        <v>3.9517000000000002</v>
      </c>
      <c r="C874" s="1">
        <v>1.57</v>
      </c>
      <c r="D874" s="1">
        <v>4.9642999999999997</v>
      </c>
    </row>
    <row r="875" spans="1:4" x14ac:dyDescent="0.2">
      <c r="A875" s="5">
        <v>37718</v>
      </c>
      <c r="B875" s="1">
        <v>3.9769000000000001</v>
      </c>
      <c r="C875" s="1">
        <v>1.56</v>
      </c>
      <c r="D875" s="1">
        <v>4.9683000000000002</v>
      </c>
    </row>
    <row r="876" spans="1:4" x14ac:dyDescent="0.2">
      <c r="A876" s="5">
        <v>37719</v>
      </c>
      <c r="B876" s="1">
        <v>3.9323999999999999</v>
      </c>
      <c r="C876" s="1">
        <v>1.56</v>
      </c>
      <c r="D876" s="1">
        <v>4.9255000000000004</v>
      </c>
    </row>
    <row r="877" spans="1:4" x14ac:dyDescent="0.2">
      <c r="A877" s="5">
        <v>37720</v>
      </c>
      <c r="B877" s="1">
        <v>3.8957000000000002</v>
      </c>
      <c r="C877" s="1">
        <v>1.57</v>
      </c>
      <c r="D877" s="1">
        <v>4.9017999999999997</v>
      </c>
    </row>
    <row r="878" spans="1:4" x14ac:dyDescent="0.2">
      <c r="A878" s="5">
        <v>37721</v>
      </c>
      <c r="B878" s="1">
        <v>3.9420999999999999</v>
      </c>
      <c r="C878" s="1">
        <v>1.57</v>
      </c>
      <c r="D878" s="1">
        <v>4.9382999999999999</v>
      </c>
    </row>
    <row r="879" spans="1:4" x14ac:dyDescent="0.2">
      <c r="A879" s="5">
        <v>37722</v>
      </c>
      <c r="B879" s="1">
        <v>3.9712000000000001</v>
      </c>
      <c r="C879" s="1">
        <v>1.56</v>
      </c>
      <c r="D879" s="1">
        <v>4.9481999999999999</v>
      </c>
    </row>
    <row r="880" spans="1:4" x14ac:dyDescent="0.2">
      <c r="A880" s="5">
        <v>37725</v>
      </c>
      <c r="B880" s="1">
        <v>4.0140000000000002</v>
      </c>
      <c r="C880" s="1">
        <v>1.54</v>
      </c>
      <c r="D880" s="1">
        <v>4.9781000000000004</v>
      </c>
    </row>
    <row r="881" spans="1:4" x14ac:dyDescent="0.2">
      <c r="A881" s="5">
        <v>37726</v>
      </c>
      <c r="B881" s="1">
        <v>3.9847999999999999</v>
      </c>
      <c r="C881" s="1">
        <v>1.49</v>
      </c>
      <c r="D881" s="1">
        <v>4.9531000000000001</v>
      </c>
    </row>
    <row r="882" spans="1:4" x14ac:dyDescent="0.2">
      <c r="A882" s="5">
        <v>37727</v>
      </c>
      <c r="B882" s="1">
        <v>3.9382000000000001</v>
      </c>
      <c r="C882" s="1">
        <v>1.48</v>
      </c>
      <c r="D882" s="1">
        <v>4.9066000000000001</v>
      </c>
    </row>
    <row r="883" spans="1:4" x14ac:dyDescent="0.2">
      <c r="A883" s="5">
        <v>37728</v>
      </c>
      <c r="B883" s="1">
        <v>3.9558</v>
      </c>
      <c r="C883" s="1">
        <v>1.47</v>
      </c>
      <c r="D883" s="1">
        <v>4.8906999999999998</v>
      </c>
    </row>
    <row r="884" spans="1:4" x14ac:dyDescent="0.2">
      <c r="A884" s="5">
        <v>37729</v>
      </c>
      <c r="B884" s="1">
        <v>3.9558</v>
      </c>
      <c r="C884" s="1">
        <v>1.47</v>
      </c>
      <c r="D884" s="1">
        <v>4.8897000000000004</v>
      </c>
    </row>
    <row r="885" spans="1:4" x14ac:dyDescent="0.2">
      <c r="A885" s="5">
        <v>37732</v>
      </c>
      <c r="B885" s="1">
        <v>3.9811000000000001</v>
      </c>
      <c r="C885" s="1">
        <v>1.45</v>
      </c>
      <c r="D885" s="1">
        <v>4.8975999999999997</v>
      </c>
    </row>
    <row r="886" spans="1:4" x14ac:dyDescent="0.2">
      <c r="A886" s="5">
        <v>37733</v>
      </c>
      <c r="B886" s="1">
        <v>3.9636</v>
      </c>
      <c r="C886" s="1">
        <v>1.45</v>
      </c>
      <c r="D886" s="1">
        <v>4.8917000000000002</v>
      </c>
    </row>
    <row r="887" spans="1:4" x14ac:dyDescent="0.2">
      <c r="A887" s="5">
        <v>37734</v>
      </c>
      <c r="B887" s="1">
        <v>3.9752999999999998</v>
      </c>
      <c r="C887" s="1">
        <v>1.42</v>
      </c>
      <c r="D887" s="1">
        <v>4.8837999999999999</v>
      </c>
    </row>
    <row r="888" spans="1:4" x14ac:dyDescent="0.2">
      <c r="A888" s="5">
        <v>37735</v>
      </c>
      <c r="B888" s="1">
        <v>3.9188999999999998</v>
      </c>
      <c r="C888" s="1">
        <v>1.42</v>
      </c>
      <c r="D888" s="1">
        <v>4.8369</v>
      </c>
    </row>
    <row r="889" spans="1:4" x14ac:dyDescent="0.2">
      <c r="A889" s="5">
        <v>37736</v>
      </c>
      <c r="B889" s="1">
        <v>3.8879999999999999</v>
      </c>
      <c r="C889" s="1">
        <v>1.42</v>
      </c>
      <c r="D889" s="1">
        <v>4.8146000000000004</v>
      </c>
    </row>
    <row r="890" spans="1:4" x14ac:dyDescent="0.2">
      <c r="A890" s="5">
        <v>37739</v>
      </c>
      <c r="B890" s="1">
        <v>3.9015</v>
      </c>
      <c r="C890" s="1">
        <v>1.42</v>
      </c>
      <c r="D890" s="1">
        <v>4.8251999999999997</v>
      </c>
    </row>
    <row r="891" spans="1:4" x14ac:dyDescent="0.2">
      <c r="A891" s="5">
        <v>37740</v>
      </c>
      <c r="B891" s="1">
        <v>3.9266999999999999</v>
      </c>
      <c r="C891" s="1">
        <v>1.41</v>
      </c>
      <c r="D891" s="1">
        <v>4.8377999999999997</v>
      </c>
    </row>
    <row r="892" spans="1:4" x14ac:dyDescent="0.2">
      <c r="A892" s="5">
        <v>37741</v>
      </c>
      <c r="B892" s="1">
        <v>3.8359000000000001</v>
      </c>
      <c r="C892" s="1">
        <v>1.33</v>
      </c>
      <c r="D892" s="1">
        <v>4.7645</v>
      </c>
    </row>
    <row r="893" spans="1:4" x14ac:dyDescent="0.2">
      <c r="A893" s="5">
        <v>37742</v>
      </c>
      <c r="B893" s="1">
        <v>3.8397000000000001</v>
      </c>
      <c r="C893" s="1">
        <v>1.33</v>
      </c>
      <c r="D893" s="1">
        <v>4.7750000000000004</v>
      </c>
    </row>
    <row r="894" spans="1:4" x14ac:dyDescent="0.2">
      <c r="A894" s="5">
        <v>37743</v>
      </c>
      <c r="B894" s="1">
        <v>3.919</v>
      </c>
      <c r="C894" s="1">
        <v>1.31</v>
      </c>
      <c r="D894" s="1">
        <v>4.8318000000000003</v>
      </c>
    </row>
    <row r="895" spans="1:4" x14ac:dyDescent="0.2">
      <c r="A895" s="5">
        <v>37746</v>
      </c>
      <c r="B895" s="1">
        <v>3.8841000000000001</v>
      </c>
      <c r="C895" s="1">
        <v>1.31</v>
      </c>
      <c r="D895" s="1">
        <v>4.7999000000000001</v>
      </c>
    </row>
    <row r="896" spans="1:4" x14ac:dyDescent="0.2">
      <c r="A896" s="5">
        <v>37747</v>
      </c>
      <c r="B896" s="1">
        <v>3.7839</v>
      </c>
      <c r="C896" s="1">
        <v>1.31</v>
      </c>
      <c r="D896" s="1">
        <v>4.7529000000000003</v>
      </c>
    </row>
    <row r="897" spans="1:4" x14ac:dyDescent="0.2">
      <c r="A897" s="5">
        <v>37748</v>
      </c>
      <c r="B897" s="1">
        <v>3.6749999999999998</v>
      </c>
      <c r="C897" s="1">
        <v>1.3</v>
      </c>
      <c r="D897" s="1">
        <v>4.6771000000000003</v>
      </c>
    </row>
    <row r="898" spans="1:4" x14ac:dyDescent="0.2">
      <c r="A898" s="5">
        <v>37749</v>
      </c>
      <c r="B898" s="1">
        <v>3.6806999999999999</v>
      </c>
      <c r="C898" s="1">
        <v>1.31</v>
      </c>
      <c r="D898" s="1">
        <v>4.6809000000000003</v>
      </c>
    </row>
    <row r="899" spans="1:4" x14ac:dyDescent="0.2">
      <c r="A899" s="5">
        <v>37750</v>
      </c>
      <c r="B899" s="1">
        <v>3.6796000000000002</v>
      </c>
      <c r="C899" s="1">
        <v>1.31</v>
      </c>
      <c r="D899" s="1">
        <v>4.6703999999999999</v>
      </c>
    </row>
    <row r="900" spans="1:4" x14ac:dyDescent="0.2">
      <c r="A900" s="5">
        <v>37753</v>
      </c>
      <c r="B900" s="1">
        <v>3.6419000000000001</v>
      </c>
      <c r="C900" s="1">
        <v>1.3</v>
      </c>
      <c r="D900" s="1">
        <v>4.6460999999999997</v>
      </c>
    </row>
    <row r="901" spans="1:4" x14ac:dyDescent="0.2">
      <c r="A901" s="5">
        <v>37754</v>
      </c>
      <c r="B901" s="1">
        <v>3.6025</v>
      </c>
      <c r="C901" s="1">
        <v>1.31</v>
      </c>
      <c r="D901" s="1">
        <v>4.6108000000000002</v>
      </c>
    </row>
    <row r="902" spans="1:4" x14ac:dyDescent="0.2">
      <c r="A902" s="5">
        <v>37755</v>
      </c>
      <c r="B902" s="1">
        <v>3.5204</v>
      </c>
      <c r="C902" s="1">
        <v>1.31</v>
      </c>
      <c r="D902" s="1">
        <v>4.5091000000000001</v>
      </c>
    </row>
    <row r="903" spans="1:4" x14ac:dyDescent="0.2">
      <c r="A903" s="5">
        <v>37756</v>
      </c>
      <c r="B903" s="1">
        <v>3.5297000000000001</v>
      </c>
      <c r="C903" s="1">
        <v>1.32</v>
      </c>
      <c r="D903" s="1">
        <v>4.4837999999999996</v>
      </c>
    </row>
    <row r="904" spans="1:4" x14ac:dyDescent="0.2">
      <c r="A904" s="5">
        <v>37757</v>
      </c>
      <c r="B904" s="1">
        <v>3.4184999999999999</v>
      </c>
      <c r="C904" s="1">
        <v>1.33</v>
      </c>
      <c r="D904" s="1">
        <v>4.4138999999999999</v>
      </c>
    </row>
    <row r="905" spans="1:4" x14ac:dyDescent="0.2">
      <c r="A905" s="5">
        <v>37760</v>
      </c>
      <c r="B905" s="1">
        <v>3.4849999999999999</v>
      </c>
      <c r="C905" s="1">
        <v>1.34</v>
      </c>
      <c r="D905" s="1">
        <v>4.4809000000000001</v>
      </c>
    </row>
    <row r="906" spans="1:4" x14ac:dyDescent="0.2">
      <c r="A906" s="5">
        <v>37761</v>
      </c>
      <c r="B906" s="1">
        <v>3.3542000000000001</v>
      </c>
      <c r="C906" s="1">
        <v>1.36</v>
      </c>
      <c r="D906" s="1">
        <v>4.3539000000000003</v>
      </c>
    </row>
    <row r="907" spans="1:4" x14ac:dyDescent="0.2">
      <c r="A907" s="5">
        <v>37762</v>
      </c>
      <c r="B907" s="1">
        <v>3.3963000000000001</v>
      </c>
      <c r="C907" s="1">
        <v>1.35</v>
      </c>
      <c r="D907" s="1">
        <v>4.3486000000000002</v>
      </c>
    </row>
    <row r="908" spans="1:4" x14ac:dyDescent="0.2">
      <c r="A908" s="5">
        <v>37763</v>
      </c>
      <c r="B908" s="1">
        <v>3.3138000000000001</v>
      </c>
      <c r="C908" s="1">
        <v>1.36</v>
      </c>
      <c r="D908" s="1">
        <v>4.2645</v>
      </c>
    </row>
    <row r="909" spans="1:4" x14ac:dyDescent="0.2">
      <c r="A909" s="5">
        <v>37764</v>
      </c>
      <c r="B909" s="1">
        <v>3.3353999999999999</v>
      </c>
      <c r="C909" s="1">
        <v>1.34</v>
      </c>
      <c r="D909" s="1">
        <v>4.2591000000000001</v>
      </c>
    </row>
    <row r="910" spans="1:4" x14ac:dyDescent="0.2">
      <c r="A910" s="5">
        <v>37767</v>
      </c>
      <c r="B910" s="1">
        <v>3.3317000000000001</v>
      </c>
      <c r="C910" s="1">
        <v>1.34</v>
      </c>
      <c r="D910" s="1">
        <v>4.2573999999999996</v>
      </c>
    </row>
    <row r="911" spans="1:4" x14ac:dyDescent="0.2">
      <c r="A911" s="5">
        <v>37768</v>
      </c>
      <c r="B911" s="1">
        <v>3.4106000000000001</v>
      </c>
      <c r="C911" s="1">
        <v>1.35</v>
      </c>
      <c r="D911" s="1">
        <v>4.3878000000000004</v>
      </c>
    </row>
    <row r="912" spans="1:4" x14ac:dyDescent="0.2">
      <c r="A912" s="5">
        <v>37769</v>
      </c>
      <c r="B912" s="1">
        <v>3.4235000000000002</v>
      </c>
      <c r="C912" s="1">
        <v>1.34</v>
      </c>
      <c r="D912" s="1">
        <v>4.4063999999999997</v>
      </c>
    </row>
    <row r="913" spans="1:4" x14ac:dyDescent="0.2">
      <c r="A913" s="5">
        <v>37770</v>
      </c>
      <c r="B913" s="1">
        <v>3.3351999999999999</v>
      </c>
      <c r="C913" s="1">
        <v>1.32</v>
      </c>
      <c r="D913" s="1">
        <v>4.3395000000000001</v>
      </c>
    </row>
    <row r="914" spans="1:4" x14ac:dyDescent="0.2">
      <c r="A914" s="5">
        <v>37771</v>
      </c>
      <c r="B914" s="1">
        <v>3.3698999999999999</v>
      </c>
      <c r="C914" s="1">
        <v>1.3</v>
      </c>
      <c r="D914" s="1">
        <v>4.3761999999999999</v>
      </c>
    </row>
    <row r="915" spans="1:4" x14ac:dyDescent="0.2">
      <c r="A915" s="5">
        <v>37774</v>
      </c>
      <c r="B915" s="1">
        <v>3.4085000000000001</v>
      </c>
      <c r="C915" s="1">
        <v>1.29</v>
      </c>
      <c r="D915" s="1">
        <v>4.4212999999999996</v>
      </c>
    </row>
    <row r="916" spans="1:4" x14ac:dyDescent="0.2">
      <c r="A916" s="5">
        <v>37775</v>
      </c>
      <c r="B916" s="1">
        <v>3.3292999999999999</v>
      </c>
      <c r="C916" s="1">
        <v>1.31</v>
      </c>
      <c r="D916" s="1">
        <v>4.3691000000000004</v>
      </c>
    </row>
    <row r="917" spans="1:4" x14ac:dyDescent="0.2">
      <c r="A917" s="5">
        <v>37776</v>
      </c>
      <c r="B917" s="1">
        <v>3.2927</v>
      </c>
      <c r="C917" s="1">
        <v>1.32</v>
      </c>
      <c r="D917" s="1">
        <v>4.3532000000000002</v>
      </c>
    </row>
    <row r="918" spans="1:4" x14ac:dyDescent="0.2">
      <c r="A918" s="5">
        <v>37777</v>
      </c>
      <c r="B918" s="1">
        <v>3.3420000000000001</v>
      </c>
      <c r="C918" s="1">
        <v>1.3</v>
      </c>
      <c r="D918" s="1">
        <v>4.4051999999999998</v>
      </c>
    </row>
    <row r="919" spans="1:4" x14ac:dyDescent="0.2">
      <c r="A919" s="5">
        <v>37778</v>
      </c>
      <c r="B919" s="1">
        <v>3.351</v>
      </c>
      <c r="C919" s="1">
        <v>1.29</v>
      </c>
      <c r="D919" s="1">
        <v>4.3962000000000003</v>
      </c>
    </row>
    <row r="920" spans="1:4" x14ac:dyDescent="0.2">
      <c r="A920" s="5">
        <v>37781</v>
      </c>
      <c r="B920" s="1">
        <v>3.2757999999999998</v>
      </c>
      <c r="C920" s="1">
        <v>1.27</v>
      </c>
      <c r="D920" s="1">
        <v>4.3415999999999997</v>
      </c>
    </row>
    <row r="921" spans="1:4" x14ac:dyDescent="0.2">
      <c r="A921" s="5">
        <v>37782</v>
      </c>
      <c r="B921" s="1">
        <v>3.1903000000000001</v>
      </c>
      <c r="C921" s="1">
        <v>1.28</v>
      </c>
      <c r="D921" s="1">
        <v>4.2531999999999996</v>
      </c>
    </row>
    <row r="922" spans="1:4" x14ac:dyDescent="0.2">
      <c r="A922" s="5">
        <v>37783</v>
      </c>
      <c r="B922" s="1">
        <v>3.2101000000000002</v>
      </c>
      <c r="C922" s="1">
        <v>1.27</v>
      </c>
      <c r="D922" s="1">
        <v>4.2618</v>
      </c>
    </row>
    <row r="923" spans="1:4" x14ac:dyDescent="0.2">
      <c r="A923" s="5">
        <v>37784</v>
      </c>
      <c r="B923" s="1">
        <v>3.1629999999999998</v>
      </c>
      <c r="C923" s="1">
        <v>1.27</v>
      </c>
      <c r="D923" s="1">
        <v>4.2121000000000004</v>
      </c>
    </row>
    <row r="924" spans="1:4" x14ac:dyDescent="0.2">
      <c r="A924" s="5">
        <v>37785</v>
      </c>
      <c r="B924" s="1">
        <v>3.1120999999999999</v>
      </c>
      <c r="C924" s="1">
        <v>1.26</v>
      </c>
      <c r="D924" s="1">
        <v>4.173</v>
      </c>
    </row>
    <row r="925" spans="1:4" x14ac:dyDescent="0.2">
      <c r="A925" s="5">
        <v>37788</v>
      </c>
      <c r="B925" s="1">
        <v>3.1716000000000002</v>
      </c>
      <c r="C925" s="1">
        <v>1.24</v>
      </c>
      <c r="D925" s="1">
        <v>4.2314999999999996</v>
      </c>
    </row>
    <row r="926" spans="1:4" x14ac:dyDescent="0.2">
      <c r="A926" s="5">
        <v>37789</v>
      </c>
      <c r="B926" s="1">
        <v>3.2605</v>
      </c>
      <c r="C926" s="1">
        <v>1.22</v>
      </c>
      <c r="D926" s="1">
        <v>4.2995000000000001</v>
      </c>
    </row>
    <row r="927" spans="1:4" x14ac:dyDescent="0.2">
      <c r="A927" s="5">
        <v>37790</v>
      </c>
      <c r="B927" s="1">
        <v>3.3614000000000002</v>
      </c>
      <c r="C927" s="1">
        <v>1.21</v>
      </c>
      <c r="D927" s="1">
        <v>4.3967000000000001</v>
      </c>
    </row>
    <row r="928" spans="1:4" x14ac:dyDescent="0.2">
      <c r="A928" s="5">
        <v>37791</v>
      </c>
      <c r="B928" s="1">
        <v>3.3374000000000001</v>
      </c>
      <c r="C928" s="1">
        <v>1.22</v>
      </c>
      <c r="D928" s="1">
        <v>4.4063999999999997</v>
      </c>
    </row>
    <row r="929" spans="1:4" x14ac:dyDescent="0.2">
      <c r="A929" s="5">
        <v>37792</v>
      </c>
      <c r="B929" s="1">
        <v>3.3647999999999998</v>
      </c>
      <c r="C929" s="1">
        <v>1.22</v>
      </c>
      <c r="D929" s="1">
        <v>4.4320000000000004</v>
      </c>
    </row>
    <row r="930" spans="1:4" x14ac:dyDescent="0.2">
      <c r="A930" s="5">
        <v>37795</v>
      </c>
      <c r="B930" s="1">
        <v>3.3113000000000001</v>
      </c>
      <c r="C930" s="1">
        <v>1.25</v>
      </c>
      <c r="D930" s="1">
        <v>4.3956</v>
      </c>
    </row>
    <row r="931" spans="1:4" x14ac:dyDescent="0.2">
      <c r="A931" s="5">
        <v>37796</v>
      </c>
      <c r="B931" s="1">
        <v>3.2488999999999999</v>
      </c>
      <c r="C931" s="1">
        <v>1.25</v>
      </c>
      <c r="D931" s="1">
        <v>4.3338999999999999</v>
      </c>
    </row>
    <row r="932" spans="1:4" x14ac:dyDescent="0.2">
      <c r="A932" s="5">
        <v>37797</v>
      </c>
      <c r="B932" s="1">
        <v>3.4035000000000002</v>
      </c>
      <c r="C932" s="1">
        <v>1.23</v>
      </c>
      <c r="D932" s="1">
        <v>4.4623999999999997</v>
      </c>
    </row>
    <row r="933" spans="1:4" x14ac:dyDescent="0.2">
      <c r="A933" s="5">
        <v>37798</v>
      </c>
      <c r="B933" s="1">
        <v>3.5415999999999999</v>
      </c>
      <c r="C933" s="1">
        <v>1.22</v>
      </c>
      <c r="D933" s="1">
        <v>4.5640999999999998</v>
      </c>
    </row>
    <row r="934" spans="1:4" x14ac:dyDescent="0.2">
      <c r="A934" s="5">
        <v>37799</v>
      </c>
      <c r="B934" s="1">
        <v>3.5415000000000001</v>
      </c>
      <c r="C934" s="1">
        <v>1.22</v>
      </c>
      <c r="D934" s="1">
        <v>4.5823999999999998</v>
      </c>
    </row>
    <row r="935" spans="1:4" x14ac:dyDescent="0.2">
      <c r="A935" s="5">
        <v>37802</v>
      </c>
      <c r="B935" s="1">
        <v>3.5133000000000001</v>
      </c>
      <c r="C935" s="1">
        <v>1.23</v>
      </c>
      <c r="D935" s="1">
        <v>4.5566000000000004</v>
      </c>
    </row>
    <row r="936" spans="1:4" x14ac:dyDescent="0.2">
      <c r="A936" s="5">
        <v>37803</v>
      </c>
      <c r="B936" s="1">
        <v>3.5470999999999999</v>
      </c>
      <c r="C936" s="1">
        <v>1.24</v>
      </c>
      <c r="D936" s="1">
        <v>4.5860000000000003</v>
      </c>
    </row>
    <row r="937" spans="1:4" x14ac:dyDescent="0.2">
      <c r="A937" s="5">
        <v>37804</v>
      </c>
      <c r="B937" s="1">
        <v>3.5358000000000001</v>
      </c>
      <c r="C937" s="1">
        <v>1.24</v>
      </c>
      <c r="D937" s="1">
        <v>4.5795000000000003</v>
      </c>
    </row>
    <row r="938" spans="1:4" x14ac:dyDescent="0.2">
      <c r="A938" s="5">
        <v>37805</v>
      </c>
      <c r="B938" s="1">
        <v>3.6606999999999998</v>
      </c>
      <c r="C938" s="1">
        <v>1.24</v>
      </c>
      <c r="D938" s="1">
        <v>4.6905000000000001</v>
      </c>
    </row>
    <row r="939" spans="1:4" x14ac:dyDescent="0.2">
      <c r="A939" s="5">
        <v>37806</v>
      </c>
      <c r="B939" s="1">
        <v>3.6474000000000002</v>
      </c>
      <c r="C939" s="1">
        <v>1.24</v>
      </c>
      <c r="D939" s="1">
        <v>4.6837999999999997</v>
      </c>
    </row>
    <row r="940" spans="1:4" x14ac:dyDescent="0.2">
      <c r="A940" s="5">
        <v>37809</v>
      </c>
      <c r="B940" s="1">
        <v>3.7315</v>
      </c>
      <c r="C940" s="1">
        <v>1.22</v>
      </c>
      <c r="D940" s="1">
        <v>4.7454999999999998</v>
      </c>
    </row>
    <row r="941" spans="1:4" x14ac:dyDescent="0.2">
      <c r="A941" s="5">
        <v>37810</v>
      </c>
      <c r="B941" s="1">
        <v>3.7143000000000002</v>
      </c>
      <c r="C941" s="1">
        <v>1.21</v>
      </c>
      <c r="D941" s="1">
        <v>4.7130999999999998</v>
      </c>
    </row>
    <row r="942" spans="1:4" x14ac:dyDescent="0.2">
      <c r="A942" s="5">
        <v>37811</v>
      </c>
      <c r="B942" s="1">
        <v>3.6798000000000002</v>
      </c>
      <c r="C942" s="1">
        <v>1.2</v>
      </c>
      <c r="D942" s="1">
        <v>4.6970000000000001</v>
      </c>
    </row>
    <row r="943" spans="1:4" x14ac:dyDescent="0.2">
      <c r="A943" s="5">
        <v>37812</v>
      </c>
      <c r="B943" s="1">
        <v>3.6549999999999998</v>
      </c>
      <c r="C943" s="1">
        <v>1.2</v>
      </c>
      <c r="D943" s="1">
        <v>4.6970000000000001</v>
      </c>
    </row>
    <row r="944" spans="1:4" x14ac:dyDescent="0.2">
      <c r="A944" s="5">
        <v>37813</v>
      </c>
      <c r="B944" s="1">
        <v>3.6265000000000001</v>
      </c>
      <c r="C944" s="1">
        <v>1.21</v>
      </c>
      <c r="D944" s="1">
        <v>4.6818</v>
      </c>
    </row>
    <row r="945" spans="1:4" x14ac:dyDescent="0.2">
      <c r="A945" s="5">
        <v>37816</v>
      </c>
      <c r="B945" s="1">
        <v>3.7240000000000002</v>
      </c>
      <c r="C945" s="1">
        <v>1.2</v>
      </c>
      <c r="D945" s="1">
        <v>4.7693000000000003</v>
      </c>
    </row>
    <row r="946" spans="1:4" x14ac:dyDescent="0.2">
      <c r="A946" s="5">
        <v>37817</v>
      </c>
      <c r="B946" s="1">
        <v>3.9807000000000001</v>
      </c>
      <c r="C946" s="1">
        <v>1.18</v>
      </c>
      <c r="D946" s="1">
        <v>4.9645999999999999</v>
      </c>
    </row>
    <row r="947" spans="1:4" x14ac:dyDescent="0.2">
      <c r="A947" s="5">
        <v>37818</v>
      </c>
      <c r="B947" s="1">
        <v>3.9180000000000001</v>
      </c>
      <c r="C947" s="1">
        <v>1.17</v>
      </c>
      <c r="D947" s="1">
        <v>4.8929999999999998</v>
      </c>
    </row>
    <row r="948" spans="1:4" x14ac:dyDescent="0.2">
      <c r="A948" s="5">
        <v>37819</v>
      </c>
      <c r="B948" s="1">
        <v>3.92</v>
      </c>
      <c r="C948" s="1">
        <v>1.17</v>
      </c>
      <c r="D948" s="1">
        <v>4.8920000000000003</v>
      </c>
    </row>
    <row r="949" spans="1:4" x14ac:dyDescent="0.2">
      <c r="A949" s="5">
        <v>37820</v>
      </c>
      <c r="B949" s="1">
        <v>3.9988999999999999</v>
      </c>
      <c r="C949" s="1">
        <v>1.1599999999999999</v>
      </c>
      <c r="D949" s="1">
        <v>4.9325999999999999</v>
      </c>
    </row>
    <row r="950" spans="1:4" x14ac:dyDescent="0.2">
      <c r="A950" s="5">
        <v>37823</v>
      </c>
      <c r="B950" s="1">
        <v>4.2104999999999997</v>
      </c>
      <c r="C950" s="1">
        <v>1.1399999999999999</v>
      </c>
      <c r="D950" s="1">
        <v>5.0873999999999997</v>
      </c>
    </row>
    <row r="951" spans="1:4" x14ac:dyDescent="0.2">
      <c r="A951" s="5">
        <v>37824</v>
      </c>
      <c r="B951" s="1">
        <v>4.1223000000000001</v>
      </c>
      <c r="C951" s="1">
        <v>1.1399999999999999</v>
      </c>
      <c r="D951" s="1">
        <v>5.0403000000000002</v>
      </c>
    </row>
    <row r="952" spans="1:4" x14ac:dyDescent="0.2">
      <c r="A952" s="5">
        <v>37825</v>
      </c>
      <c r="B952" s="1">
        <v>4.1083999999999996</v>
      </c>
      <c r="C952" s="1">
        <v>1.1299999999999999</v>
      </c>
      <c r="D952" s="1">
        <v>5.0412999999999997</v>
      </c>
    </row>
    <row r="953" spans="1:4" x14ac:dyDescent="0.2">
      <c r="A953" s="5">
        <v>37826</v>
      </c>
      <c r="B953" s="1">
        <v>4.1646000000000001</v>
      </c>
      <c r="C953" s="1">
        <v>1.1399999999999999</v>
      </c>
      <c r="D953" s="1">
        <v>5.0914999999999999</v>
      </c>
    </row>
    <row r="954" spans="1:4" x14ac:dyDescent="0.2">
      <c r="A954" s="5">
        <v>37827</v>
      </c>
      <c r="B954" s="1">
        <v>4.1749999999999998</v>
      </c>
      <c r="C954" s="1">
        <v>1.1299999999999999</v>
      </c>
      <c r="D954" s="1">
        <v>5.1162999999999998</v>
      </c>
    </row>
    <row r="955" spans="1:4" x14ac:dyDescent="0.2">
      <c r="A955" s="5">
        <v>37830</v>
      </c>
      <c r="B955" s="1">
        <v>4.2801999999999998</v>
      </c>
      <c r="C955" s="1">
        <v>1.1299999999999999</v>
      </c>
      <c r="D955" s="1">
        <v>5.2134999999999998</v>
      </c>
    </row>
    <row r="956" spans="1:4" x14ac:dyDescent="0.2">
      <c r="A956" s="5">
        <v>37831</v>
      </c>
      <c r="B956" s="1">
        <v>4.4381000000000004</v>
      </c>
      <c r="C956" s="1">
        <v>1.1399999999999999</v>
      </c>
      <c r="D956" s="1">
        <v>5.3367000000000004</v>
      </c>
    </row>
    <row r="957" spans="1:4" x14ac:dyDescent="0.2">
      <c r="A957" s="5">
        <v>37832</v>
      </c>
      <c r="B957" s="1">
        <v>4.3070000000000004</v>
      </c>
      <c r="C957" s="1">
        <v>1.1499999999999999</v>
      </c>
      <c r="D957" s="1">
        <v>5.2474999999999996</v>
      </c>
    </row>
    <row r="958" spans="1:4" x14ac:dyDescent="0.2">
      <c r="A958" s="5">
        <v>37833</v>
      </c>
      <c r="B958" s="1">
        <v>4.4055</v>
      </c>
      <c r="C958" s="1">
        <v>1.19</v>
      </c>
      <c r="D958" s="1">
        <v>5.3574000000000002</v>
      </c>
    </row>
    <row r="959" spans="1:4" x14ac:dyDescent="0.2">
      <c r="A959" s="5">
        <v>37834</v>
      </c>
      <c r="B959" s="1">
        <v>4.3834</v>
      </c>
      <c r="C959" s="1">
        <v>1.18</v>
      </c>
      <c r="D959" s="1">
        <v>5.3140000000000001</v>
      </c>
    </row>
    <row r="960" spans="1:4" x14ac:dyDescent="0.2">
      <c r="A960" s="5">
        <v>37837</v>
      </c>
      <c r="B960" s="1">
        <v>4.2832999999999997</v>
      </c>
      <c r="C960" s="1">
        <v>1.19</v>
      </c>
      <c r="D960" s="1">
        <v>5.2518000000000002</v>
      </c>
    </row>
    <row r="961" spans="1:4" x14ac:dyDescent="0.2">
      <c r="A961" s="5">
        <v>37838</v>
      </c>
      <c r="B961" s="1">
        <v>4.3898999999999999</v>
      </c>
      <c r="C961" s="1">
        <v>1.2</v>
      </c>
      <c r="D961" s="1">
        <v>5.3606999999999996</v>
      </c>
    </row>
    <row r="962" spans="1:4" x14ac:dyDescent="0.2">
      <c r="A962" s="5">
        <v>37839</v>
      </c>
      <c r="B962" s="1">
        <v>4.2674000000000003</v>
      </c>
      <c r="C962" s="1">
        <v>1.22</v>
      </c>
      <c r="D962" s="1">
        <v>5.2369000000000003</v>
      </c>
    </row>
    <row r="963" spans="1:4" x14ac:dyDescent="0.2">
      <c r="A963" s="5">
        <v>37840</v>
      </c>
      <c r="B963" s="1">
        <v>4.2168000000000001</v>
      </c>
      <c r="C963" s="1">
        <v>1.21</v>
      </c>
      <c r="D963" s="1">
        <v>5.2135999999999996</v>
      </c>
    </row>
    <row r="964" spans="1:4" x14ac:dyDescent="0.2">
      <c r="A964" s="5">
        <v>37841</v>
      </c>
      <c r="B964" s="1">
        <v>4.2694000000000001</v>
      </c>
      <c r="C964" s="1">
        <v>1.22</v>
      </c>
      <c r="D964" s="1">
        <v>5.2305000000000001</v>
      </c>
    </row>
    <row r="965" spans="1:4" x14ac:dyDescent="0.2">
      <c r="A965" s="5">
        <v>37844</v>
      </c>
      <c r="B965" s="1">
        <v>4.3529999999999998</v>
      </c>
      <c r="C965" s="1">
        <v>1.2</v>
      </c>
      <c r="D965" s="1">
        <v>5.2689000000000004</v>
      </c>
    </row>
    <row r="966" spans="1:4" x14ac:dyDescent="0.2">
      <c r="A966" s="5">
        <v>37845</v>
      </c>
      <c r="B966" s="1">
        <v>4.4256000000000002</v>
      </c>
      <c r="C966" s="1">
        <v>1.21</v>
      </c>
      <c r="D966" s="1">
        <v>5.3498999999999999</v>
      </c>
    </row>
    <row r="967" spans="1:4" x14ac:dyDescent="0.2">
      <c r="A967" s="5">
        <v>37846</v>
      </c>
      <c r="B967" s="1">
        <v>4.5602</v>
      </c>
      <c r="C967" s="1">
        <v>1.21</v>
      </c>
      <c r="D967" s="1">
        <v>5.4489000000000001</v>
      </c>
    </row>
    <row r="968" spans="1:4" x14ac:dyDescent="0.2">
      <c r="A968" s="5">
        <v>37847</v>
      </c>
      <c r="B968" s="1">
        <v>4.4886999999999997</v>
      </c>
      <c r="C968" s="1">
        <v>1.21</v>
      </c>
      <c r="D968" s="1">
        <v>5.3804999999999996</v>
      </c>
    </row>
    <row r="969" spans="1:4" x14ac:dyDescent="0.2">
      <c r="A969" s="5">
        <v>37848</v>
      </c>
      <c r="B969" s="1">
        <v>4.5285000000000002</v>
      </c>
      <c r="C969" s="1">
        <v>1.25</v>
      </c>
      <c r="D969" s="1">
        <v>5.3968999999999996</v>
      </c>
    </row>
    <row r="970" spans="1:4" x14ac:dyDescent="0.2">
      <c r="A970" s="5">
        <v>37851</v>
      </c>
      <c r="B970" s="1">
        <v>4.4572000000000003</v>
      </c>
      <c r="C970" s="1">
        <v>1.24</v>
      </c>
      <c r="D970" s="1">
        <v>5.3444000000000003</v>
      </c>
    </row>
    <row r="971" spans="1:4" x14ac:dyDescent="0.2">
      <c r="A971" s="5">
        <v>37852</v>
      </c>
      <c r="B971" s="1">
        <v>4.3609</v>
      </c>
      <c r="C971" s="1">
        <v>1.24</v>
      </c>
      <c r="D971" s="1">
        <v>5.2422000000000004</v>
      </c>
    </row>
    <row r="972" spans="1:4" x14ac:dyDescent="0.2">
      <c r="A972" s="5">
        <v>37853</v>
      </c>
      <c r="B972" s="1">
        <v>4.4355000000000002</v>
      </c>
      <c r="C972" s="1">
        <v>1.22</v>
      </c>
      <c r="D972" s="1">
        <v>5.2849000000000004</v>
      </c>
    </row>
    <row r="973" spans="1:4" x14ac:dyDescent="0.2">
      <c r="A973" s="5">
        <v>37854</v>
      </c>
      <c r="B973" s="1">
        <v>4.4751000000000003</v>
      </c>
      <c r="C973" s="1">
        <v>1.18</v>
      </c>
      <c r="D973" s="1">
        <v>5.2752999999999997</v>
      </c>
    </row>
    <row r="974" spans="1:4" x14ac:dyDescent="0.2">
      <c r="A974" s="5">
        <v>37855</v>
      </c>
      <c r="B974" s="1">
        <v>4.4732000000000003</v>
      </c>
      <c r="C974" s="1">
        <v>1.19</v>
      </c>
      <c r="D974" s="1">
        <v>5.2580999999999998</v>
      </c>
    </row>
    <row r="975" spans="1:4" x14ac:dyDescent="0.2">
      <c r="A975" s="5">
        <v>37858</v>
      </c>
      <c r="B975" s="1">
        <v>4.5248999999999997</v>
      </c>
      <c r="C975" s="1">
        <v>1.19</v>
      </c>
      <c r="D975" s="1">
        <v>5.3021000000000003</v>
      </c>
    </row>
    <row r="976" spans="1:4" x14ac:dyDescent="0.2">
      <c r="A976" s="5">
        <v>37859</v>
      </c>
      <c r="B976" s="1">
        <v>4.4733000000000001</v>
      </c>
      <c r="C976" s="1">
        <v>1.19</v>
      </c>
      <c r="D976" s="1">
        <v>5.2709000000000001</v>
      </c>
    </row>
    <row r="977" spans="1:4" x14ac:dyDescent="0.2">
      <c r="A977" s="5">
        <v>37860</v>
      </c>
      <c r="B977" s="1">
        <v>4.5349000000000004</v>
      </c>
      <c r="C977" s="1">
        <v>1.18</v>
      </c>
      <c r="D977" s="1">
        <v>5.3128000000000002</v>
      </c>
    </row>
    <row r="978" spans="1:4" x14ac:dyDescent="0.2">
      <c r="A978" s="5">
        <v>37861</v>
      </c>
      <c r="B978" s="1">
        <v>4.4141000000000004</v>
      </c>
      <c r="C978" s="1">
        <v>1.18</v>
      </c>
      <c r="D978" s="1">
        <v>5.2069999999999999</v>
      </c>
    </row>
    <row r="979" spans="1:4" x14ac:dyDescent="0.2">
      <c r="A979" s="5">
        <v>37862</v>
      </c>
      <c r="B979" s="1">
        <v>4.4635999999999996</v>
      </c>
      <c r="C979" s="1">
        <v>1.17</v>
      </c>
      <c r="D979" s="1">
        <v>5.2228000000000003</v>
      </c>
    </row>
    <row r="980" spans="1:4" x14ac:dyDescent="0.2">
      <c r="A980" s="5">
        <v>37865</v>
      </c>
      <c r="B980" s="1">
        <v>4.4577</v>
      </c>
      <c r="C980" s="1">
        <v>1.17</v>
      </c>
      <c r="D980" s="1">
        <v>5.2217000000000002</v>
      </c>
    </row>
    <row r="981" spans="1:4" x14ac:dyDescent="0.2">
      <c r="A981" s="5">
        <v>37866</v>
      </c>
      <c r="B981" s="1">
        <v>4.5993000000000004</v>
      </c>
      <c r="C981" s="1">
        <v>1.1399999999999999</v>
      </c>
      <c r="D981" s="1">
        <v>5.3333000000000004</v>
      </c>
    </row>
    <row r="982" spans="1:4" x14ac:dyDescent="0.2">
      <c r="A982" s="5">
        <v>37867</v>
      </c>
      <c r="B982" s="1">
        <v>4.5933000000000002</v>
      </c>
      <c r="C982" s="1">
        <v>1.1399999999999999</v>
      </c>
      <c r="D982" s="1">
        <v>5.3495999999999997</v>
      </c>
    </row>
    <row r="983" spans="1:4" x14ac:dyDescent="0.2">
      <c r="A983" s="5">
        <v>37868</v>
      </c>
      <c r="B983" s="1">
        <v>4.5034000000000001</v>
      </c>
      <c r="C983" s="1">
        <v>1.1499999999999999</v>
      </c>
      <c r="D983" s="1">
        <v>5.3052000000000001</v>
      </c>
    </row>
    <row r="984" spans="1:4" x14ac:dyDescent="0.2">
      <c r="A984" s="5">
        <v>37869</v>
      </c>
      <c r="B984" s="1">
        <v>4.3474000000000004</v>
      </c>
      <c r="C984" s="1">
        <v>1.17</v>
      </c>
      <c r="D984" s="1">
        <v>5.1878000000000002</v>
      </c>
    </row>
    <row r="985" spans="1:4" x14ac:dyDescent="0.2">
      <c r="A985" s="5">
        <v>37872</v>
      </c>
      <c r="B985" s="1">
        <v>4.4261999999999997</v>
      </c>
      <c r="C985" s="1">
        <v>1.18</v>
      </c>
      <c r="D985" s="1">
        <v>5.2632000000000003</v>
      </c>
    </row>
    <row r="986" spans="1:4" x14ac:dyDescent="0.2">
      <c r="A986" s="5">
        <v>37873</v>
      </c>
      <c r="B986" s="1">
        <v>4.3552</v>
      </c>
      <c r="C986" s="1">
        <v>1.17</v>
      </c>
      <c r="D986" s="1">
        <v>5.2259000000000002</v>
      </c>
    </row>
    <row r="987" spans="1:4" x14ac:dyDescent="0.2">
      <c r="A987" s="5">
        <v>37874</v>
      </c>
      <c r="B987" s="1">
        <v>4.2710999999999997</v>
      </c>
      <c r="C987" s="1">
        <v>1.17</v>
      </c>
      <c r="D987" s="1">
        <v>5.1532</v>
      </c>
    </row>
    <row r="988" spans="1:4" x14ac:dyDescent="0.2">
      <c r="A988" s="5">
        <v>37875</v>
      </c>
      <c r="B988" s="1">
        <v>4.3140999999999998</v>
      </c>
      <c r="C988" s="1">
        <v>1.17</v>
      </c>
      <c r="D988" s="1">
        <v>5.2035999999999998</v>
      </c>
    </row>
    <row r="989" spans="1:4" x14ac:dyDescent="0.2">
      <c r="A989" s="5">
        <v>37876</v>
      </c>
      <c r="B989" s="1">
        <v>4.2515999999999998</v>
      </c>
      <c r="C989" s="1">
        <v>1.1599999999999999</v>
      </c>
      <c r="D989" s="1">
        <v>5.1593999999999998</v>
      </c>
    </row>
    <row r="990" spans="1:4" x14ac:dyDescent="0.2">
      <c r="A990" s="5">
        <v>37879</v>
      </c>
      <c r="B990" s="1">
        <v>4.2671000000000001</v>
      </c>
      <c r="C990" s="1">
        <v>1.1499999999999999</v>
      </c>
      <c r="D990" s="1">
        <v>5.1824000000000003</v>
      </c>
    </row>
    <row r="991" spans="1:4" x14ac:dyDescent="0.2">
      <c r="A991" s="5">
        <v>37880</v>
      </c>
      <c r="B991" s="1">
        <v>4.2748999999999997</v>
      </c>
      <c r="C991" s="1">
        <v>1.1499999999999999</v>
      </c>
      <c r="D991" s="1">
        <v>5.194</v>
      </c>
    </row>
    <row r="992" spans="1:4" x14ac:dyDescent="0.2">
      <c r="A992" s="5">
        <v>37881</v>
      </c>
      <c r="B992" s="1">
        <v>4.1776999999999997</v>
      </c>
      <c r="C992" s="1">
        <v>1.1299999999999999</v>
      </c>
      <c r="D992" s="1">
        <v>5.0865</v>
      </c>
    </row>
    <row r="993" spans="1:4" x14ac:dyDescent="0.2">
      <c r="A993" s="5">
        <v>37882</v>
      </c>
      <c r="B993" s="1">
        <v>4.1622000000000003</v>
      </c>
      <c r="C993" s="1">
        <v>1.1200000000000001</v>
      </c>
      <c r="D993" s="1">
        <v>5.0742000000000003</v>
      </c>
    </row>
    <row r="994" spans="1:4" x14ac:dyDescent="0.2">
      <c r="A994" s="5">
        <v>37883</v>
      </c>
      <c r="B994" s="1">
        <v>4.1601999999999997</v>
      </c>
      <c r="C994" s="1">
        <v>1.1100000000000001</v>
      </c>
      <c r="D994" s="1">
        <v>5.0678999999999998</v>
      </c>
    </row>
    <row r="995" spans="1:4" x14ac:dyDescent="0.2">
      <c r="A995" s="5">
        <v>37886</v>
      </c>
      <c r="B995" s="1">
        <v>4.2164000000000001</v>
      </c>
      <c r="C995" s="1">
        <v>1.1200000000000001</v>
      </c>
      <c r="D995" s="1">
        <v>5.1247999999999996</v>
      </c>
    </row>
    <row r="996" spans="1:4" x14ac:dyDescent="0.2">
      <c r="A996" s="5">
        <v>37887</v>
      </c>
      <c r="B996" s="1">
        <v>4.2046999999999999</v>
      </c>
      <c r="C996" s="1">
        <v>1.1200000000000001</v>
      </c>
      <c r="D996" s="1">
        <v>5.0915999999999997</v>
      </c>
    </row>
    <row r="997" spans="1:4" x14ac:dyDescent="0.2">
      <c r="A997" s="5">
        <v>37888</v>
      </c>
      <c r="B997" s="1">
        <v>4.1330999999999998</v>
      </c>
      <c r="C997" s="1">
        <v>1.1200000000000001</v>
      </c>
      <c r="D997" s="1">
        <v>5.0289999999999999</v>
      </c>
    </row>
    <row r="998" spans="1:4" x14ac:dyDescent="0.2">
      <c r="A998" s="5">
        <v>37889</v>
      </c>
      <c r="B998" s="1">
        <v>4.0810000000000004</v>
      </c>
      <c r="C998" s="1">
        <v>1.1200000000000001</v>
      </c>
      <c r="D998" s="1">
        <v>4.9863</v>
      </c>
    </row>
    <row r="999" spans="1:4" x14ac:dyDescent="0.2">
      <c r="A999" s="5">
        <v>37890</v>
      </c>
      <c r="B999" s="1">
        <v>4.0004999999999997</v>
      </c>
      <c r="C999" s="1">
        <v>1.1299999999999999</v>
      </c>
      <c r="D999" s="1">
        <v>4.9340000000000002</v>
      </c>
    </row>
    <row r="1000" spans="1:4" x14ac:dyDescent="0.2">
      <c r="A1000" s="5">
        <v>37893</v>
      </c>
      <c r="B1000" s="1">
        <v>4.0750999999999999</v>
      </c>
      <c r="C1000" s="1">
        <v>1.1200000000000001</v>
      </c>
      <c r="D1000" s="1">
        <v>5.0054999999999996</v>
      </c>
    </row>
    <row r="1001" spans="1:4" x14ac:dyDescent="0.2">
      <c r="A1001" s="5">
        <v>37894</v>
      </c>
      <c r="B1001" s="1">
        <v>3.9376000000000002</v>
      </c>
      <c r="C1001" s="1">
        <v>1.1100000000000001</v>
      </c>
      <c r="D1001" s="1">
        <v>4.8822999999999999</v>
      </c>
    </row>
    <row r="1002" spans="1:4" x14ac:dyDescent="0.2">
      <c r="A1002" s="5">
        <v>37895</v>
      </c>
      <c r="B1002" s="1">
        <v>3.9318</v>
      </c>
      <c r="C1002" s="1">
        <v>1.1100000000000001</v>
      </c>
      <c r="D1002" s="1">
        <v>4.8902000000000001</v>
      </c>
    </row>
    <row r="1003" spans="1:4" x14ac:dyDescent="0.2">
      <c r="A1003" s="5">
        <v>37896</v>
      </c>
      <c r="B1003" s="1">
        <v>3.9925999999999999</v>
      </c>
      <c r="C1003" s="1">
        <v>1.1100000000000001</v>
      </c>
      <c r="D1003" s="1">
        <v>4.9329000000000001</v>
      </c>
    </row>
    <row r="1004" spans="1:4" x14ac:dyDescent="0.2">
      <c r="A1004" s="5">
        <v>37897</v>
      </c>
      <c r="B1004" s="1">
        <v>4.1986999999999997</v>
      </c>
      <c r="C1004" s="1">
        <v>1.1100000000000001</v>
      </c>
      <c r="D1004" s="1">
        <v>5.0955000000000004</v>
      </c>
    </row>
    <row r="1005" spans="1:4" x14ac:dyDescent="0.2">
      <c r="A1005" s="5">
        <v>37900</v>
      </c>
      <c r="B1005" s="1">
        <v>4.1695000000000002</v>
      </c>
      <c r="C1005" s="1">
        <v>1.1200000000000001</v>
      </c>
      <c r="D1005" s="1">
        <v>5.0686999999999998</v>
      </c>
    </row>
    <row r="1006" spans="1:4" x14ac:dyDescent="0.2">
      <c r="A1006" s="5">
        <v>37901</v>
      </c>
      <c r="B1006" s="1">
        <v>4.2572999999999999</v>
      </c>
      <c r="C1006" s="1">
        <v>1.1100000000000001</v>
      </c>
      <c r="D1006" s="1">
        <v>5.1569000000000003</v>
      </c>
    </row>
    <row r="1007" spans="1:4" x14ac:dyDescent="0.2">
      <c r="A1007" s="5">
        <v>37902</v>
      </c>
      <c r="B1007" s="1">
        <v>4.2356999999999996</v>
      </c>
      <c r="C1007" s="1">
        <v>1.1100000000000001</v>
      </c>
      <c r="D1007" s="1">
        <v>5.16</v>
      </c>
    </row>
    <row r="1008" spans="1:4" x14ac:dyDescent="0.2">
      <c r="A1008" s="5">
        <v>37903</v>
      </c>
      <c r="B1008" s="1">
        <v>4.2906000000000004</v>
      </c>
      <c r="C1008" s="1">
        <v>1.1000000000000001</v>
      </c>
      <c r="D1008" s="1">
        <v>5.2138</v>
      </c>
    </row>
    <row r="1009" spans="1:4" x14ac:dyDescent="0.2">
      <c r="A1009" s="5">
        <v>37904</v>
      </c>
      <c r="B1009" s="1">
        <v>4.2690000000000001</v>
      </c>
      <c r="C1009" s="1">
        <v>1.1000000000000001</v>
      </c>
      <c r="D1009" s="1">
        <v>5.1798999999999999</v>
      </c>
    </row>
    <row r="1010" spans="1:4" x14ac:dyDescent="0.2">
      <c r="A1010" s="5">
        <v>37907</v>
      </c>
      <c r="B1010" s="1">
        <v>4.2512999999999996</v>
      </c>
      <c r="C1010" s="1">
        <v>1.1000000000000001</v>
      </c>
      <c r="D1010" s="1">
        <v>5.1778000000000004</v>
      </c>
    </row>
    <row r="1011" spans="1:4" x14ac:dyDescent="0.2">
      <c r="A1011" s="5">
        <v>37908</v>
      </c>
      <c r="B1011" s="1">
        <v>4.3438999999999997</v>
      </c>
      <c r="C1011" s="1">
        <v>1.0900000000000001</v>
      </c>
      <c r="D1011" s="1">
        <v>5.2510000000000003</v>
      </c>
    </row>
    <row r="1012" spans="1:4" x14ac:dyDescent="0.2">
      <c r="A1012" s="5">
        <v>37909</v>
      </c>
      <c r="B1012" s="1">
        <v>4.3974000000000002</v>
      </c>
      <c r="C1012" s="1">
        <v>1.06</v>
      </c>
      <c r="D1012" s="1">
        <v>5.2874999999999996</v>
      </c>
    </row>
    <row r="1013" spans="1:4" x14ac:dyDescent="0.2">
      <c r="A1013" s="5">
        <v>37910</v>
      </c>
      <c r="B1013" s="1">
        <v>4.4592999999999998</v>
      </c>
      <c r="C1013" s="1">
        <v>1.04</v>
      </c>
      <c r="D1013" s="1">
        <v>5.3047000000000004</v>
      </c>
    </row>
    <row r="1014" spans="1:4" x14ac:dyDescent="0.2">
      <c r="A1014" s="5">
        <v>37911</v>
      </c>
      <c r="B1014" s="1">
        <v>4.3875999999999999</v>
      </c>
      <c r="C1014" s="1">
        <v>1.03</v>
      </c>
      <c r="D1014" s="1">
        <v>5.2488000000000001</v>
      </c>
    </row>
    <row r="1015" spans="1:4" x14ac:dyDescent="0.2">
      <c r="A1015" s="5">
        <v>37914</v>
      </c>
      <c r="B1015" s="1">
        <v>4.3817000000000004</v>
      </c>
      <c r="C1015" s="1">
        <v>1.03</v>
      </c>
      <c r="D1015" s="1">
        <v>5.2348999999999997</v>
      </c>
    </row>
    <row r="1016" spans="1:4" x14ac:dyDescent="0.2">
      <c r="A1016" s="5">
        <v>37915</v>
      </c>
      <c r="B1016" s="1">
        <v>4.3419999999999996</v>
      </c>
      <c r="C1016" s="1">
        <v>1.05</v>
      </c>
      <c r="D1016" s="1">
        <v>5.2051999999999996</v>
      </c>
    </row>
    <row r="1017" spans="1:4" x14ac:dyDescent="0.2">
      <c r="A1017" s="5">
        <v>37916</v>
      </c>
      <c r="B1017" s="1">
        <v>4.2512999999999996</v>
      </c>
      <c r="C1017" s="1">
        <v>1.07</v>
      </c>
      <c r="D1017" s="1">
        <v>5.1346999999999996</v>
      </c>
    </row>
    <row r="1018" spans="1:4" x14ac:dyDescent="0.2">
      <c r="A1018" s="5">
        <v>37917</v>
      </c>
      <c r="B1018" s="1">
        <v>4.3163</v>
      </c>
      <c r="C1018" s="1">
        <v>1.08</v>
      </c>
      <c r="D1018" s="1">
        <v>5.1946000000000003</v>
      </c>
    </row>
    <row r="1019" spans="1:4" x14ac:dyDescent="0.2">
      <c r="A1019" s="5">
        <v>37918</v>
      </c>
      <c r="B1019" s="1">
        <v>4.2297000000000002</v>
      </c>
      <c r="C1019" s="1">
        <v>1.07</v>
      </c>
      <c r="D1019" s="1">
        <v>5.1189999999999998</v>
      </c>
    </row>
    <row r="1020" spans="1:4" x14ac:dyDescent="0.2">
      <c r="A1020" s="5">
        <v>37921</v>
      </c>
      <c r="B1020" s="1">
        <v>4.2591999999999999</v>
      </c>
      <c r="C1020" s="1">
        <v>1.07</v>
      </c>
      <c r="D1020" s="1">
        <v>5.1398999999999999</v>
      </c>
    </row>
    <row r="1021" spans="1:4" x14ac:dyDescent="0.2">
      <c r="A1021" s="5">
        <v>37922</v>
      </c>
      <c r="B1021" s="1">
        <v>4.1768000000000001</v>
      </c>
      <c r="C1021" s="1">
        <v>1.08</v>
      </c>
      <c r="D1021" s="1">
        <v>5.0899000000000001</v>
      </c>
    </row>
    <row r="1022" spans="1:4" x14ac:dyDescent="0.2">
      <c r="A1022" s="5">
        <v>37923</v>
      </c>
      <c r="B1022" s="1">
        <v>4.2946</v>
      </c>
      <c r="C1022" s="1">
        <v>1.07</v>
      </c>
      <c r="D1022" s="1">
        <v>5.1755000000000004</v>
      </c>
    </row>
    <row r="1023" spans="1:4" x14ac:dyDescent="0.2">
      <c r="A1023" s="5">
        <v>37924</v>
      </c>
      <c r="B1023" s="1">
        <v>4.3422000000000001</v>
      </c>
      <c r="C1023" s="1">
        <v>1.06</v>
      </c>
      <c r="D1023" s="1">
        <v>5.1977000000000002</v>
      </c>
    </row>
    <row r="1024" spans="1:4" x14ac:dyDescent="0.2">
      <c r="A1024" s="5">
        <v>37925</v>
      </c>
      <c r="B1024" s="1">
        <v>4.2927</v>
      </c>
      <c r="C1024" s="1">
        <v>1.03</v>
      </c>
      <c r="D1024" s="1">
        <v>5.1314000000000002</v>
      </c>
    </row>
    <row r="1025" spans="1:4" x14ac:dyDescent="0.2">
      <c r="A1025" s="5">
        <v>37928</v>
      </c>
      <c r="B1025" s="1">
        <v>4.3403</v>
      </c>
      <c r="C1025" s="1">
        <v>1.03</v>
      </c>
      <c r="D1025" s="1">
        <v>5.1607000000000003</v>
      </c>
    </row>
    <row r="1026" spans="1:4" x14ac:dyDescent="0.2">
      <c r="A1026" s="5">
        <v>37929</v>
      </c>
      <c r="B1026" s="1">
        <v>4.2946999999999997</v>
      </c>
      <c r="C1026" s="1">
        <v>1.04</v>
      </c>
      <c r="D1026" s="1">
        <v>5.1283000000000003</v>
      </c>
    </row>
    <row r="1027" spans="1:4" x14ac:dyDescent="0.2">
      <c r="A1027" s="5">
        <v>37930</v>
      </c>
      <c r="B1027" s="1">
        <v>4.3521999999999998</v>
      </c>
      <c r="C1027" s="1">
        <v>1.05</v>
      </c>
      <c r="D1027" s="1">
        <v>5.1828000000000003</v>
      </c>
    </row>
    <row r="1028" spans="1:4" x14ac:dyDescent="0.2">
      <c r="A1028" s="5">
        <v>37931</v>
      </c>
      <c r="B1028" s="1">
        <v>4.4081000000000001</v>
      </c>
      <c r="C1028" s="1">
        <v>1.05</v>
      </c>
      <c r="D1028" s="1">
        <v>5.2432999999999996</v>
      </c>
    </row>
    <row r="1029" spans="1:4" x14ac:dyDescent="0.2">
      <c r="A1029" s="5">
        <v>37932</v>
      </c>
      <c r="B1029" s="1">
        <v>4.4382999999999999</v>
      </c>
      <c r="C1029" s="1">
        <v>1.04</v>
      </c>
      <c r="D1029" s="1">
        <v>5.2529000000000003</v>
      </c>
    </row>
    <row r="1030" spans="1:4" x14ac:dyDescent="0.2">
      <c r="A1030" s="5">
        <v>37935</v>
      </c>
      <c r="B1030" s="1">
        <v>4.4463999999999997</v>
      </c>
      <c r="C1030" s="1">
        <v>1.04</v>
      </c>
      <c r="D1030" s="1">
        <v>5.2636000000000003</v>
      </c>
    </row>
    <row r="1031" spans="1:4" x14ac:dyDescent="0.2">
      <c r="A1031" s="5">
        <v>37936</v>
      </c>
      <c r="B1031" s="1">
        <v>4.4463999999999997</v>
      </c>
      <c r="C1031" s="1">
        <v>1.04</v>
      </c>
      <c r="D1031" s="1">
        <v>5.2636000000000003</v>
      </c>
    </row>
    <row r="1032" spans="1:4" x14ac:dyDescent="0.2">
      <c r="A1032" s="5">
        <v>37937</v>
      </c>
      <c r="B1032" s="1">
        <v>4.3982999999999999</v>
      </c>
      <c r="C1032" s="1">
        <v>1.02</v>
      </c>
      <c r="D1032" s="1">
        <v>5.2081</v>
      </c>
    </row>
    <row r="1033" spans="1:4" x14ac:dyDescent="0.2">
      <c r="A1033" s="5">
        <v>37938</v>
      </c>
      <c r="B1033" s="1">
        <v>4.2690000000000001</v>
      </c>
      <c r="C1033" s="1">
        <v>1.02</v>
      </c>
      <c r="D1033" s="1">
        <v>5.1041999999999996</v>
      </c>
    </row>
    <row r="1034" spans="1:4" x14ac:dyDescent="0.2">
      <c r="A1034" s="5">
        <v>37939</v>
      </c>
      <c r="B1034" s="1">
        <v>4.2171000000000003</v>
      </c>
      <c r="C1034" s="1">
        <v>1.01</v>
      </c>
      <c r="D1034" s="1">
        <v>5.0505000000000004</v>
      </c>
    </row>
    <row r="1035" spans="1:4" x14ac:dyDescent="0.2">
      <c r="A1035" s="5">
        <v>37942</v>
      </c>
      <c r="B1035" s="1">
        <v>4.194</v>
      </c>
      <c r="C1035" s="1">
        <v>1.01</v>
      </c>
      <c r="D1035" s="1">
        <v>5.0473999999999997</v>
      </c>
    </row>
    <row r="1036" spans="1:4" x14ac:dyDescent="0.2">
      <c r="A1036" s="5">
        <v>37943</v>
      </c>
      <c r="B1036" s="1">
        <v>4.1421000000000001</v>
      </c>
      <c r="C1036" s="1">
        <v>1.01</v>
      </c>
      <c r="D1036" s="1">
        <v>4.9984000000000002</v>
      </c>
    </row>
    <row r="1037" spans="1:4" x14ac:dyDescent="0.2">
      <c r="A1037" s="5">
        <v>37944</v>
      </c>
      <c r="B1037" s="1">
        <v>4.2363999999999997</v>
      </c>
      <c r="C1037" s="1">
        <v>1.01</v>
      </c>
      <c r="D1037" s="1">
        <v>5.0814000000000004</v>
      </c>
    </row>
    <row r="1038" spans="1:4" x14ac:dyDescent="0.2">
      <c r="A1038" s="5">
        <v>37945</v>
      </c>
      <c r="B1038" s="1">
        <v>4.1516000000000002</v>
      </c>
      <c r="C1038" s="1">
        <v>1.02</v>
      </c>
      <c r="D1038" s="1">
        <v>5.0084999999999997</v>
      </c>
    </row>
    <row r="1039" spans="1:4" x14ac:dyDescent="0.2">
      <c r="A1039" s="5">
        <v>37946</v>
      </c>
      <c r="B1039" s="1">
        <v>4.1592000000000002</v>
      </c>
      <c r="C1039" s="1">
        <v>1.01</v>
      </c>
      <c r="D1039" s="1">
        <v>5.0145999999999997</v>
      </c>
    </row>
    <row r="1040" spans="1:4" x14ac:dyDescent="0.2">
      <c r="A1040" s="5">
        <v>37949</v>
      </c>
      <c r="B1040" s="1">
        <v>4.2286000000000001</v>
      </c>
      <c r="C1040" s="1">
        <v>1.01</v>
      </c>
      <c r="D1040" s="1">
        <v>5.0648</v>
      </c>
    </row>
    <row r="1041" spans="1:4" x14ac:dyDescent="0.2">
      <c r="A1041" s="5">
        <v>37950</v>
      </c>
      <c r="B1041" s="1">
        <v>4.1840999999999999</v>
      </c>
      <c r="C1041" s="1">
        <v>1.01</v>
      </c>
      <c r="D1041" s="1">
        <v>5.0289000000000001</v>
      </c>
    </row>
    <row r="1042" spans="1:4" x14ac:dyDescent="0.2">
      <c r="A1042" s="5">
        <v>37951</v>
      </c>
      <c r="B1042" s="1">
        <v>4.2458999999999998</v>
      </c>
      <c r="C1042" s="1">
        <v>0.99</v>
      </c>
      <c r="D1042" s="1">
        <v>5.0689000000000002</v>
      </c>
    </row>
    <row r="1043" spans="1:4" x14ac:dyDescent="0.2">
      <c r="A1043" s="5">
        <v>37952</v>
      </c>
      <c r="B1043" s="1">
        <v>4.2458999999999998</v>
      </c>
      <c r="C1043" s="1">
        <v>0.99</v>
      </c>
      <c r="D1043" s="1">
        <v>5.0689000000000002</v>
      </c>
    </row>
    <row r="1044" spans="1:4" x14ac:dyDescent="0.2">
      <c r="A1044" s="5">
        <v>37953</v>
      </c>
      <c r="B1044" s="1">
        <v>4.3315999999999999</v>
      </c>
      <c r="C1044" s="1">
        <v>0.98</v>
      </c>
      <c r="D1044" s="1">
        <v>5.1311</v>
      </c>
    </row>
    <row r="1045" spans="1:4" x14ac:dyDescent="0.2">
      <c r="A1045" s="5">
        <v>37956</v>
      </c>
      <c r="B1045" s="1">
        <v>4.3845999999999998</v>
      </c>
      <c r="C1045" s="1">
        <v>0.97</v>
      </c>
      <c r="D1045" s="1">
        <v>5.1509999999999998</v>
      </c>
    </row>
    <row r="1046" spans="1:4" x14ac:dyDescent="0.2">
      <c r="A1046" s="5">
        <v>37957</v>
      </c>
      <c r="B1046" s="1">
        <v>4.3787000000000003</v>
      </c>
      <c r="C1046" s="1">
        <v>0.96</v>
      </c>
      <c r="D1046" s="1">
        <v>5.15</v>
      </c>
    </row>
    <row r="1047" spans="1:4" x14ac:dyDescent="0.2">
      <c r="A1047" s="5">
        <v>37958</v>
      </c>
      <c r="B1047" s="1">
        <v>4.4023000000000003</v>
      </c>
      <c r="C1047" s="1">
        <v>0.95</v>
      </c>
      <c r="D1047" s="1">
        <v>5.1847000000000003</v>
      </c>
    </row>
    <row r="1048" spans="1:4" x14ac:dyDescent="0.2">
      <c r="A1048" s="5">
        <v>37959</v>
      </c>
      <c r="B1048" s="1">
        <v>4.3650000000000002</v>
      </c>
      <c r="C1048" s="1">
        <v>0.96</v>
      </c>
      <c r="D1048" s="1">
        <v>5.1604000000000001</v>
      </c>
    </row>
    <row r="1049" spans="1:4" x14ac:dyDescent="0.2">
      <c r="A1049" s="5">
        <v>37960</v>
      </c>
      <c r="B1049" s="1">
        <v>4.2302999999999997</v>
      </c>
      <c r="C1049" s="1">
        <v>0.97</v>
      </c>
      <c r="D1049" s="1">
        <v>5.0616000000000003</v>
      </c>
    </row>
    <row r="1050" spans="1:4" x14ac:dyDescent="0.2">
      <c r="A1050" s="5">
        <v>37963</v>
      </c>
      <c r="B1050" s="1">
        <v>4.2671999999999999</v>
      </c>
      <c r="C1050" s="1">
        <v>0.98</v>
      </c>
      <c r="D1050" s="1">
        <v>5.1092000000000004</v>
      </c>
    </row>
    <row r="1051" spans="1:4" x14ac:dyDescent="0.2">
      <c r="A1051" s="5">
        <v>37964</v>
      </c>
      <c r="B1051" s="1">
        <v>4.3513000000000002</v>
      </c>
      <c r="C1051" s="1">
        <v>0.97</v>
      </c>
      <c r="D1051" s="1">
        <v>5.1635999999999997</v>
      </c>
    </row>
    <row r="1052" spans="1:4" x14ac:dyDescent="0.2">
      <c r="A1052" s="5">
        <v>37965</v>
      </c>
      <c r="B1052" s="1">
        <v>4.3159999999999998</v>
      </c>
      <c r="C1052" s="1">
        <v>0.97</v>
      </c>
      <c r="D1052" s="1">
        <v>5.1489000000000003</v>
      </c>
    </row>
    <row r="1053" spans="1:4" x14ac:dyDescent="0.2">
      <c r="A1053" s="5">
        <v>37966</v>
      </c>
      <c r="B1053" s="1">
        <v>4.2302</v>
      </c>
      <c r="C1053" s="1">
        <v>0.99</v>
      </c>
      <c r="D1053" s="1">
        <v>5.1018999999999997</v>
      </c>
    </row>
    <row r="1054" spans="1:4" x14ac:dyDescent="0.2">
      <c r="A1054" s="5">
        <v>37967</v>
      </c>
      <c r="B1054" s="1">
        <v>4.2378999999999998</v>
      </c>
      <c r="C1054" s="1">
        <v>0.98</v>
      </c>
      <c r="D1054" s="1">
        <v>5.0903999999999998</v>
      </c>
    </row>
    <row r="1055" spans="1:4" x14ac:dyDescent="0.2">
      <c r="A1055" s="5">
        <v>37970</v>
      </c>
      <c r="B1055" s="1">
        <v>4.2573999999999996</v>
      </c>
      <c r="C1055" s="1">
        <v>0.97</v>
      </c>
      <c r="D1055" s="1">
        <v>5.0956000000000001</v>
      </c>
    </row>
    <row r="1056" spans="1:4" x14ac:dyDescent="0.2">
      <c r="A1056" s="5">
        <v>37971</v>
      </c>
      <c r="B1056" s="1">
        <v>4.2126999999999999</v>
      </c>
      <c r="C1056" s="1">
        <v>0.98</v>
      </c>
      <c r="D1056" s="1">
        <v>5.0646000000000004</v>
      </c>
    </row>
    <row r="1057" spans="1:4" x14ac:dyDescent="0.2">
      <c r="A1057" s="5">
        <v>37972</v>
      </c>
      <c r="B1057" s="1">
        <v>4.1816000000000004</v>
      </c>
      <c r="C1057" s="1">
        <v>0.97</v>
      </c>
      <c r="D1057" s="1">
        <v>5.0213999999999999</v>
      </c>
    </row>
    <row r="1058" spans="1:4" x14ac:dyDescent="0.2">
      <c r="A1058" s="5">
        <v>37973</v>
      </c>
      <c r="B1058" s="1">
        <v>4.1256000000000004</v>
      </c>
      <c r="C1058" s="1">
        <v>0.97</v>
      </c>
      <c r="D1058" s="1">
        <v>4.9433999999999996</v>
      </c>
    </row>
    <row r="1059" spans="1:4" x14ac:dyDescent="0.2">
      <c r="A1059" s="5">
        <v>37974</v>
      </c>
      <c r="B1059" s="1">
        <v>4.1332000000000004</v>
      </c>
      <c r="C1059" s="1">
        <v>0.96</v>
      </c>
      <c r="D1059" s="1">
        <v>4.9645000000000001</v>
      </c>
    </row>
    <row r="1060" spans="1:4" x14ac:dyDescent="0.2">
      <c r="A1060" s="5">
        <v>37977</v>
      </c>
      <c r="B1060" s="1">
        <v>4.1679000000000004</v>
      </c>
      <c r="C1060" s="1">
        <v>0.96</v>
      </c>
      <c r="D1060" s="1">
        <v>4.9795999999999996</v>
      </c>
    </row>
    <row r="1061" spans="1:4" x14ac:dyDescent="0.2">
      <c r="A1061" s="5">
        <v>37978</v>
      </c>
      <c r="B1061" s="1">
        <v>4.2592999999999996</v>
      </c>
      <c r="C1061" s="1">
        <v>0.95</v>
      </c>
      <c r="D1061" s="1">
        <v>5.0510999999999999</v>
      </c>
    </row>
    <row r="1062" spans="1:4" x14ac:dyDescent="0.2">
      <c r="A1062" s="5">
        <v>37979</v>
      </c>
      <c r="B1062" s="1">
        <v>4.1833999999999998</v>
      </c>
      <c r="C1062" s="1">
        <v>0.95</v>
      </c>
      <c r="D1062" s="1">
        <v>4.9856999999999996</v>
      </c>
    </row>
    <row r="1063" spans="1:4" x14ac:dyDescent="0.2">
      <c r="A1063" s="5">
        <v>37980</v>
      </c>
      <c r="B1063" s="1">
        <v>4.1833</v>
      </c>
      <c r="C1063" s="1">
        <v>0.95</v>
      </c>
      <c r="D1063" s="1">
        <v>4.9856999999999996</v>
      </c>
    </row>
    <row r="1064" spans="1:4" x14ac:dyDescent="0.2">
      <c r="A1064" s="5">
        <v>37981</v>
      </c>
      <c r="B1064" s="1">
        <v>4.1502999999999997</v>
      </c>
      <c r="C1064" s="1">
        <v>0.96</v>
      </c>
      <c r="D1064" s="1">
        <v>4.9694000000000003</v>
      </c>
    </row>
    <row r="1065" spans="1:4" x14ac:dyDescent="0.2">
      <c r="A1065" s="5">
        <v>37984</v>
      </c>
      <c r="B1065" s="1">
        <v>4.2416999999999998</v>
      </c>
      <c r="C1065" s="1">
        <v>0.95</v>
      </c>
      <c r="D1065" s="1">
        <v>5.0468999999999999</v>
      </c>
    </row>
    <row r="1066" spans="1:4" x14ac:dyDescent="0.2">
      <c r="A1066" s="5">
        <v>37985</v>
      </c>
      <c r="B1066" s="1">
        <v>4.2572999999999999</v>
      </c>
      <c r="C1066" s="1">
        <v>0.95</v>
      </c>
      <c r="D1066" s="1">
        <v>5.0747999999999998</v>
      </c>
    </row>
    <row r="1067" spans="1:4" x14ac:dyDescent="0.2">
      <c r="A1067" s="5">
        <v>37986</v>
      </c>
      <c r="B1067" s="1">
        <v>4.2454999999999998</v>
      </c>
      <c r="C1067" s="1">
        <v>0.95</v>
      </c>
      <c r="D1067" s="1">
        <v>5.0727000000000002</v>
      </c>
    </row>
    <row r="1068" spans="1:4" x14ac:dyDescent="0.2">
      <c r="A1068" s="5">
        <v>37987</v>
      </c>
      <c r="B1068" s="1">
        <v>4.2454999999999998</v>
      </c>
      <c r="C1068" s="1">
        <v>0.95</v>
      </c>
      <c r="D1068" s="1">
        <v>5.0726000000000004</v>
      </c>
    </row>
    <row r="1069" spans="1:4" x14ac:dyDescent="0.2">
      <c r="A1069" s="5">
        <v>37988</v>
      </c>
      <c r="B1069" s="1">
        <v>4.3794000000000004</v>
      </c>
      <c r="C1069" s="1">
        <v>0.94</v>
      </c>
      <c r="D1069" s="1">
        <v>5.1698000000000004</v>
      </c>
    </row>
    <row r="1070" spans="1:4" x14ac:dyDescent="0.2">
      <c r="A1070" s="5">
        <v>37991</v>
      </c>
      <c r="B1070" s="1">
        <v>4.3773999999999997</v>
      </c>
      <c r="C1070" s="1">
        <v>0.93</v>
      </c>
      <c r="D1070" s="1">
        <v>5.1772</v>
      </c>
    </row>
    <row r="1071" spans="1:4" x14ac:dyDescent="0.2">
      <c r="A1071" s="5">
        <v>37992</v>
      </c>
      <c r="B1071" s="1">
        <v>4.2709999999999999</v>
      </c>
      <c r="C1071" s="1">
        <v>0.93</v>
      </c>
      <c r="D1071" s="1">
        <v>5.1006</v>
      </c>
    </row>
    <row r="1072" spans="1:4" x14ac:dyDescent="0.2">
      <c r="A1072" s="5">
        <v>37993</v>
      </c>
      <c r="B1072" s="1">
        <v>4.2416</v>
      </c>
      <c r="C1072" s="1">
        <v>0.93</v>
      </c>
      <c r="D1072" s="1">
        <v>5.0757000000000003</v>
      </c>
    </row>
    <row r="1073" spans="1:4" x14ac:dyDescent="0.2">
      <c r="A1073" s="5">
        <v>37994</v>
      </c>
      <c r="B1073" s="1">
        <v>4.2553000000000001</v>
      </c>
      <c r="C1073" s="1">
        <v>0.93</v>
      </c>
      <c r="D1073" s="1">
        <v>5.085</v>
      </c>
    </row>
    <row r="1074" spans="1:4" x14ac:dyDescent="0.2">
      <c r="A1074" s="5">
        <v>37995</v>
      </c>
      <c r="B1074" s="1">
        <v>4.0803000000000003</v>
      </c>
      <c r="C1074" s="1">
        <v>0.94</v>
      </c>
      <c r="D1074" s="1">
        <v>4.9592000000000001</v>
      </c>
    </row>
    <row r="1075" spans="1:4" x14ac:dyDescent="0.2">
      <c r="A1075" s="5">
        <v>37998</v>
      </c>
      <c r="B1075" s="1">
        <v>4.0861000000000001</v>
      </c>
      <c r="C1075" s="1">
        <v>0.94</v>
      </c>
      <c r="D1075" s="1">
        <v>4.9722999999999997</v>
      </c>
    </row>
    <row r="1076" spans="1:4" x14ac:dyDescent="0.2">
      <c r="A1076" s="5">
        <v>37999</v>
      </c>
      <c r="B1076" s="1">
        <v>4.0110000000000001</v>
      </c>
      <c r="C1076" s="1">
        <v>0.95</v>
      </c>
      <c r="D1076" s="1">
        <v>4.9188999999999998</v>
      </c>
    </row>
    <row r="1077" spans="1:4" x14ac:dyDescent="0.2">
      <c r="A1077" s="5">
        <v>38000</v>
      </c>
      <c r="B1077" s="1">
        <v>3.9937</v>
      </c>
      <c r="C1077" s="1">
        <v>0.94</v>
      </c>
      <c r="D1077" s="1">
        <v>4.8939000000000004</v>
      </c>
    </row>
    <row r="1078" spans="1:4" x14ac:dyDescent="0.2">
      <c r="A1078" s="5">
        <v>38001</v>
      </c>
      <c r="B1078" s="1">
        <v>3.9687999999999999</v>
      </c>
      <c r="C1078" s="1">
        <v>0.92</v>
      </c>
      <c r="D1078" s="1">
        <v>4.8552</v>
      </c>
    </row>
    <row r="1079" spans="1:4" x14ac:dyDescent="0.2">
      <c r="A1079" s="5">
        <v>38002</v>
      </c>
      <c r="B1079" s="1">
        <v>4.0298999999999996</v>
      </c>
      <c r="C1079" s="1">
        <v>0.92</v>
      </c>
      <c r="D1079" s="1">
        <v>4.8918999999999997</v>
      </c>
    </row>
    <row r="1080" spans="1:4" x14ac:dyDescent="0.2">
      <c r="A1080" s="5">
        <v>38005</v>
      </c>
      <c r="B1080" s="1">
        <v>4.0297999999999998</v>
      </c>
      <c r="C1080" s="1">
        <v>0.92</v>
      </c>
      <c r="D1080" s="1">
        <v>4.8917999999999999</v>
      </c>
    </row>
    <row r="1081" spans="1:4" x14ac:dyDescent="0.2">
      <c r="A1081" s="5">
        <v>38006</v>
      </c>
      <c r="B1081" s="1">
        <v>4.0548000000000002</v>
      </c>
      <c r="C1081" s="1">
        <v>0.92</v>
      </c>
      <c r="D1081" s="1">
        <v>4.9238</v>
      </c>
    </row>
    <row r="1082" spans="1:4" x14ac:dyDescent="0.2">
      <c r="A1082" s="5">
        <v>38007</v>
      </c>
      <c r="B1082" s="1">
        <v>4.0182000000000002</v>
      </c>
      <c r="C1082" s="1">
        <v>0.92</v>
      </c>
      <c r="D1082" s="1">
        <v>4.9038000000000004</v>
      </c>
    </row>
    <row r="1083" spans="1:4" x14ac:dyDescent="0.2">
      <c r="A1083" s="5">
        <v>38008</v>
      </c>
      <c r="B1083" s="1">
        <v>3.9529999999999998</v>
      </c>
      <c r="C1083" s="1">
        <v>0.92</v>
      </c>
      <c r="D1083" s="1">
        <v>4.8433000000000002</v>
      </c>
    </row>
    <row r="1084" spans="1:4" x14ac:dyDescent="0.2">
      <c r="A1084" s="5">
        <v>38009</v>
      </c>
      <c r="B1084" s="1">
        <v>4.0720000000000001</v>
      </c>
      <c r="C1084" s="1">
        <v>0.91</v>
      </c>
      <c r="D1084" s="1">
        <v>4.9428999999999998</v>
      </c>
    </row>
    <row r="1085" spans="1:4" x14ac:dyDescent="0.2">
      <c r="A1085" s="5">
        <v>38012</v>
      </c>
      <c r="B1085" s="1">
        <v>4.1300999999999997</v>
      </c>
      <c r="C1085" s="1">
        <v>0.92</v>
      </c>
      <c r="D1085" s="1">
        <v>4.9832999999999998</v>
      </c>
    </row>
    <row r="1086" spans="1:4" x14ac:dyDescent="0.2">
      <c r="A1086" s="5">
        <v>38013</v>
      </c>
      <c r="B1086" s="1">
        <v>4.0738000000000003</v>
      </c>
      <c r="C1086" s="1">
        <v>0.92</v>
      </c>
      <c r="D1086" s="1">
        <v>4.9367999999999999</v>
      </c>
    </row>
    <row r="1087" spans="1:4" x14ac:dyDescent="0.2">
      <c r="A1087" s="5">
        <v>38014</v>
      </c>
      <c r="B1087" s="1">
        <v>4.1885000000000003</v>
      </c>
      <c r="C1087" s="1">
        <v>0.91</v>
      </c>
      <c r="D1087" s="1">
        <v>5.0026000000000002</v>
      </c>
    </row>
    <row r="1088" spans="1:4" x14ac:dyDescent="0.2">
      <c r="A1088" s="5">
        <v>38015</v>
      </c>
      <c r="B1088" s="1">
        <v>4.1729000000000003</v>
      </c>
      <c r="C1088" s="1">
        <v>0.92</v>
      </c>
      <c r="D1088" s="1">
        <v>4.9996</v>
      </c>
    </row>
    <row r="1089" spans="1:4" x14ac:dyDescent="0.2">
      <c r="A1089" s="5">
        <v>38016</v>
      </c>
      <c r="B1089" s="1">
        <v>4.1318999999999999</v>
      </c>
      <c r="C1089" s="1">
        <v>0.93</v>
      </c>
      <c r="D1089" s="1">
        <v>4.9610000000000003</v>
      </c>
    </row>
    <row r="1090" spans="1:4" x14ac:dyDescent="0.2">
      <c r="A1090" s="5">
        <v>38019</v>
      </c>
      <c r="B1090" s="1">
        <v>4.1455000000000002</v>
      </c>
      <c r="C1090" s="1">
        <v>0.94</v>
      </c>
      <c r="D1090" s="1">
        <v>4.9832999999999998</v>
      </c>
    </row>
    <row r="1091" spans="1:4" x14ac:dyDescent="0.2">
      <c r="A1091" s="5">
        <v>38020</v>
      </c>
      <c r="B1091" s="1">
        <v>4.0968</v>
      </c>
      <c r="C1091" s="1">
        <v>0.95</v>
      </c>
      <c r="D1091" s="1">
        <v>4.9488000000000003</v>
      </c>
    </row>
    <row r="1092" spans="1:4" x14ac:dyDescent="0.2">
      <c r="A1092" s="5">
        <v>38021</v>
      </c>
      <c r="B1092" s="1">
        <v>4.1123000000000003</v>
      </c>
      <c r="C1092" s="1">
        <v>0.94</v>
      </c>
      <c r="D1092" s="1">
        <v>4.9549000000000003</v>
      </c>
    </row>
    <row r="1093" spans="1:4" x14ac:dyDescent="0.2">
      <c r="A1093" s="5">
        <v>38022</v>
      </c>
      <c r="B1093" s="1">
        <v>4.1669</v>
      </c>
      <c r="C1093" s="1">
        <v>0.94</v>
      </c>
      <c r="D1093" s="1">
        <v>4.9812000000000003</v>
      </c>
    </row>
    <row r="1094" spans="1:4" x14ac:dyDescent="0.2">
      <c r="A1094" s="5">
        <v>38023</v>
      </c>
      <c r="B1094" s="1">
        <v>4.0772000000000004</v>
      </c>
      <c r="C1094" s="1">
        <v>0.95</v>
      </c>
      <c r="D1094" s="1">
        <v>4.9165999999999999</v>
      </c>
    </row>
    <row r="1095" spans="1:4" x14ac:dyDescent="0.2">
      <c r="A1095" s="5">
        <v>38026</v>
      </c>
      <c r="B1095" s="1">
        <v>4.0519999999999996</v>
      </c>
      <c r="C1095" s="1">
        <v>0.95</v>
      </c>
      <c r="D1095" s="1">
        <v>4.8996000000000004</v>
      </c>
    </row>
    <row r="1096" spans="1:4" x14ac:dyDescent="0.2">
      <c r="A1096" s="5">
        <v>38027</v>
      </c>
      <c r="B1096" s="1">
        <v>4.1120999999999999</v>
      </c>
      <c r="C1096" s="1">
        <v>0.95</v>
      </c>
      <c r="D1096" s="1">
        <v>4.9497999999999998</v>
      </c>
    </row>
    <row r="1097" spans="1:4" x14ac:dyDescent="0.2">
      <c r="A1097" s="5">
        <v>38028</v>
      </c>
      <c r="B1097" s="1">
        <v>4.0305999999999997</v>
      </c>
      <c r="C1097" s="1">
        <v>0.95</v>
      </c>
      <c r="D1097" s="1">
        <v>4.8994999999999997</v>
      </c>
    </row>
    <row r="1098" spans="1:4" x14ac:dyDescent="0.2">
      <c r="A1098" s="5">
        <v>38029</v>
      </c>
      <c r="B1098" s="1">
        <v>4.0441000000000003</v>
      </c>
      <c r="C1098" s="1">
        <v>0.95</v>
      </c>
      <c r="D1098" s="1">
        <v>4.9265999999999996</v>
      </c>
    </row>
    <row r="1099" spans="1:4" x14ac:dyDescent="0.2">
      <c r="A1099" s="5">
        <v>38030</v>
      </c>
      <c r="B1099" s="1">
        <v>4.0401999999999996</v>
      </c>
      <c r="C1099" s="1">
        <v>0.94</v>
      </c>
      <c r="D1099" s="1">
        <v>4.9165000000000001</v>
      </c>
    </row>
    <row r="1100" spans="1:4" x14ac:dyDescent="0.2">
      <c r="A1100" s="5">
        <v>38033</v>
      </c>
      <c r="B1100" s="1">
        <v>4.0401999999999996</v>
      </c>
      <c r="C1100" s="1">
        <v>0.94</v>
      </c>
      <c r="D1100" s="1">
        <v>4.9164000000000003</v>
      </c>
    </row>
    <row r="1101" spans="1:4" x14ac:dyDescent="0.2">
      <c r="A1101" s="5">
        <v>38034</v>
      </c>
      <c r="B1101" s="1">
        <v>4.0382999999999996</v>
      </c>
      <c r="C1101" s="1">
        <v>0.94</v>
      </c>
      <c r="D1101" s="1">
        <v>4.9114000000000004</v>
      </c>
    </row>
    <row r="1102" spans="1:4" x14ac:dyDescent="0.2">
      <c r="A1102" s="5">
        <v>38035</v>
      </c>
      <c r="B1102" s="1">
        <v>4.0479000000000003</v>
      </c>
      <c r="C1102" s="1">
        <v>0.94</v>
      </c>
      <c r="D1102" s="1">
        <v>4.9104000000000001</v>
      </c>
    </row>
    <row r="1103" spans="1:4" x14ac:dyDescent="0.2">
      <c r="A1103" s="5">
        <v>38036</v>
      </c>
      <c r="B1103" s="1">
        <v>4.0305999999999997</v>
      </c>
      <c r="C1103" s="1">
        <v>0.94</v>
      </c>
      <c r="D1103" s="1">
        <v>4.8944000000000001</v>
      </c>
    </row>
    <row r="1104" spans="1:4" x14ac:dyDescent="0.2">
      <c r="A1104" s="5">
        <v>38037</v>
      </c>
      <c r="B1104" s="1">
        <v>4.0960999999999999</v>
      </c>
      <c r="C1104" s="1">
        <v>0.93</v>
      </c>
      <c r="D1104" s="1">
        <v>4.9524999999999997</v>
      </c>
    </row>
    <row r="1105" spans="1:4" x14ac:dyDescent="0.2">
      <c r="A1105" s="5">
        <v>38040</v>
      </c>
      <c r="B1105" s="1">
        <v>4.0362999999999998</v>
      </c>
      <c r="C1105" s="1">
        <v>0.94</v>
      </c>
      <c r="D1105" s="1">
        <v>4.9012000000000002</v>
      </c>
    </row>
    <row r="1106" spans="1:4" x14ac:dyDescent="0.2">
      <c r="A1106" s="5">
        <v>38041</v>
      </c>
      <c r="B1106" s="1">
        <v>4.0228999999999999</v>
      </c>
      <c r="C1106" s="1">
        <v>0.95</v>
      </c>
      <c r="D1106" s="1">
        <v>4.8962000000000003</v>
      </c>
    </row>
    <row r="1107" spans="1:4" x14ac:dyDescent="0.2">
      <c r="A1107" s="5">
        <v>38042</v>
      </c>
      <c r="B1107" s="1">
        <v>4.0075000000000003</v>
      </c>
      <c r="C1107" s="1">
        <v>0.95</v>
      </c>
      <c r="D1107" s="1">
        <v>4.8861999999999997</v>
      </c>
    </row>
    <row r="1108" spans="1:4" x14ac:dyDescent="0.2">
      <c r="A1108" s="5">
        <v>38043</v>
      </c>
      <c r="B1108" s="1">
        <v>4.0343999999999998</v>
      </c>
      <c r="C1108" s="1">
        <v>0.95</v>
      </c>
      <c r="D1108" s="1">
        <v>4.9051</v>
      </c>
    </row>
    <row r="1109" spans="1:4" x14ac:dyDescent="0.2">
      <c r="A1109" s="5">
        <v>38044</v>
      </c>
      <c r="B1109" s="1">
        <v>3.9710999999999999</v>
      </c>
      <c r="C1109" s="1">
        <v>0.95</v>
      </c>
      <c r="D1109" s="1">
        <v>4.8373999999999997</v>
      </c>
    </row>
    <row r="1110" spans="1:4" x14ac:dyDescent="0.2">
      <c r="A1110" s="5">
        <v>38047</v>
      </c>
      <c r="B1110" s="1">
        <v>3.9729999999999999</v>
      </c>
      <c r="C1110" s="1">
        <v>0.94</v>
      </c>
      <c r="D1110" s="1">
        <v>4.8384</v>
      </c>
    </row>
    <row r="1111" spans="1:4" x14ac:dyDescent="0.2">
      <c r="A1111" s="5">
        <v>38048</v>
      </c>
      <c r="B1111" s="1">
        <v>4.0420999999999996</v>
      </c>
      <c r="C1111" s="1">
        <v>0.94</v>
      </c>
      <c r="D1111" s="1">
        <v>4.9009999999999998</v>
      </c>
    </row>
    <row r="1112" spans="1:4" x14ac:dyDescent="0.2">
      <c r="A1112" s="5">
        <v>38049</v>
      </c>
      <c r="B1112" s="1">
        <v>4.0498000000000003</v>
      </c>
      <c r="C1112" s="1">
        <v>0.94</v>
      </c>
      <c r="D1112" s="1">
        <v>4.9028999999999998</v>
      </c>
    </row>
    <row r="1113" spans="1:4" x14ac:dyDescent="0.2">
      <c r="A1113" s="5">
        <v>38050</v>
      </c>
      <c r="B1113" s="1">
        <v>4.0151000000000003</v>
      </c>
      <c r="C1113" s="1">
        <v>0.94</v>
      </c>
      <c r="D1113" s="1">
        <v>4.8769</v>
      </c>
    </row>
    <row r="1114" spans="1:4" x14ac:dyDescent="0.2">
      <c r="A1114" s="5">
        <v>38051</v>
      </c>
      <c r="B1114" s="1">
        <v>3.8491</v>
      </c>
      <c r="C1114" s="1">
        <v>0.95</v>
      </c>
      <c r="D1114" s="1">
        <v>4.7628000000000004</v>
      </c>
    </row>
    <row r="1115" spans="1:4" x14ac:dyDescent="0.2">
      <c r="A1115" s="5">
        <v>38054</v>
      </c>
      <c r="B1115" s="1">
        <v>3.7679999999999998</v>
      </c>
      <c r="C1115" s="1">
        <v>0.96</v>
      </c>
      <c r="D1115" s="1">
        <v>4.7076000000000002</v>
      </c>
    </row>
    <row r="1116" spans="1:4" x14ac:dyDescent="0.2">
      <c r="A1116" s="5">
        <v>38055</v>
      </c>
      <c r="B1116" s="1">
        <v>3.7210999999999999</v>
      </c>
      <c r="C1116" s="1">
        <v>0.97</v>
      </c>
      <c r="D1116" s="1">
        <v>4.6692999999999998</v>
      </c>
    </row>
    <row r="1117" spans="1:4" x14ac:dyDescent="0.2">
      <c r="A1117" s="5">
        <v>38056</v>
      </c>
      <c r="B1117" s="1">
        <v>3.7284999999999999</v>
      </c>
      <c r="C1117" s="1">
        <v>0.97</v>
      </c>
      <c r="D1117" s="1">
        <v>4.6692999999999998</v>
      </c>
    </row>
    <row r="1118" spans="1:4" x14ac:dyDescent="0.2">
      <c r="A1118" s="5">
        <v>38057</v>
      </c>
      <c r="B1118" s="1">
        <v>3.6985000000000001</v>
      </c>
      <c r="C1118" s="1">
        <v>0.97</v>
      </c>
      <c r="D1118" s="1">
        <v>4.6645000000000003</v>
      </c>
    </row>
    <row r="1119" spans="1:4" x14ac:dyDescent="0.2">
      <c r="A1119" s="5">
        <v>38058</v>
      </c>
      <c r="B1119" s="1">
        <v>3.7770000000000001</v>
      </c>
      <c r="C1119" s="1">
        <v>0.98</v>
      </c>
      <c r="D1119" s="1">
        <v>4.7169999999999996</v>
      </c>
    </row>
    <row r="1120" spans="1:4" x14ac:dyDescent="0.2">
      <c r="A1120" s="5">
        <v>38061</v>
      </c>
      <c r="B1120" s="1">
        <v>3.7618999999999998</v>
      </c>
      <c r="C1120" s="1">
        <v>0.98</v>
      </c>
      <c r="D1120" s="1">
        <v>4.7054</v>
      </c>
    </row>
    <row r="1121" spans="1:4" x14ac:dyDescent="0.2">
      <c r="A1121" s="5">
        <v>38062</v>
      </c>
      <c r="B1121" s="1">
        <v>3.6793999999999998</v>
      </c>
      <c r="C1121" s="1">
        <v>0.98</v>
      </c>
      <c r="D1121" s="1">
        <v>4.6424000000000003</v>
      </c>
    </row>
    <row r="1122" spans="1:4" x14ac:dyDescent="0.2">
      <c r="A1122" s="5">
        <v>38063</v>
      </c>
      <c r="B1122" s="1">
        <v>3.7111000000000001</v>
      </c>
      <c r="C1122" s="1">
        <v>0.97</v>
      </c>
      <c r="D1122" s="1">
        <v>4.6642000000000001</v>
      </c>
    </row>
    <row r="1123" spans="1:4" x14ac:dyDescent="0.2">
      <c r="A1123" s="5">
        <v>38064</v>
      </c>
      <c r="B1123" s="1">
        <v>3.7542</v>
      </c>
      <c r="C1123" s="1">
        <v>0.97</v>
      </c>
      <c r="D1123" s="1">
        <v>4.6996000000000002</v>
      </c>
    </row>
    <row r="1124" spans="1:4" x14ac:dyDescent="0.2">
      <c r="A1124" s="5">
        <v>38065</v>
      </c>
      <c r="B1124" s="1">
        <v>3.7709999999999999</v>
      </c>
      <c r="C1124" s="1">
        <v>0.96</v>
      </c>
      <c r="D1124" s="1">
        <v>4.7042000000000002</v>
      </c>
    </row>
    <row r="1125" spans="1:4" x14ac:dyDescent="0.2">
      <c r="A1125" s="5">
        <v>38068</v>
      </c>
      <c r="B1125" s="1">
        <v>3.7126000000000001</v>
      </c>
      <c r="C1125" s="1">
        <v>0.97</v>
      </c>
      <c r="D1125" s="1">
        <v>4.6639999999999997</v>
      </c>
    </row>
    <row r="1126" spans="1:4" x14ac:dyDescent="0.2">
      <c r="A1126" s="5">
        <v>38069</v>
      </c>
      <c r="B1126" s="1">
        <v>3.6901000000000002</v>
      </c>
      <c r="C1126" s="1">
        <v>0.97</v>
      </c>
      <c r="D1126" s="1">
        <v>4.6516000000000002</v>
      </c>
    </row>
    <row r="1127" spans="1:4" x14ac:dyDescent="0.2">
      <c r="A1127" s="5">
        <v>38070</v>
      </c>
      <c r="B1127" s="1">
        <v>3.7069000000000001</v>
      </c>
      <c r="C1127" s="1">
        <v>0.98</v>
      </c>
      <c r="D1127" s="1">
        <v>4.6581999999999999</v>
      </c>
    </row>
    <row r="1128" spans="1:4" x14ac:dyDescent="0.2">
      <c r="A1128" s="5">
        <v>38071</v>
      </c>
      <c r="B1128" s="1">
        <v>3.7368000000000001</v>
      </c>
      <c r="C1128" s="1">
        <v>0.98</v>
      </c>
      <c r="D1128" s="1">
        <v>4.6916000000000002</v>
      </c>
    </row>
    <row r="1129" spans="1:4" x14ac:dyDescent="0.2">
      <c r="A1129" s="5">
        <v>38072</v>
      </c>
      <c r="B1129" s="1">
        <v>3.8292000000000002</v>
      </c>
      <c r="C1129" s="1">
        <v>0.97</v>
      </c>
      <c r="D1129" s="1">
        <v>4.7610000000000001</v>
      </c>
    </row>
    <row r="1130" spans="1:4" x14ac:dyDescent="0.2">
      <c r="A1130" s="5">
        <v>38075</v>
      </c>
      <c r="B1130" s="1">
        <v>3.8881999999999999</v>
      </c>
      <c r="C1130" s="1">
        <v>0.97</v>
      </c>
      <c r="D1130" s="1">
        <v>4.8098999999999998</v>
      </c>
    </row>
    <row r="1131" spans="1:4" x14ac:dyDescent="0.2">
      <c r="A1131" s="5">
        <v>38076</v>
      </c>
      <c r="B1131" s="1">
        <v>3.8938999999999999</v>
      </c>
      <c r="C1131" s="1">
        <v>0.96</v>
      </c>
      <c r="D1131" s="1">
        <v>4.8128000000000002</v>
      </c>
    </row>
    <row r="1132" spans="1:4" x14ac:dyDescent="0.2">
      <c r="A1132" s="5">
        <v>38077</v>
      </c>
      <c r="B1132" s="1">
        <v>3.8348</v>
      </c>
      <c r="C1132" s="1">
        <v>0.97</v>
      </c>
      <c r="D1132" s="1">
        <v>4.7716000000000003</v>
      </c>
    </row>
    <row r="1133" spans="1:4" x14ac:dyDescent="0.2">
      <c r="A1133" s="5">
        <v>38078</v>
      </c>
      <c r="B1133" s="1">
        <v>3.8786</v>
      </c>
      <c r="C1133" s="1">
        <v>0.97</v>
      </c>
      <c r="D1133" s="1">
        <v>4.8009000000000004</v>
      </c>
    </row>
    <row r="1134" spans="1:4" x14ac:dyDescent="0.2">
      <c r="A1134" s="5">
        <v>38079</v>
      </c>
      <c r="B1134" s="1">
        <v>4.1435000000000004</v>
      </c>
      <c r="C1134" s="1">
        <v>0.95</v>
      </c>
      <c r="D1134" s="1">
        <v>4.9776999999999996</v>
      </c>
    </row>
    <row r="1135" spans="1:4" x14ac:dyDescent="0.2">
      <c r="A1135" s="5">
        <v>38082</v>
      </c>
      <c r="B1135" s="1">
        <v>4.2064000000000004</v>
      </c>
      <c r="C1135" s="1">
        <v>0.94</v>
      </c>
      <c r="D1135" s="1">
        <v>5.0412999999999997</v>
      </c>
    </row>
    <row r="1136" spans="1:4" x14ac:dyDescent="0.2">
      <c r="A1136" s="5">
        <v>38083</v>
      </c>
      <c r="B1136" s="1">
        <v>4.1475</v>
      </c>
      <c r="C1136" s="1">
        <v>0.94</v>
      </c>
      <c r="D1136" s="1">
        <v>4.9970999999999997</v>
      </c>
    </row>
    <row r="1137" spans="1:4" x14ac:dyDescent="0.2">
      <c r="A1137" s="5">
        <v>38084</v>
      </c>
      <c r="B1137" s="1">
        <v>4.1573000000000002</v>
      </c>
      <c r="C1137" s="1">
        <v>0.94</v>
      </c>
      <c r="D1137" s="1">
        <v>5.0042</v>
      </c>
    </row>
    <row r="1138" spans="1:4" x14ac:dyDescent="0.2">
      <c r="A1138" s="5">
        <v>38085</v>
      </c>
      <c r="B1138" s="1">
        <v>4.1909000000000001</v>
      </c>
      <c r="C1138" s="1">
        <v>0.93</v>
      </c>
      <c r="D1138" s="1">
        <v>5.0278</v>
      </c>
    </row>
    <row r="1139" spans="1:4" x14ac:dyDescent="0.2">
      <c r="A1139" s="5">
        <v>38086</v>
      </c>
      <c r="B1139" s="1">
        <v>4.1909000000000001</v>
      </c>
      <c r="C1139" s="1">
        <v>0.93</v>
      </c>
      <c r="D1139" s="1">
        <v>5.0277000000000003</v>
      </c>
    </row>
    <row r="1140" spans="1:4" x14ac:dyDescent="0.2">
      <c r="A1140" s="5">
        <v>38089</v>
      </c>
      <c r="B1140" s="1">
        <v>4.2285000000000004</v>
      </c>
      <c r="C1140" s="1">
        <v>0.93</v>
      </c>
      <c r="D1140" s="1">
        <v>5.0597000000000003</v>
      </c>
    </row>
    <row r="1141" spans="1:4" x14ac:dyDescent="0.2">
      <c r="A1141" s="5">
        <v>38090</v>
      </c>
      <c r="B1141" s="1">
        <v>4.3518999999999997</v>
      </c>
      <c r="C1141" s="1">
        <v>0.92</v>
      </c>
      <c r="D1141" s="1">
        <v>5.1550000000000002</v>
      </c>
    </row>
    <row r="1142" spans="1:4" x14ac:dyDescent="0.2">
      <c r="A1142" s="5">
        <v>38091</v>
      </c>
      <c r="B1142" s="1">
        <v>4.3639999999999999</v>
      </c>
      <c r="C1142" s="1">
        <v>0.92</v>
      </c>
      <c r="D1142" s="1">
        <v>5.1592000000000002</v>
      </c>
    </row>
    <row r="1143" spans="1:4" x14ac:dyDescent="0.2">
      <c r="A1143" s="5">
        <v>38092</v>
      </c>
      <c r="B1143" s="1">
        <v>4.4002999999999997</v>
      </c>
      <c r="C1143" s="1">
        <v>0.92</v>
      </c>
      <c r="D1143" s="1">
        <v>5.2092000000000001</v>
      </c>
    </row>
    <row r="1144" spans="1:4" x14ac:dyDescent="0.2">
      <c r="A1144" s="5">
        <v>38093</v>
      </c>
      <c r="B1144" s="1">
        <v>4.3383000000000003</v>
      </c>
      <c r="C1144" s="1">
        <v>0.93</v>
      </c>
      <c r="D1144" s="1">
        <v>5.1687000000000003</v>
      </c>
    </row>
    <row r="1145" spans="1:4" x14ac:dyDescent="0.2">
      <c r="A1145" s="5">
        <v>38096</v>
      </c>
      <c r="B1145" s="1">
        <v>4.3845000000000001</v>
      </c>
      <c r="C1145" s="1">
        <v>0.93</v>
      </c>
      <c r="D1145" s="1">
        <v>5.2091000000000003</v>
      </c>
    </row>
    <row r="1146" spans="1:4" x14ac:dyDescent="0.2">
      <c r="A1146" s="5">
        <v>38097</v>
      </c>
      <c r="B1146" s="1">
        <v>4.4573</v>
      </c>
      <c r="C1146" s="1">
        <v>0.92</v>
      </c>
      <c r="D1146" s="1">
        <v>5.2606999999999999</v>
      </c>
    </row>
    <row r="1147" spans="1:4" x14ac:dyDescent="0.2">
      <c r="A1147" s="5">
        <v>38098</v>
      </c>
      <c r="B1147" s="1">
        <v>4.423</v>
      </c>
      <c r="C1147" s="1">
        <v>0.92</v>
      </c>
      <c r="D1147" s="1">
        <v>5.2262000000000004</v>
      </c>
    </row>
    <row r="1148" spans="1:4" x14ac:dyDescent="0.2">
      <c r="A1148" s="5">
        <v>38099</v>
      </c>
      <c r="B1148" s="1">
        <v>4.3807</v>
      </c>
      <c r="C1148" s="1">
        <v>0.91</v>
      </c>
      <c r="D1148" s="1">
        <v>5.1940999999999997</v>
      </c>
    </row>
    <row r="1149" spans="1:4" x14ac:dyDescent="0.2">
      <c r="A1149" s="5">
        <v>38100</v>
      </c>
      <c r="B1149" s="1">
        <v>4.4577999999999998</v>
      </c>
      <c r="C1149" s="1">
        <v>0.89</v>
      </c>
      <c r="D1149" s="1">
        <v>5.2390999999999996</v>
      </c>
    </row>
    <row r="1150" spans="1:4" x14ac:dyDescent="0.2">
      <c r="A1150" s="5">
        <v>38103</v>
      </c>
      <c r="B1150" s="1">
        <v>4.4336000000000002</v>
      </c>
      <c r="C1150" s="1">
        <v>0.89</v>
      </c>
      <c r="D1150" s="1">
        <v>5.2271999999999998</v>
      </c>
    </row>
    <row r="1151" spans="1:4" x14ac:dyDescent="0.2">
      <c r="A1151" s="5">
        <v>38104</v>
      </c>
      <c r="B1151" s="1">
        <v>4.3832000000000004</v>
      </c>
      <c r="C1151" s="1">
        <v>0.89</v>
      </c>
      <c r="D1151" s="1">
        <v>5.1993999999999998</v>
      </c>
    </row>
    <row r="1152" spans="1:4" x14ac:dyDescent="0.2">
      <c r="A1152" s="5">
        <v>38105</v>
      </c>
      <c r="B1152" s="1">
        <v>4.4966999999999997</v>
      </c>
      <c r="C1152" s="1">
        <v>0.89</v>
      </c>
      <c r="D1152" s="1">
        <v>5.2855999999999996</v>
      </c>
    </row>
    <row r="1153" spans="1:4" x14ac:dyDescent="0.2">
      <c r="A1153" s="5">
        <v>38106</v>
      </c>
      <c r="B1153" s="1">
        <v>4.5355999999999996</v>
      </c>
      <c r="C1153" s="1">
        <v>0.91</v>
      </c>
      <c r="D1153" s="1">
        <v>5.3139000000000003</v>
      </c>
    </row>
    <row r="1154" spans="1:4" x14ac:dyDescent="0.2">
      <c r="A1154" s="5">
        <v>38107</v>
      </c>
      <c r="B1154" s="1">
        <v>4.5053000000000001</v>
      </c>
      <c r="C1154" s="1">
        <v>0.92</v>
      </c>
      <c r="D1154" s="1">
        <v>5.2843999999999998</v>
      </c>
    </row>
    <row r="1155" spans="1:4" x14ac:dyDescent="0.2">
      <c r="A1155" s="5">
        <v>38110</v>
      </c>
      <c r="B1155" s="1">
        <v>4.4992999999999999</v>
      </c>
      <c r="C1155" s="1">
        <v>0.92</v>
      </c>
      <c r="D1155" s="1">
        <v>5.2778999999999998</v>
      </c>
    </row>
    <row r="1156" spans="1:4" x14ac:dyDescent="0.2">
      <c r="A1156" s="5">
        <v>38111</v>
      </c>
      <c r="B1156" s="1">
        <v>4.5648999999999997</v>
      </c>
      <c r="C1156" s="1">
        <v>0.93</v>
      </c>
      <c r="D1156" s="1">
        <v>5.3434999999999997</v>
      </c>
    </row>
    <row r="1157" spans="1:4" x14ac:dyDescent="0.2">
      <c r="A1157" s="5">
        <v>38112</v>
      </c>
      <c r="B1157" s="1">
        <v>4.5793999999999997</v>
      </c>
      <c r="C1157" s="1">
        <v>0.94</v>
      </c>
      <c r="D1157" s="1">
        <v>5.3567</v>
      </c>
    </row>
    <row r="1158" spans="1:4" x14ac:dyDescent="0.2">
      <c r="A1158" s="5">
        <v>38113</v>
      </c>
      <c r="B1158" s="1">
        <v>4.5979999999999999</v>
      </c>
      <c r="C1158" s="1">
        <v>0.98</v>
      </c>
      <c r="D1158" s="1">
        <v>5.3666</v>
      </c>
    </row>
    <row r="1159" spans="1:4" x14ac:dyDescent="0.2">
      <c r="A1159" s="5">
        <v>38114</v>
      </c>
      <c r="B1159" s="1">
        <v>4.7709000000000001</v>
      </c>
      <c r="C1159" s="1">
        <v>0.96</v>
      </c>
      <c r="D1159" s="1">
        <v>5.4660000000000002</v>
      </c>
    </row>
    <row r="1160" spans="1:4" x14ac:dyDescent="0.2">
      <c r="A1160" s="5">
        <v>38117</v>
      </c>
      <c r="B1160" s="1">
        <v>4.7920999999999996</v>
      </c>
      <c r="C1160" s="1">
        <v>0.98</v>
      </c>
      <c r="D1160" s="1">
        <v>5.4908999999999999</v>
      </c>
    </row>
    <row r="1161" spans="1:4" x14ac:dyDescent="0.2">
      <c r="A1161" s="5">
        <v>38118</v>
      </c>
      <c r="B1161" s="1">
        <v>4.7462</v>
      </c>
      <c r="C1161" s="1">
        <v>0.99</v>
      </c>
      <c r="D1161" s="1">
        <v>5.4524999999999997</v>
      </c>
    </row>
    <row r="1162" spans="1:4" x14ac:dyDescent="0.2">
      <c r="A1162" s="5">
        <v>38119</v>
      </c>
      <c r="B1162" s="1">
        <v>4.8049999999999997</v>
      </c>
      <c r="C1162" s="1">
        <v>0.99</v>
      </c>
      <c r="D1162" s="1">
        <v>5.5217000000000001</v>
      </c>
    </row>
    <row r="1163" spans="1:4" x14ac:dyDescent="0.2">
      <c r="A1163" s="5">
        <v>38120</v>
      </c>
      <c r="B1163" s="1">
        <v>4.8516000000000004</v>
      </c>
      <c r="C1163" s="1">
        <v>0.98</v>
      </c>
      <c r="D1163" s="1">
        <v>5.5606</v>
      </c>
    </row>
    <row r="1164" spans="1:4" x14ac:dyDescent="0.2">
      <c r="A1164" s="5">
        <v>38121</v>
      </c>
      <c r="B1164" s="1">
        <v>4.7678000000000003</v>
      </c>
      <c r="C1164" s="1">
        <v>1</v>
      </c>
      <c r="D1164" s="1">
        <v>5.4852999999999996</v>
      </c>
    </row>
    <row r="1165" spans="1:4" x14ac:dyDescent="0.2">
      <c r="A1165" s="5">
        <v>38124</v>
      </c>
      <c r="B1165" s="1">
        <v>4.6886999999999999</v>
      </c>
      <c r="C1165" s="1">
        <v>1</v>
      </c>
      <c r="D1165" s="1">
        <v>5.4222000000000001</v>
      </c>
    </row>
    <row r="1166" spans="1:4" x14ac:dyDescent="0.2">
      <c r="A1166" s="5">
        <v>38125</v>
      </c>
      <c r="B1166" s="1">
        <v>4.7340999999999998</v>
      </c>
      <c r="C1166" s="1">
        <v>1</v>
      </c>
      <c r="D1166" s="1">
        <v>5.4537000000000004</v>
      </c>
    </row>
    <row r="1167" spans="1:4" x14ac:dyDescent="0.2">
      <c r="A1167" s="5">
        <v>38126</v>
      </c>
      <c r="B1167" s="1">
        <v>4.7717000000000001</v>
      </c>
      <c r="C1167" s="1">
        <v>0.99</v>
      </c>
      <c r="D1167" s="1">
        <v>5.4762000000000004</v>
      </c>
    </row>
    <row r="1168" spans="1:4" x14ac:dyDescent="0.2">
      <c r="A1168" s="5">
        <v>38127</v>
      </c>
      <c r="B1168" s="1">
        <v>4.7004000000000001</v>
      </c>
      <c r="C1168" s="1">
        <v>0.99</v>
      </c>
      <c r="D1168" s="1">
        <v>5.4188999999999998</v>
      </c>
    </row>
    <row r="1169" spans="1:4" x14ac:dyDescent="0.2">
      <c r="A1169" s="5">
        <v>38128</v>
      </c>
      <c r="B1169" s="1">
        <v>4.7557999999999998</v>
      </c>
      <c r="C1169" s="1">
        <v>0.99</v>
      </c>
      <c r="D1169" s="1">
        <v>5.4581999999999997</v>
      </c>
    </row>
    <row r="1170" spans="1:4" x14ac:dyDescent="0.2">
      <c r="A1170" s="5">
        <v>38131</v>
      </c>
      <c r="B1170" s="1">
        <v>4.7320000000000002</v>
      </c>
      <c r="C1170" s="1">
        <v>0.99</v>
      </c>
      <c r="D1170" s="1">
        <v>5.4322999999999997</v>
      </c>
    </row>
    <row r="1171" spans="1:4" x14ac:dyDescent="0.2">
      <c r="A1171" s="5">
        <v>38132</v>
      </c>
      <c r="B1171" s="1">
        <v>4.7201000000000004</v>
      </c>
      <c r="C1171" s="1">
        <v>0.99</v>
      </c>
      <c r="D1171" s="1">
        <v>5.41</v>
      </c>
    </row>
    <row r="1172" spans="1:4" x14ac:dyDescent="0.2">
      <c r="A1172" s="5">
        <v>38133</v>
      </c>
      <c r="B1172" s="1">
        <v>4.6548999999999996</v>
      </c>
      <c r="C1172" s="1">
        <v>0.99</v>
      </c>
      <c r="D1172" s="1">
        <v>5.3643999999999998</v>
      </c>
    </row>
    <row r="1173" spans="1:4" x14ac:dyDescent="0.2">
      <c r="A1173" s="5">
        <v>38134</v>
      </c>
      <c r="B1173" s="1">
        <v>4.5998999999999999</v>
      </c>
      <c r="C1173" s="1">
        <v>0.99</v>
      </c>
      <c r="D1173" s="1">
        <v>5.3148999999999997</v>
      </c>
    </row>
    <row r="1174" spans="1:4" x14ac:dyDescent="0.2">
      <c r="A1174" s="5">
        <v>38135</v>
      </c>
      <c r="B1174" s="1">
        <v>4.6467999999999998</v>
      </c>
      <c r="C1174" s="1">
        <v>0.99</v>
      </c>
      <c r="D1174" s="1">
        <v>5.3445</v>
      </c>
    </row>
    <row r="1175" spans="1:4" x14ac:dyDescent="0.2">
      <c r="A1175" s="5">
        <v>38138</v>
      </c>
      <c r="B1175" s="1">
        <v>4.6467999999999998</v>
      </c>
      <c r="C1175" s="1">
        <v>0.99</v>
      </c>
      <c r="D1175" s="1">
        <v>5.3445999999999998</v>
      </c>
    </row>
    <row r="1176" spans="1:4" x14ac:dyDescent="0.2">
      <c r="A1176" s="5">
        <v>38139</v>
      </c>
      <c r="B1176" s="1">
        <v>4.7000999999999999</v>
      </c>
      <c r="C1176" s="1">
        <v>1</v>
      </c>
      <c r="D1176" s="1">
        <v>5.3955000000000002</v>
      </c>
    </row>
    <row r="1177" spans="1:4" x14ac:dyDescent="0.2">
      <c r="A1177" s="5">
        <v>38140</v>
      </c>
      <c r="B1177" s="1">
        <v>4.7377000000000002</v>
      </c>
      <c r="C1177" s="1">
        <v>1</v>
      </c>
      <c r="D1177" s="1">
        <v>5.4268000000000001</v>
      </c>
    </row>
    <row r="1178" spans="1:4" x14ac:dyDescent="0.2">
      <c r="A1178" s="5">
        <v>38141</v>
      </c>
      <c r="B1178" s="1">
        <v>4.7099000000000002</v>
      </c>
      <c r="C1178" s="1">
        <v>1</v>
      </c>
      <c r="D1178" s="1">
        <v>5.4145000000000003</v>
      </c>
    </row>
    <row r="1179" spans="1:4" x14ac:dyDescent="0.2">
      <c r="A1179" s="5">
        <v>38142</v>
      </c>
      <c r="B1179" s="1">
        <v>4.7714999999999996</v>
      </c>
      <c r="C1179" s="1">
        <v>0.99</v>
      </c>
      <c r="D1179" s="1">
        <v>5.4572000000000003</v>
      </c>
    </row>
    <row r="1180" spans="1:4" x14ac:dyDescent="0.2">
      <c r="A1180" s="5">
        <v>38145</v>
      </c>
      <c r="B1180" s="1">
        <v>4.7595999999999998</v>
      </c>
      <c r="C1180" s="1">
        <v>0.99</v>
      </c>
      <c r="D1180" s="1">
        <v>5.4527000000000001</v>
      </c>
    </row>
    <row r="1181" spans="1:4" x14ac:dyDescent="0.2">
      <c r="A1181" s="5">
        <v>38146</v>
      </c>
      <c r="B1181" s="1">
        <v>4.7614999999999998</v>
      </c>
      <c r="C1181" s="1">
        <v>0.98</v>
      </c>
      <c r="D1181" s="1">
        <v>5.4481999999999999</v>
      </c>
    </row>
    <row r="1182" spans="1:4" x14ac:dyDescent="0.2">
      <c r="A1182" s="5">
        <v>38147</v>
      </c>
      <c r="B1182" s="1">
        <v>4.8055000000000003</v>
      </c>
      <c r="C1182" s="1">
        <v>0.98</v>
      </c>
      <c r="D1182" s="1">
        <v>5.4798</v>
      </c>
    </row>
    <row r="1183" spans="1:4" x14ac:dyDescent="0.2">
      <c r="A1183" s="5">
        <v>38148</v>
      </c>
      <c r="B1183" s="1">
        <v>4.7934999999999999</v>
      </c>
      <c r="C1183" s="1">
        <v>0.97</v>
      </c>
      <c r="D1183" s="1">
        <v>5.4684999999999997</v>
      </c>
    </row>
    <row r="1184" spans="1:4" x14ac:dyDescent="0.2">
      <c r="A1184" s="5">
        <v>38149</v>
      </c>
      <c r="B1184" s="1">
        <v>4.7995000000000001</v>
      </c>
      <c r="C1184" s="1">
        <v>0.97</v>
      </c>
      <c r="D1184" s="1">
        <v>5.4741999999999997</v>
      </c>
    </row>
    <row r="1185" spans="1:4" x14ac:dyDescent="0.2">
      <c r="A1185" s="5">
        <v>38152</v>
      </c>
      <c r="B1185" s="1">
        <v>4.8697999999999997</v>
      </c>
      <c r="C1185" s="1">
        <v>0.97</v>
      </c>
      <c r="D1185" s="1">
        <v>5.53</v>
      </c>
    </row>
    <row r="1186" spans="1:4" x14ac:dyDescent="0.2">
      <c r="A1186" s="5">
        <v>38153</v>
      </c>
      <c r="B1186" s="1">
        <v>4.6760000000000002</v>
      </c>
      <c r="C1186" s="1">
        <v>0.99</v>
      </c>
      <c r="D1186" s="1">
        <v>5.3634000000000004</v>
      </c>
    </row>
    <row r="1187" spans="1:4" x14ac:dyDescent="0.2">
      <c r="A1187" s="5">
        <v>38154</v>
      </c>
      <c r="B1187" s="1">
        <v>4.7215999999999996</v>
      </c>
      <c r="C1187" s="1">
        <v>0.99</v>
      </c>
      <c r="D1187" s="1">
        <v>5.4</v>
      </c>
    </row>
    <row r="1188" spans="1:4" x14ac:dyDescent="0.2">
      <c r="A1188" s="5">
        <v>38155</v>
      </c>
      <c r="B1188" s="1">
        <v>4.6779000000000002</v>
      </c>
      <c r="C1188" s="1">
        <v>0.98</v>
      </c>
      <c r="D1188" s="1">
        <v>5.3501000000000003</v>
      </c>
    </row>
    <row r="1189" spans="1:4" x14ac:dyDescent="0.2">
      <c r="A1189" s="5">
        <v>38156</v>
      </c>
      <c r="B1189" s="1">
        <v>4.7096</v>
      </c>
      <c r="C1189" s="1">
        <v>0.98</v>
      </c>
      <c r="D1189" s="1">
        <v>5.3766999999999996</v>
      </c>
    </row>
    <row r="1190" spans="1:4" x14ac:dyDescent="0.2">
      <c r="A1190" s="5">
        <v>38159</v>
      </c>
      <c r="B1190" s="1">
        <v>4.6837</v>
      </c>
      <c r="C1190" s="1">
        <v>0.98</v>
      </c>
      <c r="D1190" s="1">
        <v>5.3677999999999999</v>
      </c>
    </row>
    <row r="1191" spans="1:4" x14ac:dyDescent="0.2">
      <c r="A1191" s="5">
        <v>38160</v>
      </c>
      <c r="B1191" s="1">
        <v>4.7175000000000002</v>
      </c>
      <c r="C1191" s="1">
        <v>0.98</v>
      </c>
      <c r="D1191" s="1">
        <v>5.4044999999999996</v>
      </c>
    </row>
    <row r="1192" spans="1:4" x14ac:dyDescent="0.2">
      <c r="A1192" s="5">
        <v>38161</v>
      </c>
      <c r="B1192" s="1">
        <v>4.6955999999999998</v>
      </c>
      <c r="C1192" s="1">
        <v>0.98</v>
      </c>
      <c r="D1192" s="1">
        <v>5.3822999999999999</v>
      </c>
    </row>
    <row r="1193" spans="1:4" x14ac:dyDescent="0.2">
      <c r="A1193" s="5">
        <v>38162</v>
      </c>
      <c r="B1193" s="1">
        <v>4.6440000000000001</v>
      </c>
      <c r="C1193" s="1">
        <v>0.98</v>
      </c>
      <c r="D1193" s="1">
        <v>5.3369</v>
      </c>
    </row>
    <row r="1194" spans="1:4" x14ac:dyDescent="0.2">
      <c r="A1194" s="5">
        <v>38163</v>
      </c>
      <c r="B1194" s="1">
        <v>4.6459000000000001</v>
      </c>
      <c r="C1194" s="1">
        <v>0.98</v>
      </c>
      <c r="D1194" s="1">
        <v>5.3346999999999998</v>
      </c>
    </row>
    <row r="1195" spans="1:4" x14ac:dyDescent="0.2">
      <c r="A1195" s="5">
        <v>38166</v>
      </c>
      <c r="B1195" s="1">
        <v>4.7354000000000003</v>
      </c>
      <c r="C1195" s="1">
        <v>0.98</v>
      </c>
      <c r="D1195" s="1">
        <v>5.4078999999999997</v>
      </c>
    </row>
    <row r="1196" spans="1:4" x14ac:dyDescent="0.2">
      <c r="A1196" s="5">
        <v>38167</v>
      </c>
      <c r="B1196" s="1">
        <v>4.6855000000000002</v>
      </c>
      <c r="C1196" s="1">
        <v>0.98</v>
      </c>
      <c r="D1196" s="1">
        <v>5.3644999999999996</v>
      </c>
    </row>
    <row r="1197" spans="1:4" x14ac:dyDescent="0.2">
      <c r="A1197" s="5">
        <v>38168</v>
      </c>
      <c r="B1197" s="1">
        <v>4.5805999999999996</v>
      </c>
      <c r="C1197" s="1">
        <v>0.99</v>
      </c>
      <c r="D1197" s="1">
        <v>5.2876000000000003</v>
      </c>
    </row>
    <row r="1198" spans="1:4" x14ac:dyDescent="0.2">
      <c r="A1198" s="5">
        <v>38169</v>
      </c>
      <c r="B1198" s="1">
        <v>4.5629</v>
      </c>
      <c r="C1198" s="1">
        <v>1</v>
      </c>
      <c r="D1198" s="1">
        <v>5.2865000000000002</v>
      </c>
    </row>
    <row r="1199" spans="1:4" x14ac:dyDescent="0.2">
      <c r="A1199" s="5">
        <v>38170</v>
      </c>
      <c r="B1199" s="1">
        <v>4.4588999999999999</v>
      </c>
      <c r="C1199" s="1">
        <v>1.01</v>
      </c>
      <c r="D1199" s="1">
        <v>5.2054</v>
      </c>
    </row>
    <row r="1200" spans="1:4" x14ac:dyDescent="0.2">
      <c r="A1200" s="5">
        <v>38173</v>
      </c>
      <c r="B1200" s="1">
        <v>4.4549000000000003</v>
      </c>
      <c r="C1200" s="1">
        <v>1.01</v>
      </c>
      <c r="D1200" s="1">
        <v>5.2054</v>
      </c>
    </row>
    <row r="1201" spans="1:4" x14ac:dyDescent="0.2">
      <c r="A1201" s="5">
        <v>38174</v>
      </c>
      <c r="B1201" s="1">
        <v>4.4743000000000004</v>
      </c>
      <c r="C1201" s="1">
        <v>1.01</v>
      </c>
      <c r="D1201" s="1">
        <v>5.2183000000000002</v>
      </c>
    </row>
    <row r="1202" spans="1:4" x14ac:dyDescent="0.2">
      <c r="A1202" s="5">
        <v>38175</v>
      </c>
      <c r="B1202" s="1">
        <v>4.4743000000000004</v>
      </c>
      <c r="C1202" s="1">
        <v>1.01</v>
      </c>
      <c r="D1202" s="1">
        <v>5.2237</v>
      </c>
    </row>
    <row r="1203" spans="1:4" x14ac:dyDescent="0.2">
      <c r="A1203" s="5">
        <v>38176</v>
      </c>
      <c r="B1203" s="1">
        <v>4.4703999999999997</v>
      </c>
      <c r="C1203" s="1">
        <v>1.01</v>
      </c>
      <c r="D1203" s="1">
        <v>5.2225999999999999</v>
      </c>
    </row>
    <row r="1204" spans="1:4" x14ac:dyDescent="0.2">
      <c r="A1204" s="5">
        <v>38177</v>
      </c>
      <c r="B1204" s="1">
        <v>4.4565000000000001</v>
      </c>
      <c r="C1204" s="1">
        <v>1.01</v>
      </c>
      <c r="D1204" s="1">
        <v>5.2065000000000001</v>
      </c>
    </row>
    <row r="1205" spans="1:4" x14ac:dyDescent="0.2">
      <c r="A1205" s="5">
        <v>38180</v>
      </c>
      <c r="B1205" s="1">
        <v>4.4447000000000001</v>
      </c>
      <c r="C1205" s="1">
        <v>1.01</v>
      </c>
      <c r="D1205" s="1">
        <v>5.1978999999999997</v>
      </c>
    </row>
    <row r="1206" spans="1:4" x14ac:dyDescent="0.2">
      <c r="A1206" s="5">
        <v>38181</v>
      </c>
      <c r="B1206" s="1">
        <v>4.47</v>
      </c>
      <c r="C1206" s="1">
        <v>1</v>
      </c>
      <c r="D1206" s="1">
        <v>5.2096999999999998</v>
      </c>
    </row>
    <row r="1207" spans="1:4" x14ac:dyDescent="0.2">
      <c r="A1207" s="5">
        <v>38182</v>
      </c>
      <c r="B1207" s="1">
        <v>4.4797000000000002</v>
      </c>
      <c r="C1207" s="1">
        <v>0.99</v>
      </c>
      <c r="D1207" s="1">
        <v>5.2172000000000001</v>
      </c>
    </row>
    <row r="1208" spans="1:4" x14ac:dyDescent="0.2">
      <c r="A1208" s="5">
        <v>38183</v>
      </c>
      <c r="B1208" s="1">
        <v>4.4797000000000002</v>
      </c>
      <c r="C1208" s="1">
        <v>0.98</v>
      </c>
      <c r="D1208" s="1">
        <v>5.2119</v>
      </c>
    </row>
    <row r="1209" spans="1:4" x14ac:dyDescent="0.2">
      <c r="A1209" s="5">
        <v>38184</v>
      </c>
      <c r="B1209" s="1">
        <v>4.3491</v>
      </c>
      <c r="C1209" s="1">
        <v>0.98</v>
      </c>
      <c r="D1209" s="1">
        <v>5.1150000000000002</v>
      </c>
    </row>
    <row r="1210" spans="1:4" x14ac:dyDescent="0.2">
      <c r="A1210" s="5">
        <v>38187</v>
      </c>
      <c r="B1210" s="1">
        <v>4.3509000000000002</v>
      </c>
      <c r="C1210" s="1">
        <v>0.98</v>
      </c>
      <c r="D1210" s="1">
        <v>5.1097999999999999</v>
      </c>
    </row>
    <row r="1211" spans="1:4" x14ac:dyDescent="0.2">
      <c r="A1211" s="5">
        <v>38188</v>
      </c>
      <c r="B1211" s="1">
        <v>4.4440999999999997</v>
      </c>
      <c r="C1211" s="1">
        <v>0.97</v>
      </c>
      <c r="D1211" s="1">
        <v>5.1733000000000002</v>
      </c>
    </row>
    <row r="1212" spans="1:4" x14ac:dyDescent="0.2">
      <c r="A1212" s="5">
        <v>38189</v>
      </c>
      <c r="B1212" s="1">
        <v>4.4656000000000002</v>
      </c>
      <c r="C1212" s="1">
        <v>0.97</v>
      </c>
      <c r="D1212" s="1">
        <v>5.1978999999999997</v>
      </c>
    </row>
    <row r="1213" spans="1:4" x14ac:dyDescent="0.2">
      <c r="A1213" s="5">
        <v>38190</v>
      </c>
      <c r="B1213" s="1">
        <v>4.444</v>
      </c>
      <c r="C1213" s="1">
        <v>0.97</v>
      </c>
      <c r="D1213" s="1">
        <v>5.1860999999999997</v>
      </c>
    </row>
    <row r="1214" spans="1:4" x14ac:dyDescent="0.2">
      <c r="A1214" s="5">
        <v>38191</v>
      </c>
      <c r="B1214" s="1">
        <v>4.4301000000000004</v>
      </c>
      <c r="C1214" s="1">
        <v>0.97</v>
      </c>
      <c r="D1214" s="1">
        <v>5.1658999999999997</v>
      </c>
    </row>
    <row r="1215" spans="1:4" x14ac:dyDescent="0.2">
      <c r="A1215" s="5">
        <v>38194</v>
      </c>
      <c r="B1215" s="1">
        <v>4.4847999999999999</v>
      </c>
      <c r="C1215" s="1">
        <v>0.97</v>
      </c>
      <c r="D1215" s="1">
        <v>5.2096999999999998</v>
      </c>
    </row>
    <row r="1216" spans="1:4" x14ac:dyDescent="0.2">
      <c r="A1216" s="5">
        <v>38195</v>
      </c>
      <c r="B1216" s="1">
        <v>4.6132</v>
      </c>
      <c r="C1216" s="1">
        <v>0.96</v>
      </c>
      <c r="D1216" s="1">
        <v>5.3173000000000004</v>
      </c>
    </row>
    <row r="1217" spans="1:4" x14ac:dyDescent="0.2">
      <c r="A1217" s="5">
        <v>38196</v>
      </c>
      <c r="B1217" s="1">
        <v>4.5834000000000001</v>
      </c>
      <c r="C1217" s="1">
        <v>0.97</v>
      </c>
      <c r="D1217" s="1">
        <v>5.3117999999999999</v>
      </c>
    </row>
    <row r="1218" spans="1:4" x14ac:dyDescent="0.2">
      <c r="A1218" s="5">
        <v>38197</v>
      </c>
      <c r="B1218" s="1">
        <v>4.5754000000000001</v>
      </c>
      <c r="C1218" s="1">
        <v>0.97</v>
      </c>
      <c r="D1218" s="1">
        <v>5.2942999999999998</v>
      </c>
    </row>
    <row r="1219" spans="1:4" x14ac:dyDescent="0.2">
      <c r="A1219" s="5">
        <v>38198</v>
      </c>
      <c r="B1219" s="1">
        <v>4.4747000000000003</v>
      </c>
      <c r="C1219" s="1">
        <v>0.95</v>
      </c>
      <c r="D1219" s="1">
        <v>5.1969000000000003</v>
      </c>
    </row>
    <row r="1220" spans="1:4" x14ac:dyDescent="0.2">
      <c r="A1220" s="5">
        <v>38201</v>
      </c>
      <c r="B1220" s="1">
        <v>4.4490999999999996</v>
      </c>
      <c r="C1220" s="1">
        <v>0.96</v>
      </c>
      <c r="D1220" s="1">
        <v>5.1882999999999999</v>
      </c>
    </row>
    <row r="1221" spans="1:4" x14ac:dyDescent="0.2">
      <c r="A1221" s="5">
        <v>38202</v>
      </c>
      <c r="B1221" s="1">
        <v>4.4236000000000004</v>
      </c>
      <c r="C1221" s="1">
        <v>0.97</v>
      </c>
      <c r="D1221" s="1">
        <v>5.1669</v>
      </c>
    </row>
    <row r="1222" spans="1:4" x14ac:dyDescent="0.2">
      <c r="A1222" s="5">
        <v>38203</v>
      </c>
      <c r="B1222" s="1">
        <v>4.4176000000000002</v>
      </c>
      <c r="C1222" s="1">
        <v>0.96</v>
      </c>
      <c r="D1222" s="1">
        <v>5.1647999999999996</v>
      </c>
    </row>
    <row r="1223" spans="1:4" x14ac:dyDescent="0.2">
      <c r="A1223" s="5">
        <v>38204</v>
      </c>
      <c r="B1223" s="1">
        <v>4.4000000000000004</v>
      </c>
      <c r="C1223" s="1">
        <v>0.96</v>
      </c>
      <c r="D1223" s="1">
        <v>5.1531000000000002</v>
      </c>
    </row>
    <row r="1224" spans="1:4" x14ac:dyDescent="0.2">
      <c r="A1224" s="5">
        <v>38205</v>
      </c>
      <c r="B1224" s="1">
        <v>4.2195999999999998</v>
      </c>
      <c r="C1224" s="1">
        <v>0.98</v>
      </c>
      <c r="D1224" s="1">
        <v>5.0354999999999999</v>
      </c>
    </row>
    <row r="1225" spans="1:4" x14ac:dyDescent="0.2">
      <c r="A1225" s="5">
        <v>38208</v>
      </c>
      <c r="B1225" s="1">
        <v>4.2561</v>
      </c>
      <c r="C1225" s="1">
        <v>0.98</v>
      </c>
      <c r="D1225" s="1">
        <v>5.0583999999999998</v>
      </c>
    </row>
    <row r="1226" spans="1:4" x14ac:dyDescent="0.2">
      <c r="A1226" s="5">
        <v>38209</v>
      </c>
      <c r="B1226" s="1">
        <v>4.2888000000000002</v>
      </c>
      <c r="C1226" s="1">
        <v>0.97</v>
      </c>
      <c r="D1226" s="1">
        <v>5.0667</v>
      </c>
    </row>
    <row r="1227" spans="1:4" x14ac:dyDescent="0.2">
      <c r="A1227" s="5">
        <v>38210</v>
      </c>
      <c r="B1227" s="1">
        <v>4.2713000000000001</v>
      </c>
      <c r="C1227" s="1">
        <v>0.97</v>
      </c>
      <c r="D1227" s="1">
        <v>5.0552999999999999</v>
      </c>
    </row>
    <row r="1228" spans="1:4" x14ac:dyDescent="0.2">
      <c r="A1228" s="5">
        <v>38211</v>
      </c>
      <c r="B1228" s="1">
        <v>4.2538</v>
      </c>
      <c r="C1228" s="1">
        <v>0.98</v>
      </c>
      <c r="D1228" s="1">
        <v>5.048</v>
      </c>
    </row>
    <row r="1229" spans="1:4" x14ac:dyDescent="0.2">
      <c r="A1229" s="5">
        <v>38212</v>
      </c>
      <c r="B1229" s="1">
        <v>4.2267999999999999</v>
      </c>
      <c r="C1229" s="1">
        <v>0.98</v>
      </c>
      <c r="D1229" s="1">
        <v>5.0167999999999999</v>
      </c>
    </row>
    <row r="1230" spans="1:4" x14ac:dyDescent="0.2">
      <c r="A1230" s="5">
        <v>38215</v>
      </c>
      <c r="B1230" s="1">
        <v>4.2615999999999996</v>
      </c>
      <c r="C1230" s="1">
        <v>0.98</v>
      </c>
      <c r="D1230" s="1">
        <v>5.05</v>
      </c>
    </row>
    <row r="1231" spans="1:4" x14ac:dyDescent="0.2">
      <c r="A1231" s="5">
        <v>38216</v>
      </c>
      <c r="B1231" s="1">
        <v>4.1901000000000002</v>
      </c>
      <c r="C1231" s="1">
        <v>0.98</v>
      </c>
      <c r="D1231" s="1">
        <v>5.0033000000000003</v>
      </c>
    </row>
    <row r="1232" spans="1:4" x14ac:dyDescent="0.2">
      <c r="A1232" s="5">
        <v>38217</v>
      </c>
      <c r="B1232" s="1">
        <v>4.2363999999999997</v>
      </c>
      <c r="C1232" s="1">
        <v>0.97</v>
      </c>
      <c r="D1232" s="1">
        <v>5.0373999999999999</v>
      </c>
    </row>
    <row r="1233" spans="1:4" x14ac:dyDescent="0.2">
      <c r="A1233" s="5">
        <v>38218</v>
      </c>
      <c r="B1233" s="1">
        <v>4.2131999999999996</v>
      </c>
      <c r="C1233" s="1">
        <v>0.97</v>
      </c>
      <c r="D1233" s="1">
        <v>5.0259999999999998</v>
      </c>
    </row>
    <row r="1234" spans="1:4" x14ac:dyDescent="0.2">
      <c r="A1234" s="5">
        <v>38219</v>
      </c>
      <c r="B1234" s="1">
        <v>4.2324999999999999</v>
      </c>
      <c r="C1234" s="1">
        <v>0.96</v>
      </c>
      <c r="D1234" s="1">
        <v>5.0239000000000003</v>
      </c>
    </row>
    <row r="1235" spans="1:4" x14ac:dyDescent="0.2">
      <c r="A1235" s="5">
        <v>38222</v>
      </c>
      <c r="B1235" s="1">
        <v>4.2828999999999997</v>
      </c>
      <c r="C1235" s="1">
        <v>0.96</v>
      </c>
      <c r="D1235" s="1">
        <v>5.0738000000000003</v>
      </c>
    </row>
    <row r="1236" spans="1:4" x14ac:dyDescent="0.2">
      <c r="A1236" s="5">
        <v>38223</v>
      </c>
      <c r="B1236" s="1">
        <v>4.2712000000000003</v>
      </c>
      <c r="C1236" s="1">
        <v>0.96</v>
      </c>
      <c r="D1236" s="1">
        <v>5.0632999999999999</v>
      </c>
    </row>
    <row r="1237" spans="1:4" x14ac:dyDescent="0.2">
      <c r="A1237" s="5">
        <v>38224</v>
      </c>
      <c r="B1237" s="1">
        <v>4.2614999999999998</v>
      </c>
      <c r="C1237" s="1">
        <v>0.96</v>
      </c>
      <c r="D1237" s="1">
        <v>5.0476999999999999</v>
      </c>
    </row>
    <row r="1238" spans="1:4" x14ac:dyDescent="0.2">
      <c r="A1238" s="5">
        <v>38225</v>
      </c>
      <c r="B1238" s="1">
        <v>4.2092000000000001</v>
      </c>
      <c r="C1238" s="1">
        <v>0.95</v>
      </c>
      <c r="D1238" s="1">
        <v>5.0082000000000004</v>
      </c>
    </row>
    <row r="1239" spans="1:4" x14ac:dyDescent="0.2">
      <c r="A1239" s="5">
        <v>38226</v>
      </c>
      <c r="B1239" s="1">
        <v>4.2264999999999997</v>
      </c>
      <c r="C1239" s="1">
        <v>0.95</v>
      </c>
      <c r="D1239" s="1">
        <v>5.0194999999999999</v>
      </c>
    </row>
    <row r="1240" spans="1:4" x14ac:dyDescent="0.2">
      <c r="A1240" s="5">
        <v>38229</v>
      </c>
      <c r="B1240" s="1">
        <v>4.1763000000000003</v>
      </c>
      <c r="C1240" s="1">
        <v>0.94</v>
      </c>
      <c r="D1240" s="1">
        <v>4.9802999999999997</v>
      </c>
    </row>
    <row r="1241" spans="1:4" x14ac:dyDescent="0.2">
      <c r="A1241" s="5">
        <v>38230</v>
      </c>
      <c r="B1241" s="1">
        <v>4.1166999999999998</v>
      </c>
      <c r="C1241" s="1">
        <v>0.95</v>
      </c>
      <c r="D1241" s="1">
        <v>4.9272</v>
      </c>
    </row>
    <row r="1242" spans="1:4" x14ac:dyDescent="0.2">
      <c r="A1242" s="5">
        <v>38231</v>
      </c>
      <c r="B1242" s="1">
        <v>4.1128</v>
      </c>
      <c r="C1242" s="1">
        <v>0.95</v>
      </c>
      <c r="D1242" s="1">
        <v>4.9250999999999996</v>
      </c>
    </row>
    <row r="1243" spans="1:4" x14ac:dyDescent="0.2">
      <c r="A1243" s="5">
        <v>38232</v>
      </c>
      <c r="B1243" s="1">
        <v>4.2129000000000003</v>
      </c>
      <c r="C1243" s="1">
        <v>0.95</v>
      </c>
      <c r="D1243" s="1">
        <v>5.0007999999999999</v>
      </c>
    </row>
    <row r="1244" spans="1:4" x14ac:dyDescent="0.2">
      <c r="A1244" s="5">
        <v>38233</v>
      </c>
      <c r="B1244" s="1">
        <v>4.2945000000000002</v>
      </c>
      <c r="C1244" s="1">
        <v>0.94</v>
      </c>
      <c r="D1244" s="1">
        <v>5.0578000000000003</v>
      </c>
    </row>
    <row r="1245" spans="1:4" x14ac:dyDescent="0.2">
      <c r="A1245" s="5">
        <v>38236</v>
      </c>
      <c r="B1245" s="1">
        <v>4.2906000000000004</v>
      </c>
      <c r="C1245" s="1">
        <v>0.94</v>
      </c>
      <c r="D1245" s="1">
        <v>5.0598000000000001</v>
      </c>
    </row>
    <row r="1246" spans="1:4" x14ac:dyDescent="0.2">
      <c r="A1246" s="5">
        <v>38237</v>
      </c>
      <c r="B1246" s="1">
        <v>4.2380000000000004</v>
      </c>
      <c r="C1246" s="1">
        <v>0.94</v>
      </c>
      <c r="D1246" s="1">
        <v>5.0088999999999997</v>
      </c>
    </row>
    <row r="1247" spans="1:4" x14ac:dyDescent="0.2">
      <c r="A1247" s="5">
        <v>38238</v>
      </c>
      <c r="B1247" s="1">
        <v>4.1586999999999996</v>
      </c>
      <c r="C1247" s="1">
        <v>0.94</v>
      </c>
      <c r="D1247" s="1">
        <v>4.9534000000000002</v>
      </c>
    </row>
    <row r="1248" spans="1:4" x14ac:dyDescent="0.2">
      <c r="A1248" s="5">
        <v>38239</v>
      </c>
      <c r="B1248" s="1">
        <v>4.1952999999999996</v>
      </c>
      <c r="C1248" s="1">
        <v>0.94</v>
      </c>
      <c r="D1248" s="1">
        <v>4.9882999999999997</v>
      </c>
    </row>
    <row r="1249" spans="1:4" x14ac:dyDescent="0.2">
      <c r="A1249" s="5">
        <v>38240</v>
      </c>
      <c r="B1249" s="1">
        <v>4.1856</v>
      </c>
      <c r="C1249" s="1">
        <v>0.95</v>
      </c>
      <c r="D1249" s="1">
        <v>4.9840999999999998</v>
      </c>
    </row>
    <row r="1250" spans="1:4" x14ac:dyDescent="0.2">
      <c r="A1250" s="5">
        <v>38243</v>
      </c>
      <c r="B1250" s="1">
        <v>4.1353999999999997</v>
      </c>
      <c r="C1250" s="1">
        <v>0.94</v>
      </c>
      <c r="D1250" s="1">
        <v>4.9409999999999998</v>
      </c>
    </row>
    <row r="1251" spans="1:4" x14ac:dyDescent="0.2">
      <c r="A1251" s="5">
        <v>38244</v>
      </c>
      <c r="B1251" s="1">
        <v>4.1238000000000001</v>
      </c>
      <c r="C1251" s="1">
        <v>0.94</v>
      </c>
      <c r="D1251" s="1">
        <v>4.9329000000000001</v>
      </c>
    </row>
    <row r="1252" spans="1:4" x14ac:dyDescent="0.2">
      <c r="A1252" s="5">
        <v>38245</v>
      </c>
      <c r="B1252" s="1">
        <v>4.1642999999999999</v>
      </c>
      <c r="C1252" s="1">
        <v>0.92</v>
      </c>
      <c r="D1252" s="1">
        <v>4.9593999999999996</v>
      </c>
    </row>
    <row r="1253" spans="1:4" x14ac:dyDescent="0.2">
      <c r="A1253" s="5">
        <v>38246</v>
      </c>
      <c r="B1253" s="1">
        <v>4.0719000000000003</v>
      </c>
      <c r="C1253" s="1">
        <v>0.93</v>
      </c>
      <c r="D1253" s="1">
        <v>4.8731</v>
      </c>
    </row>
    <row r="1254" spans="1:4" x14ac:dyDescent="0.2">
      <c r="A1254" s="5">
        <v>38247</v>
      </c>
      <c r="B1254" s="1">
        <v>4.1063999999999998</v>
      </c>
      <c r="C1254" s="1">
        <v>0.92</v>
      </c>
      <c r="D1254" s="1">
        <v>4.9095000000000004</v>
      </c>
    </row>
    <row r="1255" spans="1:4" x14ac:dyDescent="0.2">
      <c r="A1255" s="5">
        <v>38250</v>
      </c>
      <c r="B1255" s="1">
        <v>4.0564</v>
      </c>
      <c r="C1255" s="1">
        <v>0.93</v>
      </c>
      <c r="D1255" s="1">
        <v>4.8659999999999997</v>
      </c>
    </row>
    <row r="1256" spans="1:4" x14ac:dyDescent="0.2">
      <c r="A1256" s="5">
        <v>38251</v>
      </c>
      <c r="B1256" s="1">
        <v>4.0353000000000003</v>
      </c>
      <c r="C1256" s="1">
        <v>0.92</v>
      </c>
      <c r="D1256" s="1">
        <v>4.8379000000000003</v>
      </c>
    </row>
    <row r="1257" spans="1:4" x14ac:dyDescent="0.2">
      <c r="A1257" s="5">
        <v>38252</v>
      </c>
      <c r="B1257" s="1">
        <v>3.9780000000000002</v>
      </c>
      <c r="C1257" s="1">
        <v>0.92</v>
      </c>
      <c r="D1257" s="1">
        <v>4.7733999999999996</v>
      </c>
    </row>
    <row r="1258" spans="1:4" x14ac:dyDescent="0.2">
      <c r="A1258" s="5">
        <v>38253</v>
      </c>
      <c r="B1258" s="1">
        <v>4.0160999999999998</v>
      </c>
      <c r="C1258" s="1">
        <v>0.92</v>
      </c>
      <c r="D1258" s="1">
        <v>4.7901999999999996</v>
      </c>
    </row>
    <row r="1259" spans="1:4" x14ac:dyDescent="0.2">
      <c r="A1259" s="5">
        <v>38254</v>
      </c>
      <c r="B1259" s="1">
        <v>4.0273000000000003</v>
      </c>
      <c r="C1259" s="1">
        <v>0.91</v>
      </c>
      <c r="D1259" s="1">
        <v>4.798</v>
      </c>
    </row>
    <row r="1260" spans="1:4" x14ac:dyDescent="0.2">
      <c r="A1260" s="5">
        <v>38257</v>
      </c>
      <c r="B1260" s="1">
        <v>3.9891000000000001</v>
      </c>
      <c r="C1260" s="1">
        <v>0.92</v>
      </c>
      <c r="D1260" s="1">
        <v>4.7683</v>
      </c>
    </row>
    <row r="1261" spans="1:4" x14ac:dyDescent="0.2">
      <c r="A1261" s="5">
        <v>38258</v>
      </c>
      <c r="B1261" s="1">
        <v>4.0023999999999997</v>
      </c>
      <c r="C1261" s="1">
        <v>0.92</v>
      </c>
      <c r="D1261" s="1">
        <v>4.7979000000000003</v>
      </c>
    </row>
    <row r="1262" spans="1:4" x14ac:dyDescent="0.2">
      <c r="A1262" s="5">
        <v>38259</v>
      </c>
      <c r="B1262" s="1">
        <v>4.0865999999999998</v>
      </c>
      <c r="C1262" s="1">
        <v>0.91</v>
      </c>
      <c r="D1262" s="1">
        <v>4.8657000000000004</v>
      </c>
    </row>
    <row r="1263" spans="1:4" x14ac:dyDescent="0.2">
      <c r="A1263" s="5">
        <v>38260</v>
      </c>
      <c r="B1263" s="1">
        <v>4.1193999999999997</v>
      </c>
      <c r="C1263" s="1">
        <v>0.9</v>
      </c>
      <c r="D1263" s="1">
        <v>4.8918999999999997</v>
      </c>
    </row>
    <row r="1264" spans="1:4" x14ac:dyDescent="0.2">
      <c r="A1264" s="5">
        <v>38261</v>
      </c>
      <c r="B1264" s="1">
        <v>4.1871</v>
      </c>
      <c r="C1264" s="1">
        <v>0.9</v>
      </c>
      <c r="D1264" s="1">
        <v>4.9436</v>
      </c>
    </row>
    <row r="1265" spans="1:4" x14ac:dyDescent="0.2">
      <c r="A1265" s="5">
        <v>38264</v>
      </c>
      <c r="B1265" s="1">
        <v>4.1637000000000004</v>
      </c>
      <c r="C1265" s="1">
        <v>0.9</v>
      </c>
      <c r="D1265" s="1">
        <v>4.9272</v>
      </c>
    </row>
    <row r="1266" spans="1:4" x14ac:dyDescent="0.2">
      <c r="A1266" s="5">
        <v>38265</v>
      </c>
      <c r="B1266" s="1">
        <v>4.1734</v>
      </c>
      <c r="C1266" s="1">
        <v>0.9</v>
      </c>
      <c r="D1266" s="1">
        <v>4.9313000000000002</v>
      </c>
    </row>
    <row r="1267" spans="1:4" x14ac:dyDescent="0.2">
      <c r="A1267" s="5">
        <v>38266</v>
      </c>
      <c r="B1267" s="1">
        <v>4.2201000000000004</v>
      </c>
      <c r="C1267" s="1">
        <v>0.9</v>
      </c>
      <c r="D1267" s="1">
        <v>4.968</v>
      </c>
    </row>
    <row r="1268" spans="1:4" x14ac:dyDescent="0.2">
      <c r="A1268" s="5">
        <v>38267</v>
      </c>
      <c r="B1268" s="1">
        <v>4.2416</v>
      </c>
      <c r="C1268" s="1">
        <v>0.9</v>
      </c>
      <c r="D1268" s="1">
        <v>4.9947999999999997</v>
      </c>
    </row>
    <row r="1269" spans="1:4" x14ac:dyDescent="0.2">
      <c r="A1269" s="5">
        <v>38268</v>
      </c>
      <c r="B1269" s="1">
        <v>4.1285999999999996</v>
      </c>
      <c r="C1269" s="1">
        <v>0.9</v>
      </c>
      <c r="D1269" s="1">
        <v>4.9066999999999998</v>
      </c>
    </row>
    <row r="1270" spans="1:4" x14ac:dyDescent="0.2">
      <c r="A1270" s="5">
        <v>38271</v>
      </c>
      <c r="B1270" s="1">
        <v>4.1304999999999996</v>
      </c>
      <c r="C1270" s="1">
        <v>0.9</v>
      </c>
      <c r="D1270" s="1">
        <v>4.8986000000000001</v>
      </c>
    </row>
    <row r="1271" spans="1:4" x14ac:dyDescent="0.2">
      <c r="A1271" s="5">
        <v>38272</v>
      </c>
      <c r="B1271" s="1">
        <v>4.0975999999999999</v>
      </c>
      <c r="C1271" s="1">
        <v>0.9</v>
      </c>
      <c r="D1271" s="1">
        <v>4.8784000000000001</v>
      </c>
    </row>
    <row r="1272" spans="1:4" x14ac:dyDescent="0.2">
      <c r="A1272" s="5">
        <v>38273</v>
      </c>
      <c r="B1272" s="1">
        <v>4.0552000000000001</v>
      </c>
      <c r="C1272" s="1">
        <v>0.9</v>
      </c>
      <c r="D1272" s="1">
        <v>4.8682999999999996</v>
      </c>
    </row>
    <row r="1273" spans="1:4" x14ac:dyDescent="0.2">
      <c r="A1273" s="5">
        <v>38274</v>
      </c>
      <c r="B1273" s="1">
        <v>4.0244</v>
      </c>
      <c r="C1273" s="1">
        <v>0.9</v>
      </c>
      <c r="D1273" s="1">
        <v>4.8221999999999996</v>
      </c>
    </row>
    <row r="1274" spans="1:4" x14ac:dyDescent="0.2">
      <c r="A1274" s="5">
        <v>38275</v>
      </c>
      <c r="B1274" s="1">
        <v>4.0530999999999997</v>
      </c>
      <c r="C1274" s="1">
        <v>0.9</v>
      </c>
      <c r="D1274" s="1">
        <v>4.8451000000000004</v>
      </c>
    </row>
    <row r="1275" spans="1:4" x14ac:dyDescent="0.2">
      <c r="A1275" s="5">
        <v>38278</v>
      </c>
      <c r="B1275" s="1">
        <v>4.0415000000000001</v>
      </c>
      <c r="C1275" s="1">
        <v>0.91</v>
      </c>
      <c r="D1275" s="1">
        <v>4.8380999999999998</v>
      </c>
    </row>
    <row r="1276" spans="1:4" x14ac:dyDescent="0.2">
      <c r="A1276" s="5">
        <v>38279</v>
      </c>
      <c r="B1276" s="1">
        <v>4.0317999999999996</v>
      </c>
      <c r="C1276" s="1">
        <v>0.91</v>
      </c>
      <c r="D1276" s="1">
        <v>4.8151000000000002</v>
      </c>
    </row>
    <row r="1277" spans="1:4" x14ac:dyDescent="0.2">
      <c r="A1277" s="5">
        <v>38280</v>
      </c>
      <c r="B1277" s="1">
        <v>3.98</v>
      </c>
      <c r="C1277" s="1">
        <v>0.92</v>
      </c>
      <c r="D1277" s="1">
        <v>4.7725</v>
      </c>
    </row>
    <row r="1278" spans="1:4" x14ac:dyDescent="0.2">
      <c r="A1278" s="5">
        <v>38281</v>
      </c>
      <c r="B1278" s="1">
        <v>3.9952000000000001</v>
      </c>
      <c r="C1278" s="1">
        <v>0.92</v>
      </c>
      <c r="D1278" s="1">
        <v>4.7694999999999999</v>
      </c>
    </row>
    <row r="1279" spans="1:4" x14ac:dyDescent="0.2">
      <c r="A1279" s="5">
        <v>38282</v>
      </c>
      <c r="B1279" s="1">
        <v>3.9740000000000002</v>
      </c>
      <c r="C1279" s="1">
        <v>0.92</v>
      </c>
      <c r="D1279" s="1">
        <v>4.7605000000000004</v>
      </c>
    </row>
    <row r="1280" spans="1:4" x14ac:dyDescent="0.2">
      <c r="A1280" s="5">
        <v>38285</v>
      </c>
      <c r="B1280" s="1">
        <v>3.9701</v>
      </c>
      <c r="C1280" s="1">
        <v>0.93</v>
      </c>
      <c r="D1280" s="1">
        <v>4.7526000000000002</v>
      </c>
    </row>
    <row r="1281" spans="1:4" x14ac:dyDescent="0.2">
      <c r="A1281" s="5">
        <v>38286</v>
      </c>
      <c r="B1281" s="1">
        <v>3.9988000000000001</v>
      </c>
      <c r="C1281" s="1">
        <v>0.92</v>
      </c>
      <c r="D1281" s="1">
        <v>4.7732999999999999</v>
      </c>
    </row>
    <row r="1282" spans="1:4" x14ac:dyDescent="0.2">
      <c r="A1282" s="5">
        <v>38287</v>
      </c>
      <c r="B1282" s="1">
        <v>4.0815999999999999</v>
      </c>
      <c r="C1282" s="1">
        <v>0.9</v>
      </c>
      <c r="D1282" s="1">
        <v>4.8437999999999999</v>
      </c>
    </row>
    <row r="1283" spans="1:4" x14ac:dyDescent="0.2">
      <c r="A1283" s="5">
        <v>38288</v>
      </c>
      <c r="B1283" s="1">
        <v>4.0487000000000002</v>
      </c>
      <c r="C1283" s="1">
        <v>0.9</v>
      </c>
      <c r="D1283" s="1">
        <v>4.8167999999999997</v>
      </c>
    </row>
    <row r="1284" spans="1:4" x14ac:dyDescent="0.2">
      <c r="A1284" s="5">
        <v>38289</v>
      </c>
      <c r="B1284" s="1">
        <v>4.0235000000000003</v>
      </c>
      <c r="C1284" s="1">
        <v>0.9</v>
      </c>
      <c r="D1284" s="1">
        <v>4.7888999999999999</v>
      </c>
    </row>
    <row r="1285" spans="1:4" x14ac:dyDescent="0.2">
      <c r="A1285" s="5">
        <v>38292</v>
      </c>
      <c r="B1285" s="1">
        <v>4.0697999999999999</v>
      </c>
      <c r="C1285" s="1">
        <v>0.9</v>
      </c>
      <c r="D1285" s="1">
        <v>4.8357000000000001</v>
      </c>
    </row>
    <row r="1286" spans="1:4" x14ac:dyDescent="0.2">
      <c r="A1286" s="5">
        <v>38293</v>
      </c>
      <c r="B1286" s="1">
        <v>4.0465</v>
      </c>
      <c r="C1286" s="1">
        <v>0.9</v>
      </c>
      <c r="D1286" s="1">
        <v>4.8127000000000004</v>
      </c>
    </row>
    <row r="1287" spans="1:4" x14ac:dyDescent="0.2">
      <c r="A1287" s="5">
        <v>38294</v>
      </c>
      <c r="B1287" s="1">
        <v>4.0735999999999999</v>
      </c>
      <c r="C1287" s="1">
        <v>0.89</v>
      </c>
      <c r="D1287" s="1">
        <v>4.8255999999999997</v>
      </c>
    </row>
    <row r="1288" spans="1:4" x14ac:dyDescent="0.2">
      <c r="A1288" s="5">
        <v>38295</v>
      </c>
      <c r="B1288" s="1">
        <v>4.0716000000000001</v>
      </c>
      <c r="C1288" s="1">
        <v>0.88</v>
      </c>
      <c r="D1288" s="1">
        <v>4.8146000000000004</v>
      </c>
    </row>
    <row r="1289" spans="1:4" x14ac:dyDescent="0.2">
      <c r="A1289" s="5">
        <v>38296</v>
      </c>
      <c r="B1289" s="1">
        <v>4.1726999999999999</v>
      </c>
      <c r="C1289" s="1">
        <v>0.87</v>
      </c>
      <c r="D1289" s="1">
        <v>4.8968999999999996</v>
      </c>
    </row>
    <row r="1290" spans="1:4" x14ac:dyDescent="0.2">
      <c r="A1290" s="5">
        <v>38299</v>
      </c>
      <c r="B1290" s="1">
        <v>4.2157999999999998</v>
      </c>
      <c r="C1290" s="1">
        <v>0.86</v>
      </c>
      <c r="D1290" s="1">
        <v>4.9314999999999998</v>
      </c>
    </row>
    <row r="1291" spans="1:4" x14ac:dyDescent="0.2">
      <c r="A1291" s="5">
        <v>38300</v>
      </c>
      <c r="B1291" s="1">
        <v>4.2256999999999998</v>
      </c>
      <c r="C1291" s="1">
        <v>0.87</v>
      </c>
      <c r="D1291" s="1">
        <v>4.9436999999999998</v>
      </c>
    </row>
    <row r="1292" spans="1:4" x14ac:dyDescent="0.2">
      <c r="A1292" s="5">
        <v>38301</v>
      </c>
      <c r="B1292" s="1">
        <v>4.2393999999999998</v>
      </c>
      <c r="C1292" s="1">
        <v>0.86</v>
      </c>
      <c r="D1292" s="1">
        <v>4.9580000000000002</v>
      </c>
    </row>
    <row r="1293" spans="1:4" x14ac:dyDescent="0.2">
      <c r="A1293" s="5">
        <v>38302</v>
      </c>
      <c r="B1293" s="1">
        <v>4.2519</v>
      </c>
      <c r="C1293" s="1">
        <v>0.86</v>
      </c>
      <c r="D1293" s="1">
        <v>4.9672000000000001</v>
      </c>
    </row>
    <row r="1294" spans="1:4" x14ac:dyDescent="0.2">
      <c r="A1294" s="5">
        <v>38303</v>
      </c>
      <c r="B1294" s="1">
        <v>4.1786000000000003</v>
      </c>
      <c r="C1294" s="1">
        <v>0.85</v>
      </c>
      <c r="D1294" s="1">
        <v>4.8967000000000001</v>
      </c>
    </row>
    <row r="1295" spans="1:4" x14ac:dyDescent="0.2">
      <c r="A1295" s="5">
        <v>38306</v>
      </c>
      <c r="B1295" s="1">
        <v>4.1863000000000001</v>
      </c>
      <c r="C1295" s="1">
        <v>0.86</v>
      </c>
      <c r="D1295" s="1">
        <v>4.8956999999999997</v>
      </c>
    </row>
    <row r="1296" spans="1:4" x14ac:dyDescent="0.2">
      <c r="A1296" s="5">
        <v>38307</v>
      </c>
      <c r="B1296" s="1">
        <v>4.2055999999999996</v>
      </c>
      <c r="C1296" s="1">
        <v>0.86</v>
      </c>
      <c r="D1296" s="1">
        <v>4.9008000000000003</v>
      </c>
    </row>
    <row r="1297" spans="1:4" x14ac:dyDescent="0.2">
      <c r="A1297" s="5">
        <v>38308</v>
      </c>
      <c r="B1297" s="1">
        <v>4.1287000000000003</v>
      </c>
      <c r="C1297" s="1">
        <v>0.86</v>
      </c>
      <c r="D1297" s="1">
        <v>4.8402000000000003</v>
      </c>
    </row>
    <row r="1298" spans="1:4" x14ac:dyDescent="0.2">
      <c r="A1298" s="5">
        <v>38309</v>
      </c>
      <c r="B1298" s="1">
        <v>4.1134000000000004</v>
      </c>
      <c r="C1298" s="1">
        <v>0.85</v>
      </c>
      <c r="D1298" s="1">
        <v>4.8063000000000002</v>
      </c>
    </row>
    <row r="1299" spans="1:4" x14ac:dyDescent="0.2">
      <c r="A1299" s="5">
        <v>38310</v>
      </c>
      <c r="B1299" s="1">
        <v>4.2035</v>
      </c>
      <c r="C1299" s="1">
        <v>0.85</v>
      </c>
      <c r="D1299" s="1">
        <v>4.8844000000000003</v>
      </c>
    </row>
    <row r="1300" spans="1:4" x14ac:dyDescent="0.2">
      <c r="A1300" s="5">
        <v>38313</v>
      </c>
      <c r="B1300" s="1">
        <v>4.1783999999999999</v>
      </c>
      <c r="C1300" s="1">
        <v>0.85</v>
      </c>
      <c r="D1300" s="1">
        <v>4.8421000000000003</v>
      </c>
    </row>
    <row r="1301" spans="1:4" x14ac:dyDescent="0.2">
      <c r="A1301" s="5">
        <v>38314</v>
      </c>
      <c r="B1301" s="1">
        <v>4.1822999999999997</v>
      </c>
      <c r="C1301" s="1">
        <v>0.84</v>
      </c>
      <c r="D1301" s="1">
        <v>4.8361000000000001</v>
      </c>
    </row>
    <row r="1302" spans="1:4" x14ac:dyDescent="0.2">
      <c r="A1302" s="5">
        <v>38315</v>
      </c>
      <c r="B1302" s="1">
        <v>4.1976000000000004</v>
      </c>
      <c r="C1302" s="1">
        <v>0.83</v>
      </c>
      <c r="D1302" s="1">
        <v>4.8430999999999997</v>
      </c>
    </row>
    <row r="1303" spans="1:4" x14ac:dyDescent="0.2">
      <c r="A1303" s="5">
        <v>38316</v>
      </c>
      <c r="B1303" s="1">
        <v>4.1936999999999998</v>
      </c>
      <c r="C1303" s="1">
        <v>0.83</v>
      </c>
      <c r="D1303" s="1">
        <v>4.8390000000000004</v>
      </c>
    </row>
    <row r="1304" spans="1:4" x14ac:dyDescent="0.2">
      <c r="A1304" s="5">
        <v>38317</v>
      </c>
      <c r="B1304" s="1">
        <v>4.2458999999999998</v>
      </c>
      <c r="C1304" s="1">
        <v>0.83</v>
      </c>
      <c r="D1304" s="1">
        <v>4.8853</v>
      </c>
    </row>
    <row r="1305" spans="1:4" x14ac:dyDescent="0.2">
      <c r="A1305" s="5">
        <v>38320</v>
      </c>
      <c r="B1305" s="1">
        <v>4.3178999999999998</v>
      </c>
      <c r="C1305" s="1">
        <v>0.83</v>
      </c>
      <c r="D1305" s="1">
        <v>4.9638</v>
      </c>
    </row>
    <row r="1306" spans="1:4" x14ac:dyDescent="0.2">
      <c r="A1306" s="5">
        <v>38321</v>
      </c>
      <c r="B1306" s="1">
        <v>4.3491999999999997</v>
      </c>
      <c r="C1306" s="1">
        <v>0.84</v>
      </c>
      <c r="D1306" s="1">
        <v>5.0019999999999998</v>
      </c>
    </row>
    <row r="1307" spans="1:4" x14ac:dyDescent="0.2">
      <c r="A1307" s="5">
        <v>38322</v>
      </c>
      <c r="B1307" s="1">
        <v>4.3648999999999996</v>
      </c>
      <c r="C1307" s="1">
        <v>0.84</v>
      </c>
      <c r="D1307" s="1">
        <v>5.0113000000000003</v>
      </c>
    </row>
    <row r="1308" spans="1:4" x14ac:dyDescent="0.2">
      <c r="A1308" s="5">
        <v>38323</v>
      </c>
      <c r="B1308" s="1">
        <v>4.4062999999999999</v>
      </c>
      <c r="C1308" s="1">
        <v>0.84</v>
      </c>
      <c r="D1308" s="1">
        <v>5.0613999999999999</v>
      </c>
    </row>
    <row r="1309" spans="1:4" x14ac:dyDescent="0.2">
      <c r="A1309" s="5">
        <v>38324</v>
      </c>
      <c r="B1309" s="1">
        <v>4.2496999999999998</v>
      </c>
      <c r="C1309" s="1">
        <v>0.83</v>
      </c>
      <c r="D1309" s="1">
        <v>4.9268000000000001</v>
      </c>
    </row>
    <row r="1310" spans="1:4" x14ac:dyDescent="0.2">
      <c r="A1310" s="5">
        <v>38327</v>
      </c>
      <c r="B1310" s="1">
        <v>4.2206000000000001</v>
      </c>
      <c r="C1310" s="1">
        <v>0.83</v>
      </c>
      <c r="D1310" s="1">
        <v>4.8921999999999999</v>
      </c>
    </row>
    <row r="1311" spans="1:4" x14ac:dyDescent="0.2">
      <c r="A1311" s="5">
        <v>38328</v>
      </c>
      <c r="B1311" s="1">
        <v>4.2206000000000001</v>
      </c>
      <c r="C1311" s="1">
        <v>0.82</v>
      </c>
      <c r="D1311" s="1">
        <v>4.8871000000000002</v>
      </c>
    </row>
    <row r="1312" spans="1:4" x14ac:dyDescent="0.2">
      <c r="A1312" s="5">
        <v>38329</v>
      </c>
      <c r="B1312" s="1">
        <v>4.1182999999999996</v>
      </c>
      <c r="C1312" s="1">
        <v>0.82</v>
      </c>
      <c r="D1312" s="1">
        <v>4.7828999999999997</v>
      </c>
    </row>
    <row r="1313" spans="1:4" x14ac:dyDescent="0.2">
      <c r="A1313" s="5">
        <v>38330</v>
      </c>
      <c r="B1313" s="1">
        <v>4.1664000000000003</v>
      </c>
      <c r="C1313" s="1">
        <v>0.82</v>
      </c>
      <c r="D1313" s="1">
        <v>4.8327</v>
      </c>
    </row>
    <row r="1314" spans="1:4" x14ac:dyDescent="0.2">
      <c r="A1314" s="5">
        <v>38331</v>
      </c>
      <c r="B1314" s="1">
        <v>4.1489000000000003</v>
      </c>
      <c r="C1314" s="1">
        <v>0.81</v>
      </c>
      <c r="D1314" s="1">
        <v>4.8175999999999997</v>
      </c>
    </row>
    <row r="1315" spans="1:4" x14ac:dyDescent="0.2">
      <c r="A1315" s="5">
        <v>38334</v>
      </c>
      <c r="B1315" s="1">
        <v>4.1470000000000002</v>
      </c>
      <c r="C1315" s="1">
        <v>0.82</v>
      </c>
      <c r="D1315" s="1">
        <v>4.8036000000000003</v>
      </c>
    </row>
    <row r="1316" spans="1:4" x14ac:dyDescent="0.2">
      <c r="A1316" s="5">
        <v>38335</v>
      </c>
      <c r="B1316" s="1">
        <v>4.1219000000000001</v>
      </c>
      <c r="C1316" s="1">
        <v>0.83</v>
      </c>
      <c r="D1316" s="1">
        <v>4.7689000000000004</v>
      </c>
    </row>
    <row r="1317" spans="1:4" x14ac:dyDescent="0.2">
      <c r="A1317" s="5">
        <v>38336</v>
      </c>
      <c r="B1317" s="1">
        <v>4.0739000000000001</v>
      </c>
      <c r="C1317" s="1">
        <v>0.83</v>
      </c>
      <c r="D1317" s="1">
        <v>4.7108999999999996</v>
      </c>
    </row>
    <row r="1318" spans="1:4" x14ac:dyDescent="0.2">
      <c r="A1318" s="5">
        <v>38337</v>
      </c>
      <c r="B1318" s="1">
        <v>4.1836000000000002</v>
      </c>
      <c r="C1318" s="1">
        <v>0.83</v>
      </c>
      <c r="D1318" s="1">
        <v>4.8244999999999996</v>
      </c>
    </row>
    <row r="1319" spans="1:4" x14ac:dyDescent="0.2">
      <c r="A1319" s="5">
        <v>38338</v>
      </c>
      <c r="B1319" s="1">
        <v>4.1989999999999998</v>
      </c>
      <c r="C1319" s="1">
        <v>0.82</v>
      </c>
      <c r="D1319" s="1">
        <v>4.8265000000000002</v>
      </c>
    </row>
    <row r="1320" spans="1:4" x14ac:dyDescent="0.2">
      <c r="A1320" s="5">
        <v>38341</v>
      </c>
      <c r="B1320" s="1">
        <v>4.1835000000000004</v>
      </c>
      <c r="C1320" s="1">
        <v>0.82</v>
      </c>
      <c r="D1320" s="1">
        <v>4.8113999999999999</v>
      </c>
    </row>
    <row r="1321" spans="1:4" x14ac:dyDescent="0.2">
      <c r="A1321" s="5">
        <v>38342</v>
      </c>
      <c r="B1321" s="1">
        <v>4.1622000000000003</v>
      </c>
      <c r="C1321" s="1">
        <v>0.81</v>
      </c>
      <c r="D1321" s="1">
        <v>4.7954999999999997</v>
      </c>
    </row>
    <row r="1322" spans="1:4" x14ac:dyDescent="0.2">
      <c r="A1322" s="5">
        <v>38343</v>
      </c>
      <c r="B1322" s="1">
        <v>4.1931000000000003</v>
      </c>
      <c r="C1322" s="1">
        <v>0.8</v>
      </c>
      <c r="D1322" s="1">
        <v>4.8273999999999999</v>
      </c>
    </row>
    <row r="1323" spans="1:4" x14ac:dyDescent="0.2">
      <c r="A1323" s="5">
        <v>38344</v>
      </c>
      <c r="B1323" s="1">
        <v>4.2241999999999997</v>
      </c>
      <c r="C1323" s="1">
        <v>0.8</v>
      </c>
      <c r="D1323" s="1">
        <v>4.8422999999999998</v>
      </c>
    </row>
    <row r="1324" spans="1:4" x14ac:dyDescent="0.2">
      <c r="A1324" s="5">
        <v>38345</v>
      </c>
      <c r="B1324" s="1">
        <v>4.2144000000000004</v>
      </c>
      <c r="C1324" s="1">
        <v>0.8</v>
      </c>
      <c r="D1324" s="1">
        <v>4.8442999999999996</v>
      </c>
    </row>
    <row r="1325" spans="1:4" x14ac:dyDescent="0.2">
      <c r="A1325" s="5">
        <v>38348</v>
      </c>
      <c r="B1325" s="1">
        <v>4.2965</v>
      </c>
      <c r="C1325" s="1">
        <v>0.8</v>
      </c>
      <c r="D1325" s="1">
        <v>4.9192</v>
      </c>
    </row>
    <row r="1326" spans="1:4" x14ac:dyDescent="0.2">
      <c r="A1326" s="5">
        <v>38349</v>
      </c>
      <c r="B1326" s="1">
        <v>4.2906000000000004</v>
      </c>
      <c r="C1326" s="1">
        <v>0.79</v>
      </c>
      <c r="D1326" s="1">
        <v>4.9151999999999996</v>
      </c>
    </row>
    <row r="1327" spans="1:4" x14ac:dyDescent="0.2">
      <c r="A1327" s="5">
        <v>38350</v>
      </c>
      <c r="B1327" s="1">
        <v>4.3220000000000001</v>
      </c>
      <c r="C1327" s="1">
        <v>0.79</v>
      </c>
      <c r="D1327" s="1">
        <v>4.9428000000000001</v>
      </c>
    </row>
    <row r="1328" spans="1:4" x14ac:dyDescent="0.2">
      <c r="A1328" s="5">
        <v>38351</v>
      </c>
      <c r="B1328" s="1">
        <v>4.2534000000000001</v>
      </c>
      <c r="C1328" s="1">
        <v>0.79</v>
      </c>
      <c r="D1328" s="1">
        <v>4.8724999999999996</v>
      </c>
    </row>
    <row r="1329" spans="1:4" x14ac:dyDescent="0.2">
      <c r="A1329" s="5">
        <v>38352</v>
      </c>
      <c r="B1329" s="1">
        <v>4.2182000000000004</v>
      </c>
      <c r="C1329" s="1">
        <v>0.81</v>
      </c>
      <c r="D1329" s="1">
        <v>4.8261000000000003</v>
      </c>
    </row>
    <row r="1330" spans="1:4" x14ac:dyDescent="0.2">
      <c r="A1330" s="5">
        <v>38355</v>
      </c>
      <c r="B1330" s="1">
        <v>4.2103999999999999</v>
      </c>
      <c r="C1330" s="1">
        <v>0.8</v>
      </c>
      <c r="D1330" s="1">
        <v>4.8121</v>
      </c>
    </row>
    <row r="1331" spans="1:4" x14ac:dyDescent="0.2">
      <c r="A1331" s="5">
        <v>38356</v>
      </c>
      <c r="B1331" s="1">
        <v>4.2885999999999997</v>
      </c>
      <c r="C1331" s="1">
        <v>0.8</v>
      </c>
      <c r="D1331" s="1">
        <v>4.8856000000000002</v>
      </c>
    </row>
    <row r="1332" spans="1:4" x14ac:dyDescent="0.2">
      <c r="A1332" s="5">
        <v>38357</v>
      </c>
      <c r="B1332" s="1">
        <v>4.2808000000000002</v>
      </c>
      <c r="C1332" s="1">
        <v>0.8</v>
      </c>
      <c r="D1332" s="1">
        <v>4.8472</v>
      </c>
    </row>
    <row r="1333" spans="1:4" x14ac:dyDescent="0.2">
      <c r="A1333" s="5">
        <v>38358</v>
      </c>
      <c r="B1333" s="1">
        <v>4.2611999999999997</v>
      </c>
      <c r="C1333" s="1">
        <v>0.8</v>
      </c>
      <c r="D1333" s="1">
        <v>4.8451000000000004</v>
      </c>
    </row>
    <row r="1334" spans="1:4" x14ac:dyDescent="0.2">
      <c r="A1334" s="5">
        <v>38359</v>
      </c>
      <c r="B1334" s="1">
        <v>4.2690000000000001</v>
      </c>
      <c r="C1334" s="1">
        <v>0.8</v>
      </c>
      <c r="D1334" s="1">
        <v>4.835</v>
      </c>
    </row>
    <row r="1335" spans="1:4" x14ac:dyDescent="0.2">
      <c r="A1335" s="5">
        <v>38362</v>
      </c>
      <c r="B1335" s="1">
        <v>4.2690000000000001</v>
      </c>
      <c r="C1335" s="1">
        <v>0.8</v>
      </c>
      <c r="D1335" s="1">
        <v>4.8170000000000002</v>
      </c>
    </row>
    <row r="1336" spans="1:4" x14ac:dyDescent="0.2">
      <c r="A1336" s="5">
        <v>38363</v>
      </c>
      <c r="B1336" s="1">
        <v>4.2356999999999996</v>
      </c>
      <c r="C1336" s="1">
        <v>0.8</v>
      </c>
      <c r="D1336" s="1">
        <v>4.7801</v>
      </c>
    </row>
    <row r="1337" spans="1:4" x14ac:dyDescent="0.2">
      <c r="A1337" s="5">
        <v>38364</v>
      </c>
      <c r="B1337" s="1">
        <v>4.2336999999999998</v>
      </c>
      <c r="C1337" s="1">
        <v>0.8</v>
      </c>
      <c r="D1337" s="1">
        <v>4.7671999999999999</v>
      </c>
    </row>
    <row r="1338" spans="1:4" x14ac:dyDescent="0.2">
      <c r="A1338" s="5">
        <v>38365</v>
      </c>
      <c r="B1338" s="1">
        <v>4.1635</v>
      </c>
      <c r="C1338" s="1">
        <v>0.8</v>
      </c>
      <c r="D1338" s="1">
        <v>4.6896000000000004</v>
      </c>
    </row>
    <row r="1339" spans="1:4" x14ac:dyDescent="0.2">
      <c r="A1339" s="5">
        <v>38366</v>
      </c>
      <c r="B1339" s="1">
        <v>4.2080000000000002</v>
      </c>
      <c r="C1339" s="1">
        <v>0.82</v>
      </c>
      <c r="D1339" s="1">
        <v>4.7275999999999998</v>
      </c>
    </row>
    <row r="1340" spans="1:4" x14ac:dyDescent="0.2">
      <c r="A1340" s="5">
        <v>38369</v>
      </c>
      <c r="B1340" s="1">
        <v>4.2081999999999997</v>
      </c>
      <c r="C1340" s="1">
        <v>0.82</v>
      </c>
      <c r="D1340" s="1">
        <v>4.7256</v>
      </c>
    </row>
    <row r="1341" spans="1:4" x14ac:dyDescent="0.2">
      <c r="A1341" s="5">
        <v>38370</v>
      </c>
      <c r="B1341" s="1">
        <v>4.1848000000000001</v>
      </c>
      <c r="C1341" s="1">
        <v>0.82</v>
      </c>
      <c r="D1341" s="1">
        <v>4.6787000000000001</v>
      </c>
    </row>
    <row r="1342" spans="1:4" x14ac:dyDescent="0.2">
      <c r="A1342" s="5">
        <v>38371</v>
      </c>
      <c r="B1342" s="1">
        <v>4.1711</v>
      </c>
      <c r="C1342" s="1">
        <v>0.83</v>
      </c>
      <c r="D1342" s="1">
        <v>4.6554000000000002</v>
      </c>
    </row>
    <row r="1343" spans="1:4" x14ac:dyDescent="0.2">
      <c r="A1343" s="5">
        <v>38372</v>
      </c>
      <c r="B1343" s="1">
        <v>4.1614000000000004</v>
      </c>
      <c r="C1343" s="1">
        <v>0.83</v>
      </c>
      <c r="D1343" s="1">
        <v>4.6562999999999999</v>
      </c>
    </row>
    <row r="1344" spans="1:4" x14ac:dyDescent="0.2">
      <c r="A1344" s="5">
        <v>38373</v>
      </c>
      <c r="B1344" s="1">
        <v>4.1398999999999999</v>
      </c>
      <c r="C1344" s="1">
        <v>0.83</v>
      </c>
      <c r="D1344" s="1">
        <v>4.6426999999999996</v>
      </c>
    </row>
    <row r="1345" spans="1:4" x14ac:dyDescent="0.2">
      <c r="A1345" s="5">
        <v>38376</v>
      </c>
      <c r="B1345" s="1">
        <v>4.1204000000000001</v>
      </c>
      <c r="C1345" s="1">
        <v>0.82</v>
      </c>
      <c r="D1345" s="1">
        <v>4.6003999999999996</v>
      </c>
    </row>
    <row r="1346" spans="1:4" x14ac:dyDescent="0.2">
      <c r="A1346" s="5">
        <v>38377</v>
      </c>
      <c r="B1346" s="1">
        <v>4.1924999999999999</v>
      </c>
      <c r="C1346" s="1">
        <v>0.82</v>
      </c>
      <c r="D1346" s="1">
        <v>4.6814</v>
      </c>
    </row>
    <row r="1347" spans="1:4" x14ac:dyDescent="0.2">
      <c r="A1347" s="5">
        <v>38378</v>
      </c>
      <c r="B1347" s="1">
        <v>4.1963999999999997</v>
      </c>
      <c r="C1347" s="1">
        <v>0.81</v>
      </c>
      <c r="D1347" s="1">
        <v>4.6668000000000003</v>
      </c>
    </row>
    <row r="1348" spans="1:4" x14ac:dyDescent="0.2">
      <c r="A1348" s="5">
        <v>38379</v>
      </c>
      <c r="B1348" s="1">
        <v>4.2179000000000002</v>
      </c>
      <c r="C1348" s="1">
        <v>0.8</v>
      </c>
      <c r="D1348" s="1">
        <v>4.6843000000000004</v>
      </c>
    </row>
    <row r="1349" spans="1:4" x14ac:dyDescent="0.2">
      <c r="A1349" s="5">
        <v>38380</v>
      </c>
      <c r="B1349" s="1">
        <v>4.1397000000000004</v>
      </c>
      <c r="C1349" s="1">
        <v>0.8</v>
      </c>
      <c r="D1349" s="1">
        <v>4.6078999999999999</v>
      </c>
    </row>
    <row r="1350" spans="1:4" x14ac:dyDescent="0.2">
      <c r="A1350" s="5">
        <v>38383</v>
      </c>
      <c r="B1350" s="1">
        <v>4.1280000000000001</v>
      </c>
      <c r="C1350" s="1">
        <v>0.82</v>
      </c>
      <c r="D1350" s="1">
        <v>4.5849000000000002</v>
      </c>
    </row>
    <row r="1351" spans="1:4" x14ac:dyDescent="0.2">
      <c r="A1351" s="5">
        <v>38384</v>
      </c>
      <c r="B1351" s="1">
        <v>4.1376999999999997</v>
      </c>
      <c r="C1351" s="1">
        <v>0.82</v>
      </c>
      <c r="D1351" s="1">
        <v>4.5944000000000003</v>
      </c>
    </row>
    <row r="1352" spans="1:4" x14ac:dyDescent="0.2">
      <c r="A1352" s="5">
        <v>38385</v>
      </c>
      <c r="B1352" s="1">
        <v>4.1395999999999997</v>
      </c>
      <c r="C1352" s="1">
        <v>0.81</v>
      </c>
      <c r="D1352" s="1">
        <v>4.5791000000000004</v>
      </c>
    </row>
    <row r="1353" spans="1:4" x14ac:dyDescent="0.2">
      <c r="A1353" s="5">
        <v>38386</v>
      </c>
      <c r="B1353" s="1">
        <v>4.1630000000000003</v>
      </c>
      <c r="C1353" s="1">
        <v>0.8</v>
      </c>
      <c r="D1353" s="1">
        <v>4.5810000000000004</v>
      </c>
    </row>
    <row r="1354" spans="1:4" x14ac:dyDescent="0.2">
      <c r="A1354" s="5">
        <v>38387</v>
      </c>
      <c r="B1354" s="1">
        <v>4.0753000000000004</v>
      </c>
      <c r="C1354" s="1">
        <v>0.8</v>
      </c>
      <c r="D1354" s="1">
        <v>4.4817</v>
      </c>
    </row>
    <row r="1355" spans="1:4" x14ac:dyDescent="0.2">
      <c r="A1355" s="5">
        <v>38390</v>
      </c>
      <c r="B1355" s="1">
        <v>4.0500999999999996</v>
      </c>
      <c r="C1355" s="1">
        <v>0.79</v>
      </c>
      <c r="D1355" s="1">
        <v>4.4222000000000001</v>
      </c>
    </row>
    <row r="1356" spans="1:4" x14ac:dyDescent="0.2">
      <c r="A1356" s="5">
        <v>38391</v>
      </c>
      <c r="B1356" s="1">
        <v>4.0152999999999999</v>
      </c>
      <c r="C1356" s="1">
        <v>0.79</v>
      </c>
      <c r="D1356" s="1">
        <v>4.3734999999999999</v>
      </c>
    </row>
    <row r="1357" spans="1:4" x14ac:dyDescent="0.2">
      <c r="A1357" s="5">
        <v>38392</v>
      </c>
      <c r="B1357" s="1">
        <v>3.9790000000000001</v>
      </c>
      <c r="C1357" s="1">
        <v>0.8</v>
      </c>
      <c r="D1357" s="1">
        <v>4.3689</v>
      </c>
    </row>
    <row r="1358" spans="1:4" x14ac:dyDescent="0.2">
      <c r="A1358" s="5">
        <v>38393</v>
      </c>
      <c r="B1358" s="1">
        <v>4.0888</v>
      </c>
      <c r="C1358" s="1">
        <v>0.8</v>
      </c>
      <c r="D1358" s="1">
        <v>4.4732000000000003</v>
      </c>
    </row>
    <row r="1359" spans="1:4" x14ac:dyDescent="0.2">
      <c r="A1359" s="5">
        <v>38394</v>
      </c>
      <c r="B1359" s="1">
        <v>4.0843999999999996</v>
      </c>
      <c r="C1359" s="1">
        <v>0.8</v>
      </c>
      <c r="D1359" s="1">
        <v>4.4805000000000001</v>
      </c>
    </row>
    <row r="1360" spans="1:4" x14ac:dyDescent="0.2">
      <c r="A1360" s="5">
        <v>38397</v>
      </c>
      <c r="B1360" s="1">
        <v>4.069</v>
      </c>
      <c r="C1360" s="1">
        <v>0.8</v>
      </c>
      <c r="D1360" s="1">
        <v>4.4488000000000003</v>
      </c>
    </row>
    <row r="1361" spans="1:4" x14ac:dyDescent="0.2">
      <c r="A1361" s="5">
        <v>38398</v>
      </c>
      <c r="B1361" s="1">
        <v>4.0960000000000001</v>
      </c>
      <c r="C1361" s="1">
        <v>0.8</v>
      </c>
      <c r="D1361" s="1">
        <v>4.4851000000000001</v>
      </c>
    </row>
    <row r="1362" spans="1:4" x14ac:dyDescent="0.2">
      <c r="A1362" s="5">
        <v>38399</v>
      </c>
      <c r="B1362" s="1">
        <v>4.1520999999999999</v>
      </c>
      <c r="C1362" s="1">
        <v>0.8</v>
      </c>
      <c r="D1362" s="1">
        <v>4.5179</v>
      </c>
    </row>
    <row r="1363" spans="1:4" x14ac:dyDescent="0.2">
      <c r="A1363" s="5">
        <v>38400</v>
      </c>
      <c r="B1363" s="1">
        <v>4.1794000000000002</v>
      </c>
      <c r="C1363" s="1">
        <v>0.79</v>
      </c>
      <c r="D1363" s="1">
        <v>4.5738000000000003</v>
      </c>
    </row>
    <row r="1364" spans="1:4" x14ac:dyDescent="0.2">
      <c r="A1364" s="5">
        <v>38401</v>
      </c>
      <c r="B1364" s="1">
        <v>4.2655000000000003</v>
      </c>
      <c r="C1364" s="1">
        <v>0.79</v>
      </c>
      <c r="D1364" s="1">
        <v>4.6494999999999997</v>
      </c>
    </row>
    <row r="1365" spans="1:4" x14ac:dyDescent="0.2">
      <c r="A1365" s="5">
        <v>38404</v>
      </c>
      <c r="B1365" s="1">
        <v>4.2615999999999996</v>
      </c>
      <c r="C1365" s="1">
        <v>0.79</v>
      </c>
      <c r="D1365" s="1">
        <v>4.6445999999999996</v>
      </c>
    </row>
    <row r="1366" spans="1:4" x14ac:dyDescent="0.2">
      <c r="A1366" s="5">
        <v>38405</v>
      </c>
      <c r="B1366" s="1">
        <v>4.2853000000000003</v>
      </c>
      <c r="C1366" s="1">
        <v>0.79</v>
      </c>
      <c r="D1366" s="1">
        <v>4.6853999999999996</v>
      </c>
    </row>
    <row r="1367" spans="1:4" x14ac:dyDescent="0.2">
      <c r="A1367" s="5">
        <v>38406</v>
      </c>
      <c r="B1367" s="1">
        <v>4.2617000000000003</v>
      </c>
      <c r="C1367" s="1">
        <v>0.78</v>
      </c>
      <c r="D1367" s="1">
        <v>4.6523000000000003</v>
      </c>
    </row>
    <row r="1368" spans="1:4" x14ac:dyDescent="0.2">
      <c r="A1368" s="5">
        <v>38407</v>
      </c>
      <c r="B1368" s="1">
        <v>4.2832999999999997</v>
      </c>
      <c r="C1368" s="1">
        <v>0.78</v>
      </c>
      <c r="D1368" s="1">
        <v>4.6688000000000001</v>
      </c>
    </row>
    <row r="1369" spans="1:4" x14ac:dyDescent="0.2">
      <c r="A1369" s="5">
        <v>38408</v>
      </c>
      <c r="B1369" s="1">
        <v>4.2637999999999998</v>
      </c>
      <c r="C1369" s="1">
        <v>0.77</v>
      </c>
      <c r="D1369" s="1">
        <v>4.6386000000000003</v>
      </c>
    </row>
    <row r="1370" spans="1:4" x14ac:dyDescent="0.2">
      <c r="A1370" s="5">
        <v>38411</v>
      </c>
      <c r="B1370" s="1">
        <v>4.3765999999999998</v>
      </c>
      <c r="C1370" s="1">
        <v>0.77</v>
      </c>
      <c r="D1370" s="1">
        <v>4.7195</v>
      </c>
    </row>
    <row r="1371" spans="1:4" x14ac:dyDescent="0.2">
      <c r="A1371" s="5">
        <v>38412</v>
      </c>
      <c r="B1371" s="1">
        <v>4.3647</v>
      </c>
      <c r="C1371" s="1">
        <v>0.77</v>
      </c>
      <c r="D1371" s="1">
        <v>4.7145000000000001</v>
      </c>
    </row>
    <row r="1372" spans="1:4" x14ac:dyDescent="0.2">
      <c r="A1372" s="5">
        <v>38413</v>
      </c>
      <c r="B1372" s="1">
        <v>4.3766999999999996</v>
      </c>
      <c r="C1372" s="1">
        <v>0.77</v>
      </c>
      <c r="D1372" s="1">
        <v>4.7340999999999998</v>
      </c>
    </row>
    <row r="1373" spans="1:4" x14ac:dyDescent="0.2">
      <c r="A1373" s="5">
        <v>38414</v>
      </c>
      <c r="B1373" s="1">
        <v>4.3768000000000002</v>
      </c>
      <c r="C1373" s="1">
        <v>0.77</v>
      </c>
      <c r="D1373" s="1">
        <v>4.7381000000000002</v>
      </c>
    </row>
    <row r="1374" spans="1:4" x14ac:dyDescent="0.2">
      <c r="A1374" s="5">
        <v>38415</v>
      </c>
      <c r="B1374" s="1">
        <v>4.3075999999999999</v>
      </c>
      <c r="C1374" s="1">
        <v>0.77</v>
      </c>
      <c r="D1374" s="1">
        <v>4.6489000000000003</v>
      </c>
    </row>
    <row r="1375" spans="1:4" x14ac:dyDescent="0.2">
      <c r="A1375" s="5">
        <v>38418</v>
      </c>
      <c r="B1375" s="1">
        <v>4.3075999999999999</v>
      </c>
      <c r="C1375" s="1">
        <v>0.77</v>
      </c>
      <c r="D1375" s="1">
        <v>4.6237000000000004</v>
      </c>
    </row>
    <row r="1376" spans="1:4" x14ac:dyDescent="0.2">
      <c r="A1376" s="5">
        <v>38419</v>
      </c>
      <c r="B1376" s="1">
        <v>4.3910999999999998</v>
      </c>
      <c r="C1376" s="1">
        <v>0.76</v>
      </c>
      <c r="D1376" s="1">
        <v>4.7073</v>
      </c>
    </row>
    <row r="1377" spans="1:4" x14ac:dyDescent="0.2">
      <c r="A1377" s="5">
        <v>38420</v>
      </c>
      <c r="B1377" s="1">
        <v>4.5195999999999996</v>
      </c>
      <c r="C1377" s="1">
        <v>0.76</v>
      </c>
      <c r="D1377" s="1">
        <v>4.8304999999999998</v>
      </c>
    </row>
    <row r="1378" spans="1:4" x14ac:dyDescent="0.2">
      <c r="A1378" s="5">
        <v>38421</v>
      </c>
      <c r="B1378" s="1">
        <v>4.4633000000000003</v>
      </c>
      <c r="C1378" s="1">
        <v>0.76</v>
      </c>
      <c r="D1378" s="1">
        <v>4.7634999999999996</v>
      </c>
    </row>
    <row r="1379" spans="1:4" x14ac:dyDescent="0.2">
      <c r="A1379" s="5">
        <v>38422</v>
      </c>
      <c r="B1379" s="1">
        <v>4.5423</v>
      </c>
      <c r="C1379" s="1">
        <v>0.76</v>
      </c>
      <c r="D1379" s="1">
        <v>4.8093000000000004</v>
      </c>
    </row>
    <row r="1380" spans="1:4" x14ac:dyDescent="0.2">
      <c r="A1380" s="5">
        <v>38425</v>
      </c>
      <c r="B1380" s="1">
        <v>4.508</v>
      </c>
      <c r="C1380" s="1">
        <v>0.77</v>
      </c>
      <c r="D1380" s="1">
        <v>4.7793000000000001</v>
      </c>
    </row>
    <row r="1381" spans="1:4" x14ac:dyDescent="0.2">
      <c r="A1381" s="5">
        <v>38426</v>
      </c>
      <c r="B1381" s="1">
        <v>4.5445000000000002</v>
      </c>
      <c r="C1381" s="1">
        <v>0.79</v>
      </c>
      <c r="D1381" s="1">
        <v>4.8253000000000004</v>
      </c>
    </row>
    <row r="1382" spans="1:4" x14ac:dyDescent="0.2">
      <c r="A1382" s="5">
        <v>38427</v>
      </c>
      <c r="B1382" s="1">
        <v>4.5061999999999998</v>
      </c>
      <c r="C1382" s="1">
        <v>0.81</v>
      </c>
      <c r="D1382" s="1">
        <v>4.7941000000000003</v>
      </c>
    </row>
    <row r="1383" spans="1:4" x14ac:dyDescent="0.2">
      <c r="A1383" s="5">
        <v>38428</v>
      </c>
      <c r="B1383" s="1">
        <v>4.4640000000000004</v>
      </c>
      <c r="C1383" s="1">
        <v>0.82</v>
      </c>
      <c r="D1383" s="1">
        <v>4.7662000000000004</v>
      </c>
    </row>
    <row r="1384" spans="1:4" x14ac:dyDescent="0.2">
      <c r="A1384" s="5">
        <v>38429</v>
      </c>
      <c r="B1384" s="1">
        <v>4.5065999999999997</v>
      </c>
      <c r="C1384" s="1">
        <v>0.82</v>
      </c>
      <c r="D1384" s="1">
        <v>4.8099999999999996</v>
      </c>
    </row>
    <row r="1385" spans="1:4" x14ac:dyDescent="0.2">
      <c r="A1385" s="5">
        <v>38432</v>
      </c>
      <c r="B1385" s="1">
        <v>4.5228999999999999</v>
      </c>
      <c r="C1385" s="1">
        <v>0.84</v>
      </c>
      <c r="D1385" s="1">
        <v>4.8350999999999997</v>
      </c>
    </row>
    <row r="1386" spans="1:4" x14ac:dyDescent="0.2">
      <c r="A1386" s="5">
        <v>38433</v>
      </c>
      <c r="B1386" s="1">
        <v>4.6410999999999998</v>
      </c>
      <c r="C1386" s="1">
        <v>0.84</v>
      </c>
      <c r="D1386" s="1">
        <v>4.9051</v>
      </c>
    </row>
    <row r="1387" spans="1:4" x14ac:dyDescent="0.2">
      <c r="A1387" s="5">
        <v>38434</v>
      </c>
      <c r="B1387" s="1">
        <v>4.5841000000000003</v>
      </c>
      <c r="C1387" s="1">
        <v>0.84</v>
      </c>
      <c r="D1387" s="1">
        <v>4.8502000000000001</v>
      </c>
    </row>
    <row r="1388" spans="1:4" x14ac:dyDescent="0.2">
      <c r="A1388" s="5">
        <v>38435</v>
      </c>
      <c r="B1388" s="1">
        <v>4.5968</v>
      </c>
      <c r="C1388" s="1">
        <v>0.84</v>
      </c>
      <c r="D1388" s="1">
        <v>4.8440000000000003</v>
      </c>
    </row>
    <row r="1389" spans="1:4" x14ac:dyDescent="0.2">
      <c r="A1389" s="5">
        <v>38436</v>
      </c>
      <c r="B1389" s="1">
        <v>4.5929000000000002</v>
      </c>
      <c r="C1389" s="1">
        <v>0.84</v>
      </c>
      <c r="D1389" s="1">
        <v>4.8440000000000003</v>
      </c>
    </row>
    <row r="1390" spans="1:4" x14ac:dyDescent="0.2">
      <c r="A1390" s="5">
        <v>38439</v>
      </c>
      <c r="B1390" s="1">
        <v>4.6399999999999997</v>
      </c>
      <c r="C1390" s="1">
        <v>0.84</v>
      </c>
      <c r="D1390" s="1">
        <v>4.8886000000000003</v>
      </c>
    </row>
    <row r="1391" spans="1:4" x14ac:dyDescent="0.2">
      <c r="A1391" s="5">
        <v>38440</v>
      </c>
      <c r="B1391" s="1">
        <v>4.5726000000000004</v>
      </c>
      <c r="C1391" s="1">
        <v>0.84</v>
      </c>
      <c r="D1391" s="1">
        <v>4.8409000000000004</v>
      </c>
    </row>
    <row r="1392" spans="1:4" x14ac:dyDescent="0.2">
      <c r="A1392" s="5">
        <v>38441</v>
      </c>
      <c r="B1392" s="1">
        <v>4.5461999999999998</v>
      </c>
      <c r="C1392" s="1">
        <v>0.86</v>
      </c>
      <c r="D1392" s="1">
        <v>4.7976000000000001</v>
      </c>
    </row>
    <row r="1393" spans="1:4" x14ac:dyDescent="0.2">
      <c r="A1393" s="5">
        <v>38442</v>
      </c>
      <c r="B1393" s="1">
        <v>4.4814999999999996</v>
      </c>
      <c r="C1393" s="1">
        <v>0.93</v>
      </c>
      <c r="D1393" s="1">
        <v>4.7548000000000004</v>
      </c>
    </row>
    <row r="1394" spans="1:4" x14ac:dyDescent="0.2">
      <c r="A1394" s="5">
        <v>38443</v>
      </c>
      <c r="B1394" s="1">
        <v>4.4474999999999998</v>
      </c>
      <c r="C1394" s="1">
        <v>0.93</v>
      </c>
      <c r="D1394" s="1">
        <v>4.7210000000000001</v>
      </c>
    </row>
    <row r="1395" spans="1:4" x14ac:dyDescent="0.2">
      <c r="A1395" s="5">
        <v>38446</v>
      </c>
      <c r="B1395" s="1">
        <v>4.4555999999999996</v>
      </c>
      <c r="C1395" s="1">
        <v>0.94</v>
      </c>
      <c r="D1395" s="1">
        <v>4.7347999999999999</v>
      </c>
    </row>
    <row r="1396" spans="1:4" x14ac:dyDescent="0.2">
      <c r="A1396" s="5">
        <v>38447</v>
      </c>
      <c r="B1396" s="1">
        <v>4.4678000000000004</v>
      </c>
      <c r="C1396" s="1">
        <v>0.94</v>
      </c>
      <c r="D1396" s="1">
        <v>4.7515999999999998</v>
      </c>
    </row>
    <row r="1397" spans="1:4" x14ac:dyDescent="0.2">
      <c r="A1397" s="5">
        <v>38448</v>
      </c>
      <c r="B1397" s="1">
        <v>4.4215</v>
      </c>
      <c r="C1397" s="1">
        <v>0.93</v>
      </c>
      <c r="D1397" s="1">
        <v>4.7336999999999998</v>
      </c>
    </row>
    <row r="1398" spans="1:4" x14ac:dyDescent="0.2">
      <c r="A1398" s="5">
        <v>38449</v>
      </c>
      <c r="B1398" s="1">
        <v>4.4802</v>
      </c>
      <c r="C1398" s="1">
        <v>0.93</v>
      </c>
      <c r="D1398" s="1">
        <v>4.7944000000000004</v>
      </c>
    </row>
    <row r="1399" spans="1:4" x14ac:dyDescent="0.2">
      <c r="A1399" s="5">
        <v>38450</v>
      </c>
      <c r="B1399" s="1">
        <v>4.4683000000000002</v>
      </c>
      <c r="C1399" s="1">
        <v>0.93</v>
      </c>
      <c r="D1399" s="1">
        <v>4.7683</v>
      </c>
    </row>
    <row r="1400" spans="1:4" x14ac:dyDescent="0.2">
      <c r="A1400" s="5">
        <v>38453</v>
      </c>
      <c r="B1400" s="1">
        <v>4.4279999999999999</v>
      </c>
      <c r="C1400" s="1">
        <v>0.96</v>
      </c>
      <c r="D1400" s="1">
        <v>4.7237</v>
      </c>
    </row>
    <row r="1401" spans="1:4" x14ac:dyDescent="0.2">
      <c r="A1401" s="5">
        <v>38454</v>
      </c>
      <c r="B1401" s="1">
        <v>4.3517999999999999</v>
      </c>
      <c r="C1401" s="1">
        <v>0.96</v>
      </c>
      <c r="D1401" s="1">
        <v>4.6580000000000004</v>
      </c>
    </row>
    <row r="1402" spans="1:4" x14ac:dyDescent="0.2">
      <c r="A1402" s="5">
        <v>38455</v>
      </c>
      <c r="B1402" s="1">
        <v>4.3598999999999997</v>
      </c>
      <c r="C1402" s="1">
        <v>0.97</v>
      </c>
      <c r="D1402" s="1">
        <v>4.6814</v>
      </c>
    </row>
    <row r="1403" spans="1:4" x14ac:dyDescent="0.2">
      <c r="A1403" s="5">
        <v>38456</v>
      </c>
      <c r="B1403" s="1">
        <v>4.3079999999999998</v>
      </c>
      <c r="C1403" s="1">
        <v>0.99</v>
      </c>
      <c r="D1403" s="1">
        <v>4.6803999999999997</v>
      </c>
    </row>
    <row r="1404" spans="1:4" x14ac:dyDescent="0.2">
      <c r="A1404" s="5">
        <v>38457</v>
      </c>
      <c r="B1404" s="1">
        <v>4.2405999999999997</v>
      </c>
      <c r="C1404" s="1">
        <v>1.07</v>
      </c>
      <c r="D1404" s="1">
        <v>4.6083999999999996</v>
      </c>
    </row>
    <row r="1405" spans="1:4" x14ac:dyDescent="0.2">
      <c r="A1405" s="5">
        <v>38460</v>
      </c>
      <c r="B1405" s="1">
        <v>4.2704000000000004</v>
      </c>
      <c r="C1405" s="1">
        <v>1.07</v>
      </c>
      <c r="D1405" s="1">
        <v>4.6093000000000002</v>
      </c>
    </row>
    <row r="1406" spans="1:4" x14ac:dyDescent="0.2">
      <c r="A1406" s="5">
        <v>38461</v>
      </c>
      <c r="B1406" s="1">
        <v>4.2108999999999996</v>
      </c>
      <c r="C1406" s="1">
        <v>1.07</v>
      </c>
      <c r="D1406" s="1">
        <v>4.5423</v>
      </c>
    </row>
    <row r="1407" spans="1:4" x14ac:dyDescent="0.2">
      <c r="A1407" s="5">
        <v>38462</v>
      </c>
      <c r="B1407" s="1">
        <v>4.1852999999999998</v>
      </c>
      <c r="C1407" s="1">
        <v>1.04</v>
      </c>
      <c r="D1407" s="1">
        <v>4.5479000000000003</v>
      </c>
    </row>
    <row r="1408" spans="1:4" x14ac:dyDescent="0.2">
      <c r="A1408" s="5">
        <v>38463</v>
      </c>
      <c r="B1408" s="1">
        <v>4.2945000000000002</v>
      </c>
      <c r="C1408" s="1">
        <v>1.02</v>
      </c>
      <c r="D1408" s="1">
        <v>4.6363000000000003</v>
      </c>
    </row>
    <row r="1409" spans="1:4" x14ac:dyDescent="0.2">
      <c r="A1409" s="5">
        <v>38464</v>
      </c>
      <c r="B1409" s="1">
        <v>4.2449000000000003</v>
      </c>
      <c r="C1409" s="1">
        <v>1</v>
      </c>
      <c r="D1409" s="1">
        <v>4.5792999999999999</v>
      </c>
    </row>
    <row r="1410" spans="1:4" x14ac:dyDescent="0.2">
      <c r="A1410" s="5">
        <v>38467</v>
      </c>
      <c r="B1410" s="1">
        <v>4.2469000000000001</v>
      </c>
      <c r="C1410" s="1">
        <v>1</v>
      </c>
      <c r="D1410" s="1">
        <v>4.5533999999999999</v>
      </c>
    </row>
    <row r="1411" spans="1:4" x14ac:dyDescent="0.2">
      <c r="A1411" s="5">
        <v>38468</v>
      </c>
      <c r="B1411" s="1">
        <v>4.2648999999999999</v>
      </c>
      <c r="C1411" s="1">
        <v>1.01</v>
      </c>
      <c r="D1411" s="1">
        <v>4.5715000000000003</v>
      </c>
    </row>
    <row r="1412" spans="1:4" x14ac:dyDescent="0.2">
      <c r="A1412" s="5">
        <v>38469</v>
      </c>
      <c r="B1412" s="1">
        <v>4.2232000000000003</v>
      </c>
      <c r="C1412" s="1">
        <v>1.01</v>
      </c>
      <c r="D1412" s="1">
        <v>4.5476000000000001</v>
      </c>
    </row>
    <row r="1413" spans="1:4" x14ac:dyDescent="0.2">
      <c r="A1413" s="5">
        <v>38470</v>
      </c>
      <c r="B1413" s="1">
        <v>4.1441999999999997</v>
      </c>
      <c r="C1413" s="1">
        <v>1.01</v>
      </c>
      <c r="D1413" s="1">
        <v>4.4851000000000001</v>
      </c>
    </row>
    <row r="1414" spans="1:4" x14ac:dyDescent="0.2">
      <c r="A1414" s="5">
        <v>38471</v>
      </c>
      <c r="B1414" s="1">
        <v>4.1976000000000004</v>
      </c>
      <c r="C1414" s="1">
        <v>1.04</v>
      </c>
      <c r="D1414" s="1">
        <v>4.5133000000000001</v>
      </c>
    </row>
    <row r="1415" spans="1:4" x14ac:dyDescent="0.2">
      <c r="A1415" s="5">
        <v>38474</v>
      </c>
      <c r="B1415" s="1">
        <v>4.1858000000000004</v>
      </c>
      <c r="C1415" s="1">
        <v>1.05</v>
      </c>
      <c r="D1415" s="1">
        <v>4.5132000000000003</v>
      </c>
    </row>
    <row r="1416" spans="1:4" x14ac:dyDescent="0.2">
      <c r="A1416" s="5">
        <v>38475</v>
      </c>
      <c r="B1416" s="1">
        <v>4.1641000000000004</v>
      </c>
      <c r="C1416" s="1">
        <v>1.06</v>
      </c>
      <c r="D1416" s="1">
        <v>4.4820000000000002</v>
      </c>
    </row>
    <row r="1417" spans="1:4" x14ac:dyDescent="0.2">
      <c r="A1417" s="5">
        <v>38476</v>
      </c>
      <c r="B1417" s="1">
        <v>4.1859000000000002</v>
      </c>
      <c r="C1417" s="1">
        <v>1.04</v>
      </c>
      <c r="D1417" s="1">
        <v>4.5903</v>
      </c>
    </row>
    <row r="1418" spans="1:4" x14ac:dyDescent="0.2">
      <c r="A1418" s="5">
        <v>38477</v>
      </c>
      <c r="B1418" s="1">
        <v>4.1543000000000001</v>
      </c>
      <c r="C1418" s="1">
        <v>0.87</v>
      </c>
      <c r="D1418" s="1">
        <v>4.5769000000000002</v>
      </c>
    </row>
    <row r="1419" spans="1:4" x14ac:dyDescent="0.2">
      <c r="A1419" s="5">
        <v>38478</v>
      </c>
      <c r="B1419" s="1">
        <v>4.2576000000000001</v>
      </c>
      <c r="C1419" s="1">
        <v>0.86</v>
      </c>
      <c r="D1419" s="1">
        <v>4.6277999999999997</v>
      </c>
    </row>
    <row r="1420" spans="1:4" x14ac:dyDescent="0.2">
      <c r="A1420" s="5">
        <v>38481</v>
      </c>
      <c r="B1420" s="1">
        <v>4.2816000000000001</v>
      </c>
      <c r="C1420" s="1">
        <v>0.85</v>
      </c>
      <c r="D1420" s="1">
        <v>4.6238999999999999</v>
      </c>
    </row>
    <row r="1421" spans="1:4" x14ac:dyDescent="0.2">
      <c r="A1421" s="5">
        <v>38482</v>
      </c>
      <c r="B1421" s="1">
        <v>4.2</v>
      </c>
      <c r="C1421" s="1">
        <v>0.86</v>
      </c>
      <c r="D1421" s="1">
        <v>4.5679999999999996</v>
      </c>
    </row>
    <row r="1422" spans="1:4" x14ac:dyDescent="0.2">
      <c r="A1422" s="5">
        <v>38483</v>
      </c>
      <c r="B1422" s="1">
        <v>4.202</v>
      </c>
      <c r="C1422" s="1">
        <v>0.87</v>
      </c>
      <c r="D1422" s="1">
        <v>4.5450999999999997</v>
      </c>
    </row>
    <row r="1423" spans="1:4" x14ac:dyDescent="0.2">
      <c r="A1423" s="5">
        <v>38484</v>
      </c>
      <c r="B1423" s="1">
        <v>4.1703000000000001</v>
      </c>
      <c r="C1423" s="1">
        <v>0.87</v>
      </c>
      <c r="D1423" s="1">
        <v>4.5145999999999997</v>
      </c>
    </row>
    <row r="1424" spans="1:4" x14ac:dyDescent="0.2">
      <c r="A1424" s="5">
        <v>38485</v>
      </c>
      <c r="B1424" s="1">
        <v>4.1173000000000002</v>
      </c>
      <c r="C1424" s="1">
        <v>0.92</v>
      </c>
      <c r="D1424" s="1">
        <v>4.4805000000000001</v>
      </c>
    </row>
    <row r="1425" spans="1:4" x14ac:dyDescent="0.2">
      <c r="A1425" s="5">
        <v>38488</v>
      </c>
      <c r="B1425" s="1">
        <v>4.1269</v>
      </c>
      <c r="C1425" s="1">
        <v>0.92</v>
      </c>
      <c r="D1425" s="1">
        <v>4.4955999999999996</v>
      </c>
    </row>
    <row r="1426" spans="1:4" x14ac:dyDescent="0.2">
      <c r="A1426" s="5">
        <v>38489</v>
      </c>
      <c r="B1426" s="1">
        <v>4.1134000000000004</v>
      </c>
      <c r="C1426" s="1">
        <v>0.92</v>
      </c>
      <c r="D1426" s="1">
        <v>4.4729000000000001</v>
      </c>
    </row>
    <row r="1427" spans="1:4" x14ac:dyDescent="0.2">
      <c r="A1427" s="5">
        <v>38490</v>
      </c>
      <c r="B1427" s="1">
        <v>4.0884</v>
      </c>
      <c r="C1427" s="1">
        <v>0.92</v>
      </c>
      <c r="D1427" s="1">
        <v>4.4391999999999996</v>
      </c>
    </row>
    <row r="1428" spans="1:4" x14ac:dyDescent="0.2">
      <c r="A1428" s="5">
        <v>38491</v>
      </c>
      <c r="B1428" s="1">
        <v>4.1115000000000004</v>
      </c>
      <c r="C1428" s="1">
        <v>0.9</v>
      </c>
      <c r="D1428" s="1">
        <v>4.4428999999999998</v>
      </c>
    </row>
    <row r="1429" spans="1:4" x14ac:dyDescent="0.2">
      <c r="A1429" s="5">
        <v>38492</v>
      </c>
      <c r="B1429" s="1">
        <v>4.1210000000000004</v>
      </c>
      <c r="C1429" s="1">
        <v>0.9</v>
      </c>
      <c r="D1429" s="1">
        <v>4.4381000000000004</v>
      </c>
    </row>
    <row r="1430" spans="1:4" x14ac:dyDescent="0.2">
      <c r="A1430" s="5">
        <v>38495</v>
      </c>
      <c r="B1430" s="1">
        <v>4.0537999999999998</v>
      </c>
      <c r="C1430" s="1">
        <v>0.89</v>
      </c>
      <c r="D1430" s="1">
        <v>4.3795999999999999</v>
      </c>
    </row>
    <row r="1431" spans="1:4" x14ac:dyDescent="0.2">
      <c r="A1431" s="5">
        <v>38496</v>
      </c>
      <c r="B1431" s="1">
        <v>4.0270999999999999</v>
      </c>
      <c r="C1431" s="1">
        <v>0.89</v>
      </c>
      <c r="D1431" s="1">
        <v>4.3583999999999996</v>
      </c>
    </row>
    <row r="1432" spans="1:4" x14ac:dyDescent="0.2">
      <c r="A1432" s="5">
        <v>38497</v>
      </c>
      <c r="B1432" s="1">
        <v>4.0864000000000003</v>
      </c>
      <c r="C1432" s="1">
        <v>0.89</v>
      </c>
      <c r="D1432" s="1">
        <v>4.4322999999999997</v>
      </c>
    </row>
    <row r="1433" spans="1:4" x14ac:dyDescent="0.2">
      <c r="A1433" s="5">
        <v>38498</v>
      </c>
      <c r="B1433" s="1">
        <v>4.0787000000000004</v>
      </c>
      <c r="C1433" s="1">
        <v>0.88</v>
      </c>
      <c r="D1433" s="1">
        <v>4.4276</v>
      </c>
    </row>
    <row r="1434" spans="1:4" x14ac:dyDescent="0.2">
      <c r="A1434" s="5">
        <v>38499</v>
      </c>
      <c r="B1434" s="1">
        <v>4.0709</v>
      </c>
      <c r="C1434" s="1">
        <v>0.87</v>
      </c>
      <c r="D1434" s="1">
        <v>4.4292999999999996</v>
      </c>
    </row>
    <row r="1435" spans="1:4" x14ac:dyDescent="0.2">
      <c r="A1435" s="5">
        <v>38502</v>
      </c>
      <c r="B1435" s="1">
        <v>4.069</v>
      </c>
      <c r="C1435" s="1">
        <v>0.87</v>
      </c>
      <c r="D1435" s="1">
        <v>4.4291999999999998</v>
      </c>
    </row>
    <row r="1436" spans="1:4" x14ac:dyDescent="0.2">
      <c r="A1436" s="5">
        <v>38503</v>
      </c>
      <c r="B1436" s="1">
        <v>3.9809999999999999</v>
      </c>
      <c r="C1436" s="1">
        <v>0.87</v>
      </c>
      <c r="D1436" s="1">
        <v>4.3205</v>
      </c>
    </row>
    <row r="1437" spans="1:4" x14ac:dyDescent="0.2">
      <c r="A1437" s="5">
        <v>38504</v>
      </c>
      <c r="B1437" s="1">
        <v>3.8843999999999999</v>
      </c>
      <c r="C1437" s="1">
        <v>0.97</v>
      </c>
      <c r="D1437" s="1">
        <v>4.2365000000000004</v>
      </c>
    </row>
    <row r="1438" spans="1:4" x14ac:dyDescent="0.2">
      <c r="A1438" s="5">
        <v>38505</v>
      </c>
      <c r="B1438" s="1">
        <v>3.9032</v>
      </c>
      <c r="C1438" s="1">
        <v>0.96</v>
      </c>
      <c r="D1438" s="1">
        <v>4.24</v>
      </c>
    </row>
    <row r="1439" spans="1:4" x14ac:dyDescent="0.2">
      <c r="A1439" s="5">
        <v>38506</v>
      </c>
      <c r="B1439" s="1">
        <v>3.9731999999999998</v>
      </c>
      <c r="C1439" s="1">
        <v>0.94</v>
      </c>
      <c r="D1439" s="1">
        <v>4.2812000000000001</v>
      </c>
    </row>
    <row r="1440" spans="1:4" x14ac:dyDescent="0.2">
      <c r="A1440" s="5">
        <v>38509</v>
      </c>
      <c r="B1440" s="1">
        <v>3.9521999999999999</v>
      </c>
      <c r="C1440" s="1">
        <v>0.94</v>
      </c>
      <c r="D1440" s="1">
        <v>4.2434000000000003</v>
      </c>
    </row>
    <row r="1441" spans="1:4" x14ac:dyDescent="0.2">
      <c r="A1441" s="5">
        <v>38510</v>
      </c>
      <c r="B1441" s="1">
        <v>3.9009999999999998</v>
      </c>
      <c r="C1441" s="1">
        <v>0.94</v>
      </c>
      <c r="D1441" s="1">
        <v>4.1906999999999996</v>
      </c>
    </row>
    <row r="1442" spans="1:4" x14ac:dyDescent="0.2">
      <c r="A1442" s="5">
        <v>38511</v>
      </c>
      <c r="B1442" s="1">
        <v>3.9331</v>
      </c>
      <c r="C1442" s="1">
        <v>0.94</v>
      </c>
      <c r="D1442" s="1">
        <v>4.22</v>
      </c>
    </row>
    <row r="1443" spans="1:4" x14ac:dyDescent="0.2">
      <c r="A1443" s="5">
        <v>38512</v>
      </c>
      <c r="B1443" s="1">
        <v>3.9483000000000001</v>
      </c>
      <c r="C1443" s="1">
        <v>0.95</v>
      </c>
      <c r="D1443" s="1">
        <v>4.2314999999999996</v>
      </c>
    </row>
    <row r="1444" spans="1:4" x14ac:dyDescent="0.2">
      <c r="A1444" s="5">
        <v>38513</v>
      </c>
      <c r="B1444" s="1">
        <v>4.0514000000000001</v>
      </c>
      <c r="C1444" s="1">
        <v>0.94</v>
      </c>
      <c r="D1444" s="1">
        <v>4.3243999999999998</v>
      </c>
    </row>
    <row r="1445" spans="1:4" x14ac:dyDescent="0.2">
      <c r="A1445" s="5">
        <v>38516</v>
      </c>
      <c r="B1445" s="1">
        <v>4.0918000000000001</v>
      </c>
      <c r="C1445" s="1">
        <v>0.94</v>
      </c>
      <c r="D1445" s="1">
        <v>4.3730000000000002</v>
      </c>
    </row>
    <row r="1446" spans="1:4" x14ac:dyDescent="0.2">
      <c r="A1446" s="5">
        <v>38517</v>
      </c>
      <c r="B1446" s="1">
        <v>4.1071999999999997</v>
      </c>
      <c r="C1446" s="1">
        <v>0.94</v>
      </c>
      <c r="D1446" s="1">
        <v>4.4137000000000004</v>
      </c>
    </row>
    <row r="1447" spans="1:4" x14ac:dyDescent="0.2">
      <c r="A1447" s="5">
        <v>38518</v>
      </c>
      <c r="B1447" s="1">
        <v>4.0994999999999999</v>
      </c>
      <c r="C1447" s="1">
        <v>0.94</v>
      </c>
      <c r="D1447" s="1">
        <v>4.4016000000000002</v>
      </c>
    </row>
    <row r="1448" spans="1:4" x14ac:dyDescent="0.2">
      <c r="A1448" s="5">
        <v>38519</v>
      </c>
      <c r="B1448" s="1">
        <v>4.0667</v>
      </c>
      <c r="C1448" s="1">
        <v>0.94</v>
      </c>
      <c r="D1448" s="1">
        <v>4.3673000000000002</v>
      </c>
    </row>
    <row r="1449" spans="1:4" x14ac:dyDescent="0.2">
      <c r="A1449" s="5">
        <v>38520</v>
      </c>
      <c r="B1449" s="1">
        <v>4.0705</v>
      </c>
      <c r="C1449" s="1">
        <v>0.94</v>
      </c>
      <c r="D1449" s="1">
        <v>4.3606999999999996</v>
      </c>
    </row>
    <row r="1450" spans="1:4" x14ac:dyDescent="0.2">
      <c r="A1450" s="5">
        <v>38523</v>
      </c>
      <c r="B1450" s="1">
        <v>4.1090999999999998</v>
      </c>
      <c r="C1450" s="1">
        <v>0.94</v>
      </c>
      <c r="D1450" s="1">
        <v>4.3874000000000004</v>
      </c>
    </row>
    <row r="1451" spans="1:4" x14ac:dyDescent="0.2">
      <c r="A1451" s="5">
        <v>38524</v>
      </c>
      <c r="B1451" s="1">
        <v>4.0396000000000001</v>
      </c>
      <c r="C1451" s="1">
        <v>0.94</v>
      </c>
      <c r="D1451" s="1">
        <v>4.3249000000000004</v>
      </c>
    </row>
    <row r="1452" spans="1:4" x14ac:dyDescent="0.2">
      <c r="A1452" s="5">
        <v>38525</v>
      </c>
      <c r="B1452" s="1">
        <v>3.94</v>
      </c>
      <c r="C1452" s="1">
        <v>0.94</v>
      </c>
      <c r="D1452" s="1">
        <v>4.2423999999999999</v>
      </c>
    </row>
    <row r="1453" spans="1:4" x14ac:dyDescent="0.2">
      <c r="A1453" s="5">
        <v>38526</v>
      </c>
      <c r="B1453" s="1">
        <v>3.9514</v>
      </c>
      <c r="C1453" s="1">
        <v>0.95</v>
      </c>
      <c r="D1453" s="1">
        <v>4.2523</v>
      </c>
    </row>
    <row r="1454" spans="1:4" x14ac:dyDescent="0.2">
      <c r="A1454" s="5">
        <v>38527</v>
      </c>
      <c r="B1454" s="1">
        <v>3.9169999999999998</v>
      </c>
      <c r="C1454" s="1">
        <v>0.95</v>
      </c>
      <c r="D1454" s="1">
        <v>4.2206999999999999</v>
      </c>
    </row>
    <row r="1455" spans="1:4" x14ac:dyDescent="0.2">
      <c r="A1455" s="5">
        <v>38530</v>
      </c>
      <c r="B1455" s="1">
        <v>3.9016999999999999</v>
      </c>
      <c r="C1455" s="1">
        <v>0.95</v>
      </c>
      <c r="D1455" s="1">
        <v>4.1912000000000003</v>
      </c>
    </row>
    <row r="1456" spans="1:4" x14ac:dyDescent="0.2">
      <c r="A1456" s="5">
        <v>38531</v>
      </c>
      <c r="B1456" s="1">
        <v>3.9702999999999999</v>
      </c>
      <c r="C1456" s="1">
        <v>0.94</v>
      </c>
      <c r="D1456" s="1">
        <v>4.2474999999999996</v>
      </c>
    </row>
    <row r="1457" spans="1:4" x14ac:dyDescent="0.2">
      <c r="A1457" s="5">
        <v>38532</v>
      </c>
      <c r="B1457" s="1">
        <v>3.9779</v>
      </c>
      <c r="C1457" s="1">
        <v>0.94</v>
      </c>
      <c r="D1457" s="1">
        <v>4.26</v>
      </c>
    </row>
    <row r="1458" spans="1:4" x14ac:dyDescent="0.2">
      <c r="A1458" s="5">
        <v>38533</v>
      </c>
      <c r="B1458" s="1">
        <v>3.9129999999999998</v>
      </c>
      <c r="C1458" s="1">
        <v>0.93</v>
      </c>
      <c r="D1458" s="1">
        <v>4.1910999999999996</v>
      </c>
    </row>
    <row r="1459" spans="1:4" x14ac:dyDescent="0.2">
      <c r="A1459" s="5">
        <v>38534</v>
      </c>
      <c r="B1459" s="1">
        <v>4.0488999999999997</v>
      </c>
      <c r="C1459" s="1">
        <v>0.93</v>
      </c>
      <c r="D1459" s="1">
        <v>4.2942</v>
      </c>
    </row>
    <row r="1460" spans="1:4" x14ac:dyDescent="0.2">
      <c r="A1460" s="5">
        <v>38537</v>
      </c>
      <c r="B1460" s="1">
        <v>4.0373000000000001</v>
      </c>
      <c r="C1460" s="1">
        <v>0.93</v>
      </c>
      <c r="D1460" s="1">
        <v>4.2995999999999999</v>
      </c>
    </row>
    <row r="1461" spans="1:4" x14ac:dyDescent="0.2">
      <c r="A1461" s="5">
        <v>38538</v>
      </c>
      <c r="B1461" s="1">
        <v>4.1050000000000004</v>
      </c>
      <c r="C1461" s="1">
        <v>0.92</v>
      </c>
      <c r="D1461" s="1">
        <v>4.3616999999999999</v>
      </c>
    </row>
    <row r="1462" spans="1:4" x14ac:dyDescent="0.2">
      <c r="A1462" s="5">
        <v>38539</v>
      </c>
      <c r="B1462" s="1">
        <v>4.0682</v>
      </c>
      <c r="C1462" s="1">
        <v>0.92</v>
      </c>
      <c r="D1462" s="1">
        <v>4.3269000000000002</v>
      </c>
    </row>
    <row r="1463" spans="1:4" x14ac:dyDescent="0.2">
      <c r="A1463" s="5">
        <v>38540</v>
      </c>
      <c r="B1463" s="1">
        <v>4.0605000000000002</v>
      </c>
      <c r="C1463" s="1">
        <v>0.93</v>
      </c>
      <c r="D1463" s="1">
        <v>4.3186</v>
      </c>
    </row>
    <row r="1464" spans="1:4" x14ac:dyDescent="0.2">
      <c r="A1464" s="5">
        <v>38541</v>
      </c>
      <c r="B1464" s="1">
        <v>4.0914000000000001</v>
      </c>
      <c r="C1464" s="1">
        <v>0.92</v>
      </c>
      <c r="D1464" s="1">
        <v>4.3413000000000004</v>
      </c>
    </row>
    <row r="1465" spans="1:4" x14ac:dyDescent="0.2">
      <c r="A1465" s="5">
        <v>38544</v>
      </c>
      <c r="B1465" s="1">
        <v>4.0933000000000002</v>
      </c>
      <c r="C1465" s="1">
        <v>0.91</v>
      </c>
      <c r="D1465" s="1">
        <v>4.3394000000000004</v>
      </c>
    </row>
    <row r="1466" spans="1:4" x14ac:dyDescent="0.2">
      <c r="A1466" s="5">
        <v>38545</v>
      </c>
      <c r="B1466" s="1">
        <v>4.1420000000000003</v>
      </c>
      <c r="C1466" s="1">
        <v>0.9</v>
      </c>
      <c r="D1466" s="1">
        <v>4.3853999999999997</v>
      </c>
    </row>
    <row r="1467" spans="1:4" x14ac:dyDescent="0.2">
      <c r="A1467" s="5">
        <v>38546</v>
      </c>
      <c r="B1467" s="1">
        <v>4.1555999999999997</v>
      </c>
      <c r="C1467" s="1">
        <v>0.9</v>
      </c>
      <c r="D1467" s="1">
        <v>4.3947000000000003</v>
      </c>
    </row>
    <row r="1468" spans="1:4" x14ac:dyDescent="0.2">
      <c r="A1468" s="5">
        <v>38547</v>
      </c>
      <c r="B1468" s="1">
        <v>4.1731999999999996</v>
      </c>
      <c r="C1468" s="1">
        <v>0.88</v>
      </c>
      <c r="D1468" s="1">
        <v>4.4141000000000004</v>
      </c>
    </row>
    <row r="1469" spans="1:4" x14ac:dyDescent="0.2">
      <c r="A1469" s="5">
        <v>38548</v>
      </c>
      <c r="B1469" s="1">
        <v>4.1635</v>
      </c>
      <c r="C1469" s="1">
        <v>0.89</v>
      </c>
      <c r="D1469" s="1">
        <v>4.3963000000000001</v>
      </c>
    </row>
    <row r="1470" spans="1:4" x14ac:dyDescent="0.2">
      <c r="A1470" s="5">
        <v>38551</v>
      </c>
      <c r="B1470" s="1">
        <v>4.2203999999999997</v>
      </c>
      <c r="C1470" s="1">
        <v>0.88</v>
      </c>
      <c r="D1470" s="1">
        <v>4.4645000000000001</v>
      </c>
    </row>
    <row r="1471" spans="1:4" x14ac:dyDescent="0.2">
      <c r="A1471" s="5">
        <v>38552</v>
      </c>
      <c r="B1471" s="1">
        <v>4.1791999999999998</v>
      </c>
      <c r="C1471" s="1">
        <v>0.88</v>
      </c>
      <c r="D1471" s="1">
        <v>4.4231999999999996</v>
      </c>
    </row>
    <row r="1472" spans="1:4" x14ac:dyDescent="0.2">
      <c r="A1472" s="5">
        <v>38553</v>
      </c>
      <c r="B1472" s="1">
        <v>4.1576000000000004</v>
      </c>
      <c r="C1472" s="1">
        <v>0.88</v>
      </c>
      <c r="D1472" s="1">
        <v>4.3933999999999997</v>
      </c>
    </row>
    <row r="1473" spans="1:4" x14ac:dyDescent="0.2">
      <c r="A1473" s="5">
        <v>38554</v>
      </c>
      <c r="B1473" s="1">
        <v>4.2756999999999996</v>
      </c>
      <c r="C1473" s="1">
        <v>0.88</v>
      </c>
      <c r="D1473" s="1">
        <v>4.5003000000000002</v>
      </c>
    </row>
    <row r="1474" spans="1:4" x14ac:dyDescent="0.2">
      <c r="A1474" s="5">
        <v>38555</v>
      </c>
      <c r="B1474" s="1">
        <v>4.2184999999999997</v>
      </c>
      <c r="C1474" s="1">
        <v>0.87</v>
      </c>
      <c r="D1474" s="1">
        <v>4.4398999999999997</v>
      </c>
    </row>
    <row r="1475" spans="1:4" x14ac:dyDescent="0.2">
      <c r="A1475" s="5">
        <v>38558</v>
      </c>
      <c r="B1475" s="1">
        <v>4.2442000000000002</v>
      </c>
      <c r="C1475" s="1">
        <v>0.87</v>
      </c>
      <c r="D1475" s="1">
        <v>4.4661</v>
      </c>
    </row>
    <row r="1476" spans="1:4" x14ac:dyDescent="0.2">
      <c r="A1476" s="5">
        <v>38559</v>
      </c>
      <c r="B1476" s="1">
        <v>4.2244999999999999</v>
      </c>
      <c r="C1476" s="1">
        <v>0.86</v>
      </c>
      <c r="D1476" s="1">
        <v>4.4473000000000003</v>
      </c>
    </row>
    <row r="1477" spans="1:4" x14ac:dyDescent="0.2">
      <c r="A1477" s="5">
        <v>38560</v>
      </c>
      <c r="B1477" s="1">
        <v>4.2541000000000002</v>
      </c>
      <c r="C1477" s="1">
        <v>0.86</v>
      </c>
      <c r="D1477" s="1">
        <v>4.4688999999999997</v>
      </c>
    </row>
    <row r="1478" spans="1:4" x14ac:dyDescent="0.2">
      <c r="A1478" s="5">
        <v>38561</v>
      </c>
      <c r="B1478" s="1">
        <v>4.1890999999999998</v>
      </c>
      <c r="C1478" s="1">
        <v>0.85</v>
      </c>
      <c r="D1478" s="1">
        <v>4.3977000000000004</v>
      </c>
    </row>
    <row r="1479" spans="1:4" x14ac:dyDescent="0.2">
      <c r="A1479" s="5">
        <v>38562</v>
      </c>
      <c r="B1479" s="1">
        <v>4.2759999999999998</v>
      </c>
      <c r="C1479" s="1">
        <v>0.85</v>
      </c>
      <c r="D1479" s="1">
        <v>4.4706000000000001</v>
      </c>
    </row>
    <row r="1480" spans="1:4" x14ac:dyDescent="0.2">
      <c r="A1480" s="5">
        <v>38565</v>
      </c>
      <c r="B1480" s="1">
        <v>4.3098999999999998</v>
      </c>
      <c r="C1480" s="1">
        <v>0.85</v>
      </c>
      <c r="D1480" s="1">
        <v>4.5084</v>
      </c>
    </row>
    <row r="1481" spans="1:4" x14ac:dyDescent="0.2">
      <c r="A1481" s="5">
        <v>38566</v>
      </c>
      <c r="B1481" s="1">
        <v>4.3338000000000001</v>
      </c>
      <c r="C1481" s="1">
        <v>0.85</v>
      </c>
      <c r="D1481" s="1">
        <v>4.5437000000000003</v>
      </c>
    </row>
    <row r="1482" spans="1:4" x14ac:dyDescent="0.2">
      <c r="A1482" s="5">
        <v>38567</v>
      </c>
      <c r="B1482" s="1">
        <v>4.2919999999999998</v>
      </c>
      <c r="C1482" s="1">
        <v>0.86</v>
      </c>
      <c r="D1482" s="1">
        <v>4.4997999999999996</v>
      </c>
    </row>
    <row r="1483" spans="1:4" x14ac:dyDescent="0.2">
      <c r="A1483" s="5">
        <v>38568</v>
      </c>
      <c r="B1483" s="1">
        <v>4.3120000000000003</v>
      </c>
      <c r="C1483" s="1">
        <v>0.86</v>
      </c>
      <c r="D1483" s="1">
        <v>4.5206999999999997</v>
      </c>
    </row>
    <row r="1484" spans="1:4" x14ac:dyDescent="0.2">
      <c r="A1484" s="5">
        <v>38569</v>
      </c>
      <c r="B1484" s="1">
        <v>4.3860999999999999</v>
      </c>
      <c r="C1484" s="1">
        <v>0.86</v>
      </c>
      <c r="D1484" s="1">
        <v>4.5819999999999999</v>
      </c>
    </row>
    <row r="1485" spans="1:4" x14ac:dyDescent="0.2">
      <c r="A1485" s="5">
        <v>38572</v>
      </c>
      <c r="B1485" s="1">
        <v>4.4184000000000001</v>
      </c>
      <c r="C1485" s="1">
        <v>0.85</v>
      </c>
      <c r="D1485" s="1">
        <v>4.5994000000000002</v>
      </c>
    </row>
    <row r="1486" spans="1:4" x14ac:dyDescent="0.2">
      <c r="A1486" s="5">
        <v>38573</v>
      </c>
      <c r="B1486" s="1">
        <v>4.3883000000000001</v>
      </c>
      <c r="C1486" s="1">
        <v>0.85</v>
      </c>
      <c r="D1486" s="1">
        <v>4.5723000000000003</v>
      </c>
    </row>
    <row r="1487" spans="1:4" x14ac:dyDescent="0.2">
      <c r="A1487" s="5">
        <v>38574</v>
      </c>
      <c r="B1487" s="1">
        <v>4.3902999999999999</v>
      </c>
      <c r="C1487" s="1">
        <v>0.85</v>
      </c>
      <c r="D1487" s="1">
        <v>4.5770999999999997</v>
      </c>
    </row>
    <row r="1488" spans="1:4" x14ac:dyDescent="0.2">
      <c r="A1488" s="5">
        <v>38575</v>
      </c>
      <c r="B1488" s="1">
        <v>4.3202999999999996</v>
      </c>
      <c r="C1488" s="1">
        <v>0.85</v>
      </c>
      <c r="D1488" s="1">
        <v>4.5137999999999998</v>
      </c>
    </row>
    <row r="1489" spans="1:4" x14ac:dyDescent="0.2">
      <c r="A1489" s="5">
        <v>38576</v>
      </c>
      <c r="B1489" s="1">
        <v>4.2423000000000002</v>
      </c>
      <c r="C1489" s="1">
        <v>0.86</v>
      </c>
      <c r="D1489" s="1">
        <v>4.4484000000000004</v>
      </c>
    </row>
    <row r="1490" spans="1:4" x14ac:dyDescent="0.2">
      <c r="A1490" s="5">
        <v>38579</v>
      </c>
      <c r="B1490" s="1">
        <v>4.2809999999999997</v>
      </c>
      <c r="C1490" s="1">
        <v>0.86</v>
      </c>
      <c r="D1490" s="1">
        <v>4.4804000000000004</v>
      </c>
    </row>
    <row r="1491" spans="1:4" x14ac:dyDescent="0.2">
      <c r="A1491" s="5">
        <v>38580</v>
      </c>
      <c r="B1491" s="1">
        <v>4.2055999999999996</v>
      </c>
      <c r="C1491" s="1">
        <v>0.87</v>
      </c>
      <c r="D1491" s="1">
        <v>4.4183000000000003</v>
      </c>
    </row>
    <row r="1492" spans="1:4" x14ac:dyDescent="0.2">
      <c r="A1492" s="5">
        <v>38581</v>
      </c>
      <c r="B1492" s="1">
        <v>4.2674000000000003</v>
      </c>
      <c r="C1492" s="1">
        <v>0.86</v>
      </c>
      <c r="D1492" s="1">
        <v>4.4755000000000003</v>
      </c>
    </row>
    <row r="1493" spans="1:4" x14ac:dyDescent="0.2">
      <c r="A1493" s="5">
        <v>38582</v>
      </c>
      <c r="B1493" s="1">
        <v>4.1978</v>
      </c>
      <c r="C1493" s="1">
        <v>0.87</v>
      </c>
      <c r="D1493" s="1">
        <v>4.4181999999999997</v>
      </c>
    </row>
    <row r="1494" spans="1:4" x14ac:dyDescent="0.2">
      <c r="A1494" s="5">
        <v>38583</v>
      </c>
      <c r="B1494" s="1">
        <v>4.2054</v>
      </c>
      <c r="C1494" s="1">
        <v>0.86</v>
      </c>
      <c r="D1494" s="1">
        <v>4.4188999999999998</v>
      </c>
    </row>
    <row r="1495" spans="1:4" x14ac:dyDescent="0.2">
      <c r="A1495" s="5">
        <v>38586</v>
      </c>
      <c r="B1495" s="1">
        <v>4.2073</v>
      </c>
      <c r="C1495" s="1">
        <v>0.86</v>
      </c>
      <c r="D1495" s="1">
        <v>4.4272999999999998</v>
      </c>
    </row>
    <row r="1496" spans="1:4" x14ac:dyDescent="0.2">
      <c r="A1496" s="5">
        <v>38587</v>
      </c>
      <c r="B1496" s="1">
        <v>4.1783999999999999</v>
      </c>
      <c r="C1496" s="1">
        <v>0.86</v>
      </c>
      <c r="D1496" s="1">
        <v>4.3982999999999999</v>
      </c>
    </row>
    <row r="1497" spans="1:4" x14ac:dyDescent="0.2">
      <c r="A1497" s="5">
        <v>38588</v>
      </c>
      <c r="B1497" s="1">
        <v>4.1649000000000003</v>
      </c>
      <c r="C1497" s="1">
        <v>0.86</v>
      </c>
      <c r="D1497" s="1">
        <v>4.3888999999999996</v>
      </c>
    </row>
    <row r="1498" spans="1:4" x14ac:dyDescent="0.2">
      <c r="A1498" s="5">
        <v>38589</v>
      </c>
      <c r="B1498" s="1">
        <v>4.1553000000000004</v>
      </c>
      <c r="C1498" s="1">
        <v>0.84</v>
      </c>
      <c r="D1498" s="1">
        <v>4.3647999999999998</v>
      </c>
    </row>
    <row r="1499" spans="1:4" x14ac:dyDescent="0.2">
      <c r="A1499" s="5">
        <v>38590</v>
      </c>
      <c r="B1499" s="1">
        <v>4.1859999999999999</v>
      </c>
      <c r="C1499" s="1">
        <v>0.83</v>
      </c>
      <c r="D1499" s="1">
        <v>4.3719999999999999</v>
      </c>
    </row>
    <row r="1500" spans="1:4" x14ac:dyDescent="0.2">
      <c r="A1500" s="5">
        <v>38593</v>
      </c>
      <c r="B1500" s="1">
        <v>4.1666999999999996</v>
      </c>
      <c r="C1500" s="1">
        <v>0.84</v>
      </c>
      <c r="D1500" s="1">
        <v>4.359</v>
      </c>
    </row>
    <row r="1501" spans="1:4" x14ac:dyDescent="0.2">
      <c r="A1501" s="5">
        <v>38594</v>
      </c>
      <c r="B1501" s="1">
        <v>4.0899000000000001</v>
      </c>
      <c r="C1501" s="1">
        <v>0.85</v>
      </c>
      <c r="D1501" s="1">
        <v>4.3110999999999997</v>
      </c>
    </row>
    <row r="1502" spans="1:4" x14ac:dyDescent="0.2">
      <c r="A1502" s="5">
        <v>38595</v>
      </c>
      <c r="B1502" s="1">
        <v>4.0137</v>
      </c>
      <c r="C1502" s="1">
        <v>0.87</v>
      </c>
      <c r="D1502" s="1">
        <v>4.2537000000000003</v>
      </c>
    </row>
    <row r="1503" spans="1:4" x14ac:dyDescent="0.2">
      <c r="A1503" s="5">
        <v>38596</v>
      </c>
      <c r="B1503" s="1">
        <v>4.0307000000000004</v>
      </c>
      <c r="C1503" s="1">
        <v>0.88</v>
      </c>
      <c r="D1503" s="1">
        <v>4.3101000000000003</v>
      </c>
    </row>
    <row r="1504" spans="1:4" x14ac:dyDescent="0.2">
      <c r="A1504" s="5">
        <v>38597</v>
      </c>
      <c r="B1504" s="1">
        <v>4.0362</v>
      </c>
      <c r="C1504" s="1">
        <v>0.89</v>
      </c>
      <c r="D1504" s="1">
        <v>4.2961</v>
      </c>
    </row>
    <row r="1505" spans="1:4" x14ac:dyDescent="0.2">
      <c r="A1505" s="5">
        <v>38600</v>
      </c>
      <c r="B1505" s="1">
        <v>4.0285000000000002</v>
      </c>
      <c r="C1505" s="1">
        <v>0.89</v>
      </c>
      <c r="D1505" s="1">
        <v>4.2968999999999999</v>
      </c>
    </row>
    <row r="1506" spans="1:4" x14ac:dyDescent="0.2">
      <c r="A1506" s="5">
        <v>38601</v>
      </c>
      <c r="B1506" s="1">
        <v>4.0952999999999999</v>
      </c>
      <c r="C1506" s="1">
        <v>0.89</v>
      </c>
      <c r="D1506" s="1">
        <v>4.3583999999999996</v>
      </c>
    </row>
    <row r="1507" spans="1:4" x14ac:dyDescent="0.2">
      <c r="A1507" s="5">
        <v>38602</v>
      </c>
      <c r="B1507" s="1">
        <v>4.1375000000000002</v>
      </c>
      <c r="C1507" s="1">
        <v>0.89</v>
      </c>
      <c r="D1507" s="1">
        <v>4.4217000000000004</v>
      </c>
    </row>
    <row r="1508" spans="1:4" x14ac:dyDescent="0.2">
      <c r="A1508" s="5">
        <v>38603</v>
      </c>
      <c r="B1508" s="1">
        <v>4.1452</v>
      </c>
      <c r="C1508" s="1">
        <v>0.88</v>
      </c>
      <c r="D1508" s="1">
        <v>4.4318999999999997</v>
      </c>
    </row>
    <row r="1509" spans="1:4" x14ac:dyDescent="0.2">
      <c r="A1509" s="5">
        <v>38604</v>
      </c>
      <c r="B1509" s="1">
        <v>4.1181000000000001</v>
      </c>
      <c r="C1509" s="1">
        <v>0.88</v>
      </c>
      <c r="D1509" s="1">
        <v>4.399</v>
      </c>
    </row>
    <row r="1510" spans="1:4" x14ac:dyDescent="0.2">
      <c r="A1510" s="5">
        <v>38607</v>
      </c>
      <c r="B1510" s="1">
        <v>4.1700999999999997</v>
      </c>
      <c r="C1510" s="1">
        <v>0.88</v>
      </c>
      <c r="D1510" s="1">
        <v>4.4466999999999999</v>
      </c>
    </row>
    <row r="1511" spans="1:4" x14ac:dyDescent="0.2">
      <c r="A1511" s="5">
        <v>38608</v>
      </c>
      <c r="B1511" s="1">
        <v>4.1257999999999999</v>
      </c>
      <c r="C1511" s="1">
        <v>0.87</v>
      </c>
      <c r="D1511" s="1">
        <v>4.4147999999999996</v>
      </c>
    </row>
    <row r="1512" spans="1:4" x14ac:dyDescent="0.2">
      <c r="A1512" s="5">
        <v>38609</v>
      </c>
      <c r="B1512" s="1">
        <v>4.1642999999999999</v>
      </c>
      <c r="C1512" s="1">
        <v>0.87</v>
      </c>
      <c r="D1512" s="1">
        <v>4.4485000000000001</v>
      </c>
    </row>
    <row r="1513" spans="1:4" x14ac:dyDescent="0.2">
      <c r="A1513" s="5">
        <v>38610</v>
      </c>
      <c r="B1513" s="1">
        <v>4.2107000000000001</v>
      </c>
      <c r="C1513" s="1">
        <v>0.89</v>
      </c>
      <c r="D1513" s="1">
        <v>4.5148000000000001</v>
      </c>
    </row>
    <row r="1514" spans="1:4" x14ac:dyDescent="0.2">
      <c r="A1514" s="5">
        <v>38611</v>
      </c>
      <c r="B1514" s="1">
        <v>4.2709999999999999</v>
      </c>
      <c r="C1514" s="1">
        <v>0.88</v>
      </c>
      <c r="D1514" s="1">
        <v>4.5646000000000004</v>
      </c>
    </row>
    <row r="1515" spans="1:4" x14ac:dyDescent="0.2">
      <c r="A1515" s="5">
        <v>38614</v>
      </c>
      <c r="B1515" s="1">
        <v>4.2457000000000003</v>
      </c>
      <c r="C1515" s="1">
        <v>0.89</v>
      </c>
      <c r="D1515" s="1">
        <v>4.5461999999999998</v>
      </c>
    </row>
    <row r="1516" spans="1:4" x14ac:dyDescent="0.2">
      <c r="A1516" s="5">
        <v>38615</v>
      </c>
      <c r="B1516" s="1">
        <v>4.2417999999999996</v>
      </c>
      <c r="C1516" s="1">
        <v>0.89</v>
      </c>
      <c r="D1516" s="1">
        <v>4.5240999999999998</v>
      </c>
    </row>
    <row r="1517" spans="1:4" x14ac:dyDescent="0.2">
      <c r="A1517" s="5">
        <v>38616</v>
      </c>
      <c r="B1517" s="1">
        <v>4.1660000000000004</v>
      </c>
      <c r="C1517" s="1">
        <v>0.88</v>
      </c>
      <c r="D1517" s="1">
        <v>4.4565999999999999</v>
      </c>
    </row>
    <row r="1518" spans="1:4" x14ac:dyDescent="0.2">
      <c r="A1518" s="5">
        <v>38617</v>
      </c>
      <c r="B1518" s="1">
        <v>4.1795</v>
      </c>
      <c r="C1518" s="1">
        <v>0.89</v>
      </c>
      <c r="D1518" s="1">
        <v>4.4622000000000002</v>
      </c>
    </row>
    <row r="1519" spans="1:4" x14ac:dyDescent="0.2">
      <c r="A1519" s="5">
        <v>38618</v>
      </c>
      <c r="B1519" s="1">
        <v>4.2455999999999996</v>
      </c>
      <c r="C1519" s="1">
        <v>0.88</v>
      </c>
      <c r="D1519" s="1">
        <v>4.5190999999999999</v>
      </c>
    </row>
    <row r="1520" spans="1:4" x14ac:dyDescent="0.2">
      <c r="A1520" s="5">
        <v>38621</v>
      </c>
      <c r="B1520" s="1">
        <v>4.2906000000000004</v>
      </c>
      <c r="C1520" s="1">
        <v>0.88</v>
      </c>
      <c r="D1520" s="1">
        <v>4.5593000000000004</v>
      </c>
    </row>
    <row r="1521" spans="1:4" x14ac:dyDescent="0.2">
      <c r="A1521" s="5">
        <v>38622</v>
      </c>
      <c r="B1521" s="1">
        <v>4.2808000000000002</v>
      </c>
      <c r="C1521" s="1">
        <v>0.88</v>
      </c>
      <c r="D1521" s="1">
        <v>4.5381</v>
      </c>
    </row>
    <row r="1522" spans="1:4" x14ac:dyDescent="0.2">
      <c r="A1522" s="5">
        <v>38623</v>
      </c>
      <c r="B1522" s="1">
        <v>4.2534000000000001</v>
      </c>
      <c r="C1522" s="1">
        <v>0.88</v>
      </c>
      <c r="D1522" s="1">
        <v>4.5026999999999999</v>
      </c>
    </row>
    <row r="1523" spans="1:4" x14ac:dyDescent="0.2">
      <c r="A1523" s="5">
        <v>38624</v>
      </c>
      <c r="B1523" s="1">
        <v>4.2945000000000002</v>
      </c>
      <c r="C1523" s="1">
        <v>0.87</v>
      </c>
      <c r="D1523" s="1">
        <v>4.5448000000000004</v>
      </c>
    </row>
    <row r="1524" spans="1:4" x14ac:dyDescent="0.2">
      <c r="A1524" s="5">
        <v>38625</v>
      </c>
      <c r="B1524" s="1">
        <v>4.3239999999999998</v>
      </c>
      <c r="C1524" s="1">
        <v>0.88</v>
      </c>
      <c r="D1524" s="1">
        <v>4.5667999999999997</v>
      </c>
    </row>
    <row r="1525" spans="1:4" x14ac:dyDescent="0.2">
      <c r="A1525" s="5">
        <v>38628</v>
      </c>
      <c r="B1525" s="1">
        <v>4.3833000000000002</v>
      </c>
      <c r="C1525" s="1">
        <v>0.88</v>
      </c>
      <c r="D1525" s="1">
        <v>4.6211000000000002</v>
      </c>
    </row>
    <row r="1526" spans="1:4" x14ac:dyDescent="0.2">
      <c r="A1526" s="5">
        <v>38629</v>
      </c>
      <c r="B1526" s="1">
        <v>4.3673999999999999</v>
      </c>
      <c r="C1526" s="1">
        <v>0.88</v>
      </c>
      <c r="D1526" s="1">
        <v>4.6006</v>
      </c>
    </row>
    <row r="1527" spans="1:4" x14ac:dyDescent="0.2">
      <c r="A1527" s="5">
        <v>38630</v>
      </c>
      <c r="B1527" s="1">
        <v>4.3398000000000003</v>
      </c>
      <c r="C1527" s="1">
        <v>0.88</v>
      </c>
      <c r="D1527" s="1">
        <v>4.5647000000000002</v>
      </c>
    </row>
    <row r="1528" spans="1:4" x14ac:dyDescent="0.2">
      <c r="A1528" s="5">
        <v>38631</v>
      </c>
      <c r="B1528" s="1">
        <v>4.3872999999999998</v>
      </c>
      <c r="C1528" s="1">
        <v>0.88</v>
      </c>
      <c r="D1528" s="1">
        <v>4.6121999999999996</v>
      </c>
    </row>
    <row r="1529" spans="1:4" x14ac:dyDescent="0.2">
      <c r="A1529" s="5">
        <v>38632</v>
      </c>
      <c r="B1529" s="1">
        <v>4.3540000000000001</v>
      </c>
      <c r="C1529" s="1">
        <v>0.89</v>
      </c>
      <c r="D1529" s="1">
        <v>4.5644999999999998</v>
      </c>
    </row>
    <row r="1530" spans="1:4" x14ac:dyDescent="0.2">
      <c r="A1530" s="5">
        <v>38635</v>
      </c>
      <c r="B1530" s="1">
        <v>4.3556999999999997</v>
      </c>
      <c r="C1530" s="1">
        <v>0.89</v>
      </c>
      <c r="D1530" s="1">
        <v>4.5673000000000004</v>
      </c>
    </row>
    <row r="1531" spans="1:4" x14ac:dyDescent="0.2">
      <c r="A1531" s="5">
        <v>38636</v>
      </c>
      <c r="B1531" s="1">
        <v>4.3914</v>
      </c>
      <c r="C1531" s="1">
        <v>0.89</v>
      </c>
      <c r="D1531" s="1">
        <v>4.5972999999999997</v>
      </c>
    </row>
    <row r="1532" spans="1:4" x14ac:dyDescent="0.2">
      <c r="A1532" s="5">
        <v>38637</v>
      </c>
      <c r="B1532" s="1">
        <v>4.4391999999999996</v>
      </c>
      <c r="C1532" s="1">
        <v>0.9</v>
      </c>
      <c r="D1532" s="1">
        <v>4.6599000000000004</v>
      </c>
    </row>
    <row r="1533" spans="1:4" x14ac:dyDescent="0.2">
      <c r="A1533" s="5">
        <v>38638</v>
      </c>
      <c r="B1533" s="1">
        <v>4.4611999999999998</v>
      </c>
      <c r="C1533" s="1">
        <v>0.92</v>
      </c>
      <c r="D1533" s="1">
        <v>4.6914999999999996</v>
      </c>
    </row>
    <row r="1534" spans="1:4" x14ac:dyDescent="0.2">
      <c r="A1534" s="5">
        <v>38639</v>
      </c>
      <c r="B1534" s="1">
        <v>4.4793000000000003</v>
      </c>
      <c r="C1534" s="1">
        <v>0.93</v>
      </c>
      <c r="D1534" s="1">
        <v>4.7023000000000001</v>
      </c>
    </row>
    <row r="1535" spans="1:4" x14ac:dyDescent="0.2">
      <c r="A1535" s="5">
        <v>38642</v>
      </c>
      <c r="B1535" s="1">
        <v>4.4934000000000003</v>
      </c>
      <c r="C1535" s="1">
        <v>0.92</v>
      </c>
      <c r="D1535" s="1">
        <v>4.7141999999999999</v>
      </c>
    </row>
    <row r="1536" spans="1:4" x14ac:dyDescent="0.2">
      <c r="A1536" s="5">
        <v>38643</v>
      </c>
      <c r="B1536" s="1">
        <v>4.4694000000000003</v>
      </c>
      <c r="C1536" s="1">
        <v>0.91</v>
      </c>
      <c r="D1536" s="1">
        <v>4.6932999999999998</v>
      </c>
    </row>
    <row r="1537" spans="1:4" x14ac:dyDescent="0.2">
      <c r="A1537" s="5">
        <v>38644</v>
      </c>
      <c r="B1537" s="1">
        <v>4.4593999999999996</v>
      </c>
      <c r="C1537" s="1">
        <v>0.91</v>
      </c>
      <c r="D1537" s="1">
        <v>4.6893000000000002</v>
      </c>
    </row>
    <row r="1538" spans="1:4" x14ac:dyDescent="0.2">
      <c r="A1538" s="5">
        <v>38645</v>
      </c>
      <c r="B1538" s="1">
        <v>4.4295</v>
      </c>
      <c r="C1538" s="1">
        <v>0.9</v>
      </c>
      <c r="D1538" s="1">
        <v>4.6616</v>
      </c>
    </row>
    <row r="1539" spans="1:4" x14ac:dyDescent="0.2">
      <c r="A1539" s="5">
        <v>38646</v>
      </c>
      <c r="B1539" s="1">
        <v>4.3837000000000002</v>
      </c>
      <c r="C1539" s="1">
        <v>0.9</v>
      </c>
      <c r="D1539" s="1">
        <v>4.6017000000000001</v>
      </c>
    </row>
    <row r="1540" spans="1:4" x14ac:dyDescent="0.2">
      <c r="A1540" s="5">
        <v>38649</v>
      </c>
      <c r="B1540" s="1">
        <v>4.4436</v>
      </c>
      <c r="C1540" s="1">
        <v>0.9</v>
      </c>
      <c r="D1540" s="1">
        <v>4.6614000000000004</v>
      </c>
    </row>
    <row r="1541" spans="1:4" x14ac:dyDescent="0.2">
      <c r="A1541" s="5">
        <v>38650</v>
      </c>
      <c r="B1541" s="1">
        <v>4.5340999999999996</v>
      </c>
      <c r="C1541" s="1">
        <v>0.9</v>
      </c>
      <c r="D1541" s="1">
        <v>4.7348999999999997</v>
      </c>
    </row>
    <row r="1542" spans="1:4" x14ac:dyDescent="0.2">
      <c r="A1542" s="5">
        <v>38651</v>
      </c>
      <c r="B1542" s="1">
        <v>4.5827</v>
      </c>
      <c r="C1542" s="1">
        <v>0.91</v>
      </c>
      <c r="D1542" s="1">
        <v>4.7931999999999997</v>
      </c>
    </row>
    <row r="1543" spans="1:4" x14ac:dyDescent="0.2">
      <c r="A1543" s="5">
        <v>38652</v>
      </c>
      <c r="B1543" s="1">
        <v>4.5462999999999996</v>
      </c>
      <c r="C1543" s="1">
        <v>0.91</v>
      </c>
      <c r="D1543" s="1">
        <v>4.7659000000000002</v>
      </c>
    </row>
    <row r="1544" spans="1:4" x14ac:dyDescent="0.2">
      <c r="A1544" s="5">
        <v>38653</v>
      </c>
      <c r="B1544" s="1">
        <v>4.5648</v>
      </c>
      <c r="C1544" s="1">
        <v>0.92</v>
      </c>
      <c r="D1544" s="1">
        <v>4.7718999999999996</v>
      </c>
    </row>
    <row r="1545" spans="1:4" x14ac:dyDescent="0.2">
      <c r="A1545" s="5">
        <v>38656</v>
      </c>
      <c r="B1545" s="1">
        <v>4.5506000000000002</v>
      </c>
      <c r="C1545" s="1">
        <v>0.93</v>
      </c>
      <c r="D1545" s="1">
        <v>4.7537000000000003</v>
      </c>
    </row>
    <row r="1546" spans="1:4" x14ac:dyDescent="0.2">
      <c r="A1546" s="5">
        <v>38657</v>
      </c>
      <c r="B1546" s="1">
        <v>4.5629</v>
      </c>
      <c r="C1546" s="1">
        <v>0.93</v>
      </c>
      <c r="D1546" s="1">
        <v>4.7587000000000002</v>
      </c>
    </row>
    <row r="1547" spans="1:4" x14ac:dyDescent="0.2">
      <c r="A1547" s="5">
        <v>38658</v>
      </c>
      <c r="B1547" s="1">
        <v>4.6036000000000001</v>
      </c>
      <c r="C1547" s="1">
        <v>0.93</v>
      </c>
      <c r="D1547" s="1">
        <v>4.7991000000000001</v>
      </c>
    </row>
    <row r="1548" spans="1:4" x14ac:dyDescent="0.2">
      <c r="A1548" s="5">
        <v>38659</v>
      </c>
      <c r="B1548" s="1">
        <v>4.6464999999999996</v>
      </c>
      <c r="C1548" s="1">
        <v>0.92</v>
      </c>
      <c r="D1548" s="1">
        <v>4.8437999999999999</v>
      </c>
    </row>
    <row r="1549" spans="1:4" x14ac:dyDescent="0.2">
      <c r="A1549" s="5">
        <v>38660</v>
      </c>
      <c r="B1549" s="1">
        <v>4.6589999999999998</v>
      </c>
      <c r="C1549" s="1">
        <v>0.92</v>
      </c>
      <c r="D1549" s="1">
        <v>4.8571</v>
      </c>
    </row>
    <row r="1550" spans="1:4" x14ac:dyDescent="0.2">
      <c r="A1550" s="5">
        <v>38663</v>
      </c>
      <c r="B1550" s="1">
        <v>4.6223000000000001</v>
      </c>
      <c r="C1550" s="1">
        <v>0.92</v>
      </c>
      <c r="D1550" s="1">
        <v>4.8151999999999999</v>
      </c>
    </row>
    <row r="1551" spans="1:4" x14ac:dyDescent="0.2">
      <c r="A1551" s="5">
        <v>38664</v>
      </c>
      <c r="B1551" s="1">
        <v>4.5511999999999997</v>
      </c>
      <c r="C1551" s="1">
        <v>0.93</v>
      </c>
      <c r="D1551" s="1">
        <v>4.7584999999999997</v>
      </c>
    </row>
    <row r="1552" spans="1:4" x14ac:dyDescent="0.2">
      <c r="A1552" s="5">
        <v>38665</v>
      </c>
      <c r="B1552" s="1">
        <v>4.6387999999999998</v>
      </c>
      <c r="C1552" s="1">
        <v>0.93</v>
      </c>
      <c r="D1552" s="1">
        <v>4.8375000000000004</v>
      </c>
    </row>
    <row r="1553" spans="1:4" x14ac:dyDescent="0.2">
      <c r="A1553" s="5">
        <v>38666</v>
      </c>
      <c r="B1553" s="1">
        <v>4.5534999999999997</v>
      </c>
      <c r="C1553" s="1">
        <v>0.93</v>
      </c>
      <c r="D1553" s="1">
        <v>4.7371999999999996</v>
      </c>
    </row>
    <row r="1554" spans="1:4" x14ac:dyDescent="0.2">
      <c r="A1554" s="5">
        <v>38667</v>
      </c>
      <c r="B1554" s="1">
        <v>4.5332999999999997</v>
      </c>
      <c r="C1554" s="1">
        <v>0.93</v>
      </c>
      <c r="D1554" s="1">
        <v>4.7412000000000001</v>
      </c>
    </row>
    <row r="1555" spans="1:4" x14ac:dyDescent="0.2">
      <c r="A1555" s="5">
        <v>38670</v>
      </c>
      <c r="B1555" s="1">
        <v>4.6043000000000003</v>
      </c>
      <c r="C1555" s="1">
        <v>0.93</v>
      </c>
      <c r="D1555" s="1">
        <v>4.7956000000000003</v>
      </c>
    </row>
    <row r="1556" spans="1:4" x14ac:dyDescent="0.2">
      <c r="A1556" s="5">
        <v>38671</v>
      </c>
      <c r="B1556" s="1">
        <v>4.5568999999999997</v>
      </c>
      <c r="C1556" s="1">
        <v>0.94</v>
      </c>
      <c r="D1556" s="1">
        <v>4.7481999999999998</v>
      </c>
    </row>
    <row r="1557" spans="1:4" x14ac:dyDescent="0.2">
      <c r="A1557" s="5">
        <v>38672</v>
      </c>
      <c r="B1557" s="1">
        <v>4.4706000000000001</v>
      </c>
      <c r="C1557" s="1">
        <v>0.95</v>
      </c>
      <c r="D1557" s="1">
        <v>4.6635</v>
      </c>
    </row>
    <row r="1558" spans="1:4" x14ac:dyDescent="0.2">
      <c r="A1558" s="5">
        <v>38673</v>
      </c>
      <c r="B1558" s="1">
        <v>4.4569000000000001</v>
      </c>
      <c r="C1558" s="1">
        <v>0.96</v>
      </c>
      <c r="D1558" s="1">
        <v>4.6486999999999998</v>
      </c>
    </row>
    <row r="1559" spans="1:4" x14ac:dyDescent="0.2">
      <c r="A1559" s="5">
        <v>38674</v>
      </c>
      <c r="B1559" s="1">
        <v>4.4881000000000002</v>
      </c>
      <c r="C1559" s="1">
        <v>0.96</v>
      </c>
      <c r="D1559" s="1">
        <v>4.6830999999999996</v>
      </c>
    </row>
    <row r="1560" spans="1:4" x14ac:dyDescent="0.2">
      <c r="A1560" s="5">
        <v>38677</v>
      </c>
      <c r="B1560" s="1">
        <v>4.4588000000000001</v>
      </c>
      <c r="C1560" s="1">
        <v>0.96</v>
      </c>
      <c r="D1560" s="1">
        <v>4.6593999999999998</v>
      </c>
    </row>
    <row r="1561" spans="1:4" x14ac:dyDescent="0.2">
      <c r="A1561" s="5">
        <v>38678</v>
      </c>
      <c r="B1561" s="1">
        <v>4.4256000000000002</v>
      </c>
      <c r="C1561" s="1">
        <v>0.97</v>
      </c>
      <c r="D1561" s="1">
        <v>4.6543999999999999</v>
      </c>
    </row>
    <row r="1562" spans="1:4" x14ac:dyDescent="0.2">
      <c r="A1562" s="5">
        <v>38679</v>
      </c>
      <c r="B1562" s="1">
        <v>4.47</v>
      </c>
      <c r="C1562" s="1">
        <v>0.96</v>
      </c>
      <c r="D1562" s="1">
        <v>4.7008999999999999</v>
      </c>
    </row>
    <row r="1563" spans="1:4" x14ac:dyDescent="0.2">
      <c r="A1563" s="5">
        <v>38680</v>
      </c>
      <c r="B1563" s="1">
        <v>4.47</v>
      </c>
      <c r="C1563" s="1">
        <v>0.96</v>
      </c>
      <c r="D1563" s="1">
        <v>4.6997999999999998</v>
      </c>
    </row>
    <row r="1564" spans="1:4" x14ac:dyDescent="0.2">
      <c r="A1564" s="5">
        <v>38681</v>
      </c>
      <c r="B1564" s="1">
        <v>4.4273999999999996</v>
      </c>
      <c r="C1564" s="1">
        <v>0.96</v>
      </c>
      <c r="D1564" s="1">
        <v>4.6581000000000001</v>
      </c>
    </row>
    <row r="1565" spans="1:4" x14ac:dyDescent="0.2">
      <c r="A1565" s="5">
        <v>38684</v>
      </c>
      <c r="B1565" s="1">
        <v>4.4039999999999999</v>
      </c>
      <c r="C1565" s="1">
        <v>0.96</v>
      </c>
      <c r="D1565" s="1">
        <v>4.6188000000000002</v>
      </c>
    </row>
    <row r="1566" spans="1:4" x14ac:dyDescent="0.2">
      <c r="A1566" s="5">
        <v>38685</v>
      </c>
      <c r="B1566" s="1">
        <v>4.4743000000000004</v>
      </c>
      <c r="C1566" s="1">
        <v>0.95</v>
      </c>
      <c r="D1566" s="1">
        <v>4.6908000000000003</v>
      </c>
    </row>
    <row r="1567" spans="1:4" x14ac:dyDescent="0.2">
      <c r="A1567" s="5">
        <v>38686</v>
      </c>
      <c r="B1567" s="1">
        <v>4.484</v>
      </c>
      <c r="C1567" s="1">
        <v>0.95</v>
      </c>
      <c r="D1567" s="1">
        <v>4.6927000000000003</v>
      </c>
    </row>
    <row r="1568" spans="1:4" x14ac:dyDescent="0.2">
      <c r="A1568" s="5">
        <v>38687</v>
      </c>
      <c r="B1568" s="1">
        <v>4.5134999999999996</v>
      </c>
      <c r="C1568" s="1">
        <v>0.96</v>
      </c>
      <c r="D1568" s="1">
        <v>4.7145999999999999</v>
      </c>
    </row>
    <row r="1569" spans="1:4" x14ac:dyDescent="0.2">
      <c r="A1569" s="5">
        <v>38688</v>
      </c>
      <c r="B1569" s="1">
        <v>4.5114999999999998</v>
      </c>
      <c r="C1569" s="1">
        <v>0.96</v>
      </c>
      <c r="D1569" s="1">
        <v>4.7134999999999998</v>
      </c>
    </row>
    <row r="1570" spans="1:4" x14ac:dyDescent="0.2">
      <c r="A1570" s="5">
        <v>38691</v>
      </c>
      <c r="B1570" s="1">
        <v>4.5686999999999998</v>
      </c>
      <c r="C1570" s="1">
        <v>0.97</v>
      </c>
      <c r="D1570" s="1">
        <v>4.7606000000000002</v>
      </c>
    </row>
    <row r="1571" spans="1:4" x14ac:dyDescent="0.2">
      <c r="A1571" s="5">
        <v>38692</v>
      </c>
      <c r="B1571" s="1">
        <v>4.4820000000000002</v>
      </c>
      <c r="C1571" s="1">
        <v>0.98</v>
      </c>
      <c r="D1571" s="1">
        <v>4.6776</v>
      </c>
    </row>
    <row r="1572" spans="1:4" x14ac:dyDescent="0.2">
      <c r="A1572" s="5">
        <v>38693</v>
      </c>
      <c r="B1572" s="1">
        <v>4.5095000000000001</v>
      </c>
      <c r="C1572" s="1">
        <v>0.98</v>
      </c>
      <c r="D1572" s="1">
        <v>4.7134</v>
      </c>
    </row>
    <row r="1573" spans="1:4" x14ac:dyDescent="0.2">
      <c r="A1573" s="5">
        <v>38694</v>
      </c>
      <c r="B1573" s="1">
        <v>4.4622999999999999</v>
      </c>
      <c r="C1573" s="1">
        <v>0.98</v>
      </c>
      <c r="D1573" s="1">
        <v>4.6676000000000002</v>
      </c>
    </row>
    <row r="1574" spans="1:4" x14ac:dyDescent="0.2">
      <c r="A1574" s="5">
        <v>38695</v>
      </c>
      <c r="B1574" s="1">
        <v>4.5232999999999999</v>
      </c>
      <c r="C1574" s="1">
        <v>0.98</v>
      </c>
      <c r="D1574" s="1">
        <v>4.7272999999999996</v>
      </c>
    </row>
    <row r="1575" spans="1:4" x14ac:dyDescent="0.2">
      <c r="A1575" s="5">
        <v>38698</v>
      </c>
      <c r="B1575" s="1">
        <v>4.5469999999999997</v>
      </c>
      <c r="C1575" s="1">
        <v>0.97</v>
      </c>
      <c r="D1575" s="1">
        <v>4.7453000000000003</v>
      </c>
    </row>
    <row r="1576" spans="1:4" x14ac:dyDescent="0.2">
      <c r="A1576" s="5">
        <v>38699</v>
      </c>
      <c r="B1576" s="1">
        <v>4.5193000000000003</v>
      </c>
      <c r="C1576" s="1">
        <v>0.97</v>
      </c>
      <c r="D1576" s="1">
        <v>4.7241999999999997</v>
      </c>
    </row>
    <row r="1577" spans="1:4" x14ac:dyDescent="0.2">
      <c r="A1577" s="5">
        <v>38700</v>
      </c>
      <c r="B1577" s="1">
        <v>4.4562999999999997</v>
      </c>
      <c r="C1577" s="1">
        <v>0.97</v>
      </c>
      <c r="D1577" s="1">
        <v>4.6615000000000002</v>
      </c>
    </row>
    <row r="1578" spans="1:4" x14ac:dyDescent="0.2">
      <c r="A1578" s="5">
        <v>38701</v>
      </c>
      <c r="B1578" s="1">
        <v>4.4602000000000004</v>
      </c>
      <c r="C1578" s="1">
        <v>0.98</v>
      </c>
      <c r="D1578" s="1">
        <v>4.6722999999999999</v>
      </c>
    </row>
    <row r="1579" spans="1:4" x14ac:dyDescent="0.2">
      <c r="A1579" s="5">
        <v>38702</v>
      </c>
      <c r="B1579" s="1">
        <v>4.4326999999999996</v>
      </c>
      <c r="C1579" s="1">
        <v>0.98</v>
      </c>
      <c r="D1579" s="1">
        <v>4.6425999999999998</v>
      </c>
    </row>
    <row r="1580" spans="1:4" x14ac:dyDescent="0.2">
      <c r="A1580" s="5">
        <v>38705</v>
      </c>
      <c r="B1580" s="1">
        <v>4.4385000000000003</v>
      </c>
      <c r="C1580" s="1">
        <v>0.98</v>
      </c>
      <c r="D1580" s="1">
        <v>4.6386000000000003</v>
      </c>
    </row>
    <row r="1581" spans="1:4" x14ac:dyDescent="0.2">
      <c r="A1581" s="5">
        <v>38706</v>
      </c>
      <c r="B1581" s="1">
        <v>4.4600999999999997</v>
      </c>
      <c r="C1581" s="1">
        <v>0.9</v>
      </c>
      <c r="D1581" s="1">
        <v>4.6534000000000004</v>
      </c>
    </row>
    <row r="1582" spans="1:4" x14ac:dyDescent="0.2">
      <c r="A1582" s="5">
        <v>38707</v>
      </c>
      <c r="B1582" s="1">
        <v>4.4877000000000002</v>
      </c>
      <c r="C1582" s="1">
        <v>0.89</v>
      </c>
      <c r="D1582" s="1">
        <v>4.6750999999999996</v>
      </c>
    </row>
    <row r="1583" spans="1:4" x14ac:dyDescent="0.2">
      <c r="A1583" s="5">
        <v>38708</v>
      </c>
      <c r="B1583" s="1">
        <v>4.4267000000000003</v>
      </c>
      <c r="C1583" s="1">
        <v>0.89</v>
      </c>
      <c r="D1583" s="1">
        <v>4.6060999999999996</v>
      </c>
    </row>
    <row r="1584" spans="1:4" x14ac:dyDescent="0.2">
      <c r="A1584" s="5">
        <v>38709</v>
      </c>
      <c r="B1584" s="1">
        <v>4.3719999999999999</v>
      </c>
      <c r="C1584" s="1">
        <v>0.89</v>
      </c>
      <c r="D1584" s="1">
        <v>4.5446999999999997</v>
      </c>
    </row>
    <row r="1585" spans="1:4" x14ac:dyDescent="0.2">
      <c r="A1585" s="5">
        <v>38712</v>
      </c>
      <c r="B1585" s="1">
        <v>4.3719999999999999</v>
      </c>
      <c r="C1585" s="1">
        <v>0.89</v>
      </c>
      <c r="D1585" s="1">
        <v>4.5446999999999997</v>
      </c>
    </row>
    <row r="1586" spans="1:4" x14ac:dyDescent="0.2">
      <c r="A1586" s="5">
        <v>38713</v>
      </c>
      <c r="B1586" s="1">
        <v>4.3365999999999998</v>
      </c>
      <c r="C1586" s="1">
        <v>0.89</v>
      </c>
      <c r="D1586" s="1">
        <v>4.5042</v>
      </c>
    </row>
    <row r="1587" spans="1:4" x14ac:dyDescent="0.2">
      <c r="A1587" s="5">
        <v>38714</v>
      </c>
      <c r="B1587" s="1">
        <v>4.3737000000000004</v>
      </c>
      <c r="C1587" s="1">
        <v>0.89</v>
      </c>
      <c r="D1587" s="1">
        <v>4.5311000000000003</v>
      </c>
    </row>
    <row r="1588" spans="1:4" x14ac:dyDescent="0.2">
      <c r="A1588" s="5">
        <v>38715</v>
      </c>
      <c r="B1588" s="1">
        <v>4.3540999999999999</v>
      </c>
      <c r="C1588" s="1">
        <v>0.9</v>
      </c>
      <c r="D1588" s="1">
        <v>4.5128000000000004</v>
      </c>
    </row>
    <row r="1589" spans="1:4" x14ac:dyDescent="0.2">
      <c r="A1589" s="5">
        <v>38716</v>
      </c>
      <c r="B1589" s="1">
        <v>4.3910999999999998</v>
      </c>
      <c r="C1589" s="1">
        <v>0.9</v>
      </c>
      <c r="D1589" s="1">
        <v>4.5347999999999997</v>
      </c>
    </row>
    <row r="1590" spans="1:4" x14ac:dyDescent="0.2">
      <c r="A1590" s="5">
        <v>38719</v>
      </c>
      <c r="B1590" s="1">
        <v>4.3910999999999998</v>
      </c>
      <c r="C1590" s="1">
        <v>0.9</v>
      </c>
      <c r="D1590" s="1">
        <v>4.5347</v>
      </c>
    </row>
    <row r="1591" spans="1:4" x14ac:dyDescent="0.2">
      <c r="A1591" s="5">
        <v>38720</v>
      </c>
      <c r="B1591" s="1">
        <v>4.3636999999999997</v>
      </c>
      <c r="C1591" s="1">
        <v>0.91</v>
      </c>
      <c r="D1591" s="1">
        <v>4.5462999999999996</v>
      </c>
    </row>
    <row r="1592" spans="1:4" x14ac:dyDescent="0.2">
      <c r="A1592" s="5">
        <v>38721</v>
      </c>
      <c r="B1592" s="1">
        <v>4.3422000000000001</v>
      </c>
      <c r="C1592" s="1">
        <v>0.91</v>
      </c>
      <c r="D1592" s="1">
        <v>4.5366</v>
      </c>
    </row>
    <row r="1593" spans="1:4" x14ac:dyDescent="0.2">
      <c r="A1593" s="5">
        <v>38722</v>
      </c>
      <c r="B1593" s="1">
        <v>4.3518999999999997</v>
      </c>
      <c r="C1593" s="1">
        <v>0.9</v>
      </c>
      <c r="D1593" s="1">
        <v>4.5453000000000001</v>
      </c>
    </row>
    <row r="1594" spans="1:4" x14ac:dyDescent="0.2">
      <c r="A1594" s="5">
        <v>38723</v>
      </c>
      <c r="B1594" s="1">
        <v>4.3733000000000004</v>
      </c>
      <c r="C1594" s="1">
        <v>0.91</v>
      </c>
      <c r="D1594" s="1">
        <v>4.5606999999999998</v>
      </c>
    </row>
    <row r="1595" spans="1:4" x14ac:dyDescent="0.2">
      <c r="A1595" s="5">
        <v>38726</v>
      </c>
      <c r="B1595" s="1">
        <v>4.3654000000000002</v>
      </c>
      <c r="C1595" s="1">
        <v>0.91</v>
      </c>
      <c r="D1595" s="1">
        <v>4.5509000000000004</v>
      </c>
    </row>
    <row r="1596" spans="1:4" x14ac:dyDescent="0.2">
      <c r="A1596" s="5">
        <v>38727</v>
      </c>
      <c r="B1596" s="1">
        <v>4.4242999999999997</v>
      </c>
      <c r="C1596" s="1">
        <v>0.9</v>
      </c>
      <c r="D1596" s="1">
        <v>4.6113</v>
      </c>
    </row>
    <row r="1597" spans="1:4" x14ac:dyDescent="0.2">
      <c r="A1597" s="5">
        <v>38728</v>
      </c>
      <c r="B1597" s="1">
        <v>4.4518000000000004</v>
      </c>
      <c r="C1597" s="1">
        <v>0.9</v>
      </c>
      <c r="D1597" s="1">
        <v>4.6318999999999999</v>
      </c>
    </row>
    <row r="1598" spans="1:4" x14ac:dyDescent="0.2">
      <c r="A1598" s="5">
        <v>38729</v>
      </c>
      <c r="B1598" s="1">
        <v>4.4025999999999996</v>
      </c>
      <c r="C1598" s="1">
        <v>0.9</v>
      </c>
      <c r="D1598" s="1">
        <v>4.5838999999999999</v>
      </c>
    </row>
    <row r="1599" spans="1:4" x14ac:dyDescent="0.2">
      <c r="A1599" s="5">
        <v>38730</v>
      </c>
      <c r="B1599" s="1">
        <v>4.3533999999999997</v>
      </c>
      <c r="C1599" s="1">
        <v>0.91</v>
      </c>
      <c r="D1599" s="1">
        <v>4.5284000000000004</v>
      </c>
    </row>
    <row r="1600" spans="1:4" x14ac:dyDescent="0.2">
      <c r="A1600" s="5">
        <v>38733</v>
      </c>
      <c r="B1600" s="1">
        <v>4.3533999999999997</v>
      </c>
      <c r="C1600" s="1">
        <v>0.91</v>
      </c>
      <c r="D1600" s="1">
        <v>4.5284000000000004</v>
      </c>
    </row>
    <row r="1601" spans="1:4" x14ac:dyDescent="0.2">
      <c r="A1601" s="5">
        <v>38734</v>
      </c>
      <c r="B1601" s="1">
        <v>4.3239999999999998</v>
      </c>
      <c r="C1601" s="1">
        <v>0.91</v>
      </c>
      <c r="D1601" s="1">
        <v>4.5023999999999997</v>
      </c>
    </row>
    <row r="1602" spans="1:4" x14ac:dyDescent="0.2">
      <c r="A1602" s="5">
        <v>38735</v>
      </c>
      <c r="B1602" s="1">
        <v>4.3318000000000003</v>
      </c>
      <c r="C1602" s="1">
        <v>0.91</v>
      </c>
      <c r="D1602" s="1">
        <v>4.5110000000000001</v>
      </c>
    </row>
    <row r="1603" spans="1:4" x14ac:dyDescent="0.2">
      <c r="A1603" s="5">
        <v>38736</v>
      </c>
      <c r="B1603" s="1">
        <v>4.3728999999999996</v>
      </c>
      <c r="C1603" s="1">
        <v>0.9</v>
      </c>
      <c r="D1603" s="1">
        <v>4.5467000000000004</v>
      </c>
    </row>
    <row r="1604" spans="1:4" x14ac:dyDescent="0.2">
      <c r="A1604" s="5">
        <v>38737</v>
      </c>
      <c r="B1604" s="1">
        <v>4.3493000000000004</v>
      </c>
      <c r="C1604" s="1">
        <v>0.9</v>
      </c>
      <c r="D1604" s="1">
        <v>4.5213999999999999</v>
      </c>
    </row>
    <row r="1605" spans="1:4" x14ac:dyDescent="0.2">
      <c r="A1605" s="5">
        <v>38740</v>
      </c>
      <c r="B1605" s="1">
        <v>4.3551000000000002</v>
      </c>
      <c r="C1605" s="1">
        <v>0.9</v>
      </c>
      <c r="D1605" s="1">
        <v>4.5301</v>
      </c>
    </row>
    <row r="1606" spans="1:4" x14ac:dyDescent="0.2">
      <c r="A1606" s="5">
        <v>38741</v>
      </c>
      <c r="B1606" s="1">
        <v>4.3903999999999996</v>
      </c>
      <c r="C1606" s="1">
        <v>0.9</v>
      </c>
      <c r="D1606" s="1">
        <v>4.5716999999999999</v>
      </c>
    </row>
    <row r="1607" spans="1:4" x14ac:dyDescent="0.2">
      <c r="A1607" s="5">
        <v>38742</v>
      </c>
      <c r="B1607" s="1">
        <v>4.4753999999999996</v>
      </c>
      <c r="C1607" s="1">
        <v>0.89</v>
      </c>
      <c r="D1607" s="1">
        <v>4.6551999999999998</v>
      </c>
    </row>
    <row r="1608" spans="1:4" x14ac:dyDescent="0.2">
      <c r="A1608" s="5">
        <v>38743</v>
      </c>
      <c r="B1608" s="1">
        <v>4.5171999999999999</v>
      </c>
      <c r="C1608" s="1">
        <v>0.89</v>
      </c>
      <c r="D1608" s="1">
        <v>4.6939000000000002</v>
      </c>
    </row>
    <row r="1609" spans="1:4" x14ac:dyDescent="0.2">
      <c r="A1609" s="5">
        <v>38744</v>
      </c>
      <c r="B1609" s="1">
        <v>4.5091999999999999</v>
      </c>
      <c r="C1609" s="1">
        <v>0.88</v>
      </c>
      <c r="D1609" s="1">
        <v>4.6917999999999997</v>
      </c>
    </row>
    <row r="1610" spans="1:4" x14ac:dyDescent="0.2">
      <c r="A1610" s="5">
        <v>38747</v>
      </c>
      <c r="B1610" s="1">
        <v>4.5251000000000001</v>
      </c>
      <c r="C1610" s="1">
        <v>0.88</v>
      </c>
      <c r="D1610" s="1">
        <v>4.7018000000000004</v>
      </c>
    </row>
    <row r="1611" spans="1:4" x14ac:dyDescent="0.2">
      <c r="A1611" s="5">
        <v>38748</v>
      </c>
      <c r="B1611" s="1">
        <v>4.5152000000000001</v>
      </c>
      <c r="C1611" s="1">
        <v>0.88</v>
      </c>
      <c r="D1611" s="1">
        <v>4.6768000000000001</v>
      </c>
    </row>
    <row r="1612" spans="1:4" x14ac:dyDescent="0.2">
      <c r="A1612" s="5">
        <v>38749</v>
      </c>
      <c r="B1612" s="1">
        <v>4.5551000000000004</v>
      </c>
      <c r="C1612" s="1">
        <v>0.87</v>
      </c>
      <c r="D1612" s="1">
        <v>4.7058</v>
      </c>
    </row>
    <row r="1613" spans="1:4" x14ac:dyDescent="0.2">
      <c r="A1613" s="5">
        <v>38750</v>
      </c>
      <c r="B1613" s="1">
        <v>4.5571000000000002</v>
      </c>
      <c r="C1613" s="1">
        <v>0.87</v>
      </c>
      <c r="D1613" s="1">
        <v>4.6947000000000001</v>
      </c>
    </row>
    <row r="1614" spans="1:4" x14ac:dyDescent="0.2">
      <c r="A1614" s="5">
        <v>38751</v>
      </c>
      <c r="B1614" s="1">
        <v>4.5232000000000001</v>
      </c>
      <c r="C1614" s="1">
        <v>0.87</v>
      </c>
      <c r="D1614" s="1">
        <v>4.6242000000000001</v>
      </c>
    </row>
    <row r="1615" spans="1:4" x14ac:dyDescent="0.2">
      <c r="A1615" s="5">
        <v>38754</v>
      </c>
      <c r="B1615" s="1">
        <v>4.5431999999999997</v>
      </c>
      <c r="C1615" s="1">
        <v>0.87</v>
      </c>
      <c r="D1615" s="1">
        <v>4.6222000000000003</v>
      </c>
    </row>
    <row r="1616" spans="1:4" x14ac:dyDescent="0.2">
      <c r="A1616" s="5">
        <v>38755</v>
      </c>
      <c r="B1616" s="1">
        <v>4.5651999999999999</v>
      </c>
      <c r="C1616" s="1">
        <v>0.88</v>
      </c>
      <c r="D1616" s="1">
        <v>4.6538000000000004</v>
      </c>
    </row>
    <row r="1617" spans="1:4" x14ac:dyDescent="0.2">
      <c r="A1617" s="5">
        <v>38756</v>
      </c>
      <c r="B1617" s="1">
        <v>4.5872999999999999</v>
      </c>
      <c r="C1617" s="1">
        <v>0.88</v>
      </c>
      <c r="D1617" s="1">
        <v>4.6745999999999999</v>
      </c>
    </row>
    <row r="1618" spans="1:4" x14ac:dyDescent="0.2">
      <c r="A1618" s="5">
        <v>38757</v>
      </c>
      <c r="B1618" s="1">
        <v>4.5431999999999997</v>
      </c>
      <c r="C1618" s="1">
        <v>0.87</v>
      </c>
      <c r="D1618" s="1">
        <v>4.6508000000000003</v>
      </c>
    </row>
    <row r="1619" spans="1:4" x14ac:dyDescent="0.2">
      <c r="A1619" s="5">
        <v>38758</v>
      </c>
      <c r="B1619" s="1">
        <v>4.5845000000000002</v>
      </c>
      <c r="C1619" s="1">
        <v>0.87</v>
      </c>
      <c r="D1619" s="1">
        <v>4.5518000000000001</v>
      </c>
    </row>
    <row r="1620" spans="1:4" x14ac:dyDescent="0.2">
      <c r="A1620" s="5">
        <v>38761</v>
      </c>
      <c r="B1620" s="1">
        <v>4.5766</v>
      </c>
      <c r="C1620" s="1">
        <v>0.87</v>
      </c>
      <c r="D1620" s="1">
        <v>4.5556999999999999</v>
      </c>
    </row>
    <row r="1621" spans="1:4" x14ac:dyDescent="0.2">
      <c r="A1621" s="5">
        <v>38762</v>
      </c>
      <c r="B1621" s="1">
        <v>4.6101999999999999</v>
      </c>
      <c r="C1621" s="1">
        <v>0.87</v>
      </c>
      <c r="D1621" s="1">
        <v>4.5887000000000002</v>
      </c>
    </row>
    <row r="1622" spans="1:4" x14ac:dyDescent="0.2">
      <c r="A1622" s="5">
        <v>38763</v>
      </c>
      <c r="B1622" s="1">
        <v>4.5964</v>
      </c>
      <c r="C1622" s="1">
        <v>0.86</v>
      </c>
      <c r="D1622" s="1">
        <v>4.5721999999999996</v>
      </c>
    </row>
    <row r="1623" spans="1:4" x14ac:dyDescent="0.2">
      <c r="A1623" s="5">
        <v>38764</v>
      </c>
      <c r="B1623" s="1">
        <v>4.5824999999999996</v>
      </c>
      <c r="C1623" s="1">
        <v>0.85</v>
      </c>
      <c r="D1623" s="1">
        <v>4.5654000000000003</v>
      </c>
    </row>
    <row r="1624" spans="1:4" x14ac:dyDescent="0.2">
      <c r="A1624" s="5">
        <v>38765</v>
      </c>
      <c r="B1624" s="1">
        <v>4.5372000000000003</v>
      </c>
      <c r="C1624" s="1">
        <v>0.86</v>
      </c>
      <c r="D1624" s="1">
        <v>4.5057</v>
      </c>
    </row>
    <row r="1625" spans="1:4" x14ac:dyDescent="0.2">
      <c r="A1625" s="5">
        <v>38768</v>
      </c>
      <c r="B1625" s="1">
        <v>4.5372000000000003</v>
      </c>
      <c r="C1625" s="1">
        <v>0.86</v>
      </c>
      <c r="D1625" s="1">
        <v>4.5057</v>
      </c>
    </row>
    <row r="1626" spans="1:4" x14ac:dyDescent="0.2">
      <c r="A1626" s="5">
        <v>38769</v>
      </c>
      <c r="B1626" s="1">
        <v>4.5648</v>
      </c>
      <c r="C1626" s="1">
        <v>0.85</v>
      </c>
      <c r="D1626" s="1">
        <v>4.5305999999999997</v>
      </c>
    </row>
    <row r="1627" spans="1:4" x14ac:dyDescent="0.2">
      <c r="A1627" s="5">
        <v>38770</v>
      </c>
      <c r="B1627" s="1">
        <v>4.5214999999999996</v>
      </c>
      <c r="C1627" s="1">
        <v>0.85</v>
      </c>
      <c r="D1627" s="1">
        <v>4.4798999999999998</v>
      </c>
    </row>
    <row r="1628" spans="1:4" x14ac:dyDescent="0.2">
      <c r="A1628" s="5">
        <v>38771</v>
      </c>
      <c r="B1628" s="1">
        <v>4.5548999999999999</v>
      </c>
      <c r="C1628" s="1">
        <v>0.85</v>
      </c>
      <c r="D1628" s="1">
        <v>4.5008999999999997</v>
      </c>
    </row>
    <row r="1629" spans="1:4" x14ac:dyDescent="0.2">
      <c r="A1629" s="5">
        <v>38772</v>
      </c>
      <c r="B1629" s="1">
        <v>4.5727000000000002</v>
      </c>
      <c r="C1629" s="1">
        <v>0.85</v>
      </c>
      <c r="D1629" s="1">
        <v>4.5258000000000003</v>
      </c>
    </row>
    <row r="1630" spans="1:4" x14ac:dyDescent="0.2">
      <c r="A1630" s="5">
        <v>38775</v>
      </c>
      <c r="B1630" s="1">
        <v>4.5904999999999996</v>
      </c>
      <c r="C1630" s="1">
        <v>0.85</v>
      </c>
      <c r="D1630" s="1">
        <v>4.5498000000000003</v>
      </c>
    </row>
    <row r="1631" spans="1:4" x14ac:dyDescent="0.2">
      <c r="A1631" s="5">
        <v>38776</v>
      </c>
      <c r="B1631" s="1">
        <v>4.5510000000000002</v>
      </c>
      <c r="C1631" s="1">
        <v>0.85</v>
      </c>
      <c r="D1631" s="1">
        <v>4.5075000000000003</v>
      </c>
    </row>
    <row r="1632" spans="1:4" x14ac:dyDescent="0.2">
      <c r="A1632" s="5">
        <v>38777</v>
      </c>
      <c r="B1632" s="1">
        <v>4.5845000000000002</v>
      </c>
      <c r="C1632" s="1">
        <v>0.85</v>
      </c>
      <c r="D1632" s="1">
        <v>4.5585000000000004</v>
      </c>
    </row>
    <row r="1633" spans="1:4" x14ac:dyDescent="0.2">
      <c r="A1633" s="5">
        <v>38778</v>
      </c>
      <c r="B1633" s="1">
        <v>4.6281999999999996</v>
      </c>
      <c r="C1633" s="1">
        <v>0.85</v>
      </c>
      <c r="D1633" s="1">
        <v>4.6111000000000004</v>
      </c>
    </row>
    <row r="1634" spans="1:4" x14ac:dyDescent="0.2">
      <c r="A1634" s="5">
        <v>38779</v>
      </c>
      <c r="B1634" s="1">
        <v>4.6801000000000004</v>
      </c>
      <c r="C1634" s="1">
        <v>0.85</v>
      </c>
      <c r="D1634" s="1">
        <v>4.6593999999999998</v>
      </c>
    </row>
    <row r="1635" spans="1:4" x14ac:dyDescent="0.2">
      <c r="A1635" s="5">
        <v>38782</v>
      </c>
      <c r="B1635" s="1">
        <v>4.7504</v>
      </c>
      <c r="C1635" s="1">
        <v>0.85</v>
      </c>
      <c r="D1635" s="1">
        <v>4.7354000000000003</v>
      </c>
    </row>
    <row r="1636" spans="1:4" x14ac:dyDescent="0.2">
      <c r="A1636" s="5">
        <v>38783</v>
      </c>
      <c r="B1636" s="1">
        <v>4.7222999999999997</v>
      </c>
      <c r="C1636" s="1">
        <v>0.86</v>
      </c>
      <c r="D1636" s="1">
        <v>4.7092999999999998</v>
      </c>
    </row>
    <row r="1637" spans="1:4" x14ac:dyDescent="0.2">
      <c r="A1637" s="5">
        <v>38784</v>
      </c>
      <c r="B1637" s="1">
        <v>4.7263000000000002</v>
      </c>
      <c r="C1637" s="1">
        <v>0.86</v>
      </c>
      <c r="D1637" s="1">
        <v>4.7153</v>
      </c>
    </row>
    <row r="1638" spans="1:4" x14ac:dyDescent="0.2">
      <c r="A1638" s="5">
        <v>38785</v>
      </c>
      <c r="B1638" s="1">
        <v>4.7243000000000004</v>
      </c>
      <c r="C1638" s="1">
        <v>0.86</v>
      </c>
      <c r="D1638" s="1">
        <v>4.7172999999999998</v>
      </c>
    </row>
    <row r="1639" spans="1:4" x14ac:dyDescent="0.2">
      <c r="A1639" s="5">
        <v>38786</v>
      </c>
      <c r="B1639" s="1">
        <v>4.7567000000000004</v>
      </c>
      <c r="C1639" s="1">
        <v>0.86</v>
      </c>
      <c r="D1639" s="1">
        <v>4.7476000000000003</v>
      </c>
    </row>
    <row r="1640" spans="1:4" x14ac:dyDescent="0.2">
      <c r="A1640" s="5">
        <v>38789</v>
      </c>
      <c r="B1640" s="1">
        <v>4.7667999999999999</v>
      </c>
      <c r="C1640" s="1">
        <v>0.86</v>
      </c>
      <c r="D1640" s="1">
        <v>4.7596999999999996</v>
      </c>
    </row>
    <row r="1641" spans="1:4" x14ac:dyDescent="0.2">
      <c r="A1641" s="5">
        <v>38790</v>
      </c>
      <c r="B1641" s="1">
        <v>4.6924000000000001</v>
      </c>
      <c r="C1641" s="1">
        <v>0.86</v>
      </c>
      <c r="D1641" s="1">
        <v>4.6993</v>
      </c>
    </row>
    <row r="1642" spans="1:4" x14ac:dyDescent="0.2">
      <c r="A1642" s="5">
        <v>38791</v>
      </c>
      <c r="B1642" s="1">
        <v>4.7266000000000004</v>
      </c>
      <c r="C1642" s="1">
        <v>0.86</v>
      </c>
      <c r="D1642" s="1">
        <v>4.7496</v>
      </c>
    </row>
    <row r="1643" spans="1:4" x14ac:dyDescent="0.2">
      <c r="A1643" s="5">
        <v>38792</v>
      </c>
      <c r="B1643" s="1">
        <v>4.6403999999999996</v>
      </c>
      <c r="C1643" s="1">
        <v>0.87</v>
      </c>
      <c r="D1643" s="1">
        <v>4.6923000000000004</v>
      </c>
    </row>
    <row r="1644" spans="1:4" x14ac:dyDescent="0.2">
      <c r="A1644" s="5">
        <v>38793</v>
      </c>
      <c r="B1644" s="1">
        <v>4.6704999999999997</v>
      </c>
      <c r="C1644" s="1">
        <v>0.87</v>
      </c>
      <c r="D1644" s="1">
        <v>4.7172999999999998</v>
      </c>
    </row>
    <row r="1645" spans="1:4" x14ac:dyDescent="0.2">
      <c r="A1645" s="5">
        <v>38796</v>
      </c>
      <c r="B1645" s="1">
        <v>4.6565000000000003</v>
      </c>
      <c r="C1645" s="1">
        <v>0.87</v>
      </c>
      <c r="D1645" s="1">
        <v>4.6993</v>
      </c>
    </row>
    <row r="1646" spans="1:4" x14ac:dyDescent="0.2">
      <c r="A1646" s="5">
        <v>38797</v>
      </c>
      <c r="B1646" s="1">
        <v>4.7167000000000003</v>
      </c>
      <c r="C1646" s="1">
        <v>0.86</v>
      </c>
      <c r="D1646" s="1">
        <v>4.7446000000000002</v>
      </c>
    </row>
    <row r="1647" spans="1:4" x14ac:dyDescent="0.2">
      <c r="A1647" s="5">
        <v>38798</v>
      </c>
      <c r="B1647" s="1">
        <v>4.6985999999999999</v>
      </c>
      <c r="C1647" s="1">
        <v>0.86</v>
      </c>
      <c r="D1647" s="1">
        <v>4.7224000000000004</v>
      </c>
    </row>
    <row r="1648" spans="1:4" x14ac:dyDescent="0.2">
      <c r="A1648" s="5">
        <v>38799</v>
      </c>
      <c r="B1648" s="1">
        <v>4.7328999999999999</v>
      </c>
      <c r="C1648" s="1">
        <v>0.86</v>
      </c>
      <c r="D1648" s="1">
        <v>4.7537000000000003</v>
      </c>
    </row>
    <row r="1649" spans="1:4" x14ac:dyDescent="0.2">
      <c r="A1649" s="5">
        <v>38800</v>
      </c>
      <c r="B1649" s="1">
        <v>4.6685999999999996</v>
      </c>
      <c r="C1649" s="1">
        <v>0.87</v>
      </c>
      <c r="D1649" s="1">
        <v>4.6893000000000002</v>
      </c>
    </row>
    <row r="1650" spans="1:4" x14ac:dyDescent="0.2">
      <c r="A1650" s="5">
        <v>38803</v>
      </c>
      <c r="B1650" s="1">
        <v>4.7027999999999999</v>
      </c>
      <c r="C1650" s="1">
        <v>0.87</v>
      </c>
      <c r="D1650" s="1">
        <v>4.7274000000000003</v>
      </c>
    </row>
    <row r="1651" spans="1:4" x14ac:dyDescent="0.2">
      <c r="A1651" s="5">
        <v>38804</v>
      </c>
      <c r="B1651" s="1">
        <v>4.7797000000000001</v>
      </c>
      <c r="C1651" s="1">
        <v>0.87</v>
      </c>
      <c r="D1651" s="1">
        <v>4.7954999999999997</v>
      </c>
    </row>
    <row r="1652" spans="1:4" x14ac:dyDescent="0.2">
      <c r="A1652" s="5">
        <v>38805</v>
      </c>
      <c r="B1652" s="1">
        <v>4.8041</v>
      </c>
      <c r="C1652" s="1">
        <v>0.87</v>
      </c>
      <c r="D1652" s="1">
        <v>4.8398000000000003</v>
      </c>
    </row>
    <row r="1653" spans="1:4" x14ac:dyDescent="0.2">
      <c r="A1653" s="5">
        <v>38806</v>
      </c>
      <c r="B1653" s="1">
        <v>4.8551000000000002</v>
      </c>
      <c r="C1653" s="1">
        <v>0.87</v>
      </c>
      <c r="D1653" s="1">
        <v>4.8959999999999999</v>
      </c>
    </row>
    <row r="1654" spans="1:4" x14ac:dyDescent="0.2">
      <c r="A1654" s="5">
        <v>38807</v>
      </c>
      <c r="B1654" s="1">
        <v>4.8472</v>
      </c>
      <c r="C1654" s="1">
        <v>0.88</v>
      </c>
      <c r="D1654" s="1">
        <v>4.8898000000000001</v>
      </c>
    </row>
    <row r="1655" spans="1:4" x14ac:dyDescent="0.2">
      <c r="A1655" s="5">
        <v>38810</v>
      </c>
      <c r="B1655" s="1">
        <v>4.8615000000000004</v>
      </c>
      <c r="C1655" s="1">
        <v>0.88</v>
      </c>
      <c r="D1655" s="1">
        <v>4.8940000000000001</v>
      </c>
    </row>
    <row r="1656" spans="1:4" x14ac:dyDescent="0.2">
      <c r="A1656" s="5">
        <v>38811</v>
      </c>
      <c r="B1656" s="1">
        <v>4.8636999999999997</v>
      </c>
      <c r="C1656" s="1">
        <v>0.88</v>
      </c>
      <c r="D1656" s="1">
        <v>4.9086999999999996</v>
      </c>
    </row>
    <row r="1657" spans="1:4" x14ac:dyDescent="0.2">
      <c r="A1657" s="5">
        <v>38812</v>
      </c>
      <c r="B1657" s="1">
        <v>4.8433000000000002</v>
      </c>
      <c r="C1657" s="1">
        <v>0.88</v>
      </c>
      <c r="D1657" s="1">
        <v>4.9024000000000001</v>
      </c>
    </row>
    <row r="1658" spans="1:4" x14ac:dyDescent="0.2">
      <c r="A1658" s="5">
        <v>38813</v>
      </c>
      <c r="B1658" s="1">
        <v>4.8986999999999998</v>
      </c>
      <c r="C1658" s="1">
        <v>0.88</v>
      </c>
      <c r="D1658" s="1">
        <v>4.9733999999999998</v>
      </c>
    </row>
    <row r="1659" spans="1:4" x14ac:dyDescent="0.2">
      <c r="A1659" s="5">
        <v>38814</v>
      </c>
      <c r="B1659" s="1">
        <v>4.9774000000000003</v>
      </c>
      <c r="C1659" s="1">
        <v>0.88</v>
      </c>
      <c r="D1659" s="1">
        <v>5.0552999999999999</v>
      </c>
    </row>
    <row r="1660" spans="1:4" x14ac:dyDescent="0.2">
      <c r="A1660" s="5">
        <v>38817</v>
      </c>
      <c r="B1660" s="1">
        <v>4.9526000000000003</v>
      </c>
      <c r="C1660" s="1">
        <v>0.88</v>
      </c>
      <c r="D1660" s="1">
        <v>5.0250000000000004</v>
      </c>
    </row>
    <row r="1661" spans="1:4" x14ac:dyDescent="0.2">
      <c r="A1661" s="5">
        <v>38818</v>
      </c>
      <c r="B1661" s="1">
        <v>4.9196999999999997</v>
      </c>
      <c r="C1661" s="1">
        <v>0.88</v>
      </c>
      <c r="D1661" s="1">
        <v>4.9958999999999998</v>
      </c>
    </row>
    <row r="1662" spans="1:4" x14ac:dyDescent="0.2">
      <c r="A1662" s="5">
        <v>38819</v>
      </c>
      <c r="B1662" s="1">
        <v>4.9776999999999996</v>
      </c>
      <c r="C1662" s="1">
        <v>0.88</v>
      </c>
      <c r="D1662" s="1">
        <v>5.0575000000000001</v>
      </c>
    </row>
    <row r="1663" spans="1:4" x14ac:dyDescent="0.2">
      <c r="A1663" s="5">
        <v>38820</v>
      </c>
      <c r="B1663" s="1">
        <v>5.0446999999999997</v>
      </c>
      <c r="C1663" s="1">
        <v>0.88</v>
      </c>
      <c r="D1663" s="1">
        <v>5.1124000000000001</v>
      </c>
    </row>
    <row r="1664" spans="1:4" x14ac:dyDescent="0.2">
      <c r="A1664" s="5">
        <v>38821</v>
      </c>
      <c r="B1664" s="1">
        <v>5.0448000000000004</v>
      </c>
      <c r="C1664" s="1">
        <v>0.88</v>
      </c>
      <c r="D1664" s="1">
        <v>5.1124000000000001</v>
      </c>
    </row>
    <row r="1665" spans="1:4" x14ac:dyDescent="0.2">
      <c r="A1665" s="5">
        <v>38824</v>
      </c>
      <c r="B1665" s="1">
        <v>5.0031999999999996</v>
      </c>
      <c r="C1665" s="1">
        <v>0.88</v>
      </c>
      <c r="D1665" s="1">
        <v>5.0795000000000003</v>
      </c>
    </row>
    <row r="1666" spans="1:4" x14ac:dyDescent="0.2">
      <c r="A1666" s="5">
        <v>38825</v>
      </c>
      <c r="B1666" s="1">
        <v>4.9824000000000002</v>
      </c>
      <c r="C1666" s="1">
        <v>0.88</v>
      </c>
      <c r="D1666" s="1">
        <v>5.0762</v>
      </c>
    </row>
    <row r="1667" spans="1:4" x14ac:dyDescent="0.2">
      <c r="A1667" s="5">
        <v>38826</v>
      </c>
      <c r="B1667" s="1">
        <v>5.0221</v>
      </c>
      <c r="C1667" s="1">
        <v>0.88</v>
      </c>
      <c r="D1667" s="1">
        <v>5.1201999999999996</v>
      </c>
    </row>
    <row r="1668" spans="1:4" x14ac:dyDescent="0.2">
      <c r="A1668" s="5">
        <v>38827</v>
      </c>
      <c r="B1668" s="1">
        <v>5.0388999999999999</v>
      </c>
      <c r="C1668" s="1">
        <v>0.87</v>
      </c>
      <c r="D1668" s="1">
        <v>5.1379000000000001</v>
      </c>
    </row>
    <row r="1669" spans="1:4" x14ac:dyDescent="0.2">
      <c r="A1669" s="5">
        <v>38828</v>
      </c>
      <c r="B1669" s="1">
        <v>5.0079000000000002</v>
      </c>
      <c r="C1669" s="1">
        <v>0.87</v>
      </c>
      <c r="D1669" s="1">
        <v>5.0928000000000004</v>
      </c>
    </row>
    <row r="1670" spans="1:4" x14ac:dyDescent="0.2">
      <c r="A1670" s="5">
        <v>38831</v>
      </c>
      <c r="B1670" s="1">
        <v>4.9767999999999999</v>
      </c>
      <c r="C1670" s="1">
        <v>0.87</v>
      </c>
      <c r="D1670" s="1">
        <v>5.0578000000000003</v>
      </c>
    </row>
    <row r="1671" spans="1:4" x14ac:dyDescent="0.2">
      <c r="A1671" s="5">
        <v>38832</v>
      </c>
      <c r="B1671" s="1">
        <v>5.0667</v>
      </c>
      <c r="C1671" s="1">
        <v>0.87</v>
      </c>
      <c r="D1671" s="1">
        <v>5.1547000000000001</v>
      </c>
    </row>
    <row r="1672" spans="1:4" x14ac:dyDescent="0.2">
      <c r="A1672" s="5">
        <v>38833</v>
      </c>
      <c r="B1672" s="1">
        <v>5.1045999999999996</v>
      </c>
      <c r="C1672" s="1">
        <v>0.86</v>
      </c>
      <c r="D1672" s="1">
        <v>5.1826999999999996</v>
      </c>
    </row>
    <row r="1673" spans="1:4" x14ac:dyDescent="0.2">
      <c r="A1673" s="5">
        <v>38834</v>
      </c>
      <c r="B1673" s="1">
        <v>5.0669000000000004</v>
      </c>
      <c r="C1673" s="1">
        <v>0.86</v>
      </c>
      <c r="D1673" s="1">
        <v>5.1703999999999999</v>
      </c>
    </row>
    <row r="1674" spans="1:4" x14ac:dyDescent="0.2">
      <c r="A1674" s="5">
        <v>38835</v>
      </c>
      <c r="B1674" s="1">
        <v>5.0505000000000004</v>
      </c>
      <c r="C1674" s="1">
        <v>0.85</v>
      </c>
      <c r="D1674" s="1">
        <v>5.1615000000000002</v>
      </c>
    </row>
    <row r="1675" spans="1:4" x14ac:dyDescent="0.2">
      <c r="A1675" s="5">
        <v>38838</v>
      </c>
      <c r="B1675" s="1">
        <v>5.1368999999999998</v>
      </c>
      <c r="C1675" s="1">
        <v>0.85</v>
      </c>
      <c r="D1675" s="1">
        <v>5.2267999999999999</v>
      </c>
    </row>
    <row r="1676" spans="1:4" x14ac:dyDescent="0.2">
      <c r="A1676" s="5">
        <v>38839</v>
      </c>
      <c r="B1676" s="1">
        <v>5.1074999999999999</v>
      </c>
      <c r="C1676" s="1">
        <v>0.85</v>
      </c>
      <c r="D1676" s="1">
        <v>5.2076000000000002</v>
      </c>
    </row>
    <row r="1677" spans="1:4" x14ac:dyDescent="0.2">
      <c r="A1677" s="5">
        <v>38840</v>
      </c>
      <c r="B1677" s="1">
        <v>5.1414</v>
      </c>
      <c r="C1677" s="1">
        <v>0.84</v>
      </c>
      <c r="D1677" s="1">
        <v>5.2336</v>
      </c>
    </row>
    <row r="1678" spans="1:4" x14ac:dyDescent="0.2">
      <c r="A1678" s="5">
        <v>38841</v>
      </c>
      <c r="B1678" s="1">
        <v>5.1520999999999999</v>
      </c>
      <c r="C1678" s="1">
        <v>0.84</v>
      </c>
      <c r="D1678" s="1">
        <v>5.2382</v>
      </c>
    </row>
    <row r="1679" spans="1:4" x14ac:dyDescent="0.2">
      <c r="A1679" s="5">
        <v>38842</v>
      </c>
      <c r="B1679" s="1">
        <v>5.0997000000000003</v>
      </c>
      <c r="C1679" s="1">
        <v>0.85</v>
      </c>
      <c r="D1679" s="1">
        <v>5.1875</v>
      </c>
    </row>
    <row r="1680" spans="1:4" x14ac:dyDescent="0.2">
      <c r="A1680" s="5">
        <v>38845</v>
      </c>
      <c r="B1680" s="1">
        <v>5.1104000000000003</v>
      </c>
      <c r="C1680" s="1">
        <v>0.85</v>
      </c>
      <c r="D1680" s="1">
        <v>5.1818999999999997</v>
      </c>
    </row>
    <row r="1681" spans="1:4" x14ac:dyDescent="0.2">
      <c r="A1681" s="5">
        <v>38846</v>
      </c>
      <c r="B1681" s="1">
        <v>5.1211000000000002</v>
      </c>
      <c r="C1681" s="1">
        <v>0.85</v>
      </c>
      <c r="D1681" s="1">
        <v>5.1976000000000004</v>
      </c>
    </row>
    <row r="1682" spans="1:4" x14ac:dyDescent="0.2">
      <c r="A1682" s="5">
        <v>38847</v>
      </c>
      <c r="B1682" s="1">
        <v>5.1234000000000002</v>
      </c>
      <c r="C1682" s="1">
        <v>0.85</v>
      </c>
      <c r="D1682" s="1">
        <v>5.1920000000000002</v>
      </c>
    </row>
    <row r="1683" spans="1:4" x14ac:dyDescent="0.2">
      <c r="A1683" s="5">
        <v>38848</v>
      </c>
      <c r="B1683" s="1">
        <v>5.1509999999999998</v>
      </c>
      <c r="C1683" s="1">
        <v>0.85</v>
      </c>
      <c r="D1683" s="1">
        <v>5.2304000000000004</v>
      </c>
    </row>
    <row r="1684" spans="1:4" x14ac:dyDescent="0.2">
      <c r="A1684" s="5">
        <v>38849</v>
      </c>
      <c r="B1684" s="1">
        <v>5.1938000000000004</v>
      </c>
      <c r="C1684" s="1">
        <v>0.85</v>
      </c>
      <c r="D1684" s="1">
        <v>5.3106</v>
      </c>
    </row>
    <row r="1685" spans="1:4" x14ac:dyDescent="0.2">
      <c r="A1685" s="5">
        <v>38852</v>
      </c>
      <c r="B1685" s="1">
        <v>5.1532999999999998</v>
      </c>
      <c r="C1685" s="1">
        <v>0.86</v>
      </c>
      <c r="D1685" s="1">
        <v>5.2716000000000003</v>
      </c>
    </row>
    <row r="1686" spans="1:4" x14ac:dyDescent="0.2">
      <c r="A1686" s="5">
        <v>38853</v>
      </c>
      <c r="B1686" s="1">
        <v>5.0946999999999996</v>
      </c>
      <c r="C1686" s="1">
        <v>0.86</v>
      </c>
      <c r="D1686" s="1">
        <v>5.2091000000000003</v>
      </c>
    </row>
    <row r="1687" spans="1:4" x14ac:dyDescent="0.2">
      <c r="A1687" s="5">
        <v>38854</v>
      </c>
      <c r="B1687" s="1">
        <v>5.1430999999999996</v>
      </c>
      <c r="C1687" s="1">
        <v>0.87</v>
      </c>
      <c r="D1687" s="1">
        <v>5.2659000000000002</v>
      </c>
    </row>
    <row r="1688" spans="1:4" x14ac:dyDescent="0.2">
      <c r="A1688" s="5">
        <v>38855</v>
      </c>
      <c r="B1688" s="1">
        <v>5.0605000000000002</v>
      </c>
      <c r="C1688" s="1">
        <v>0.88</v>
      </c>
      <c r="D1688" s="1">
        <v>5.1654</v>
      </c>
    </row>
    <row r="1689" spans="1:4" x14ac:dyDescent="0.2">
      <c r="A1689" s="5">
        <v>38856</v>
      </c>
      <c r="B1689" s="1">
        <v>5.0583999999999998</v>
      </c>
      <c r="C1689" s="1">
        <v>0.88</v>
      </c>
      <c r="D1689" s="1">
        <v>5.1375999999999999</v>
      </c>
    </row>
    <row r="1690" spans="1:4" x14ac:dyDescent="0.2">
      <c r="A1690" s="5">
        <v>38859</v>
      </c>
      <c r="B1690" s="1">
        <v>5.0382999999999996</v>
      </c>
      <c r="C1690" s="1">
        <v>0.89</v>
      </c>
      <c r="D1690" s="1">
        <v>5.1310000000000002</v>
      </c>
    </row>
    <row r="1691" spans="1:4" x14ac:dyDescent="0.2">
      <c r="A1691" s="5">
        <v>38860</v>
      </c>
      <c r="B1691" s="1">
        <v>5.0122999999999998</v>
      </c>
      <c r="C1691" s="1">
        <v>0.89</v>
      </c>
      <c r="D1691" s="1">
        <v>5.1154999999999999</v>
      </c>
    </row>
    <row r="1692" spans="1:4" x14ac:dyDescent="0.2">
      <c r="A1692" s="5">
        <v>38861</v>
      </c>
      <c r="B1692" s="1">
        <v>5.0362999999999998</v>
      </c>
      <c r="C1692" s="1">
        <v>0.9</v>
      </c>
      <c r="D1692" s="1">
        <v>5.1333000000000002</v>
      </c>
    </row>
    <row r="1693" spans="1:4" x14ac:dyDescent="0.2">
      <c r="A1693" s="5">
        <v>38862</v>
      </c>
      <c r="B1693" s="1">
        <v>5.0682999999999998</v>
      </c>
      <c r="C1693" s="1">
        <v>0.9</v>
      </c>
      <c r="D1693" s="1">
        <v>5.1688999999999998</v>
      </c>
    </row>
    <row r="1694" spans="1:4" x14ac:dyDescent="0.2">
      <c r="A1694" s="5">
        <v>38863</v>
      </c>
      <c r="B1694" s="1">
        <v>5.0480999999999998</v>
      </c>
      <c r="C1694" s="1">
        <v>0.89</v>
      </c>
      <c r="D1694" s="1">
        <v>5.1544999999999996</v>
      </c>
    </row>
    <row r="1695" spans="1:4" x14ac:dyDescent="0.2">
      <c r="A1695" s="5">
        <v>38866</v>
      </c>
      <c r="B1695" s="1">
        <v>5.0480999999999998</v>
      </c>
      <c r="C1695" s="1">
        <v>0.89</v>
      </c>
      <c r="D1695" s="1">
        <v>5.1544999999999996</v>
      </c>
    </row>
    <row r="1696" spans="1:4" x14ac:dyDescent="0.2">
      <c r="A1696" s="5">
        <v>38867</v>
      </c>
      <c r="B1696" s="1">
        <v>5.0762</v>
      </c>
      <c r="C1696" s="1">
        <v>0.9</v>
      </c>
      <c r="D1696" s="1">
        <v>5.1837</v>
      </c>
    </row>
    <row r="1697" spans="1:4" x14ac:dyDescent="0.2">
      <c r="A1697" s="5">
        <v>38868</v>
      </c>
      <c r="B1697" s="1">
        <v>5.1185999999999998</v>
      </c>
      <c r="C1697" s="1">
        <v>0.9</v>
      </c>
      <c r="D1697" s="1">
        <v>5.2276999999999996</v>
      </c>
    </row>
    <row r="1698" spans="1:4" x14ac:dyDescent="0.2">
      <c r="A1698" s="5">
        <v>38869</v>
      </c>
      <c r="B1698" s="1">
        <v>5.0983999999999998</v>
      </c>
      <c r="C1698" s="1">
        <v>0.9</v>
      </c>
      <c r="D1698" s="1">
        <v>5.1927000000000003</v>
      </c>
    </row>
    <row r="1699" spans="1:4" x14ac:dyDescent="0.2">
      <c r="A1699" s="5">
        <v>38870</v>
      </c>
      <c r="B1699" s="1">
        <v>4.9897999999999998</v>
      </c>
      <c r="C1699" s="1">
        <v>0.91</v>
      </c>
      <c r="D1699" s="1">
        <v>5.0949</v>
      </c>
    </row>
    <row r="1700" spans="1:4" x14ac:dyDescent="0.2">
      <c r="A1700" s="5">
        <v>38873</v>
      </c>
      <c r="B1700" s="1">
        <v>5.0176999999999996</v>
      </c>
      <c r="C1700" s="1">
        <v>0.91</v>
      </c>
      <c r="D1700" s="1">
        <v>5.1059999999999999</v>
      </c>
    </row>
    <row r="1701" spans="1:4" x14ac:dyDescent="0.2">
      <c r="A1701" s="5">
        <v>38874</v>
      </c>
      <c r="B1701" s="1">
        <v>4.9996999999999998</v>
      </c>
      <c r="C1701" s="1">
        <v>0.91</v>
      </c>
      <c r="D1701" s="1">
        <v>5.0762999999999998</v>
      </c>
    </row>
    <row r="1702" spans="1:4" x14ac:dyDescent="0.2">
      <c r="A1702" s="5">
        <v>38875</v>
      </c>
      <c r="B1702" s="1">
        <v>5.0176999999999996</v>
      </c>
      <c r="C1702" s="1">
        <v>0.91</v>
      </c>
      <c r="D1702" s="1">
        <v>5.0872999999999999</v>
      </c>
    </row>
    <row r="1703" spans="1:4" x14ac:dyDescent="0.2">
      <c r="A1703" s="5">
        <v>38876</v>
      </c>
      <c r="B1703" s="1">
        <v>4.9935999999999998</v>
      </c>
      <c r="C1703" s="1">
        <v>0.92</v>
      </c>
      <c r="D1703" s="1">
        <v>5.0632000000000001</v>
      </c>
    </row>
    <row r="1704" spans="1:4" x14ac:dyDescent="0.2">
      <c r="A1704" s="5">
        <v>38877</v>
      </c>
      <c r="B1704" s="1">
        <v>4.9714</v>
      </c>
      <c r="C1704" s="1">
        <v>0.92</v>
      </c>
      <c r="D1704" s="1">
        <v>5.0198999999999998</v>
      </c>
    </row>
    <row r="1705" spans="1:4" x14ac:dyDescent="0.2">
      <c r="A1705" s="5">
        <v>38880</v>
      </c>
      <c r="B1705" s="1">
        <v>4.9774000000000003</v>
      </c>
      <c r="C1705" s="1">
        <v>0.92</v>
      </c>
      <c r="D1705" s="1">
        <v>5.0231000000000003</v>
      </c>
    </row>
    <row r="1706" spans="1:4" x14ac:dyDescent="0.2">
      <c r="A1706" s="5">
        <v>38881</v>
      </c>
      <c r="B1706" s="1">
        <v>4.9612999999999996</v>
      </c>
      <c r="C1706" s="1">
        <v>0.92</v>
      </c>
      <c r="D1706" s="1">
        <v>5.0145</v>
      </c>
    </row>
    <row r="1707" spans="1:4" x14ac:dyDescent="0.2">
      <c r="A1707" s="5">
        <v>38882</v>
      </c>
      <c r="B1707" s="1">
        <v>5.0617000000000001</v>
      </c>
      <c r="C1707" s="1">
        <v>0.93</v>
      </c>
      <c r="D1707" s="1">
        <v>5.0918999999999999</v>
      </c>
    </row>
    <row r="1708" spans="1:4" x14ac:dyDescent="0.2">
      <c r="A1708" s="5">
        <v>38883</v>
      </c>
      <c r="B1708" s="1">
        <v>5.0940000000000003</v>
      </c>
      <c r="C1708" s="1">
        <v>0.94</v>
      </c>
      <c r="D1708" s="1">
        <v>5.1360999999999999</v>
      </c>
    </row>
    <row r="1709" spans="1:4" x14ac:dyDescent="0.2">
      <c r="A1709" s="5">
        <v>38884</v>
      </c>
      <c r="B1709" s="1">
        <v>5.1264000000000003</v>
      </c>
      <c r="C1709" s="1">
        <v>0.94</v>
      </c>
      <c r="D1709" s="1">
        <v>5.1685999999999996</v>
      </c>
    </row>
    <row r="1710" spans="1:4" x14ac:dyDescent="0.2">
      <c r="A1710" s="5">
        <v>38887</v>
      </c>
      <c r="B1710" s="1">
        <v>5.1345000000000001</v>
      </c>
      <c r="C1710" s="1">
        <v>0.94</v>
      </c>
      <c r="D1710" s="1">
        <v>5.1741999999999999</v>
      </c>
    </row>
    <row r="1711" spans="1:4" x14ac:dyDescent="0.2">
      <c r="A1711" s="5">
        <v>38888</v>
      </c>
      <c r="B1711" s="1">
        <v>5.1486999999999998</v>
      </c>
      <c r="C1711" s="1">
        <v>0.94</v>
      </c>
      <c r="D1711" s="1">
        <v>5.1910999999999996</v>
      </c>
    </row>
    <row r="1712" spans="1:4" x14ac:dyDescent="0.2">
      <c r="A1712" s="5">
        <v>38889</v>
      </c>
      <c r="B1712" s="1">
        <v>5.1528</v>
      </c>
      <c r="C1712" s="1">
        <v>0.95</v>
      </c>
      <c r="D1712" s="1">
        <v>5.1921999999999997</v>
      </c>
    </row>
    <row r="1713" spans="1:4" x14ac:dyDescent="0.2">
      <c r="A1713" s="5">
        <v>38890</v>
      </c>
      <c r="B1713" s="1">
        <v>5.2080000000000002</v>
      </c>
      <c r="C1713" s="1">
        <v>0.95</v>
      </c>
      <c r="D1713" s="1">
        <v>5.2431999999999999</v>
      </c>
    </row>
    <row r="1714" spans="1:4" x14ac:dyDescent="0.2">
      <c r="A1714" s="5">
        <v>38891</v>
      </c>
      <c r="B1714" s="1">
        <v>5.2222999999999997</v>
      </c>
      <c r="C1714" s="1">
        <v>0.95</v>
      </c>
      <c r="D1714" s="1">
        <v>5.2535999999999996</v>
      </c>
    </row>
    <row r="1715" spans="1:4" x14ac:dyDescent="0.2">
      <c r="A1715" s="5">
        <v>38894</v>
      </c>
      <c r="B1715" s="1">
        <v>5.2325999999999997</v>
      </c>
      <c r="C1715" s="1">
        <v>0.95</v>
      </c>
      <c r="D1715" s="1">
        <v>5.2718999999999996</v>
      </c>
    </row>
    <row r="1716" spans="1:4" x14ac:dyDescent="0.2">
      <c r="A1716" s="5">
        <v>38895</v>
      </c>
      <c r="B1716" s="1">
        <v>5.1997999999999998</v>
      </c>
      <c r="C1716" s="1">
        <v>0.96</v>
      </c>
      <c r="D1716" s="1">
        <v>5.2320000000000002</v>
      </c>
    </row>
    <row r="1717" spans="1:4" x14ac:dyDescent="0.2">
      <c r="A1717" s="5">
        <v>38896</v>
      </c>
      <c r="B1717" s="1">
        <v>5.2428999999999997</v>
      </c>
      <c r="C1717" s="1">
        <v>0.96</v>
      </c>
      <c r="D1717" s="1">
        <v>5.2812000000000001</v>
      </c>
    </row>
    <row r="1718" spans="1:4" x14ac:dyDescent="0.2">
      <c r="A1718" s="5">
        <v>38897</v>
      </c>
      <c r="B1718" s="1">
        <v>5.1936</v>
      </c>
      <c r="C1718" s="1">
        <v>0.96</v>
      </c>
      <c r="D1718" s="1">
        <v>5.2469000000000001</v>
      </c>
    </row>
    <row r="1719" spans="1:4" x14ac:dyDescent="0.2">
      <c r="A1719" s="5">
        <v>38898</v>
      </c>
      <c r="B1719" s="1">
        <v>5.1364000000000001</v>
      </c>
      <c r="C1719" s="1">
        <v>0.94</v>
      </c>
      <c r="D1719" s="1">
        <v>5.1859000000000002</v>
      </c>
    </row>
    <row r="1720" spans="1:4" x14ac:dyDescent="0.2">
      <c r="A1720" s="5">
        <v>38901</v>
      </c>
      <c r="B1720" s="1">
        <v>5.1486000000000001</v>
      </c>
      <c r="C1720" s="1">
        <v>0.94</v>
      </c>
      <c r="D1720" s="1">
        <v>5.1994999999999996</v>
      </c>
    </row>
    <row r="1721" spans="1:4" x14ac:dyDescent="0.2">
      <c r="A1721" s="5">
        <v>38902</v>
      </c>
      <c r="B1721" s="1">
        <v>5.1486000000000001</v>
      </c>
      <c r="C1721" s="1">
        <v>0.94</v>
      </c>
      <c r="D1721" s="1">
        <v>5.1994999999999996</v>
      </c>
    </row>
    <row r="1722" spans="1:4" x14ac:dyDescent="0.2">
      <c r="A1722" s="5">
        <v>38903</v>
      </c>
      <c r="B1722" s="1">
        <v>5.2203999999999997</v>
      </c>
      <c r="C1722" s="1">
        <v>0.94</v>
      </c>
      <c r="D1722" s="1">
        <v>5.2666000000000004</v>
      </c>
    </row>
    <row r="1723" spans="1:4" x14ac:dyDescent="0.2">
      <c r="A1723" s="5">
        <v>38904</v>
      </c>
      <c r="B1723" s="1">
        <v>5.1792999999999996</v>
      </c>
      <c r="C1723" s="1">
        <v>0.94</v>
      </c>
      <c r="D1723" s="1">
        <v>5.2222</v>
      </c>
    </row>
    <row r="1724" spans="1:4" x14ac:dyDescent="0.2">
      <c r="A1724" s="5">
        <v>38905</v>
      </c>
      <c r="B1724" s="1">
        <v>5.1261000000000001</v>
      </c>
      <c r="C1724" s="1">
        <v>0.94</v>
      </c>
      <c r="D1724" s="1">
        <v>5.1738</v>
      </c>
    </row>
    <row r="1725" spans="1:4" x14ac:dyDescent="0.2">
      <c r="A1725" s="5">
        <v>38908</v>
      </c>
      <c r="B1725" s="1">
        <v>5.1241000000000003</v>
      </c>
      <c r="C1725" s="1">
        <v>0.94</v>
      </c>
      <c r="D1725" s="1">
        <v>5.1704999999999997</v>
      </c>
    </row>
    <row r="1726" spans="1:4" x14ac:dyDescent="0.2">
      <c r="A1726" s="5">
        <v>38909</v>
      </c>
      <c r="B1726" s="1">
        <v>5.0995999999999997</v>
      </c>
      <c r="C1726" s="1">
        <v>0.94</v>
      </c>
      <c r="D1726" s="1">
        <v>5.1459000000000001</v>
      </c>
    </row>
    <row r="1727" spans="1:4" x14ac:dyDescent="0.2">
      <c r="A1727" s="5">
        <v>38910</v>
      </c>
      <c r="B1727" s="1">
        <v>5.0975999999999999</v>
      </c>
      <c r="C1727" s="1">
        <v>0.94</v>
      </c>
      <c r="D1727" s="1">
        <v>5.1369999999999996</v>
      </c>
    </row>
    <row r="1728" spans="1:4" x14ac:dyDescent="0.2">
      <c r="A1728" s="5">
        <v>38911</v>
      </c>
      <c r="B1728" s="1">
        <v>5.0629999999999997</v>
      </c>
      <c r="C1728" s="1">
        <v>0.95</v>
      </c>
      <c r="D1728" s="1">
        <v>5.1127000000000002</v>
      </c>
    </row>
    <row r="1729" spans="1:4" x14ac:dyDescent="0.2">
      <c r="A1729" s="5">
        <v>38912</v>
      </c>
      <c r="B1729" s="1">
        <v>5.0629</v>
      </c>
      <c r="C1729" s="1">
        <v>0.96</v>
      </c>
      <c r="D1729" s="1">
        <v>5.1150000000000002</v>
      </c>
    </row>
    <row r="1730" spans="1:4" x14ac:dyDescent="0.2">
      <c r="A1730" s="5">
        <v>38915</v>
      </c>
      <c r="B1730" s="1">
        <v>5.0629</v>
      </c>
      <c r="C1730" s="1">
        <v>0.96</v>
      </c>
      <c r="D1730" s="1">
        <v>5.0983999999999998</v>
      </c>
    </row>
    <row r="1731" spans="1:4" x14ac:dyDescent="0.2">
      <c r="A1731" s="5">
        <v>38916</v>
      </c>
      <c r="B1731" s="1">
        <v>5.1302000000000003</v>
      </c>
      <c r="C1731" s="1">
        <v>0.96</v>
      </c>
      <c r="D1731" s="1">
        <v>5.1650999999999998</v>
      </c>
    </row>
    <row r="1732" spans="1:4" x14ac:dyDescent="0.2">
      <c r="A1732" s="5">
        <v>38917</v>
      </c>
      <c r="B1732" s="1">
        <v>5.0487000000000002</v>
      </c>
      <c r="C1732" s="1">
        <v>0.96</v>
      </c>
      <c r="D1732" s="1">
        <v>5.0984999999999996</v>
      </c>
    </row>
    <row r="1733" spans="1:4" x14ac:dyDescent="0.2">
      <c r="A1733" s="5">
        <v>38918</v>
      </c>
      <c r="B1733" s="1">
        <v>5.0263</v>
      </c>
      <c r="C1733" s="1">
        <v>0.96</v>
      </c>
      <c r="D1733" s="1">
        <v>5.0819999999999999</v>
      </c>
    </row>
    <row r="1734" spans="1:4" x14ac:dyDescent="0.2">
      <c r="A1734" s="5">
        <v>38919</v>
      </c>
      <c r="B1734" s="1">
        <v>5.0404</v>
      </c>
      <c r="C1734" s="1">
        <v>0.96</v>
      </c>
      <c r="D1734" s="1">
        <v>5.0930999999999997</v>
      </c>
    </row>
    <row r="1735" spans="1:4" x14ac:dyDescent="0.2">
      <c r="A1735" s="5">
        <v>38922</v>
      </c>
      <c r="B1735" s="1">
        <v>5.0423999999999998</v>
      </c>
      <c r="C1735" s="1">
        <v>0.95</v>
      </c>
      <c r="D1735" s="1">
        <v>5.1020000000000003</v>
      </c>
    </row>
    <row r="1736" spans="1:4" x14ac:dyDescent="0.2">
      <c r="A1736" s="5">
        <v>38923</v>
      </c>
      <c r="B1736" s="1">
        <v>5.0628000000000002</v>
      </c>
      <c r="C1736" s="1">
        <v>0.95</v>
      </c>
      <c r="D1736" s="1">
        <v>5.1219000000000001</v>
      </c>
    </row>
    <row r="1737" spans="1:4" x14ac:dyDescent="0.2">
      <c r="A1737" s="5">
        <v>38924</v>
      </c>
      <c r="B1737" s="1">
        <v>5.0301999999999998</v>
      </c>
      <c r="C1737" s="1">
        <v>0.95</v>
      </c>
      <c r="D1737" s="1">
        <v>5.0942999999999996</v>
      </c>
    </row>
    <row r="1738" spans="1:4" x14ac:dyDescent="0.2">
      <c r="A1738" s="5">
        <v>38925</v>
      </c>
      <c r="B1738" s="1">
        <v>5.0343</v>
      </c>
      <c r="C1738" s="1">
        <v>0.95</v>
      </c>
      <c r="D1738" s="1">
        <v>5.1043000000000003</v>
      </c>
    </row>
    <row r="1739" spans="1:4" x14ac:dyDescent="0.2">
      <c r="A1739" s="5">
        <v>38926</v>
      </c>
      <c r="B1739" s="1">
        <v>4.9896000000000003</v>
      </c>
      <c r="C1739" s="1">
        <v>0.95</v>
      </c>
      <c r="D1739" s="1">
        <v>5.0702999999999996</v>
      </c>
    </row>
    <row r="1740" spans="1:4" x14ac:dyDescent="0.2">
      <c r="A1740" s="5">
        <v>38929</v>
      </c>
      <c r="B1740" s="1">
        <v>4.9794</v>
      </c>
      <c r="C1740" s="1">
        <v>0.95</v>
      </c>
      <c r="D1740" s="1">
        <v>5.0648999999999997</v>
      </c>
    </row>
    <row r="1741" spans="1:4" x14ac:dyDescent="0.2">
      <c r="A1741" s="5">
        <v>38930</v>
      </c>
      <c r="B1741" s="1">
        <v>4.9752999999999998</v>
      </c>
      <c r="C1741" s="1">
        <v>0.95</v>
      </c>
      <c r="D1741" s="1">
        <v>5.0605000000000002</v>
      </c>
    </row>
    <row r="1742" spans="1:4" x14ac:dyDescent="0.2">
      <c r="A1742" s="5">
        <v>38931</v>
      </c>
      <c r="B1742" s="1">
        <v>4.9631999999999996</v>
      </c>
      <c r="C1742" s="1">
        <v>0.96</v>
      </c>
      <c r="D1742" s="1">
        <v>5.0529000000000002</v>
      </c>
    </row>
    <row r="1743" spans="1:4" x14ac:dyDescent="0.2">
      <c r="A1743" s="5">
        <v>38932</v>
      </c>
      <c r="B1743" s="1">
        <v>4.9591000000000003</v>
      </c>
      <c r="C1743" s="1">
        <v>0.95</v>
      </c>
      <c r="D1743" s="1">
        <v>5.0442</v>
      </c>
    </row>
    <row r="1744" spans="1:4" x14ac:dyDescent="0.2">
      <c r="A1744" s="5">
        <v>38933</v>
      </c>
      <c r="B1744" s="1">
        <v>4.8925000000000001</v>
      </c>
      <c r="C1744" s="1">
        <v>0.96</v>
      </c>
      <c r="D1744" s="1">
        <v>4.9880000000000004</v>
      </c>
    </row>
    <row r="1745" spans="1:4" x14ac:dyDescent="0.2">
      <c r="A1745" s="5">
        <v>38936</v>
      </c>
      <c r="B1745" s="1">
        <v>4.9185999999999996</v>
      </c>
      <c r="C1745" s="1">
        <v>0.96</v>
      </c>
      <c r="D1745" s="1">
        <v>5.0010000000000003</v>
      </c>
    </row>
    <row r="1746" spans="1:4" x14ac:dyDescent="0.2">
      <c r="A1746" s="5">
        <v>38937</v>
      </c>
      <c r="B1746" s="1">
        <v>4.9165000000000001</v>
      </c>
      <c r="C1746" s="1">
        <v>0.96</v>
      </c>
      <c r="D1746" s="1">
        <v>5.0194000000000001</v>
      </c>
    </row>
    <row r="1747" spans="1:4" x14ac:dyDescent="0.2">
      <c r="A1747" s="5">
        <v>38938</v>
      </c>
      <c r="B1747" s="1">
        <v>4.9367000000000001</v>
      </c>
      <c r="C1747" s="1">
        <v>0.96</v>
      </c>
      <c r="D1747" s="1">
        <v>5.0488</v>
      </c>
    </row>
    <row r="1748" spans="1:4" x14ac:dyDescent="0.2">
      <c r="A1748" s="5">
        <v>38939</v>
      </c>
      <c r="B1748" s="1">
        <v>4.9309000000000003</v>
      </c>
      <c r="C1748" s="1">
        <v>0.96</v>
      </c>
      <c r="D1748" s="1">
        <v>5.0728999999999997</v>
      </c>
    </row>
    <row r="1749" spans="1:4" x14ac:dyDescent="0.2">
      <c r="A1749" s="5">
        <v>38940</v>
      </c>
      <c r="B1749" s="1">
        <v>4.9691000000000001</v>
      </c>
      <c r="C1749" s="1">
        <v>0.96</v>
      </c>
      <c r="D1749" s="1">
        <v>5.0938999999999997</v>
      </c>
    </row>
    <row r="1750" spans="1:4" x14ac:dyDescent="0.2">
      <c r="A1750" s="5">
        <v>38943</v>
      </c>
      <c r="B1750" s="1">
        <v>4.9951999999999996</v>
      </c>
      <c r="C1750" s="1">
        <v>0.95</v>
      </c>
      <c r="D1750" s="1">
        <v>5.1127000000000002</v>
      </c>
    </row>
    <row r="1751" spans="1:4" x14ac:dyDescent="0.2">
      <c r="A1751" s="5">
        <v>38944</v>
      </c>
      <c r="B1751" s="1">
        <v>4.9288999999999996</v>
      </c>
      <c r="C1751" s="1">
        <v>0.95</v>
      </c>
      <c r="D1751" s="1">
        <v>5.0479000000000003</v>
      </c>
    </row>
    <row r="1752" spans="1:4" x14ac:dyDescent="0.2">
      <c r="A1752" s="5">
        <v>38945</v>
      </c>
      <c r="B1752" s="1">
        <v>4.859</v>
      </c>
      <c r="C1752" s="1">
        <v>0.95</v>
      </c>
      <c r="D1752" s="1">
        <v>4.9915000000000003</v>
      </c>
    </row>
    <row r="1753" spans="1:4" x14ac:dyDescent="0.2">
      <c r="A1753" s="5">
        <v>38946</v>
      </c>
      <c r="B1753" s="1">
        <v>4.8630000000000004</v>
      </c>
      <c r="C1753" s="1">
        <v>0.95</v>
      </c>
      <c r="D1753" s="1">
        <v>4.9980000000000002</v>
      </c>
    </row>
    <row r="1754" spans="1:4" x14ac:dyDescent="0.2">
      <c r="A1754" s="5">
        <v>38947</v>
      </c>
      <c r="B1754" s="1">
        <v>4.8410000000000002</v>
      </c>
      <c r="C1754" s="1">
        <v>0.95</v>
      </c>
      <c r="D1754" s="1">
        <v>4.9786000000000001</v>
      </c>
    </row>
    <row r="1755" spans="1:4" x14ac:dyDescent="0.2">
      <c r="A1755" s="5">
        <v>38950</v>
      </c>
      <c r="B1755" s="1">
        <v>4.8112000000000004</v>
      </c>
      <c r="C1755" s="1">
        <v>0.95</v>
      </c>
      <c r="D1755" s="1">
        <v>4.9572000000000003</v>
      </c>
    </row>
    <row r="1756" spans="1:4" x14ac:dyDescent="0.2">
      <c r="A1756" s="5">
        <v>38951</v>
      </c>
      <c r="B1756" s="1">
        <v>4.8091999999999997</v>
      </c>
      <c r="C1756" s="1">
        <v>0.94</v>
      </c>
      <c r="D1756" s="1">
        <v>4.9432999999999998</v>
      </c>
    </row>
    <row r="1757" spans="1:4" x14ac:dyDescent="0.2">
      <c r="A1757" s="5">
        <v>38952</v>
      </c>
      <c r="B1757" s="1">
        <v>4.8071999999999999</v>
      </c>
      <c r="C1757" s="1">
        <v>0.94</v>
      </c>
      <c r="D1757" s="1">
        <v>4.9455</v>
      </c>
    </row>
    <row r="1758" spans="1:4" x14ac:dyDescent="0.2">
      <c r="A1758" s="5">
        <v>38953</v>
      </c>
      <c r="B1758" s="1">
        <v>4.7991999999999999</v>
      </c>
      <c r="C1758" s="1">
        <v>0.94</v>
      </c>
      <c r="D1758" s="1">
        <v>4.9379999999999997</v>
      </c>
    </row>
    <row r="1759" spans="1:4" x14ac:dyDescent="0.2">
      <c r="A1759" s="5">
        <v>38954</v>
      </c>
      <c r="B1759" s="1">
        <v>4.7793000000000001</v>
      </c>
      <c r="C1759" s="1">
        <v>0.94</v>
      </c>
      <c r="D1759" s="1">
        <v>4.9242999999999997</v>
      </c>
    </row>
    <row r="1760" spans="1:4" x14ac:dyDescent="0.2">
      <c r="A1760" s="5">
        <v>38957</v>
      </c>
      <c r="B1760" s="1">
        <v>4.7911000000000001</v>
      </c>
      <c r="C1760" s="1">
        <v>0.94</v>
      </c>
      <c r="D1760" s="1">
        <v>4.9295999999999998</v>
      </c>
    </row>
    <row r="1761" spans="1:4" x14ac:dyDescent="0.2">
      <c r="A1761" s="5">
        <v>38958</v>
      </c>
      <c r="B1761" s="1">
        <v>4.7771999999999997</v>
      </c>
      <c r="C1761" s="1">
        <v>0.94</v>
      </c>
      <c r="D1761" s="1">
        <v>4.9231999999999996</v>
      </c>
    </row>
    <row r="1762" spans="1:4" x14ac:dyDescent="0.2">
      <c r="A1762" s="5">
        <v>38959</v>
      </c>
      <c r="B1762" s="1">
        <v>4.7515000000000001</v>
      </c>
      <c r="C1762" s="1">
        <v>0.94</v>
      </c>
      <c r="D1762" s="1">
        <v>4.9042000000000003</v>
      </c>
    </row>
    <row r="1763" spans="1:4" x14ac:dyDescent="0.2">
      <c r="A1763" s="5">
        <v>38960</v>
      </c>
      <c r="B1763" s="1">
        <v>4.7257999999999996</v>
      </c>
      <c r="C1763" s="1">
        <v>0.94</v>
      </c>
      <c r="D1763" s="1">
        <v>4.8768000000000002</v>
      </c>
    </row>
    <row r="1764" spans="1:4" x14ac:dyDescent="0.2">
      <c r="A1764" s="5">
        <v>38961</v>
      </c>
      <c r="B1764" s="1">
        <v>4.7236000000000002</v>
      </c>
      <c r="C1764" s="1">
        <v>0.95</v>
      </c>
      <c r="D1764" s="1">
        <v>4.8715999999999999</v>
      </c>
    </row>
    <row r="1765" spans="1:4" x14ac:dyDescent="0.2">
      <c r="A1765" s="5">
        <v>38964</v>
      </c>
      <c r="B1765" s="1">
        <v>4.7234999999999996</v>
      </c>
      <c r="C1765" s="1">
        <v>0.95</v>
      </c>
      <c r="D1765" s="1">
        <v>4.8715999999999999</v>
      </c>
    </row>
    <row r="1766" spans="1:4" x14ac:dyDescent="0.2">
      <c r="A1766" s="5">
        <v>38965</v>
      </c>
      <c r="B1766" s="1">
        <v>4.7789000000000001</v>
      </c>
      <c r="C1766" s="1">
        <v>0.95</v>
      </c>
      <c r="D1766" s="1">
        <v>4.9297000000000004</v>
      </c>
    </row>
    <row r="1767" spans="1:4" x14ac:dyDescent="0.2">
      <c r="A1767" s="5">
        <v>38966</v>
      </c>
      <c r="B1767" s="1">
        <v>4.7948000000000004</v>
      </c>
      <c r="C1767" s="1">
        <v>0.94</v>
      </c>
      <c r="D1767" s="1">
        <v>4.9488000000000003</v>
      </c>
    </row>
    <row r="1768" spans="1:4" x14ac:dyDescent="0.2">
      <c r="A1768" s="5">
        <v>38967</v>
      </c>
      <c r="B1768" s="1">
        <v>4.7847999999999997</v>
      </c>
      <c r="C1768" s="1">
        <v>0.94</v>
      </c>
      <c r="D1768" s="1">
        <v>4.9339000000000004</v>
      </c>
    </row>
    <row r="1769" spans="1:4" x14ac:dyDescent="0.2">
      <c r="A1769" s="5">
        <v>38968</v>
      </c>
      <c r="B1769" s="1">
        <v>4.7708000000000004</v>
      </c>
      <c r="C1769" s="1">
        <v>0.95</v>
      </c>
      <c r="D1769" s="1">
        <v>4.9180000000000001</v>
      </c>
    </row>
    <row r="1770" spans="1:4" x14ac:dyDescent="0.2">
      <c r="A1770" s="5">
        <v>38971</v>
      </c>
      <c r="B1770" s="1">
        <v>4.8006000000000002</v>
      </c>
      <c r="C1770" s="1">
        <v>0.94</v>
      </c>
      <c r="D1770" s="1">
        <v>4.9404000000000003</v>
      </c>
    </row>
    <row r="1771" spans="1:4" x14ac:dyDescent="0.2">
      <c r="A1771" s="5">
        <v>38972</v>
      </c>
      <c r="B1771" s="1">
        <v>4.7687999999999997</v>
      </c>
      <c r="C1771" s="1">
        <v>0.94</v>
      </c>
      <c r="D1771" s="1">
        <v>4.9032</v>
      </c>
    </row>
    <row r="1772" spans="1:4" x14ac:dyDescent="0.2">
      <c r="A1772" s="5">
        <v>38973</v>
      </c>
      <c r="B1772" s="1">
        <v>4.7587999999999999</v>
      </c>
      <c r="C1772" s="1">
        <v>0.94</v>
      </c>
      <c r="D1772" s="1">
        <v>4.8926999999999996</v>
      </c>
    </row>
    <row r="1773" spans="1:4" x14ac:dyDescent="0.2">
      <c r="A1773" s="5">
        <v>38974</v>
      </c>
      <c r="B1773" s="1">
        <v>4.7885999999999997</v>
      </c>
      <c r="C1773" s="1">
        <v>0.94</v>
      </c>
      <c r="D1773" s="1">
        <v>4.9160000000000004</v>
      </c>
    </row>
    <row r="1774" spans="1:4" x14ac:dyDescent="0.2">
      <c r="A1774" s="5">
        <v>38975</v>
      </c>
      <c r="B1774" s="1">
        <v>4.7885</v>
      </c>
      <c r="C1774" s="1">
        <v>0.94</v>
      </c>
      <c r="D1774" s="1">
        <v>4.9096000000000002</v>
      </c>
    </row>
    <row r="1775" spans="1:4" x14ac:dyDescent="0.2">
      <c r="A1775" s="5">
        <v>38978</v>
      </c>
      <c r="B1775" s="1">
        <v>4.8044000000000002</v>
      </c>
      <c r="C1775" s="1">
        <v>0.94</v>
      </c>
      <c r="D1775" s="1">
        <v>4.9234</v>
      </c>
    </row>
    <row r="1776" spans="1:4" x14ac:dyDescent="0.2">
      <c r="A1776" s="5">
        <v>38979</v>
      </c>
      <c r="B1776" s="1">
        <v>4.7328000000000001</v>
      </c>
      <c r="C1776" s="1">
        <v>0.94</v>
      </c>
      <c r="D1776" s="1">
        <v>4.8581000000000003</v>
      </c>
    </row>
    <row r="1777" spans="1:4" x14ac:dyDescent="0.2">
      <c r="A1777" s="5">
        <v>38980</v>
      </c>
      <c r="B1777" s="1">
        <v>4.7287999999999997</v>
      </c>
      <c r="C1777" s="1">
        <v>0.94</v>
      </c>
      <c r="D1777" s="1">
        <v>4.8476999999999997</v>
      </c>
    </row>
    <row r="1778" spans="1:4" x14ac:dyDescent="0.2">
      <c r="A1778" s="5">
        <v>38981</v>
      </c>
      <c r="B1778" s="1">
        <v>4.6360000000000001</v>
      </c>
      <c r="C1778" s="1">
        <v>0.95</v>
      </c>
      <c r="D1778" s="1">
        <v>4.7721</v>
      </c>
    </row>
    <row r="1779" spans="1:4" x14ac:dyDescent="0.2">
      <c r="A1779" s="5">
        <v>38982</v>
      </c>
      <c r="B1779" s="1">
        <v>4.5888</v>
      </c>
      <c r="C1779" s="1">
        <v>0.95</v>
      </c>
      <c r="D1779" s="1">
        <v>4.7343000000000002</v>
      </c>
    </row>
    <row r="1780" spans="1:4" x14ac:dyDescent="0.2">
      <c r="A1780" s="5">
        <v>38985</v>
      </c>
      <c r="B1780" s="1">
        <v>4.5418000000000003</v>
      </c>
      <c r="C1780" s="1">
        <v>0.95</v>
      </c>
      <c r="D1780" s="1">
        <v>4.6878000000000002</v>
      </c>
    </row>
    <row r="1781" spans="1:4" x14ac:dyDescent="0.2">
      <c r="A1781" s="5">
        <v>38986</v>
      </c>
      <c r="B1781" s="1">
        <v>4.5827999999999998</v>
      </c>
      <c r="C1781" s="1">
        <v>0.95</v>
      </c>
      <c r="D1781" s="1">
        <v>4.7141000000000002</v>
      </c>
    </row>
    <row r="1782" spans="1:4" x14ac:dyDescent="0.2">
      <c r="A1782" s="5">
        <v>38987</v>
      </c>
      <c r="B1782" s="1">
        <v>4.5983999999999998</v>
      </c>
      <c r="C1782" s="1">
        <v>0.94</v>
      </c>
      <c r="D1782" s="1">
        <v>4.7374000000000001</v>
      </c>
    </row>
    <row r="1783" spans="1:4" x14ac:dyDescent="0.2">
      <c r="A1783" s="5">
        <v>38988</v>
      </c>
      <c r="B1783" s="1">
        <v>4.6120000000000001</v>
      </c>
      <c r="C1783" s="1">
        <v>0.95</v>
      </c>
      <c r="D1783" s="1">
        <v>4.7548000000000004</v>
      </c>
    </row>
    <row r="1784" spans="1:4" x14ac:dyDescent="0.2">
      <c r="A1784" s="5">
        <v>38989</v>
      </c>
      <c r="B1784" s="1">
        <v>4.6276000000000002</v>
      </c>
      <c r="C1784" s="1">
        <v>0.94</v>
      </c>
      <c r="D1784" s="1">
        <v>4.7618999999999998</v>
      </c>
    </row>
    <row r="1785" spans="1:4" x14ac:dyDescent="0.2">
      <c r="A1785" s="5">
        <v>38992</v>
      </c>
      <c r="B1785" s="1">
        <v>4.5999999999999996</v>
      </c>
      <c r="C1785" s="1">
        <v>0.95</v>
      </c>
      <c r="D1785" s="1">
        <v>4.7476000000000003</v>
      </c>
    </row>
    <row r="1786" spans="1:4" x14ac:dyDescent="0.2">
      <c r="A1786" s="5">
        <v>38993</v>
      </c>
      <c r="B1786" s="1">
        <v>4.6136999999999997</v>
      </c>
      <c r="C1786" s="1">
        <v>0.95</v>
      </c>
      <c r="D1786" s="1">
        <v>4.7538</v>
      </c>
    </row>
    <row r="1787" spans="1:4" x14ac:dyDescent="0.2">
      <c r="A1787" s="5">
        <v>38994</v>
      </c>
      <c r="B1787" s="1">
        <v>4.5587</v>
      </c>
      <c r="C1787" s="1">
        <v>0.94</v>
      </c>
      <c r="D1787" s="1">
        <v>4.7202000000000002</v>
      </c>
    </row>
    <row r="1788" spans="1:4" x14ac:dyDescent="0.2">
      <c r="A1788" s="5">
        <v>38995</v>
      </c>
      <c r="B1788" s="1">
        <v>4.6036999999999999</v>
      </c>
      <c r="C1788" s="1">
        <v>0.94</v>
      </c>
      <c r="D1788" s="1">
        <v>4.7588999999999997</v>
      </c>
    </row>
    <row r="1789" spans="1:4" x14ac:dyDescent="0.2">
      <c r="A1789" s="5">
        <v>38996</v>
      </c>
      <c r="B1789" s="1">
        <v>4.6943000000000001</v>
      </c>
      <c r="C1789" s="1">
        <v>0.93</v>
      </c>
      <c r="D1789" s="1">
        <v>4.8342999999999998</v>
      </c>
    </row>
    <row r="1790" spans="1:4" x14ac:dyDescent="0.2">
      <c r="A1790" s="5">
        <v>38999</v>
      </c>
      <c r="B1790" s="1">
        <v>4.6942000000000004</v>
      </c>
      <c r="C1790" s="1">
        <v>0.93</v>
      </c>
      <c r="D1790" s="1">
        <v>4.8342999999999998</v>
      </c>
    </row>
    <row r="1791" spans="1:4" x14ac:dyDescent="0.2">
      <c r="A1791" s="5">
        <v>39000</v>
      </c>
      <c r="B1791" s="1">
        <v>4.7518000000000002</v>
      </c>
      <c r="C1791" s="1">
        <v>0.94</v>
      </c>
      <c r="D1791" s="1">
        <v>4.8834999999999997</v>
      </c>
    </row>
    <row r="1792" spans="1:4" x14ac:dyDescent="0.2">
      <c r="A1792" s="5">
        <v>39001</v>
      </c>
      <c r="B1792" s="1">
        <v>4.7778</v>
      </c>
      <c r="C1792" s="1">
        <v>0.93</v>
      </c>
      <c r="D1792" s="1">
        <v>4.9057000000000004</v>
      </c>
    </row>
    <row r="1793" spans="1:4" x14ac:dyDescent="0.2">
      <c r="A1793" s="5">
        <v>39002</v>
      </c>
      <c r="B1793" s="1">
        <v>4.7698</v>
      </c>
      <c r="C1793" s="1">
        <v>0.93</v>
      </c>
      <c r="D1793" s="1">
        <v>4.9057000000000004</v>
      </c>
    </row>
    <row r="1794" spans="1:4" x14ac:dyDescent="0.2">
      <c r="A1794" s="5">
        <v>39003</v>
      </c>
      <c r="B1794" s="1">
        <v>4.7976999999999999</v>
      </c>
      <c r="C1794" s="1">
        <v>0.93</v>
      </c>
      <c r="D1794" s="1">
        <v>4.9333999999999998</v>
      </c>
    </row>
    <row r="1795" spans="1:4" x14ac:dyDescent="0.2">
      <c r="A1795" s="5">
        <v>39006</v>
      </c>
      <c r="B1795" s="1">
        <v>4.7756999999999996</v>
      </c>
      <c r="C1795" s="1">
        <v>0.93</v>
      </c>
      <c r="D1795" s="1">
        <v>4.9078999999999997</v>
      </c>
    </row>
    <row r="1796" spans="1:4" x14ac:dyDescent="0.2">
      <c r="A1796" s="5">
        <v>39007</v>
      </c>
      <c r="B1796" s="1">
        <v>4.7656000000000001</v>
      </c>
      <c r="C1796" s="1">
        <v>0.93</v>
      </c>
      <c r="D1796" s="1">
        <v>4.8983999999999996</v>
      </c>
    </row>
    <row r="1797" spans="1:4" x14ac:dyDescent="0.2">
      <c r="A1797" s="5">
        <v>39008</v>
      </c>
      <c r="B1797" s="1">
        <v>4.7535999999999996</v>
      </c>
      <c r="C1797" s="1">
        <v>0.92</v>
      </c>
      <c r="D1797" s="1">
        <v>4.8836000000000004</v>
      </c>
    </row>
    <row r="1798" spans="1:4" x14ac:dyDescent="0.2">
      <c r="A1798" s="5">
        <v>39009</v>
      </c>
      <c r="B1798" s="1">
        <v>4.7816000000000001</v>
      </c>
      <c r="C1798" s="1">
        <v>0.92</v>
      </c>
      <c r="D1798" s="1">
        <v>4.9100999999999999</v>
      </c>
    </row>
    <row r="1799" spans="1:4" x14ac:dyDescent="0.2">
      <c r="A1799" s="5">
        <v>39010</v>
      </c>
      <c r="B1799" s="1">
        <v>4.7854999999999999</v>
      </c>
      <c r="C1799" s="1">
        <v>0.92</v>
      </c>
      <c r="D1799" s="1">
        <v>4.9080000000000004</v>
      </c>
    </row>
    <row r="1800" spans="1:4" x14ac:dyDescent="0.2">
      <c r="A1800" s="5">
        <v>39013</v>
      </c>
      <c r="B1800" s="1">
        <v>4.8277000000000001</v>
      </c>
      <c r="C1800" s="1">
        <v>0.92</v>
      </c>
      <c r="D1800" s="1">
        <v>4.9569999999999999</v>
      </c>
    </row>
    <row r="1801" spans="1:4" x14ac:dyDescent="0.2">
      <c r="A1801" s="5">
        <v>39014</v>
      </c>
      <c r="B1801" s="1">
        <v>4.8196000000000003</v>
      </c>
      <c r="C1801" s="1">
        <v>0.92</v>
      </c>
      <c r="D1801" s="1">
        <v>4.9409999999999998</v>
      </c>
    </row>
    <row r="1802" spans="1:4" x14ac:dyDescent="0.2">
      <c r="A1802" s="5">
        <v>39015</v>
      </c>
      <c r="B1802" s="1">
        <v>4.7614000000000001</v>
      </c>
      <c r="C1802" s="1">
        <v>0.92</v>
      </c>
      <c r="D1802" s="1">
        <v>4.8815999999999997</v>
      </c>
    </row>
    <row r="1803" spans="1:4" x14ac:dyDescent="0.2">
      <c r="A1803" s="5">
        <v>39016</v>
      </c>
      <c r="B1803" s="1">
        <v>4.7173999999999996</v>
      </c>
      <c r="C1803" s="1">
        <v>0.92</v>
      </c>
      <c r="D1803" s="1">
        <v>4.8365999999999998</v>
      </c>
    </row>
    <row r="1804" spans="1:4" x14ac:dyDescent="0.2">
      <c r="A1804" s="5">
        <v>39017</v>
      </c>
      <c r="B1804" s="1">
        <v>4.6715</v>
      </c>
      <c r="C1804" s="1">
        <v>0.92</v>
      </c>
      <c r="D1804" s="1">
        <v>4.7930000000000001</v>
      </c>
    </row>
    <row r="1805" spans="1:4" x14ac:dyDescent="0.2">
      <c r="A1805" s="5">
        <v>39020</v>
      </c>
      <c r="B1805" s="1">
        <v>4.6694000000000004</v>
      </c>
      <c r="C1805" s="1">
        <v>0.92</v>
      </c>
      <c r="D1805" s="1">
        <v>4.7827000000000002</v>
      </c>
    </row>
    <row r="1806" spans="1:4" x14ac:dyDescent="0.2">
      <c r="A1806" s="5">
        <v>39021</v>
      </c>
      <c r="B1806" s="1">
        <v>4.5980999999999996</v>
      </c>
      <c r="C1806" s="1">
        <v>0.92</v>
      </c>
      <c r="D1806" s="1">
        <v>4.7153</v>
      </c>
    </row>
    <row r="1807" spans="1:4" x14ac:dyDescent="0.2">
      <c r="A1807" s="5">
        <v>39022</v>
      </c>
      <c r="B1807" s="1">
        <v>4.5644999999999998</v>
      </c>
      <c r="C1807" s="1">
        <v>0.92</v>
      </c>
      <c r="D1807" s="1">
        <v>4.6840000000000002</v>
      </c>
    </row>
    <row r="1808" spans="1:4" x14ac:dyDescent="0.2">
      <c r="A1808" s="5">
        <v>39023</v>
      </c>
      <c r="B1808" s="1">
        <v>4.5940000000000003</v>
      </c>
      <c r="C1808" s="1">
        <v>0.92</v>
      </c>
      <c r="D1808" s="1">
        <v>4.7153</v>
      </c>
    </row>
    <row r="1809" spans="1:4" x14ac:dyDescent="0.2">
      <c r="A1809" s="5">
        <v>39024</v>
      </c>
      <c r="B1809" s="1">
        <v>4.7149999999999999</v>
      </c>
      <c r="C1809" s="1">
        <v>0.91</v>
      </c>
      <c r="D1809" s="1">
        <v>4.8086000000000002</v>
      </c>
    </row>
    <row r="1810" spans="1:4" x14ac:dyDescent="0.2">
      <c r="A1810" s="5">
        <v>39027</v>
      </c>
      <c r="B1810" s="1">
        <v>4.6929999999999996</v>
      </c>
      <c r="C1810" s="1">
        <v>0.91</v>
      </c>
      <c r="D1810" s="1">
        <v>4.7839</v>
      </c>
    </row>
    <row r="1811" spans="1:4" x14ac:dyDescent="0.2">
      <c r="A1811" s="5">
        <v>39028</v>
      </c>
      <c r="B1811" s="1">
        <v>4.6570999999999998</v>
      </c>
      <c r="C1811" s="1">
        <v>0.91</v>
      </c>
      <c r="D1811" s="1">
        <v>4.7550999999999997</v>
      </c>
    </row>
    <row r="1812" spans="1:4" x14ac:dyDescent="0.2">
      <c r="A1812" s="5">
        <v>39029</v>
      </c>
      <c r="B1812" s="1">
        <v>4.6352000000000002</v>
      </c>
      <c r="C1812" s="1">
        <v>0.91</v>
      </c>
      <c r="D1812" s="1">
        <v>4.7275999999999998</v>
      </c>
    </row>
    <row r="1813" spans="1:4" x14ac:dyDescent="0.2">
      <c r="A1813" s="5">
        <v>39030</v>
      </c>
      <c r="B1813" s="1">
        <v>4.6253000000000002</v>
      </c>
      <c r="C1813" s="1">
        <v>0.91</v>
      </c>
      <c r="D1813" s="1">
        <v>4.7295999999999996</v>
      </c>
    </row>
    <row r="1814" spans="1:4" x14ac:dyDescent="0.2">
      <c r="A1814" s="5">
        <v>39031</v>
      </c>
      <c r="B1814" s="1">
        <v>4.5876999999999999</v>
      </c>
      <c r="C1814" s="1">
        <v>0.9</v>
      </c>
      <c r="D1814" s="1">
        <v>4.6971999999999996</v>
      </c>
    </row>
    <row r="1815" spans="1:4" x14ac:dyDescent="0.2">
      <c r="A1815" s="5">
        <v>39034</v>
      </c>
      <c r="B1815" s="1">
        <v>4.6093000000000002</v>
      </c>
      <c r="C1815" s="1">
        <v>0.91</v>
      </c>
      <c r="D1815" s="1">
        <v>4.7053000000000003</v>
      </c>
    </row>
    <row r="1816" spans="1:4" x14ac:dyDescent="0.2">
      <c r="A1816" s="5">
        <v>39035</v>
      </c>
      <c r="B1816" s="1">
        <v>4.5621999999999998</v>
      </c>
      <c r="C1816" s="1">
        <v>0.9</v>
      </c>
      <c r="D1816" s="1">
        <v>4.6559999999999997</v>
      </c>
    </row>
    <row r="1817" spans="1:4" x14ac:dyDescent="0.2">
      <c r="A1817" s="5">
        <v>39036</v>
      </c>
      <c r="B1817" s="1">
        <v>4.6170999999999998</v>
      </c>
      <c r="C1817" s="1">
        <v>0.9</v>
      </c>
      <c r="D1817" s="1">
        <v>4.7001999999999997</v>
      </c>
    </row>
    <row r="1818" spans="1:4" x14ac:dyDescent="0.2">
      <c r="A1818" s="5">
        <v>39037</v>
      </c>
      <c r="B1818" s="1">
        <v>4.6643999999999997</v>
      </c>
      <c r="C1818" s="1">
        <v>0.9</v>
      </c>
      <c r="D1818" s="1">
        <v>4.7419000000000002</v>
      </c>
    </row>
    <row r="1819" spans="1:4" x14ac:dyDescent="0.2">
      <c r="A1819" s="5">
        <v>39038</v>
      </c>
      <c r="B1819" s="1">
        <v>4.5993000000000004</v>
      </c>
      <c r="C1819" s="1">
        <v>0.89</v>
      </c>
      <c r="D1819" s="1">
        <v>4.6881000000000004</v>
      </c>
    </row>
    <row r="1820" spans="1:4" x14ac:dyDescent="0.2">
      <c r="A1820" s="5">
        <v>39041</v>
      </c>
      <c r="B1820" s="1">
        <v>4.5972999999999997</v>
      </c>
      <c r="C1820" s="1">
        <v>0.89</v>
      </c>
      <c r="D1820" s="1">
        <v>4.6791</v>
      </c>
    </row>
    <row r="1821" spans="1:4" x14ac:dyDescent="0.2">
      <c r="A1821" s="5">
        <v>39042</v>
      </c>
      <c r="B1821" s="1">
        <v>4.5697999999999999</v>
      </c>
      <c r="C1821" s="1">
        <v>0.89</v>
      </c>
      <c r="D1821" s="1">
        <v>4.657</v>
      </c>
    </row>
    <row r="1822" spans="1:4" x14ac:dyDescent="0.2">
      <c r="A1822" s="5">
        <v>39043</v>
      </c>
      <c r="B1822" s="1">
        <v>4.5579999999999998</v>
      </c>
      <c r="C1822" s="1">
        <v>0.89</v>
      </c>
      <c r="D1822" s="1">
        <v>4.6459999999999999</v>
      </c>
    </row>
    <row r="1823" spans="1:4" x14ac:dyDescent="0.2">
      <c r="A1823" s="5">
        <v>39044</v>
      </c>
      <c r="B1823" s="1">
        <v>4.5579000000000001</v>
      </c>
      <c r="C1823" s="1">
        <v>0.89</v>
      </c>
      <c r="D1823" s="1">
        <v>4.6459999999999999</v>
      </c>
    </row>
    <row r="1824" spans="1:4" x14ac:dyDescent="0.2">
      <c r="A1824" s="5">
        <v>39045</v>
      </c>
      <c r="B1824" s="1">
        <v>4.548</v>
      </c>
      <c r="C1824" s="1">
        <v>0.89</v>
      </c>
      <c r="D1824" s="1">
        <v>4.6311</v>
      </c>
    </row>
    <row r="1825" spans="1:4" x14ac:dyDescent="0.2">
      <c r="A1825" s="5">
        <v>39048</v>
      </c>
      <c r="B1825" s="1">
        <v>4.5285000000000002</v>
      </c>
      <c r="C1825" s="1">
        <v>0.9</v>
      </c>
      <c r="D1825" s="1">
        <v>4.6112000000000002</v>
      </c>
    </row>
    <row r="1826" spans="1:4" x14ac:dyDescent="0.2">
      <c r="A1826" s="5">
        <v>39049</v>
      </c>
      <c r="B1826" s="1">
        <v>4.5011000000000001</v>
      </c>
      <c r="C1826" s="1">
        <v>0.9</v>
      </c>
      <c r="D1826" s="1">
        <v>4.5914000000000001</v>
      </c>
    </row>
    <row r="1827" spans="1:4" x14ac:dyDescent="0.2">
      <c r="A1827" s="5">
        <v>39050</v>
      </c>
      <c r="B1827" s="1">
        <v>4.5206</v>
      </c>
      <c r="C1827" s="1">
        <v>0.89</v>
      </c>
      <c r="D1827" s="1">
        <v>4.6142000000000003</v>
      </c>
    </row>
    <row r="1828" spans="1:4" x14ac:dyDescent="0.2">
      <c r="A1828" s="5">
        <v>39051</v>
      </c>
      <c r="B1828" s="1">
        <v>4.4581</v>
      </c>
      <c r="C1828" s="1">
        <v>0.89</v>
      </c>
      <c r="D1828" s="1">
        <v>4.5618999999999996</v>
      </c>
    </row>
    <row r="1829" spans="1:4" x14ac:dyDescent="0.2">
      <c r="A1829" s="5">
        <v>39052</v>
      </c>
      <c r="B1829" s="1">
        <v>4.4326999999999996</v>
      </c>
      <c r="C1829" s="1">
        <v>0.9</v>
      </c>
      <c r="D1829" s="1">
        <v>4.5462999999999996</v>
      </c>
    </row>
    <row r="1830" spans="1:4" x14ac:dyDescent="0.2">
      <c r="A1830" s="5">
        <v>39055</v>
      </c>
      <c r="B1830" s="1">
        <v>4.4229000000000003</v>
      </c>
      <c r="C1830" s="1">
        <v>0.9</v>
      </c>
      <c r="D1830" s="1">
        <v>4.5404</v>
      </c>
    </row>
    <row r="1831" spans="1:4" x14ac:dyDescent="0.2">
      <c r="A1831" s="5">
        <v>39056</v>
      </c>
      <c r="B1831" s="1">
        <v>4.4402999999999997</v>
      </c>
      <c r="C1831" s="1">
        <v>0.89</v>
      </c>
      <c r="D1831" s="1">
        <v>4.5727000000000002</v>
      </c>
    </row>
    <row r="1832" spans="1:4" x14ac:dyDescent="0.2">
      <c r="A1832" s="5">
        <v>39057</v>
      </c>
      <c r="B1832" s="1">
        <v>4.4851000000000001</v>
      </c>
      <c r="C1832" s="1">
        <v>0.88</v>
      </c>
      <c r="D1832" s="1">
        <v>4.5994000000000002</v>
      </c>
    </row>
    <row r="1833" spans="1:4" x14ac:dyDescent="0.2">
      <c r="A1833" s="5">
        <v>39058</v>
      </c>
      <c r="B1833" s="1">
        <v>4.4810999999999996</v>
      </c>
      <c r="C1833" s="1">
        <v>0.88</v>
      </c>
      <c r="D1833" s="1">
        <v>4.6024000000000003</v>
      </c>
    </row>
    <row r="1834" spans="1:4" x14ac:dyDescent="0.2">
      <c r="A1834" s="5">
        <v>39059</v>
      </c>
      <c r="B1834" s="1">
        <v>4.5437000000000003</v>
      </c>
      <c r="C1834" s="1">
        <v>0.88</v>
      </c>
      <c r="D1834" s="1">
        <v>4.6532</v>
      </c>
    </row>
    <row r="1835" spans="1:4" x14ac:dyDescent="0.2">
      <c r="A1835" s="5">
        <v>39062</v>
      </c>
      <c r="B1835" s="1">
        <v>4.5182000000000002</v>
      </c>
      <c r="C1835" s="1">
        <v>0.89</v>
      </c>
      <c r="D1835" s="1">
        <v>4.6242000000000001</v>
      </c>
    </row>
    <row r="1836" spans="1:4" x14ac:dyDescent="0.2">
      <c r="A1836" s="5">
        <v>39063</v>
      </c>
      <c r="B1836" s="1">
        <v>4.4847999999999999</v>
      </c>
      <c r="C1836" s="1">
        <v>0.89</v>
      </c>
      <c r="D1836" s="1">
        <v>4.6063999999999998</v>
      </c>
    </row>
    <row r="1837" spans="1:4" x14ac:dyDescent="0.2">
      <c r="A1837" s="5">
        <v>39064</v>
      </c>
      <c r="B1837" s="1">
        <v>4.5791000000000004</v>
      </c>
      <c r="C1837" s="1">
        <v>0.89</v>
      </c>
      <c r="D1837" s="1">
        <v>4.6965000000000003</v>
      </c>
    </row>
    <row r="1838" spans="1:4" x14ac:dyDescent="0.2">
      <c r="A1838" s="5">
        <v>39065</v>
      </c>
      <c r="B1838" s="1">
        <v>4.5968</v>
      </c>
      <c r="C1838" s="1">
        <v>0.89</v>
      </c>
      <c r="D1838" s="1">
        <v>4.7137000000000002</v>
      </c>
    </row>
    <row r="1839" spans="1:4" x14ac:dyDescent="0.2">
      <c r="A1839" s="5">
        <v>39066</v>
      </c>
      <c r="B1839" s="1">
        <v>4.5928000000000004</v>
      </c>
      <c r="C1839" s="1">
        <v>0.88</v>
      </c>
      <c r="D1839" s="1">
        <v>4.7138</v>
      </c>
    </row>
    <row r="1840" spans="1:4" x14ac:dyDescent="0.2">
      <c r="A1840" s="5">
        <v>39069</v>
      </c>
      <c r="B1840" s="1">
        <v>4.5808999999999997</v>
      </c>
      <c r="C1840" s="1">
        <v>0.88</v>
      </c>
      <c r="D1840" s="1">
        <v>4.7057000000000002</v>
      </c>
    </row>
    <row r="1841" spans="1:4" x14ac:dyDescent="0.2">
      <c r="A1841" s="5">
        <v>39070</v>
      </c>
      <c r="B1841" s="1">
        <v>4.5888</v>
      </c>
      <c r="C1841" s="1">
        <v>0.89</v>
      </c>
      <c r="D1841" s="1">
        <v>4.7188999999999997</v>
      </c>
    </row>
    <row r="1842" spans="1:4" x14ac:dyDescent="0.2">
      <c r="A1842" s="5">
        <v>39071</v>
      </c>
      <c r="B1842" s="1">
        <v>4.5946999999999996</v>
      </c>
      <c r="C1842" s="1">
        <v>0.88</v>
      </c>
      <c r="D1842" s="1">
        <v>4.7279999999999998</v>
      </c>
    </row>
    <row r="1843" spans="1:4" x14ac:dyDescent="0.2">
      <c r="A1843" s="5">
        <v>39072</v>
      </c>
      <c r="B1843" s="1">
        <v>4.5453999999999999</v>
      </c>
      <c r="C1843" s="1">
        <v>0.88</v>
      </c>
      <c r="D1843" s="1">
        <v>4.6875</v>
      </c>
    </row>
    <row r="1844" spans="1:4" x14ac:dyDescent="0.2">
      <c r="A1844" s="5">
        <v>39073</v>
      </c>
      <c r="B1844" s="1">
        <v>4.6185</v>
      </c>
      <c r="C1844" s="1">
        <v>0.88</v>
      </c>
      <c r="D1844" s="1">
        <v>4.7577999999999996</v>
      </c>
    </row>
    <row r="1845" spans="1:4" x14ac:dyDescent="0.2">
      <c r="A1845" s="5">
        <v>39076</v>
      </c>
      <c r="B1845" s="1">
        <v>4.6184000000000003</v>
      </c>
      <c r="C1845" s="1">
        <v>0.88</v>
      </c>
      <c r="D1845" s="1">
        <v>4.7577999999999996</v>
      </c>
    </row>
    <row r="1846" spans="1:4" x14ac:dyDescent="0.2">
      <c r="A1846" s="5">
        <v>39077</v>
      </c>
      <c r="B1846" s="1">
        <v>4.5986000000000002</v>
      </c>
      <c r="C1846" s="1">
        <v>0.88</v>
      </c>
      <c r="D1846" s="1">
        <v>4.7312000000000003</v>
      </c>
    </row>
    <row r="1847" spans="1:4" x14ac:dyDescent="0.2">
      <c r="A1847" s="5">
        <v>39078</v>
      </c>
      <c r="B1847" s="1">
        <v>4.6502999999999997</v>
      </c>
      <c r="C1847" s="1">
        <v>0.88</v>
      </c>
      <c r="D1847" s="1">
        <v>4.7763</v>
      </c>
    </row>
    <row r="1848" spans="1:4" x14ac:dyDescent="0.2">
      <c r="A1848" s="5">
        <v>39079</v>
      </c>
      <c r="B1848" s="1">
        <v>4.6802000000000001</v>
      </c>
      <c r="C1848" s="1">
        <v>0.87</v>
      </c>
      <c r="D1848" s="1">
        <v>4.8064</v>
      </c>
    </row>
    <row r="1849" spans="1:4" x14ac:dyDescent="0.2">
      <c r="A1849" s="5">
        <v>39080</v>
      </c>
      <c r="B1849" s="1">
        <v>4.7022000000000004</v>
      </c>
      <c r="C1849" s="1">
        <v>0.88</v>
      </c>
      <c r="D1849" s="1">
        <v>4.8094999999999999</v>
      </c>
    </row>
    <row r="1850" spans="1:4" x14ac:dyDescent="0.2">
      <c r="A1850" s="5">
        <v>39083</v>
      </c>
      <c r="B1850" s="1">
        <v>4.7022000000000004</v>
      </c>
      <c r="C1850" s="1">
        <v>0.88</v>
      </c>
      <c r="D1850" s="1">
        <v>4.8095999999999997</v>
      </c>
    </row>
    <row r="1851" spans="1:4" x14ac:dyDescent="0.2">
      <c r="A1851" s="5">
        <v>39084</v>
      </c>
      <c r="B1851" s="1">
        <v>4.6802000000000001</v>
      </c>
      <c r="C1851" s="1">
        <v>0.88</v>
      </c>
      <c r="D1851" s="1">
        <v>4.7847</v>
      </c>
    </row>
    <row r="1852" spans="1:4" x14ac:dyDescent="0.2">
      <c r="A1852" s="5">
        <v>39085</v>
      </c>
      <c r="B1852" s="1">
        <v>4.6581999999999999</v>
      </c>
      <c r="C1852" s="1">
        <v>0.88</v>
      </c>
      <c r="D1852" s="1">
        <v>4.7630999999999997</v>
      </c>
    </row>
    <row r="1853" spans="1:4" x14ac:dyDescent="0.2">
      <c r="A1853" s="5">
        <v>39086</v>
      </c>
      <c r="B1853" s="1">
        <v>4.6024000000000003</v>
      </c>
      <c r="C1853" s="1">
        <v>0.88</v>
      </c>
      <c r="D1853" s="1">
        <v>4.7079000000000004</v>
      </c>
    </row>
    <row r="1854" spans="1:4" x14ac:dyDescent="0.2">
      <c r="A1854" s="5">
        <v>39087</v>
      </c>
      <c r="B1854" s="1">
        <v>4.6441999999999997</v>
      </c>
      <c r="C1854" s="1">
        <v>0.88</v>
      </c>
      <c r="D1854" s="1">
        <v>4.7385000000000002</v>
      </c>
    </row>
    <row r="1855" spans="1:4" x14ac:dyDescent="0.2">
      <c r="A1855" s="5">
        <v>39090</v>
      </c>
      <c r="B1855" s="1">
        <v>4.6521999999999997</v>
      </c>
      <c r="C1855" s="1">
        <v>0.88</v>
      </c>
      <c r="D1855" s="1">
        <v>4.7333999999999996</v>
      </c>
    </row>
    <row r="1856" spans="1:4" x14ac:dyDescent="0.2">
      <c r="A1856" s="5">
        <v>39091</v>
      </c>
      <c r="B1856" s="1">
        <v>4.6542000000000003</v>
      </c>
      <c r="C1856" s="1">
        <v>0.88</v>
      </c>
      <c r="D1856" s="1">
        <v>4.7374999999999998</v>
      </c>
    </row>
    <row r="1857" spans="1:4" x14ac:dyDescent="0.2">
      <c r="A1857" s="5">
        <v>39092</v>
      </c>
      <c r="B1857" s="1">
        <v>4.6843000000000004</v>
      </c>
      <c r="C1857" s="1">
        <v>0.87</v>
      </c>
      <c r="D1857" s="1">
        <v>4.7744999999999997</v>
      </c>
    </row>
    <row r="1858" spans="1:4" x14ac:dyDescent="0.2">
      <c r="A1858" s="5">
        <v>39093</v>
      </c>
      <c r="B1858" s="1">
        <v>4.7305000000000001</v>
      </c>
      <c r="C1858" s="1">
        <v>0.87</v>
      </c>
      <c r="D1858" s="1">
        <v>4.8181000000000003</v>
      </c>
    </row>
    <row r="1859" spans="1:4" x14ac:dyDescent="0.2">
      <c r="A1859" s="5">
        <v>39094</v>
      </c>
      <c r="B1859" s="1">
        <v>4.7750000000000004</v>
      </c>
      <c r="C1859" s="1">
        <v>0.86</v>
      </c>
      <c r="D1859" s="1">
        <v>4.8600000000000003</v>
      </c>
    </row>
    <row r="1860" spans="1:4" x14ac:dyDescent="0.2">
      <c r="A1860" s="5">
        <v>39097</v>
      </c>
      <c r="B1860" s="1">
        <v>4.7750000000000004</v>
      </c>
      <c r="C1860" s="1">
        <v>0.86</v>
      </c>
      <c r="D1860" s="1">
        <v>4.8600000000000003</v>
      </c>
    </row>
    <row r="1861" spans="1:4" x14ac:dyDescent="0.2">
      <c r="A1861" s="5">
        <v>39098</v>
      </c>
      <c r="B1861" s="1">
        <v>4.7466999999999997</v>
      </c>
      <c r="C1861" s="1">
        <v>0.86</v>
      </c>
      <c r="D1861" s="1">
        <v>4.8400999999999996</v>
      </c>
    </row>
    <row r="1862" spans="1:4" x14ac:dyDescent="0.2">
      <c r="A1862" s="5">
        <v>39099</v>
      </c>
      <c r="B1862" s="1">
        <v>4.7790999999999997</v>
      </c>
      <c r="C1862" s="1">
        <v>0.86</v>
      </c>
      <c r="D1862" s="1">
        <v>4.8705999999999996</v>
      </c>
    </row>
    <row r="1863" spans="1:4" x14ac:dyDescent="0.2">
      <c r="A1863" s="5">
        <v>39100</v>
      </c>
      <c r="B1863" s="1">
        <v>4.7427000000000001</v>
      </c>
      <c r="C1863" s="1">
        <v>0.85</v>
      </c>
      <c r="D1863" s="1">
        <v>4.8400999999999996</v>
      </c>
    </row>
    <row r="1864" spans="1:4" x14ac:dyDescent="0.2">
      <c r="A1864" s="5">
        <v>39101</v>
      </c>
      <c r="B1864" s="1">
        <v>4.7751999999999999</v>
      </c>
      <c r="C1864" s="1">
        <v>0.85</v>
      </c>
      <c r="D1864" s="1">
        <v>4.8623000000000003</v>
      </c>
    </row>
    <row r="1865" spans="1:4" x14ac:dyDescent="0.2">
      <c r="A1865" s="5">
        <v>39104</v>
      </c>
      <c r="B1865" s="1">
        <v>4.7590000000000003</v>
      </c>
      <c r="C1865" s="1">
        <v>0.85</v>
      </c>
      <c r="D1865" s="1">
        <v>4.8475999999999999</v>
      </c>
    </row>
    <row r="1866" spans="1:4" x14ac:dyDescent="0.2">
      <c r="A1866" s="5">
        <v>39105</v>
      </c>
      <c r="B1866" s="1">
        <v>4.8076999999999996</v>
      </c>
      <c r="C1866" s="1">
        <v>0.85</v>
      </c>
      <c r="D1866" s="1">
        <v>4.9057000000000004</v>
      </c>
    </row>
    <row r="1867" spans="1:4" x14ac:dyDescent="0.2">
      <c r="A1867" s="5">
        <v>39106</v>
      </c>
      <c r="B1867" s="1">
        <v>4.8076999999999996</v>
      </c>
      <c r="C1867" s="1">
        <v>0.84</v>
      </c>
      <c r="D1867" s="1">
        <v>4.9099000000000004</v>
      </c>
    </row>
    <row r="1868" spans="1:4" x14ac:dyDescent="0.2">
      <c r="A1868" s="5">
        <v>39107</v>
      </c>
      <c r="B1868" s="1">
        <v>4.8731</v>
      </c>
      <c r="C1868" s="1">
        <v>0.84</v>
      </c>
      <c r="D1868" s="1">
        <v>4.9667000000000003</v>
      </c>
    </row>
    <row r="1869" spans="1:4" x14ac:dyDescent="0.2">
      <c r="A1869" s="5">
        <v>39108</v>
      </c>
      <c r="B1869" s="1">
        <v>4.8733000000000004</v>
      </c>
      <c r="C1869" s="1">
        <v>0.84</v>
      </c>
      <c r="D1869" s="1">
        <v>4.9722</v>
      </c>
    </row>
    <row r="1870" spans="1:4" x14ac:dyDescent="0.2">
      <c r="A1870" s="5">
        <v>39111</v>
      </c>
      <c r="B1870" s="1">
        <v>4.8897000000000004</v>
      </c>
      <c r="C1870" s="1">
        <v>0.84</v>
      </c>
      <c r="D1870" s="1">
        <v>4.9950000000000001</v>
      </c>
    </row>
    <row r="1871" spans="1:4" x14ac:dyDescent="0.2">
      <c r="A1871" s="5">
        <v>39112</v>
      </c>
      <c r="B1871" s="1">
        <v>4.8693</v>
      </c>
      <c r="C1871" s="1">
        <v>0.85</v>
      </c>
      <c r="D1871" s="1">
        <v>4.9776999999999996</v>
      </c>
    </row>
    <row r="1872" spans="1:4" x14ac:dyDescent="0.2">
      <c r="A1872" s="5">
        <v>39113</v>
      </c>
      <c r="B1872" s="1">
        <v>4.8079999999999998</v>
      </c>
      <c r="C1872" s="1">
        <v>0.86</v>
      </c>
      <c r="D1872" s="1">
        <v>4.9069000000000003</v>
      </c>
    </row>
    <row r="1873" spans="1:4" x14ac:dyDescent="0.2">
      <c r="A1873" s="5">
        <v>39114</v>
      </c>
      <c r="B1873" s="1">
        <v>4.8346</v>
      </c>
      <c r="C1873" s="1">
        <v>0.85</v>
      </c>
      <c r="D1873" s="1">
        <v>4.9294000000000002</v>
      </c>
    </row>
    <row r="1874" spans="1:4" x14ac:dyDescent="0.2">
      <c r="A1874" s="5">
        <v>39115</v>
      </c>
      <c r="B1874" s="1">
        <v>4.8204000000000002</v>
      </c>
      <c r="C1874" s="1">
        <v>0.85</v>
      </c>
      <c r="D1874" s="1">
        <v>4.9219999999999997</v>
      </c>
    </row>
    <row r="1875" spans="1:4" x14ac:dyDescent="0.2">
      <c r="A1875" s="5">
        <v>39118</v>
      </c>
      <c r="B1875" s="1">
        <v>4.8021000000000003</v>
      </c>
      <c r="C1875" s="1">
        <v>0.85</v>
      </c>
      <c r="D1875" s="1">
        <v>4.9070999999999998</v>
      </c>
    </row>
    <row r="1876" spans="1:4" x14ac:dyDescent="0.2">
      <c r="A1876" s="5">
        <v>39119</v>
      </c>
      <c r="B1876" s="1">
        <v>4.7655000000000003</v>
      </c>
      <c r="C1876" s="1">
        <v>0.84</v>
      </c>
      <c r="D1876" s="1">
        <v>4.8678999999999997</v>
      </c>
    </row>
    <row r="1877" spans="1:4" x14ac:dyDescent="0.2">
      <c r="A1877" s="5">
        <v>39120</v>
      </c>
      <c r="B1877" s="1">
        <v>4.7431999999999999</v>
      </c>
      <c r="C1877" s="1">
        <v>0.84</v>
      </c>
      <c r="D1877" s="1">
        <v>4.8521000000000001</v>
      </c>
    </row>
    <row r="1878" spans="1:4" x14ac:dyDescent="0.2">
      <c r="A1878" s="5">
        <v>39121</v>
      </c>
      <c r="B1878" s="1">
        <v>4.7319000000000004</v>
      </c>
      <c r="C1878" s="1">
        <v>0.83</v>
      </c>
      <c r="D1878" s="1">
        <v>4.8395999999999999</v>
      </c>
    </row>
    <row r="1879" spans="1:4" x14ac:dyDescent="0.2">
      <c r="A1879" s="5">
        <v>39122</v>
      </c>
      <c r="B1879" s="1">
        <v>4.7797000000000001</v>
      </c>
      <c r="C1879" s="1">
        <v>0.83</v>
      </c>
      <c r="D1879" s="1">
        <v>4.8635000000000002</v>
      </c>
    </row>
    <row r="1880" spans="1:4" x14ac:dyDescent="0.2">
      <c r="A1880" s="5">
        <v>39125</v>
      </c>
      <c r="B1880" s="1">
        <v>4.8037000000000001</v>
      </c>
      <c r="C1880" s="1">
        <v>0.84</v>
      </c>
      <c r="D1880" s="1">
        <v>4.8856999999999999</v>
      </c>
    </row>
    <row r="1881" spans="1:4" x14ac:dyDescent="0.2">
      <c r="A1881" s="5">
        <v>39126</v>
      </c>
      <c r="B1881" s="1">
        <v>4.8078000000000003</v>
      </c>
      <c r="C1881" s="1">
        <v>0.84</v>
      </c>
      <c r="D1881" s="1">
        <v>4.8989000000000003</v>
      </c>
    </row>
    <row r="1882" spans="1:4" x14ac:dyDescent="0.2">
      <c r="A1882" s="5">
        <v>39127</v>
      </c>
      <c r="B1882" s="1">
        <v>4.7359</v>
      </c>
      <c r="C1882" s="1">
        <v>0.84</v>
      </c>
      <c r="D1882" s="1">
        <v>4.8333000000000004</v>
      </c>
    </row>
    <row r="1883" spans="1:4" x14ac:dyDescent="0.2">
      <c r="A1883" s="5">
        <v>39128</v>
      </c>
      <c r="B1883" s="1">
        <v>4.7061000000000002</v>
      </c>
      <c r="C1883" s="1">
        <v>0.83</v>
      </c>
      <c r="D1883" s="1">
        <v>4.8053999999999997</v>
      </c>
    </row>
    <row r="1884" spans="1:4" x14ac:dyDescent="0.2">
      <c r="A1884" s="5">
        <v>39129</v>
      </c>
      <c r="B1884" s="1">
        <v>4.6882000000000001</v>
      </c>
      <c r="C1884" s="1">
        <v>0.83</v>
      </c>
      <c r="D1884" s="1">
        <v>4.7874999999999996</v>
      </c>
    </row>
    <row r="1885" spans="1:4" x14ac:dyDescent="0.2">
      <c r="A1885" s="5">
        <v>39132</v>
      </c>
      <c r="B1885" s="1">
        <v>4.6882000000000001</v>
      </c>
      <c r="C1885" s="1">
        <v>0.83</v>
      </c>
      <c r="D1885" s="1">
        <v>4.7873999999999999</v>
      </c>
    </row>
    <row r="1886" spans="1:4" x14ac:dyDescent="0.2">
      <c r="A1886" s="5">
        <v>39133</v>
      </c>
      <c r="B1886" s="1">
        <v>4.6742999999999997</v>
      </c>
      <c r="C1886" s="1">
        <v>0.83</v>
      </c>
      <c r="D1886" s="1">
        <v>4.7766000000000002</v>
      </c>
    </row>
    <row r="1887" spans="1:4" x14ac:dyDescent="0.2">
      <c r="A1887" s="5">
        <v>39134</v>
      </c>
      <c r="B1887" s="1">
        <v>4.6901999999999999</v>
      </c>
      <c r="C1887" s="1">
        <v>0.82</v>
      </c>
      <c r="D1887" s="1">
        <v>4.7904</v>
      </c>
    </row>
    <row r="1888" spans="1:4" x14ac:dyDescent="0.2">
      <c r="A1888" s="5">
        <v>39135</v>
      </c>
      <c r="B1888" s="1">
        <v>4.7279</v>
      </c>
      <c r="C1888" s="1">
        <v>0.82</v>
      </c>
      <c r="D1888" s="1">
        <v>4.8292999999999999</v>
      </c>
    </row>
    <row r="1889" spans="1:4" x14ac:dyDescent="0.2">
      <c r="A1889" s="5">
        <v>39136</v>
      </c>
      <c r="B1889" s="1">
        <v>4.6703000000000001</v>
      </c>
      <c r="C1889" s="1">
        <v>0.82</v>
      </c>
      <c r="D1889" s="1">
        <v>4.7765000000000004</v>
      </c>
    </row>
    <row r="1890" spans="1:4" x14ac:dyDescent="0.2">
      <c r="A1890" s="5">
        <v>39139</v>
      </c>
      <c r="B1890" s="1">
        <v>4.6247999999999996</v>
      </c>
      <c r="C1890" s="1">
        <v>0.83</v>
      </c>
      <c r="D1890" s="1">
        <v>4.7302999999999997</v>
      </c>
    </row>
    <row r="1891" spans="1:4" x14ac:dyDescent="0.2">
      <c r="A1891" s="5">
        <v>39140</v>
      </c>
      <c r="B1891" s="1">
        <v>4.5109000000000004</v>
      </c>
      <c r="C1891" s="1">
        <v>0.85</v>
      </c>
      <c r="D1891" s="1">
        <v>4.6315999999999997</v>
      </c>
    </row>
    <row r="1892" spans="1:4" x14ac:dyDescent="0.2">
      <c r="A1892" s="5">
        <v>39141</v>
      </c>
      <c r="B1892" s="1">
        <v>4.5656999999999996</v>
      </c>
      <c r="C1892" s="1">
        <v>0.85</v>
      </c>
      <c r="D1892" s="1">
        <v>4.6806000000000001</v>
      </c>
    </row>
    <row r="1893" spans="1:4" x14ac:dyDescent="0.2">
      <c r="A1893" s="5">
        <v>39142</v>
      </c>
      <c r="B1893" s="1">
        <v>4.5499000000000001</v>
      </c>
      <c r="C1893" s="1">
        <v>0.86</v>
      </c>
      <c r="D1893" s="1">
        <v>4.6757999999999997</v>
      </c>
    </row>
    <row r="1894" spans="1:4" x14ac:dyDescent="0.2">
      <c r="A1894" s="5">
        <v>39143</v>
      </c>
      <c r="B1894" s="1">
        <v>4.4969999999999999</v>
      </c>
      <c r="C1894" s="1">
        <v>0.87</v>
      </c>
      <c r="D1894" s="1">
        <v>4.6382000000000003</v>
      </c>
    </row>
    <row r="1895" spans="1:4" x14ac:dyDescent="0.2">
      <c r="A1895" s="5">
        <v>39146</v>
      </c>
      <c r="B1895" s="1">
        <v>4.4950000000000001</v>
      </c>
      <c r="C1895" s="1">
        <v>0.88</v>
      </c>
      <c r="D1895" s="1">
        <v>4.6344000000000003</v>
      </c>
    </row>
    <row r="1896" spans="1:4" x14ac:dyDescent="0.2">
      <c r="A1896" s="5">
        <v>39147</v>
      </c>
      <c r="B1896" s="1">
        <v>4.5282</v>
      </c>
      <c r="C1896" s="1">
        <v>0.87</v>
      </c>
      <c r="D1896" s="1">
        <v>4.6584000000000003</v>
      </c>
    </row>
    <row r="1897" spans="1:4" x14ac:dyDescent="0.2">
      <c r="A1897" s="5">
        <v>39148</v>
      </c>
      <c r="B1897" s="1">
        <v>4.4870999999999999</v>
      </c>
      <c r="C1897" s="1">
        <v>0.88</v>
      </c>
      <c r="D1897" s="1">
        <v>4.6285999999999996</v>
      </c>
    </row>
    <row r="1898" spans="1:4" x14ac:dyDescent="0.2">
      <c r="A1898" s="5">
        <v>39149</v>
      </c>
      <c r="B1898" s="1">
        <v>4.5125000000000002</v>
      </c>
      <c r="C1898" s="1">
        <v>0.87</v>
      </c>
      <c r="D1898" s="1">
        <v>4.6544999999999996</v>
      </c>
    </row>
    <row r="1899" spans="1:4" x14ac:dyDescent="0.2">
      <c r="A1899" s="5">
        <v>39150</v>
      </c>
      <c r="B1899" s="1">
        <v>4.5871000000000004</v>
      </c>
      <c r="C1899" s="1">
        <v>0.87</v>
      </c>
      <c r="D1899" s="1">
        <v>4.7214</v>
      </c>
    </row>
    <row r="1900" spans="1:4" x14ac:dyDescent="0.2">
      <c r="A1900" s="5">
        <v>39153</v>
      </c>
      <c r="B1900" s="1">
        <v>4.5515999999999996</v>
      </c>
      <c r="C1900" s="1">
        <v>0.87</v>
      </c>
      <c r="D1900" s="1">
        <v>4.6970000000000001</v>
      </c>
    </row>
    <row r="1901" spans="1:4" x14ac:dyDescent="0.2">
      <c r="A1901" s="5">
        <v>39154</v>
      </c>
      <c r="B1901" s="1">
        <v>4.4907000000000004</v>
      </c>
      <c r="C1901" s="1">
        <v>0.88</v>
      </c>
      <c r="D1901" s="1">
        <v>4.6563999999999997</v>
      </c>
    </row>
    <row r="1902" spans="1:4" x14ac:dyDescent="0.2">
      <c r="A1902" s="5">
        <v>39155</v>
      </c>
      <c r="B1902" s="1">
        <v>4.5338000000000003</v>
      </c>
      <c r="C1902" s="1">
        <v>0.9</v>
      </c>
      <c r="D1902" s="1">
        <v>4.6989000000000001</v>
      </c>
    </row>
    <row r="1903" spans="1:4" x14ac:dyDescent="0.2">
      <c r="A1903" s="5">
        <v>39156</v>
      </c>
      <c r="B1903" s="1">
        <v>4.5358000000000001</v>
      </c>
      <c r="C1903" s="1">
        <v>0.9</v>
      </c>
      <c r="D1903" s="1">
        <v>4.6950000000000003</v>
      </c>
    </row>
    <row r="1904" spans="1:4" x14ac:dyDescent="0.2">
      <c r="A1904" s="5">
        <v>39157</v>
      </c>
      <c r="B1904" s="1">
        <v>4.5434999999999999</v>
      </c>
      <c r="C1904" s="1">
        <v>0.91</v>
      </c>
      <c r="D1904" s="1">
        <v>4.6931000000000003</v>
      </c>
    </row>
    <row r="1905" spans="1:4" x14ac:dyDescent="0.2">
      <c r="A1905" s="5">
        <v>39160</v>
      </c>
      <c r="B1905" s="1">
        <v>4.5632000000000001</v>
      </c>
      <c r="C1905" s="1">
        <v>0.9</v>
      </c>
      <c r="D1905" s="1">
        <v>4.7134999999999998</v>
      </c>
    </row>
    <row r="1906" spans="1:4" x14ac:dyDescent="0.2">
      <c r="A1906" s="5">
        <v>39161</v>
      </c>
      <c r="B1906" s="1">
        <v>4.5494000000000003</v>
      </c>
      <c r="C1906" s="1">
        <v>0.91</v>
      </c>
      <c r="D1906" s="1">
        <v>4.7115</v>
      </c>
    </row>
    <row r="1907" spans="1:4" x14ac:dyDescent="0.2">
      <c r="A1907" s="5">
        <v>39162</v>
      </c>
      <c r="B1907" s="1">
        <v>4.5355999999999996</v>
      </c>
      <c r="C1907" s="1">
        <v>0.91</v>
      </c>
      <c r="D1907" s="1">
        <v>4.7202999999999999</v>
      </c>
    </row>
    <row r="1908" spans="1:4" x14ac:dyDescent="0.2">
      <c r="A1908" s="5">
        <v>39163</v>
      </c>
      <c r="B1908" s="1">
        <v>4.5829000000000004</v>
      </c>
      <c r="C1908" s="1">
        <v>0.9</v>
      </c>
      <c r="D1908" s="1">
        <v>4.7744</v>
      </c>
    </row>
    <row r="1909" spans="1:4" x14ac:dyDescent="0.2">
      <c r="A1909" s="5">
        <v>39164</v>
      </c>
      <c r="B1909" s="1">
        <v>4.6105</v>
      </c>
      <c r="C1909" s="1">
        <v>0.9</v>
      </c>
      <c r="D1909" s="1">
        <v>4.8022</v>
      </c>
    </row>
    <row r="1910" spans="1:4" x14ac:dyDescent="0.2">
      <c r="A1910" s="5">
        <v>39167</v>
      </c>
      <c r="B1910" s="1">
        <v>4.6006</v>
      </c>
      <c r="C1910" s="1">
        <v>0.9</v>
      </c>
      <c r="D1910" s="1">
        <v>4.8002000000000002</v>
      </c>
    </row>
    <row r="1911" spans="1:4" x14ac:dyDescent="0.2">
      <c r="A1911" s="5">
        <v>39168</v>
      </c>
      <c r="B1911" s="1">
        <v>4.5965999999999996</v>
      </c>
      <c r="C1911" s="1">
        <v>0.9</v>
      </c>
      <c r="D1911" s="1">
        <v>4.7981999999999996</v>
      </c>
    </row>
    <row r="1912" spans="1:4" x14ac:dyDescent="0.2">
      <c r="A1912" s="5">
        <v>39169</v>
      </c>
      <c r="B1912" s="1">
        <v>4.6204000000000001</v>
      </c>
      <c r="C1912" s="1">
        <v>0.91</v>
      </c>
      <c r="D1912" s="1">
        <v>4.8311000000000002</v>
      </c>
    </row>
    <row r="1913" spans="1:4" x14ac:dyDescent="0.2">
      <c r="A1913" s="5">
        <v>39170</v>
      </c>
      <c r="B1913" s="1">
        <v>4.6422999999999996</v>
      </c>
      <c r="C1913" s="1">
        <v>0.91</v>
      </c>
      <c r="D1913" s="1">
        <v>4.8432000000000004</v>
      </c>
    </row>
    <row r="1914" spans="1:4" x14ac:dyDescent="0.2">
      <c r="A1914" s="5">
        <v>39171</v>
      </c>
      <c r="B1914" s="1">
        <v>4.6443000000000003</v>
      </c>
      <c r="C1914" s="1">
        <v>0.92</v>
      </c>
      <c r="D1914" s="1">
        <v>4.8432000000000004</v>
      </c>
    </row>
    <row r="1915" spans="1:4" x14ac:dyDescent="0.2">
      <c r="A1915" s="5">
        <v>39174</v>
      </c>
      <c r="B1915" s="1">
        <v>4.6402999999999999</v>
      </c>
      <c r="C1915" s="1">
        <v>0.92</v>
      </c>
      <c r="D1915" s="1">
        <v>4.8361000000000001</v>
      </c>
    </row>
    <row r="1916" spans="1:4" x14ac:dyDescent="0.2">
      <c r="A1916" s="5">
        <v>39175</v>
      </c>
      <c r="B1916" s="1">
        <v>4.6642000000000001</v>
      </c>
      <c r="C1916" s="1">
        <v>0.92</v>
      </c>
      <c r="D1916" s="1">
        <v>4.8482000000000003</v>
      </c>
    </row>
    <row r="1917" spans="1:4" x14ac:dyDescent="0.2">
      <c r="A1917" s="5">
        <v>39176</v>
      </c>
      <c r="B1917" s="1">
        <v>4.6482000000000001</v>
      </c>
      <c r="C1917" s="1">
        <v>0.93</v>
      </c>
      <c r="D1917" s="1">
        <v>4.8422000000000001</v>
      </c>
    </row>
    <row r="1918" spans="1:4" x14ac:dyDescent="0.2">
      <c r="A1918" s="5">
        <v>39177</v>
      </c>
      <c r="B1918" s="1">
        <v>4.6782000000000004</v>
      </c>
      <c r="C1918" s="1">
        <v>0.92</v>
      </c>
      <c r="D1918" s="1">
        <v>4.8745000000000003</v>
      </c>
    </row>
    <row r="1919" spans="1:4" x14ac:dyDescent="0.2">
      <c r="A1919" s="5">
        <v>39178</v>
      </c>
      <c r="B1919" s="1">
        <v>4.7484999999999999</v>
      </c>
      <c r="C1919" s="1">
        <v>0.92</v>
      </c>
      <c r="D1919" s="1">
        <v>4.9203000000000001</v>
      </c>
    </row>
    <row r="1920" spans="1:4" x14ac:dyDescent="0.2">
      <c r="A1920" s="5">
        <v>39181</v>
      </c>
      <c r="B1920" s="1">
        <v>4.7424999999999997</v>
      </c>
      <c r="C1920" s="1">
        <v>0.92</v>
      </c>
      <c r="D1920" s="1">
        <v>4.9183000000000003</v>
      </c>
    </row>
    <row r="1921" spans="1:4" x14ac:dyDescent="0.2">
      <c r="A1921" s="5">
        <v>39182</v>
      </c>
      <c r="B1921" s="1">
        <v>4.7183999999999999</v>
      </c>
      <c r="C1921" s="1">
        <v>0.91</v>
      </c>
      <c r="D1921" s="1">
        <v>4.9039999999999999</v>
      </c>
    </row>
    <row r="1922" spans="1:4" x14ac:dyDescent="0.2">
      <c r="A1922" s="5">
        <v>39183</v>
      </c>
      <c r="B1922" s="1">
        <v>4.7304000000000004</v>
      </c>
      <c r="C1922" s="1">
        <v>0.9</v>
      </c>
      <c r="D1922" s="1">
        <v>4.9080000000000004</v>
      </c>
    </row>
    <row r="1923" spans="1:4" x14ac:dyDescent="0.2">
      <c r="A1923" s="5">
        <v>39184</v>
      </c>
      <c r="B1923" s="1">
        <v>4.7344999999999997</v>
      </c>
      <c r="C1923" s="1">
        <v>0.9</v>
      </c>
      <c r="D1923" s="1">
        <v>4.907</v>
      </c>
    </row>
    <row r="1924" spans="1:4" x14ac:dyDescent="0.2">
      <c r="A1924" s="5">
        <v>39185</v>
      </c>
      <c r="B1924" s="1">
        <v>4.7607999999999997</v>
      </c>
      <c r="C1924" s="1">
        <v>0.91</v>
      </c>
      <c r="D1924" s="1">
        <v>4.9295999999999998</v>
      </c>
    </row>
    <row r="1925" spans="1:4" x14ac:dyDescent="0.2">
      <c r="A1925" s="5">
        <v>39188</v>
      </c>
      <c r="B1925" s="1">
        <v>4.7346000000000004</v>
      </c>
      <c r="C1925" s="1">
        <v>0.91</v>
      </c>
      <c r="D1925" s="1">
        <v>4.8897000000000004</v>
      </c>
    </row>
    <row r="1926" spans="1:4" x14ac:dyDescent="0.2">
      <c r="A1926" s="5">
        <v>39189</v>
      </c>
      <c r="B1926" s="1">
        <v>4.6802999999999999</v>
      </c>
      <c r="C1926" s="1">
        <v>0.91</v>
      </c>
      <c r="D1926" s="1">
        <v>4.8432000000000004</v>
      </c>
    </row>
    <row r="1927" spans="1:4" x14ac:dyDescent="0.2">
      <c r="A1927" s="5">
        <v>39190</v>
      </c>
      <c r="B1927" s="1">
        <v>4.6501999999999999</v>
      </c>
      <c r="C1927" s="1">
        <v>0.91</v>
      </c>
      <c r="D1927" s="1">
        <v>4.8151000000000002</v>
      </c>
    </row>
    <row r="1928" spans="1:4" x14ac:dyDescent="0.2">
      <c r="A1928" s="5">
        <v>39191</v>
      </c>
      <c r="B1928" s="1">
        <v>4.6642000000000001</v>
      </c>
      <c r="C1928" s="1">
        <v>0.91</v>
      </c>
      <c r="D1928" s="1">
        <v>4.8331</v>
      </c>
    </row>
    <row r="1929" spans="1:4" x14ac:dyDescent="0.2">
      <c r="A1929" s="5">
        <v>39192</v>
      </c>
      <c r="B1929" s="1">
        <v>4.6703000000000001</v>
      </c>
      <c r="C1929" s="1">
        <v>0.91</v>
      </c>
      <c r="D1929" s="1">
        <v>4.8452000000000002</v>
      </c>
    </row>
    <row r="1930" spans="1:4" x14ac:dyDescent="0.2">
      <c r="A1930" s="5">
        <v>39195</v>
      </c>
      <c r="B1930" s="1">
        <v>4.6402000000000001</v>
      </c>
      <c r="C1930" s="1">
        <v>0.91</v>
      </c>
      <c r="D1930" s="1">
        <v>4.8220999999999998</v>
      </c>
    </row>
    <row r="1931" spans="1:4" x14ac:dyDescent="0.2">
      <c r="A1931" s="5">
        <v>39196</v>
      </c>
      <c r="B1931" s="1">
        <v>4.6201999999999996</v>
      </c>
      <c r="C1931" s="1">
        <v>0.91</v>
      </c>
      <c r="D1931" s="1">
        <v>4.8060999999999998</v>
      </c>
    </row>
    <row r="1932" spans="1:4" x14ac:dyDescent="0.2">
      <c r="A1932" s="5">
        <v>39197</v>
      </c>
      <c r="B1932" s="1">
        <v>4.6501999999999999</v>
      </c>
      <c r="C1932" s="1">
        <v>0.91</v>
      </c>
      <c r="D1932" s="1">
        <v>4.8331</v>
      </c>
    </row>
    <row r="1933" spans="1:4" x14ac:dyDescent="0.2">
      <c r="A1933" s="5">
        <v>39198</v>
      </c>
      <c r="B1933" s="1">
        <v>4.6963999999999997</v>
      </c>
      <c r="C1933" s="1">
        <v>0.91</v>
      </c>
      <c r="D1933" s="1">
        <v>4.8806000000000003</v>
      </c>
    </row>
    <row r="1934" spans="1:4" x14ac:dyDescent="0.2">
      <c r="A1934" s="5">
        <v>39199</v>
      </c>
      <c r="B1934" s="1">
        <v>4.6924000000000001</v>
      </c>
      <c r="C1934" s="1">
        <v>0.92</v>
      </c>
      <c r="D1934" s="1">
        <v>4.8806000000000003</v>
      </c>
    </row>
    <row r="1935" spans="1:4" x14ac:dyDescent="0.2">
      <c r="A1935" s="5">
        <v>39202</v>
      </c>
      <c r="B1935" s="1">
        <v>4.6222000000000003</v>
      </c>
      <c r="C1935" s="1">
        <v>0.92</v>
      </c>
      <c r="D1935" s="1">
        <v>4.8131000000000004</v>
      </c>
    </row>
    <row r="1936" spans="1:4" x14ac:dyDescent="0.2">
      <c r="A1936" s="5">
        <v>39203</v>
      </c>
      <c r="B1936" s="1">
        <v>4.6361999999999997</v>
      </c>
      <c r="C1936" s="1">
        <v>0.92</v>
      </c>
      <c r="D1936" s="1">
        <v>4.8151000000000002</v>
      </c>
    </row>
    <row r="1937" spans="1:4" x14ac:dyDescent="0.2">
      <c r="A1937" s="5">
        <v>39204</v>
      </c>
      <c r="B1937" s="1">
        <v>4.6421999999999999</v>
      </c>
      <c r="C1937" s="1">
        <v>0.92</v>
      </c>
      <c r="D1937" s="1">
        <v>4.8151000000000002</v>
      </c>
    </row>
    <row r="1938" spans="1:4" x14ac:dyDescent="0.2">
      <c r="A1938" s="5">
        <v>39205</v>
      </c>
      <c r="B1938" s="1">
        <v>4.6722999999999999</v>
      </c>
      <c r="C1938" s="1">
        <v>0.91</v>
      </c>
      <c r="D1938" s="1">
        <v>4.8381999999999996</v>
      </c>
    </row>
    <row r="1939" spans="1:4" x14ac:dyDescent="0.2">
      <c r="A1939" s="5">
        <v>39206</v>
      </c>
      <c r="B1939" s="1">
        <v>4.6382000000000003</v>
      </c>
      <c r="C1939" s="1">
        <v>0.91</v>
      </c>
      <c r="D1939" s="1">
        <v>4.8051000000000004</v>
      </c>
    </row>
    <row r="1940" spans="1:4" x14ac:dyDescent="0.2">
      <c r="A1940" s="5">
        <v>39209</v>
      </c>
      <c r="B1940" s="1">
        <v>4.6261999999999999</v>
      </c>
      <c r="C1940" s="1">
        <v>0.91</v>
      </c>
      <c r="D1940" s="1">
        <v>4.7821999999999996</v>
      </c>
    </row>
    <row r="1941" spans="1:4" x14ac:dyDescent="0.2">
      <c r="A1941" s="5">
        <v>39210</v>
      </c>
      <c r="B1941" s="1">
        <v>4.6341999999999999</v>
      </c>
      <c r="C1941" s="1">
        <v>0.91</v>
      </c>
      <c r="D1941" s="1">
        <v>4.8021000000000003</v>
      </c>
    </row>
    <row r="1942" spans="1:4" x14ac:dyDescent="0.2">
      <c r="A1942" s="5">
        <v>39211</v>
      </c>
      <c r="B1942" s="1">
        <v>4.6618000000000004</v>
      </c>
      <c r="C1942" s="1">
        <v>0.91</v>
      </c>
      <c r="D1942" s="1">
        <v>4.8361999999999998</v>
      </c>
    </row>
    <row r="1943" spans="1:4" x14ac:dyDescent="0.2">
      <c r="A1943" s="5">
        <v>39212</v>
      </c>
      <c r="B1943" s="1">
        <v>4.6379000000000001</v>
      </c>
      <c r="C1943" s="1">
        <v>0.91</v>
      </c>
      <c r="D1943" s="1">
        <v>4.8220999999999998</v>
      </c>
    </row>
    <row r="1944" spans="1:4" x14ac:dyDescent="0.2">
      <c r="A1944" s="5">
        <v>39213</v>
      </c>
      <c r="B1944" s="1">
        <v>4.6717000000000004</v>
      </c>
      <c r="C1944" s="1">
        <v>0.91</v>
      </c>
      <c r="D1944" s="1">
        <v>4.8493000000000004</v>
      </c>
    </row>
    <row r="1945" spans="1:4" x14ac:dyDescent="0.2">
      <c r="A1945" s="5">
        <v>39216</v>
      </c>
      <c r="B1945" s="1">
        <v>4.6936</v>
      </c>
      <c r="C1945" s="1">
        <v>0.91</v>
      </c>
      <c r="D1945" s="1">
        <v>4.8674999999999997</v>
      </c>
    </row>
    <row r="1946" spans="1:4" x14ac:dyDescent="0.2">
      <c r="A1946" s="5">
        <v>39217</v>
      </c>
      <c r="B1946" s="1">
        <v>4.7016</v>
      </c>
      <c r="C1946" s="1">
        <v>0.91</v>
      </c>
      <c r="D1946" s="1">
        <v>4.8746</v>
      </c>
    </row>
    <row r="1947" spans="1:4" x14ac:dyDescent="0.2">
      <c r="A1947" s="5">
        <v>39218</v>
      </c>
      <c r="B1947" s="1">
        <v>4.7096</v>
      </c>
      <c r="C1947" s="1">
        <v>0.9</v>
      </c>
      <c r="D1947" s="1">
        <v>4.8787000000000003</v>
      </c>
    </row>
    <row r="1948" spans="1:4" x14ac:dyDescent="0.2">
      <c r="A1948" s="5">
        <v>39219</v>
      </c>
      <c r="B1948" s="1">
        <v>4.7516999999999996</v>
      </c>
      <c r="C1948" s="1">
        <v>0.9</v>
      </c>
      <c r="D1948" s="1">
        <v>4.9132999999999996</v>
      </c>
    </row>
    <row r="1949" spans="1:4" x14ac:dyDescent="0.2">
      <c r="A1949" s="5">
        <v>39220</v>
      </c>
      <c r="B1949" s="1">
        <v>4.8000999999999996</v>
      </c>
      <c r="C1949" s="1">
        <v>0.9</v>
      </c>
      <c r="D1949" s="1">
        <v>4.9576000000000002</v>
      </c>
    </row>
    <row r="1950" spans="1:4" x14ac:dyDescent="0.2">
      <c r="A1950" s="5">
        <v>39223</v>
      </c>
      <c r="B1950" s="1">
        <v>4.782</v>
      </c>
      <c r="C1950" s="1">
        <v>0.9</v>
      </c>
      <c r="D1950" s="1">
        <v>4.9370000000000003</v>
      </c>
    </row>
    <row r="1951" spans="1:4" x14ac:dyDescent="0.2">
      <c r="A1951" s="5">
        <v>39224</v>
      </c>
      <c r="B1951" s="1">
        <v>4.8244999999999996</v>
      </c>
      <c r="C1951" s="1">
        <v>0.9</v>
      </c>
      <c r="D1951" s="1">
        <v>4.9804000000000004</v>
      </c>
    </row>
    <row r="1952" spans="1:4" x14ac:dyDescent="0.2">
      <c r="A1952" s="5">
        <v>39225</v>
      </c>
      <c r="B1952" s="1">
        <v>4.8468</v>
      </c>
      <c r="C1952" s="1">
        <v>0.9</v>
      </c>
      <c r="D1952" s="1">
        <v>5.0034000000000001</v>
      </c>
    </row>
    <row r="1953" spans="1:4" x14ac:dyDescent="0.2">
      <c r="A1953" s="5">
        <v>39226</v>
      </c>
      <c r="B1953" s="1">
        <v>4.8387000000000002</v>
      </c>
      <c r="C1953" s="1">
        <v>0.9</v>
      </c>
      <c r="D1953" s="1">
        <v>4.9897999999999998</v>
      </c>
    </row>
    <row r="1954" spans="1:4" x14ac:dyDescent="0.2">
      <c r="A1954" s="5">
        <v>39227</v>
      </c>
      <c r="B1954" s="1">
        <v>4.8571999999999997</v>
      </c>
      <c r="C1954" s="1">
        <v>0.9</v>
      </c>
      <c r="D1954" s="1">
        <v>5.0023999999999997</v>
      </c>
    </row>
    <row r="1955" spans="1:4" x14ac:dyDescent="0.2">
      <c r="A1955" s="5">
        <v>39230</v>
      </c>
      <c r="B1955" s="1">
        <v>4.8573000000000004</v>
      </c>
      <c r="C1955" s="1">
        <v>0.9</v>
      </c>
      <c r="D1955" s="1">
        <v>5.0023999999999997</v>
      </c>
    </row>
    <row r="1956" spans="1:4" x14ac:dyDescent="0.2">
      <c r="A1956" s="5">
        <v>39231</v>
      </c>
      <c r="B1956" s="1">
        <v>4.8818000000000001</v>
      </c>
      <c r="C1956" s="1">
        <v>0.9</v>
      </c>
      <c r="D1956" s="1">
        <v>5.0171000000000001</v>
      </c>
    </row>
    <row r="1957" spans="1:4" x14ac:dyDescent="0.2">
      <c r="A1957" s="5">
        <v>39232</v>
      </c>
      <c r="B1957" s="1">
        <v>4.8674999999999997</v>
      </c>
      <c r="C1957" s="1">
        <v>0.9</v>
      </c>
      <c r="D1957" s="1">
        <v>5.0014000000000003</v>
      </c>
    </row>
    <row r="1958" spans="1:4" x14ac:dyDescent="0.2">
      <c r="A1958" s="5">
        <v>39233</v>
      </c>
      <c r="B1958" s="1">
        <v>4.8879000000000001</v>
      </c>
      <c r="C1958" s="1">
        <v>0.9</v>
      </c>
      <c r="D1958" s="1">
        <v>5.0098000000000003</v>
      </c>
    </row>
    <row r="1959" spans="1:4" x14ac:dyDescent="0.2">
      <c r="A1959" s="5">
        <v>39234</v>
      </c>
      <c r="B1959" s="1">
        <v>4.9516</v>
      </c>
      <c r="C1959" s="1">
        <v>0.91</v>
      </c>
      <c r="D1959" s="1">
        <v>5.0571999999999999</v>
      </c>
    </row>
    <row r="1960" spans="1:4" x14ac:dyDescent="0.2">
      <c r="A1960" s="5">
        <v>39237</v>
      </c>
      <c r="B1960" s="1">
        <v>4.9271000000000003</v>
      </c>
      <c r="C1960" s="1">
        <v>0.9</v>
      </c>
      <c r="D1960" s="1">
        <v>5.0224000000000002</v>
      </c>
    </row>
    <row r="1961" spans="1:4" x14ac:dyDescent="0.2">
      <c r="A1961" s="5">
        <v>39238</v>
      </c>
      <c r="B1961" s="1">
        <v>4.9908000000000001</v>
      </c>
      <c r="C1961" s="1">
        <v>0.91</v>
      </c>
      <c r="D1961" s="1">
        <v>5.0869999999999997</v>
      </c>
    </row>
    <row r="1962" spans="1:4" x14ac:dyDescent="0.2">
      <c r="A1962" s="5">
        <v>39239</v>
      </c>
      <c r="B1962" s="1">
        <v>4.9641000000000002</v>
      </c>
      <c r="C1962" s="1">
        <v>0.92</v>
      </c>
      <c r="D1962" s="1">
        <v>5.0805999999999996</v>
      </c>
    </row>
    <row r="1963" spans="1:4" x14ac:dyDescent="0.2">
      <c r="A1963" s="5">
        <v>39240</v>
      </c>
      <c r="B1963" s="1">
        <v>5.13</v>
      </c>
      <c r="C1963" s="1">
        <v>0.92</v>
      </c>
      <c r="D1963" s="1">
        <v>5.23</v>
      </c>
    </row>
    <row r="1964" spans="1:4" x14ac:dyDescent="0.2">
      <c r="A1964" s="5">
        <v>39241</v>
      </c>
      <c r="B1964" s="1">
        <v>5.0991</v>
      </c>
      <c r="C1964" s="1">
        <v>0.93</v>
      </c>
      <c r="D1964" s="1">
        <v>5.2069999999999999</v>
      </c>
    </row>
    <row r="1965" spans="1:4" x14ac:dyDescent="0.2">
      <c r="A1965" s="5">
        <v>39244</v>
      </c>
      <c r="B1965" s="1">
        <v>5.1513999999999998</v>
      </c>
      <c r="C1965" s="1">
        <v>0.94</v>
      </c>
      <c r="D1965" s="1">
        <v>5.2554999999999996</v>
      </c>
    </row>
    <row r="1966" spans="1:4" x14ac:dyDescent="0.2">
      <c r="A1966" s="5">
        <v>39245</v>
      </c>
      <c r="B1966" s="1">
        <v>5.2927999999999997</v>
      </c>
      <c r="C1966" s="1">
        <v>0.94</v>
      </c>
      <c r="D1966" s="1">
        <v>5.4019000000000004</v>
      </c>
    </row>
    <row r="1967" spans="1:4" x14ac:dyDescent="0.2">
      <c r="A1967" s="5">
        <v>39246</v>
      </c>
      <c r="B1967" s="1">
        <v>5.1978999999999997</v>
      </c>
      <c r="C1967" s="1">
        <v>0.94</v>
      </c>
      <c r="D1967" s="1">
        <v>5.2789000000000001</v>
      </c>
    </row>
    <row r="1968" spans="1:4" x14ac:dyDescent="0.2">
      <c r="A1968" s="5">
        <v>39247</v>
      </c>
      <c r="B1968" s="1">
        <v>5.2211999999999996</v>
      </c>
      <c r="C1968" s="1">
        <v>0.93</v>
      </c>
      <c r="D1968" s="1">
        <v>5.3011999999999997</v>
      </c>
    </row>
    <row r="1969" spans="1:4" x14ac:dyDescent="0.2">
      <c r="A1969" s="5">
        <v>39248</v>
      </c>
      <c r="B1969" s="1">
        <v>5.1627000000000001</v>
      </c>
      <c r="C1969" s="1">
        <v>0.93</v>
      </c>
      <c r="D1969" s="1">
        <v>5.2590000000000003</v>
      </c>
    </row>
    <row r="1970" spans="1:4" x14ac:dyDescent="0.2">
      <c r="A1970" s="5">
        <v>39251</v>
      </c>
      <c r="B1970" s="1">
        <v>5.1334999999999997</v>
      </c>
      <c r="C1970" s="1">
        <v>0.93</v>
      </c>
      <c r="D1970" s="1">
        <v>5.2523</v>
      </c>
    </row>
    <row r="1971" spans="1:4" x14ac:dyDescent="0.2">
      <c r="A1971" s="5">
        <v>39252</v>
      </c>
      <c r="B1971" s="1">
        <v>5.0814000000000004</v>
      </c>
      <c r="C1971" s="1">
        <v>0.93</v>
      </c>
      <c r="D1971" s="1">
        <v>5.1951999999999998</v>
      </c>
    </row>
    <row r="1972" spans="1:4" x14ac:dyDescent="0.2">
      <c r="A1972" s="5">
        <v>39253</v>
      </c>
      <c r="B1972" s="1">
        <v>5.1315999999999997</v>
      </c>
      <c r="C1972" s="1">
        <v>0.93</v>
      </c>
      <c r="D1972" s="1">
        <v>5.2412999999999998</v>
      </c>
    </row>
    <row r="1973" spans="1:4" x14ac:dyDescent="0.2">
      <c r="A1973" s="5">
        <v>39254</v>
      </c>
      <c r="B1973" s="1">
        <v>5.1863000000000001</v>
      </c>
      <c r="C1973" s="1">
        <v>0.95</v>
      </c>
      <c r="D1973" s="1">
        <v>5.3037000000000001</v>
      </c>
    </row>
    <row r="1974" spans="1:4" x14ac:dyDescent="0.2">
      <c r="A1974" s="5">
        <v>39255</v>
      </c>
      <c r="B1974" s="1">
        <v>5.13</v>
      </c>
      <c r="C1974" s="1">
        <v>0.96</v>
      </c>
      <c r="D1974" s="1">
        <v>5.2481</v>
      </c>
    </row>
    <row r="1975" spans="1:4" x14ac:dyDescent="0.2">
      <c r="A1975" s="5">
        <v>39258</v>
      </c>
      <c r="B1975" s="1">
        <v>5.08</v>
      </c>
      <c r="C1975" s="1">
        <v>0.96</v>
      </c>
      <c r="D1975" s="1">
        <v>5.2030000000000003</v>
      </c>
    </row>
    <row r="1976" spans="1:4" x14ac:dyDescent="0.2">
      <c r="A1976" s="5">
        <v>39259</v>
      </c>
      <c r="B1976" s="1">
        <v>5.0780000000000003</v>
      </c>
      <c r="C1976" s="1">
        <v>0.97</v>
      </c>
      <c r="D1976" s="1">
        <v>5.1985999999999999</v>
      </c>
    </row>
    <row r="1977" spans="1:4" x14ac:dyDescent="0.2">
      <c r="A1977" s="5">
        <v>39260</v>
      </c>
      <c r="B1977" s="1">
        <v>5.0801999999999996</v>
      </c>
      <c r="C1977" s="1">
        <v>0.98</v>
      </c>
      <c r="D1977" s="1">
        <v>5.1943000000000001</v>
      </c>
    </row>
    <row r="1978" spans="1:4" x14ac:dyDescent="0.2">
      <c r="A1978" s="5">
        <v>39261</v>
      </c>
      <c r="B1978" s="1">
        <v>5.1032999999999999</v>
      </c>
      <c r="C1978" s="1">
        <v>0.97</v>
      </c>
      <c r="D1978" s="1">
        <v>5.202</v>
      </c>
    </row>
    <row r="1979" spans="1:4" x14ac:dyDescent="0.2">
      <c r="A1979" s="5">
        <v>39262</v>
      </c>
      <c r="B1979" s="1">
        <v>5.0244</v>
      </c>
      <c r="C1979" s="1">
        <v>0.97</v>
      </c>
      <c r="D1979" s="1">
        <v>5.1238999999999999</v>
      </c>
    </row>
    <row r="1980" spans="1:4" x14ac:dyDescent="0.2">
      <c r="A1980" s="5">
        <v>39265</v>
      </c>
      <c r="B1980" s="1">
        <v>4.9892000000000003</v>
      </c>
      <c r="C1980" s="1">
        <v>0.98</v>
      </c>
      <c r="D1980" s="1">
        <v>5.0895999999999999</v>
      </c>
    </row>
    <row r="1981" spans="1:4" x14ac:dyDescent="0.2">
      <c r="A1981" s="5">
        <v>39266</v>
      </c>
      <c r="B1981" s="1">
        <v>5.0372000000000003</v>
      </c>
      <c r="C1981" s="1">
        <v>0.98</v>
      </c>
      <c r="D1981" s="1">
        <v>5.1390000000000002</v>
      </c>
    </row>
    <row r="1982" spans="1:4" x14ac:dyDescent="0.2">
      <c r="A1982" s="5">
        <v>39267</v>
      </c>
      <c r="B1982" s="1">
        <v>5.0373000000000001</v>
      </c>
      <c r="C1982" s="1">
        <v>0.98</v>
      </c>
      <c r="D1982" s="1">
        <v>5.1390000000000002</v>
      </c>
    </row>
    <row r="1983" spans="1:4" x14ac:dyDescent="0.2">
      <c r="A1983" s="5">
        <v>39268</v>
      </c>
      <c r="B1983" s="1">
        <v>5.1402000000000001</v>
      </c>
      <c r="C1983" s="1">
        <v>0.98</v>
      </c>
      <c r="D1983" s="1">
        <v>5.2308000000000003</v>
      </c>
    </row>
    <row r="1984" spans="1:4" x14ac:dyDescent="0.2">
      <c r="A1984" s="5">
        <v>39269</v>
      </c>
      <c r="B1984" s="1">
        <v>5.1824000000000003</v>
      </c>
      <c r="C1984" s="1">
        <v>0.98</v>
      </c>
      <c r="D1984" s="1">
        <v>5.2683999999999997</v>
      </c>
    </row>
    <row r="1985" spans="1:4" x14ac:dyDescent="0.2">
      <c r="A1985" s="5">
        <v>39272</v>
      </c>
      <c r="B1985" s="1">
        <v>5.1382000000000003</v>
      </c>
      <c r="C1985" s="1">
        <v>0.98</v>
      </c>
      <c r="D1985" s="1">
        <v>5.2363</v>
      </c>
    </row>
    <row r="1986" spans="1:4" x14ac:dyDescent="0.2">
      <c r="A1986" s="5">
        <v>39273</v>
      </c>
      <c r="B1986" s="1">
        <v>5.0212000000000003</v>
      </c>
      <c r="C1986" s="1">
        <v>0.99</v>
      </c>
      <c r="D1986" s="1">
        <v>5.1176000000000004</v>
      </c>
    </row>
    <row r="1987" spans="1:4" x14ac:dyDescent="0.2">
      <c r="A1987" s="5">
        <v>39274</v>
      </c>
      <c r="B1987" s="1">
        <v>5.0860000000000003</v>
      </c>
      <c r="C1987" s="1">
        <v>1</v>
      </c>
      <c r="D1987" s="1">
        <v>5.1901999999999999</v>
      </c>
    </row>
    <row r="1988" spans="1:4" x14ac:dyDescent="0.2">
      <c r="A1988" s="5">
        <v>39275</v>
      </c>
      <c r="B1988" s="1">
        <v>5.1238999999999999</v>
      </c>
      <c r="C1988" s="1">
        <v>1</v>
      </c>
      <c r="D1988" s="1">
        <v>5.2221000000000002</v>
      </c>
    </row>
    <row r="1989" spans="1:4" x14ac:dyDescent="0.2">
      <c r="A1989" s="5">
        <v>39276</v>
      </c>
      <c r="B1989" s="1">
        <v>5.0928000000000004</v>
      </c>
      <c r="C1989" s="1">
        <v>0.99</v>
      </c>
      <c r="D1989" s="1">
        <v>5.1848999999999998</v>
      </c>
    </row>
    <row r="1990" spans="1:4" x14ac:dyDescent="0.2">
      <c r="A1990" s="5">
        <v>39279</v>
      </c>
      <c r="B1990" s="1">
        <v>5.0385</v>
      </c>
      <c r="C1990" s="1">
        <v>1.01</v>
      </c>
      <c r="D1990" s="1">
        <v>5.1264000000000003</v>
      </c>
    </row>
    <row r="1991" spans="1:4" x14ac:dyDescent="0.2">
      <c r="A1991" s="5">
        <v>39280</v>
      </c>
      <c r="B1991" s="1">
        <v>5.0491000000000001</v>
      </c>
      <c r="C1991" s="1">
        <v>1.02</v>
      </c>
      <c r="D1991" s="1">
        <v>5.1383000000000001</v>
      </c>
    </row>
    <row r="1992" spans="1:4" x14ac:dyDescent="0.2">
      <c r="A1992" s="5">
        <v>39281</v>
      </c>
      <c r="B1992" s="1">
        <v>5.0282999999999998</v>
      </c>
      <c r="C1992" s="1">
        <v>1.03</v>
      </c>
      <c r="D1992" s="1">
        <v>5.1231999999999998</v>
      </c>
    </row>
    <row r="1993" spans="1:4" x14ac:dyDescent="0.2">
      <c r="A1993" s="5">
        <v>39282</v>
      </c>
      <c r="B1993" s="1">
        <v>5.0159000000000002</v>
      </c>
      <c r="C1993" s="1">
        <v>1.03</v>
      </c>
      <c r="D1993" s="1">
        <v>5.1092000000000004</v>
      </c>
    </row>
    <row r="1994" spans="1:4" x14ac:dyDescent="0.2">
      <c r="A1994" s="5">
        <v>39283</v>
      </c>
      <c r="B1994" s="1">
        <v>4.9497</v>
      </c>
      <c r="C1994" s="1">
        <v>1.05</v>
      </c>
      <c r="D1994" s="1">
        <v>5.0580999999999996</v>
      </c>
    </row>
    <row r="1995" spans="1:4" x14ac:dyDescent="0.2">
      <c r="A1995" s="5">
        <v>39286</v>
      </c>
      <c r="B1995" s="1">
        <v>4.9477000000000002</v>
      </c>
      <c r="C1995" s="1">
        <v>1.06</v>
      </c>
      <c r="D1995" s="1">
        <v>5.0570000000000004</v>
      </c>
    </row>
    <row r="1996" spans="1:4" x14ac:dyDescent="0.2">
      <c r="A1996" s="5">
        <v>39287</v>
      </c>
      <c r="B1996" s="1">
        <v>4.9085000000000001</v>
      </c>
      <c r="C1996" s="1">
        <v>1.07</v>
      </c>
      <c r="D1996" s="1">
        <v>5.0296000000000003</v>
      </c>
    </row>
    <row r="1997" spans="1:4" x14ac:dyDescent="0.2">
      <c r="A1997" s="5">
        <v>39288</v>
      </c>
      <c r="B1997" s="1">
        <v>4.8982999999999999</v>
      </c>
      <c r="C1997" s="1">
        <v>1.0900000000000001</v>
      </c>
      <c r="D1997" s="1">
        <v>5.0243000000000002</v>
      </c>
    </row>
    <row r="1998" spans="1:4" x14ac:dyDescent="0.2">
      <c r="A1998" s="5">
        <v>39289</v>
      </c>
      <c r="B1998" s="1">
        <v>4.7854000000000001</v>
      </c>
      <c r="C1998" s="1">
        <v>1.1499999999999999</v>
      </c>
      <c r="D1998" s="1">
        <v>4.9532999999999996</v>
      </c>
    </row>
    <row r="1999" spans="1:4" x14ac:dyDescent="0.2">
      <c r="A1999" s="5">
        <v>39290</v>
      </c>
      <c r="B1999" s="1">
        <v>4.7569999999999997</v>
      </c>
      <c r="C1999" s="1">
        <v>1.19</v>
      </c>
      <c r="D1999" s="1">
        <v>4.9317000000000002</v>
      </c>
    </row>
    <row r="2000" spans="1:4" x14ac:dyDescent="0.2">
      <c r="A2000" s="5">
        <v>39293</v>
      </c>
      <c r="B2000" s="1">
        <v>4.8019999999999996</v>
      </c>
      <c r="C2000" s="1">
        <v>1.24</v>
      </c>
      <c r="D2000" s="1">
        <v>4.9543999999999997</v>
      </c>
    </row>
    <row r="2001" spans="1:4" x14ac:dyDescent="0.2">
      <c r="A2001" s="5">
        <v>39294</v>
      </c>
      <c r="B2001" s="1">
        <v>4.7388000000000003</v>
      </c>
      <c r="C2001" s="1">
        <v>1.26</v>
      </c>
      <c r="D2001" s="1">
        <v>4.9019000000000004</v>
      </c>
    </row>
    <row r="2002" spans="1:4" x14ac:dyDescent="0.2">
      <c r="A2002" s="5">
        <v>39295</v>
      </c>
      <c r="B2002" s="1">
        <v>4.7919</v>
      </c>
      <c r="C2002" s="1">
        <v>1.27</v>
      </c>
      <c r="D2002" s="1">
        <v>4.9223999999999997</v>
      </c>
    </row>
    <row r="2003" spans="1:4" x14ac:dyDescent="0.2">
      <c r="A2003" s="5">
        <v>39296</v>
      </c>
      <c r="B2003" s="1">
        <v>4.7653999999999996</v>
      </c>
      <c r="C2003" s="1">
        <v>1.26</v>
      </c>
      <c r="D2003" s="1">
        <v>4.9122000000000003</v>
      </c>
    </row>
    <row r="2004" spans="1:4" x14ac:dyDescent="0.2">
      <c r="A2004" s="5">
        <v>39297</v>
      </c>
      <c r="B2004" s="1">
        <v>4.6841999999999997</v>
      </c>
      <c r="C2004" s="1">
        <v>1.26</v>
      </c>
      <c r="D2004" s="1">
        <v>4.8651999999999997</v>
      </c>
    </row>
    <row r="2005" spans="1:4" x14ac:dyDescent="0.2">
      <c r="A2005" s="5">
        <v>39300</v>
      </c>
      <c r="B2005" s="1">
        <v>4.7370999999999999</v>
      </c>
      <c r="C2005" s="1">
        <v>1.27</v>
      </c>
      <c r="D2005" s="1">
        <v>4.9092000000000002</v>
      </c>
    </row>
    <row r="2006" spans="1:4" x14ac:dyDescent="0.2">
      <c r="A2006" s="5">
        <v>39301</v>
      </c>
      <c r="B2006" s="1">
        <v>4.7676999999999996</v>
      </c>
      <c r="C2006" s="1">
        <v>1.27</v>
      </c>
      <c r="D2006" s="1">
        <v>4.9267000000000003</v>
      </c>
    </row>
    <row r="2007" spans="1:4" x14ac:dyDescent="0.2">
      <c r="A2007" s="5">
        <v>39302</v>
      </c>
      <c r="B2007" s="1">
        <v>4.8766999999999996</v>
      </c>
      <c r="C2007" s="1">
        <v>1.22</v>
      </c>
      <c r="D2007" s="1">
        <v>5.0404</v>
      </c>
    </row>
    <row r="2008" spans="1:4" x14ac:dyDescent="0.2">
      <c r="A2008" s="5">
        <v>39303</v>
      </c>
      <c r="B2008" s="1">
        <v>4.7678000000000003</v>
      </c>
      <c r="C2008" s="1">
        <v>1.24</v>
      </c>
      <c r="D2008" s="1">
        <v>5.0204000000000004</v>
      </c>
    </row>
    <row r="2009" spans="1:4" x14ac:dyDescent="0.2">
      <c r="A2009" s="5">
        <v>39304</v>
      </c>
      <c r="B2009" s="1">
        <v>4.8075999999999999</v>
      </c>
      <c r="C2009" s="1">
        <v>1.26</v>
      </c>
      <c r="D2009" s="1">
        <v>5.0331000000000001</v>
      </c>
    </row>
    <row r="2010" spans="1:4" x14ac:dyDescent="0.2">
      <c r="A2010" s="5">
        <v>39307</v>
      </c>
      <c r="B2010" s="1">
        <v>4.7599</v>
      </c>
      <c r="C2010" s="1">
        <v>1.26</v>
      </c>
      <c r="D2010" s="1">
        <v>4.9995000000000003</v>
      </c>
    </row>
    <row r="2011" spans="1:4" x14ac:dyDescent="0.2">
      <c r="A2011" s="5">
        <v>39308</v>
      </c>
      <c r="B2011" s="1">
        <v>4.7243000000000004</v>
      </c>
      <c r="C2011" s="1">
        <v>1.27</v>
      </c>
      <c r="D2011" s="1">
        <v>4.9884000000000004</v>
      </c>
    </row>
    <row r="2012" spans="1:4" x14ac:dyDescent="0.2">
      <c r="A2012" s="5">
        <v>39309</v>
      </c>
      <c r="B2012" s="1">
        <v>4.7243000000000004</v>
      </c>
      <c r="C2012" s="1">
        <v>1.35</v>
      </c>
      <c r="D2012" s="1">
        <v>5.0259999999999998</v>
      </c>
    </row>
    <row r="2013" spans="1:4" x14ac:dyDescent="0.2">
      <c r="A2013" s="5">
        <v>39310</v>
      </c>
      <c r="B2013" s="1">
        <v>4.6571999999999996</v>
      </c>
      <c r="C2013" s="1">
        <v>1.44</v>
      </c>
      <c r="D2013" s="1">
        <v>4.9581</v>
      </c>
    </row>
    <row r="2014" spans="1:4" x14ac:dyDescent="0.2">
      <c r="A2014" s="5">
        <v>39311</v>
      </c>
      <c r="B2014" s="1">
        <v>4.6847000000000003</v>
      </c>
      <c r="C2014" s="1">
        <v>1.39</v>
      </c>
      <c r="D2014" s="1">
        <v>4.9863</v>
      </c>
    </row>
    <row r="2015" spans="1:4" x14ac:dyDescent="0.2">
      <c r="A2015" s="5">
        <v>39314</v>
      </c>
      <c r="B2015" s="1">
        <v>4.6257000000000001</v>
      </c>
      <c r="C2015" s="1">
        <v>1.41</v>
      </c>
      <c r="D2015" s="1">
        <v>4.9650999999999996</v>
      </c>
    </row>
    <row r="2016" spans="1:4" x14ac:dyDescent="0.2">
      <c r="A2016" s="5">
        <v>39315</v>
      </c>
      <c r="B2016" s="1">
        <v>4.5903999999999998</v>
      </c>
      <c r="C2016" s="1">
        <v>1.4</v>
      </c>
      <c r="D2016" s="1">
        <v>4.9480000000000004</v>
      </c>
    </row>
    <row r="2017" spans="1:4" x14ac:dyDescent="0.2">
      <c r="A2017" s="5">
        <v>39316</v>
      </c>
      <c r="B2017" s="1">
        <v>4.6452</v>
      </c>
      <c r="C2017" s="1">
        <v>1.4</v>
      </c>
      <c r="D2017" s="1">
        <v>4.9611000000000001</v>
      </c>
    </row>
    <row r="2018" spans="1:4" x14ac:dyDescent="0.2">
      <c r="A2018" s="5">
        <v>39317</v>
      </c>
      <c r="B2018" s="1">
        <v>4.6452</v>
      </c>
      <c r="C2018" s="1">
        <v>1.37</v>
      </c>
      <c r="D2018" s="1">
        <v>4.9359999999999999</v>
      </c>
    </row>
    <row r="2019" spans="1:4" x14ac:dyDescent="0.2">
      <c r="A2019" s="5">
        <v>39318</v>
      </c>
      <c r="B2019" s="1">
        <v>4.6155999999999997</v>
      </c>
      <c r="C2019" s="1">
        <v>1.38</v>
      </c>
      <c r="D2019" s="1">
        <v>4.8842999999999996</v>
      </c>
    </row>
    <row r="2020" spans="1:4" x14ac:dyDescent="0.2">
      <c r="A2020" s="5">
        <v>39321</v>
      </c>
      <c r="B2020" s="1">
        <v>4.5627000000000004</v>
      </c>
      <c r="C2020" s="1">
        <v>1.38</v>
      </c>
      <c r="D2020" s="1">
        <v>4.8577000000000004</v>
      </c>
    </row>
    <row r="2021" spans="1:4" x14ac:dyDescent="0.2">
      <c r="A2021" s="5">
        <v>39322</v>
      </c>
      <c r="B2021" s="1">
        <v>4.5061999999999998</v>
      </c>
      <c r="C2021" s="1">
        <v>1.39</v>
      </c>
      <c r="D2021" s="1">
        <v>4.84</v>
      </c>
    </row>
    <row r="2022" spans="1:4" x14ac:dyDescent="0.2">
      <c r="A2022" s="5">
        <v>39323</v>
      </c>
      <c r="B2022" s="1">
        <v>4.5587</v>
      </c>
      <c r="C2022" s="1">
        <v>1.39</v>
      </c>
      <c r="D2022" s="1">
        <v>4.8792999999999997</v>
      </c>
    </row>
    <row r="2023" spans="1:4" x14ac:dyDescent="0.2">
      <c r="A2023" s="5">
        <v>39324</v>
      </c>
      <c r="B2023" s="1">
        <v>4.5061</v>
      </c>
      <c r="C2023" s="1">
        <v>1.42</v>
      </c>
      <c r="D2023" s="1">
        <v>4.8243999999999998</v>
      </c>
    </row>
    <row r="2024" spans="1:4" x14ac:dyDescent="0.2">
      <c r="A2024" s="5">
        <v>39325</v>
      </c>
      <c r="B2024" s="1">
        <v>4.5292000000000003</v>
      </c>
      <c r="C2024" s="1">
        <v>1.45</v>
      </c>
      <c r="D2024" s="1">
        <v>4.8224</v>
      </c>
    </row>
    <row r="2025" spans="1:4" x14ac:dyDescent="0.2">
      <c r="A2025" s="5">
        <v>39328</v>
      </c>
      <c r="B2025" s="1">
        <v>4.5290999999999997</v>
      </c>
      <c r="C2025" s="1">
        <v>1.45</v>
      </c>
      <c r="D2025" s="1">
        <v>4.8224</v>
      </c>
    </row>
    <row r="2026" spans="1:4" x14ac:dyDescent="0.2">
      <c r="A2026" s="5">
        <v>39329</v>
      </c>
      <c r="B2026" s="1">
        <v>4.5465999999999998</v>
      </c>
      <c r="C2026" s="1">
        <v>1.46</v>
      </c>
      <c r="D2026" s="1">
        <v>4.8301999999999996</v>
      </c>
    </row>
    <row r="2027" spans="1:4" x14ac:dyDescent="0.2">
      <c r="A2027" s="5">
        <v>39330</v>
      </c>
      <c r="B2027" s="1">
        <v>4.4668999999999999</v>
      </c>
      <c r="C2027" s="1">
        <v>1.47</v>
      </c>
      <c r="D2027" s="1">
        <v>4.7699999999999996</v>
      </c>
    </row>
    <row r="2028" spans="1:4" x14ac:dyDescent="0.2">
      <c r="A2028" s="5">
        <v>39331</v>
      </c>
      <c r="B2028" s="1">
        <v>4.5076000000000001</v>
      </c>
      <c r="C2028" s="1">
        <v>1.48</v>
      </c>
      <c r="D2028" s="1">
        <v>4.7950999999999997</v>
      </c>
    </row>
    <row r="2029" spans="1:4" x14ac:dyDescent="0.2">
      <c r="A2029" s="5">
        <v>39332</v>
      </c>
      <c r="B2029" s="1">
        <v>4.3815999999999997</v>
      </c>
      <c r="C2029" s="1">
        <v>1.52</v>
      </c>
      <c r="D2029" s="1">
        <v>4.6973000000000003</v>
      </c>
    </row>
    <row r="2030" spans="1:4" x14ac:dyDescent="0.2">
      <c r="A2030" s="5">
        <v>39335</v>
      </c>
      <c r="B2030" s="1">
        <v>4.3220000000000001</v>
      </c>
      <c r="C2030" s="1">
        <v>1.53</v>
      </c>
      <c r="D2030" s="1">
        <v>4.6371000000000002</v>
      </c>
    </row>
    <row r="2031" spans="1:4" x14ac:dyDescent="0.2">
      <c r="A2031" s="5">
        <v>39336</v>
      </c>
      <c r="B2031" s="1">
        <v>4.3678999999999997</v>
      </c>
      <c r="C2031" s="1">
        <v>1.54</v>
      </c>
      <c r="D2031" s="1">
        <v>4.6529999999999996</v>
      </c>
    </row>
    <row r="2032" spans="1:4" x14ac:dyDescent="0.2">
      <c r="A2032" s="5">
        <v>39337</v>
      </c>
      <c r="B2032" s="1">
        <v>4.4101999999999997</v>
      </c>
      <c r="C2032" s="1">
        <v>1.55</v>
      </c>
      <c r="D2032" s="1">
        <v>4.6859000000000002</v>
      </c>
    </row>
    <row r="2033" spans="1:4" x14ac:dyDescent="0.2">
      <c r="A2033" s="5">
        <v>39338</v>
      </c>
      <c r="B2033" s="1">
        <v>4.4642999999999997</v>
      </c>
      <c r="C2033" s="1">
        <v>1.54</v>
      </c>
      <c r="D2033" s="1">
        <v>4.7324999999999999</v>
      </c>
    </row>
    <row r="2034" spans="1:4" x14ac:dyDescent="0.2">
      <c r="A2034" s="5">
        <v>39339</v>
      </c>
      <c r="B2034" s="1">
        <v>4.4543999999999997</v>
      </c>
      <c r="C2034" s="1">
        <v>1.57</v>
      </c>
      <c r="D2034" s="1">
        <v>4.7191000000000001</v>
      </c>
    </row>
    <row r="2035" spans="1:4" x14ac:dyDescent="0.2">
      <c r="A2035" s="5">
        <v>39342</v>
      </c>
      <c r="B2035" s="1">
        <v>4.4660000000000002</v>
      </c>
      <c r="C2035" s="1">
        <v>1.56</v>
      </c>
      <c r="D2035" s="1">
        <v>4.6981999999999999</v>
      </c>
    </row>
    <row r="2036" spans="1:4" x14ac:dyDescent="0.2">
      <c r="A2036" s="5">
        <v>39343</v>
      </c>
      <c r="B2036" s="1">
        <v>4.4717000000000002</v>
      </c>
      <c r="C2036" s="1">
        <v>1.55</v>
      </c>
      <c r="D2036" s="1">
        <v>4.7545000000000002</v>
      </c>
    </row>
    <row r="2037" spans="1:4" x14ac:dyDescent="0.2">
      <c r="A2037" s="5">
        <v>39344</v>
      </c>
      <c r="B2037" s="1">
        <v>4.5457999999999998</v>
      </c>
      <c r="C2037" s="1">
        <v>1.5</v>
      </c>
      <c r="D2037" s="1">
        <v>4.835</v>
      </c>
    </row>
    <row r="2038" spans="1:4" x14ac:dyDescent="0.2">
      <c r="A2038" s="5">
        <v>39345</v>
      </c>
      <c r="B2038" s="1">
        <v>4.6957000000000004</v>
      </c>
      <c r="C2038" s="1">
        <v>1.49</v>
      </c>
      <c r="D2038" s="1">
        <v>4.9641999999999999</v>
      </c>
    </row>
    <row r="2039" spans="1:4" x14ac:dyDescent="0.2">
      <c r="A2039" s="5">
        <v>39346</v>
      </c>
      <c r="B2039" s="1">
        <v>4.6203000000000003</v>
      </c>
      <c r="C2039" s="1">
        <v>1.44</v>
      </c>
      <c r="D2039" s="1">
        <v>4.8852000000000002</v>
      </c>
    </row>
    <row r="2040" spans="1:4" x14ac:dyDescent="0.2">
      <c r="A2040" s="5">
        <v>39349</v>
      </c>
      <c r="B2040" s="1">
        <v>4.6281999999999996</v>
      </c>
      <c r="C2040" s="1">
        <v>1.43</v>
      </c>
      <c r="D2040" s="1">
        <v>4.8822999999999999</v>
      </c>
    </row>
    <row r="2041" spans="1:4" x14ac:dyDescent="0.2">
      <c r="A2041" s="5">
        <v>39350</v>
      </c>
      <c r="B2041" s="1">
        <v>4.6242000000000001</v>
      </c>
      <c r="C2041" s="1">
        <v>1.45</v>
      </c>
      <c r="D2041" s="1">
        <v>4.9020999999999999</v>
      </c>
    </row>
    <row r="2042" spans="1:4" x14ac:dyDescent="0.2">
      <c r="A2042" s="5">
        <v>39351</v>
      </c>
      <c r="B2042" s="1">
        <v>4.6201999999999996</v>
      </c>
      <c r="C2042" s="1">
        <v>1.44</v>
      </c>
      <c r="D2042" s="1">
        <v>4.8921999999999999</v>
      </c>
    </row>
    <row r="2043" spans="1:4" x14ac:dyDescent="0.2">
      <c r="A2043" s="5">
        <v>39352</v>
      </c>
      <c r="B2043" s="1">
        <v>4.5629999999999997</v>
      </c>
      <c r="C2043" s="1">
        <v>1.45</v>
      </c>
      <c r="D2043" s="1">
        <v>4.8339999999999996</v>
      </c>
    </row>
    <row r="2044" spans="1:4" x14ac:dyDescent="0.2">
      <c r="A2044" s="5">
        <v>39353</v>
      </c>
      <c r="B2044" s="1">
        <v>4.5865</v>
      </c>
      <c r="C2044" s="1">
        <v>1.45</v>
      </c>
      <c r="D2044" s="1">
        <v>4.8360000000000003</v>
      </c>
    </row>
    <row r="2045" spans="1:4" x14ac:dyDescent="0.2">
      <c r="A2045" s="5">
        <v>39356</v>
      </c>
      <c r="B2045" s="1">
        <v>4.5452000000000004</v>
      </c>
      <c r="C2045" s="1">
        <v>1.46</v>
      </c>
      <c r="D2045" s="1">
        <v>4.7862999999999998</v>
      </c>
    </row>
    <row r="2046" spans="1:4" x14ac:dyDescent="0.2">
      <c r="A2046" s="5">
        <v>39357</v>
      </c>
      <c r="B2046" s="1">
        <v>4.5216000000000003</v>
      </c>
      <c r="C2046" s="1">
        <v>1.45</v>
      </c>
      <c r="D2046" s="1">
        <v>4.7670000000000003</v>
      </c>
    </row>
    <row r="2047" spans="1:4" x14ac:dyDescent="0.2">
      <c r="A2047" s="5">
        <v>39358</v>
      </c>
      <c r="B2047" s="1">
        <v>4.5587999999999997</v>
      </c>
      <c r="C2047" s="1">
        <v>1.43</v>
      </c>
      <c r="D2047" s="1">
        <v>4.7960000000000003</v>
      </c>
    </row>
    <row r="2048" spans="1:4" x14ac:dyDescent="0.2">
      <c r="A2048" s="5">
        <v>39359</v>
      </c>
      <c r="B2048" s="1">
        <v>4.5096999999999996</v>
      </c>
      <c r="C2048" s="1">
        <v>1.41</v>
      </c>
      <c r="D2048" s="1">
        <v>4.7564000000000002</v>
      </c>
    </row>
    <row r="2049" spans="1:4" x14ac:dyDescent="0.2">
      <c r="A2049" s="5">
        <v>39360</v>
      </c>
      <c r="B2049" s="1">
        <v>4.6356000000000002</v>
      </c>
      <c r="C2049" s="1">
        <v>1.38</v>
      </c>
      <c r="D2049" s="1">
        <v>4.8654999999999999</v>
      </c>
    </row>
    <row r="2050" spans="1:4" x14ac:dyDescent="0.2">
      <c r="A2050" s="5">
        <v>39363</v>
      </c>
      <c r="B2050" s="1">
        <v>4.6356000000000002</v>
      </c>
      <c r="C2050" s="1">
        <v>1.38</v>
      </c>
      <c r="D2050" s="1">
        <v>4.8654999999999999</v>
      </c>
    </row>
    <row r="2051" spans="1:4" x14ac:dyDescent="0.2">
      <c r="A2051" s="5">
        <v>39364</v>
      </c>
      <c r="B2051" s="1">
        <v>4.6475</v>
      </c>
      <c r="C2051" s="1">
        <v>1.38</v>
      </c>
      <c r="D2051" s="1">
        <v>4.8615000000000004</v>
      </c>
    </row>
    <row r="2052" spans="1:4" x14ac:dyDescent="0.2">
      <c r="A2052" s="5">
        <v>39365</v>
      </c>
      <c r="B2052" s="1">
        <v>4.6494999999999997</v>
      </c>
      <c r="C2052" s="1">
        <v>1.36</v>
      </c>
      <c r="D2052" s="1">
        <v>4.8673999999999999</v>
      </c>
    </row>
    <row r="2053" spans="1:4" x14ac:dyDescent="0.2">
      <c r="A2053" s="5">
        <v>39366</v>
      </c>
      <c r="B2053" s="1">
        <v>4.6355000000000004</v>
      </c>
      <c r="C2053" s="1">
        <v>1.35</v>
      </c>
      <c r="D2053" s="1">
        <v>4.8635000000000002</v>
      </c>
    </row>
    <row r="2054" spans="1:4" x14ac:dyDescent="0.2">
      <c r="A2054" s="5">
        <v>39367</v>
      </c>
      <c r="B2054" s="1">
        <v>4.6811999999999996</v>
      </c>
      <c r="C2054" s="1">
        <v>1.34</v>
      </c>
      <c r="D2054" s="1">
        <v>4.9010999999999996</v>
      </c>
    </row>
    <row r="2055" spans="1:4" x14ac:dyDescent="0.2">
      <c r="A2055" s="5">
        <v>39370</v>
      </c>
      <c r="B2055" s="1">
        <v>4.6772</v>
      </c>
      <c r="C2055" s="1">
        <v>1.32</v>
      </c>
      <c r="D2055" s="1">
        <v>4.9120999999999997</v>
      </c>
    </row>
    <row r="2056" spans="1:4" x14ac:dyDescent="0.2">
      <c r="A2056" s="5">
        <v>39371</v>
      </c>
      <c r="B2056" s="1">
        <v>4.6473000000000004</v>
      </c>
      <c r="C2056" s="1">
        <v>1.33</v>
      </c>
      <c r="D2056" s="1">
        <v>4.9031000000000002</v>
      </c>
    </row>
    <row r="2057" spans="1:4" x14ac:dyDescent="0.2">
      <c r="A2057" s="5">
        <v>39372</v>
      </c>
      <c r="B2057" s="1">
        <v>4.5522</v>
      </c>
      <c r="C2057" s="1">
        <v>1.35</v>
      </c>
      <c r="D2057" s="1">
        <v>4.8251999999999997</v>
      </c>
    </row>
    <row r="2058" spans="1:4" x14ac:dyDescent="0.2">
      <c r="A2058" s="5">
        <v>39373</v>
      </c>
      <c r="B2058" s="1">
        <v>4.4893000000000001</v>
      </c>
      <c r="C2058" s="1">
        <v>1.38</v>
      </c>
      <c r="D2058" s="1">
        <v>4.7698</v>
      </c>
    </row>
    <row r="2059" spans="1:4" x14ac:dyDescent="0.2">
      <c r="A2059" s="5">
        <v>39374</v>
      </c>
      <c r="B2059" s="1">
        <v>4.3914999999999997</v>
      </c>
      <c r="C2059" s="1">
        <v>1.39</v>
      </c>
      <c r="D2059" s="1">
        <v>4.6856</v>
      </c>
    </row>
    <row r="2060" spans="1:4" x14ac:dyDescent="0.2">
      <c r="A2060" s="5">
        <v>39377</v>
      </c>
      <c r="B2060" s="1">
        <v>4.4108000000000001</v>
      </c>
      <c r="C2060" s="1">
        <v>1.44</v>
      </c>
      <c r="D2060" s="1">
        <v>4.6885000000000003</v>
      </c>
    </row>
    <row r="2061" spans="1:4" x14ac:dyDescent="0.2">
      <c r="A2061" s="5">
        <v>39378</v>
      </c>
      <c r="B2061" s="1">
        <v>4.4029999999999996</v>
      </c>
      <c r="C2061" s="1">
        <v>1.42</v>
      </c>
      <c r="D2061" s="1">
        <v>4.6942000000000004</v>
      </c>
    </row>
    <row r="2062" spans="1:4" x14ac:dyDescent="0.2">
      <c r="A2062" s="5">
        <v>39379</v>
      </c>
      <c r="B2062" s="1">
        <v>4.3388</v>
      </c>
      <c r="C2062" s="1">
        <v>1.44</v>
      </c>
      <c r="D2062" s="1">
        <v>4.6421999999999999</v>
      </c>
    </row>
    <row r="2063" spans="1:4" x14ac:dyDescent="0.2">
      <c r="A2063" s="5">
        <v>39380</v>
      </c>
      <c r="B2063" s="1">
        <v>4.3775000000000004</v>
      </c>
      <c r="C2063" s="1">
        <v>1.44</v>
      </c>
      <c r="D2063" s="1">
        <v>4.6828000000000003</v>
      </c>
    </row>
    <row r="2064" spans="1:4" x14ac:dyDescent="0.2">
      <c r="A2064" s="5">
        <v>39381</v>
      </c>
      <c r="B2064" s="1">
        <v>4.4005999999999998</v>
      </c>
      <c r="C2064" s="1">
        <v>1.44</v>
      </c>
      <c r="D2064" s="1">
        <v>4.6978999999999997</v>
      </c>
    </row>
    <row r="2065" spans="1:4" x14ac:dyDescent="0.2">
      <c r="A2065" s="5">
        <v>39384</v>
      </c>
      <c r="B2065" s="1">
        <v>4.3811</v>
      </c>
      <c r="C2065" s="1">
        <v>1.43</v>
      </c>
      <c r="D2065" s="1">
        <v>4.6638000000000002</v>
      </c>
    </row>
    <row r="2066" spans="1:4" x14ac:dyDescent="0.2">
      <c r="A2066" s="5">
        <v>39385</v>
      </c>
      <c r="B2066" s="1">
        <v>4.3789999999999996</v>
      </c>
      <c r="C2066" s="1">
        <v>1.43</v>
      </c>
      <c r="D2066" s="1">
        <v>4.6741999999999999</v>
      </c>
    </row>
    <row r="2067" spans="1:4" x14ac:dyDescent="0.2">
      <c r="A2067" s="5">
        <v>39386</v>
      </c>
      <c r="B2067" s="1">
        <v>4.4707999999999997</v>
      </c>
      <c r="C2067" s="1">
        <v>1.43</v>
      </c>
      <c r="D2067" s="1">
        <v>4.7457000000000003</v>
      </c>
    </row>
    <row r="2068" spans="1:4" x14ac:dyDescent="0.2">
      <c r="A2068" s="5">
        <v>39387</v>
      </c>
      <c r="B2068" s="1">
        <v>4.3457999999999997</v>
      </c>
      <c r="C2068" s="1">
        <v>1.46</v>
      </c>
      <c r="D2068" s="1">
        <v>4.6364999999999998</v>
      </c>
    </row>
    <row r="2069" spans="1:4" x14ac:dyDescent="0.2">
      <c r="A2069" s="5">
        <v>39388</v>
      </c>
      <c r="B2069" s="1">
        <v>4.3164999999999996</v>
      </c>
      <c r="C2069" s="1">
        <v>1.51</v>
      </c>
      <c r="D2069" s="1">
        <v>4.6158999999999999</v>
      </c>
    </row>
    <row r="2070" spans="1:4" x14ac:dyDescent="0.2">
      <c r="A2070" s="5">
        <v>39391</v>
      </c>
      <c r="B2070" s="1">
        <v>4.3338000000000001</v>
      </c>
      <c r="C2070" s="1">
        <v>1.55</v>
      </c>
      <c r="D2070" s="1">
        <v>4.6272000000000002</v>
      </c>
    </row>
    <row r="2071" spans="1:4" x14ac:dyDescent="0.2">
      <c r="A2071" s="5">
        <v>39392</v>
      </c>
      <c r="B2071" s="1">
        <v>4.3726000000000003</v>
      </c>
      <c r="C2071" s="1">
        <v>1.54</v>
      </c>
      <c r="D2071" s="1">
        <v>4.6665999999999999</v>
      </c>
    </row>
    <row r="2072" spans="1:4" x14ac:dyDescent="0.2">
      <c r="A2072" s="5">
        <v>39393</v>
      </c>
      <c r="B2072" s="1">
        <v>4.3083999999999998</v>
      </c>
      <c r="C2072" s="1">
        <v>1.57</v>
      </c>
      <c r="D2072" s="1">
        <v>4.6534000000000004</v>
      </c>
    </row>
    <row r="2073" spans="1:4" x14ac:dyDescent="0.2">
      <c r="A2073" s="5">
        <v>39394</v>
      </c>
      <c r="B2073" s="1">
        <v>4.2828999999999997</v>
      </c>
      <c r="C2073" s="1">
        <v>1.6</v>
      </c>
      <c r="D2073" s="1">
        <v>4.6676000000000002</v>
      </c>
    </row>
    <row r="2074" spans="1:4" x14ac:dyDescent="0.2">
      <c r="A2074" s="5">
        <v>39395</v>
      </c>
      <c r="B2074" s="1">
        <v>4.2133000000000003</v>
      </c>
      <c r="C2074" s="1">
        <v>1.63</v>
      </c>
      <c r="D2074" s="1">
        <v>4.6028000000000002</v>
      </c>
    </row>
    <row r="2075" spans="1:4" x14ac:dyDescent="0.2">
      <c r="A2075" s="5">
        <v>39398</v>
      </c>
      <c r="B2075" s="1">
        <v>4.2133000000000003</v>
      </c>
      <c r="C2075" s="1">
        <v>1.63</v>
      </c>
      <c r="D2075" s="1">
        <v>4.6028000000000002</v>
      </c>
    </row>
    <row r="2076" spans="1:4" x14ac:dyDescent="0.2">
      <c r="A2076" s="5">
        <v>39399</v>
      </c>
      <c r="B2076" s="1">
        <v>4.2634999999999996</v>
      </c>
      <c r="C2076" s="1">
        <v>1.65</v>
      </c>
      <c r="D2076" s="1">
        <v>4.6150000000000002</v>
      </c>
    </row>
    <row r="2077" spans="1:4" x14ac:dyDescent="0.2">
      <c r="A2077" s="5">
        <v>39400</v>
      </c>
      <c r="B2077" s="1">
        <v>4.25</v>
      </c>
      <c r="C2077" s="1">
        <v>1.65</v>
      </c>
      <c r="D2077" s="1">
        <v>4.5972</v>
      </c>
    </row>
    <row r="2078" spans="1:4" x14ac:dyDescent="0.2">
      <c r="A2078" s="5">
        <v>39401</v>
      </c>
      <c r="B2078" s="1">
        <v>4.1402999999999999</v>
      </c>
      <c r="C2078" s="1">
        <v>1.7</v>
      </c>
      <c r="D2078" s="1">
        <v>4.5189000000000004</v>
      </c>
    </row>
    <row r="2079" spans="1:4" x14ac:dyDescent="0.2">
      <c r="A2079" s="5">
        <v>39402</v>
      </c>
      <c r="B2079" s="1">
        <v>4.1669999999999998</v>
      </c>
      <c r="C2079" s="1">
        <v>1.73</v>
      </c>
      <c r="D2079" s="1">
        <v>4.5343999999999998</v>
      </c>
    </row>
    <row r="2080" spans="1:4" x14ac:dyDescent="0.2">
      <c r="A2080" s="5">
        <v>39405</v>
      </c>
      <c r="B2080" s="1">
        <v>4.0713999999999997</v>
      </c>
      <c r="C2080" s="1">
        <v>1.75</v>
      </c>
      <c r="D2080" s="1">
        <v>4.4760999999999997</v>
      </c>
    </row>
    <row r="2081" spans="1:4" x14ac:dyDescent="0.2">
      <c r="A2081" s="5">
        <v>39406</v>
      </c>
      <c r="B2081" s="1">
        <v>4.0960999999999999</v>
      </c>
      <c r="C2081" s="1">
        <v>1.77</v>
      </c>
      <c r="D2081" s="1">
        <v>4.4977999999999998</v>
      </c>
    </row>
    <row r="2082" spans="1:4" x14ac:dyDescent="0.2">
      <c r="A2082" s="5">
        <v>39407</v>
      </c>
      <c r="B2082" s="1">
        <v>4.0067000000000004</v>
      </c>
      <c r="C2082" s="1">
        <v>1.79</v>
      </c>
      <c r="D2082" s="1">
        <v>4.4588000000000001</v>
      </c>
    </row>
    <row r="2083" spans="1:4" x14ac:dyDescent="0.2">
      <c r="A2083" s="5">
        <v>39408</v>
      </c>
      <c r="B2083" s="1">
        <v>4.0065</v>
      </c>
      <c r="C2083" s="1">
        <v>1.79</v>
      </c>
      <c r="D2083" s="1">
        <v>4.4587000000000003</v>
      </c>
    </row>
    <row r="2084" spans="1:4" x14ac:dyDescent="0.2">
      <c r="A2084" s="5">
        <v>39409</v>
      </c>
      <c r="B2084" s="1">
        <v>3.9988999999999999</v>
      </c>
      <c r="C2084" s="1">
        <v>1.79</v>
      </c>
      <c r="D2084" s="1">
        <v>4.4245999999999999</v>
      </c>
    </row>
    <row r="2085" spans="1:4" x14ac:dyDescent="0.2">
      <c r="A2085" s="5">
        <v>39412</v>
      </c>
      <c r="B2085" s="1">
        <v>3.8391000000000002</v>
      </c>
      <c r="C2085" s="1">
        <v>1.79</v>
      </c>
      <c r="D2085" s="1">
        <v>4.2899000000000003</v>
      </c>
    </row>
    <row r="2086" spans="1:4" x14ac:dyDescent="0.2">
      <c r="A2086" s="5">
        <v>39413</v>
      </c>
      <c r="B2086" s="1">
        <v>3.9477000000000002</v>
      </c>
      <c r="C2086" s="1">
        <v>1.81</v>
      </c>
      <c r="D2086" s="1">
        <v>4.3632999999999997</v>
      </c>
    </row>
    <row r="2087" spans="1:4" x14ac:dyDescent="0.2">
      <c r="A2087" s="5">
        <v>39414</v>
      </c>
      <c r="B2087" s="1">
        <v>4.0347</v>
      </c>
      <c r="C2087" s="1">
        <v>1.83</v>
      </c>
      <c r="D2087" s="1">
        <v>4.4183000000000003</v>
      </c>
    </row>
    <row r="2088" spans="1:4" x14ac:dyDescent="0.2">
      <c r="A2088" s="5">
        <v>39415</v>
      </c>
      <c r="B2088" s="1">
        <v>3.9344000000000001</v>
      </c>
      <c r="C2088" s="1">
        <v>1.87</v>
      </c>
      <c r="D2088" s="1">
        <v>4.3456000000000001</v>
      </c>
    </row>
    <row r="2089" spans="1:4" x14ac:dyDescent="0.2">
      <c r="A2089" s="5">
        <v>39416</v>
      </c>
      <c r="B2089" s="1">
        <v>3.9379</v>
      </c>
      <c r="C2089" s="1">
        <v>1.93</v>
      </c>
      <c r="D2089" s="1">
        <v>4.3789999999999996</v>
      </c>
    </row>
    <row r="2090" spans="1:4" x14ac:dyDescent="0.2">
      <c r="A2090" s="5">
        <v>39419</v>
      </c>
      <c r="B2090" s="1">
        <v>3.8458999999999999</v>
      </c>
      <c r="C2090" s="1">
        <v>1.96</v>
      </c>
      <c r="D2090" s="1">
        <v>4.3253000000000004</v>
      </c>
    </row>
    <row r="2091" spans="1:4" x14ac:dyDescent="0.2">
      <c r="A2091" s="5">
        <v>39420</v>
      </c>
      <c r="B2091" s="1">
        <v>3.8925999999999998</v>
      </c>
      <c r="C2091" s="1">
        <v>2</v>
      </c>
      <c r="D2091" s="1">
        <v>4.3559999999999999</v>
      </c>
    </row>
    <row r="2092" spans="1:4" x14ac:dyDescent="0.2">
      <c r="A2092" s="5">
        <v>39421</v>
      </c>
      <c r="B2092" s="1">
        <v>3.9546999999999999</v>
      </c>
      <c r="C2092" s="1">
        <v>2.02</v>
      </c>
      <c r="D2092" s="1">
        <v>4.4413</v>
      </c>
    </row>
    <row r="2093" spans="1:4" x14ac:dyDescent="0.2">
      <c r="A2093" s="5">
        <v>39422</v>
      </c>
      <c r="B2093" s="1">
        <v>4.0076000000000001</v>
      </c>
      <c r="C2093" s="1">
        <v>2</v>
      </c>
      <c r="D2093" s="1">
        <v>4.4756</v>
      </c>
    </row>
    <row r="2094" spans="1:4" x14ac:dyDescent="0.2">
      <c r="A2094" s="5">
        <v>39423</v>
      </c>
      <c r="B2094" s="1">
        <v>4.1048</v>
      </c>
      <c r="C2094" s="1">
        <v>2.0499999999999998</v>
      </c>
      <c r="D2094" s="1">
        <v>4.5697000000000001</v>
      </c>
    </row>
    <row r="2095" spans="1:4" x14ac:dyDescent="0.2">
      <c r="A2095" s="5">
        <v>39426</v>
      </c>
      <c r="B2095" s="1">
        <v>4.1566999999999998</v>
      </c>
      <c r="C2095" s="1">
        <v>2.0299999999999998</v>
      </c>
      <c r="D2095" s="1">
        <v>4.6189999999999998</v>
      </c>
    </row>
    <row r="2096" spans="1:4" x14ac:dyDescent="0.2">
      <c r="A2096" s="5">
        <v>39427</v>
      </c>
      <c r="B2096" s="1">
        <v>3.9693999999999998</v>
      </c>
      <c r="C2096" s="1">
        <v>2.02</v>
      </c>
      <c r="D2096" s="1">
        <v>4.4664000000000001</v>
      </c>
    </row>
    <row r="2097" spans="1:4" x14ac:dyDescent="0.2">
      <c r="A2097" s="5">
        <v>39428</v>
      </c>
      <c r="B2097" s="1">
        <v>4.0892999999999997</v>
      </c>
      <c r="C2097" s="1">
        <v>2.02</v>
      </c>
      <c r="D2097" s="1">
        <v>4.5411000000000001</v>
      </c>
    </row>
    <row r="2098" spans="1:4" x14ac:dyDescent="0.2">
      <c r="A2098" s="5">
        <v>39429</v>
      </c>
      <c r="B2098" s="1">
        <v>4.2011000000000003</v>
      </c>
      <c r="C2098" s="1">
        <v>2.02</v>
      </c>
      <c r="D2098" s="1">
        <v>4.6105</v>
      </c>
    </row>
    <row r="2099" spans="1:4" x14ac:dyDescent="0.2">
      <c r="A2099" s="5">
        <v>39430</v>
      </c>
      <c r="B2099" s="1">
        <v>4.234</v>
      </c>
      <c r="C2099" s="1">
        <v>1.98</v>
      </c>
      <c r="D2099" s="1">
        <v>4.6582999999999997</v>
      </c>
    </row>
    <row r="2100" spans="1:4" x14ac:dyDescent="0.2">
      <c r="A2100" s="5">
        <v>39433</v>
      </c>
      <c r="B2100" s="1">
        <v>4.1448999999999998</v>
      </c>
      <c r="C2100" s="1">
        <v>1.99</v>
      </c>
      <c r="D2100" s="1">
        <v>4.5788000000000002</v>
      </c>
    </row>
    <row r="2101" spans="1:4" x14ac:dyDescent="0.2">
      <c r="A2101" s="5">
        <v>39434</v>
      </c>
      <c r="B2101" s="1">
        <v>4.1178999999999997</v>
      </c>
      <c r="C2101" s="1">
        <v>1.99</v>
      </c>
      <c r="D2101" s="1">
        <v>4.5354000000000001</v>
      </c>
    </row>
    <row r="2102" spans="1:4" x14ac:dyDescent="0.2">
      <c r="A2102" s="5">
        <v>39435</v>
      </c>
      <c r="B2102" s="1">
        <v>4.0278</v>
      </c>
      <c r="C2102" s="1">
        <v>2</v>
      </c>
      <c r="D2102" s="1">
        <v>4.4471999999999996</v>
      </c>
    </row>
    <row r="2103" spans="1:4" x14ac:dyDescent="0.2">
      <c r="A2103" s="5">
        <v>39436</v>
      </c>
      <c r="B2103" s="1">
        <v>4.0507</v>
      </c>
      <c r="C2103" s="1">
        <v>1.99</v>
      </c>
      <c r="D2103" s="1">
        <v>4.4787999999999997</v>
      </c>
    </row>
    <row r="2104" spans="1:4" x14ac:dyDescent="0.2">
      <c r="A2104" s="5">
        <v>39437</v>
      </c>
      <c r="B2104" s="1">
        <v>4.1679000000000004</v>
      </c>
      <c r="C2104" s="1">
        <v>1.98</v>
      </c>
      <c r="D2104" s="1">
        <v>4.5823</v>
      </c>
    </row>
    <row r="2105" spans="1:4" x14ac:dyDescent="0.2">
      <c r="A2105" s="5">
        <v>39440</v>
      </c>
      <c r="B2105" s="1">
        <v>4.2125000000000004</v>
      </c>
      <c r="C2105" s="1">
        <v>1.97</v>
      </c>
      <c r="D2105" s="1">
        <v>4.6148999999999996</v>
      </c>
    </row>
    <row r="2106" spans="1:4" x14ac:dyDescent="0.2">
      <c r="A2106" s="5">
        <v>39441</v>
      </c>
      <c r="B2106" s="1">
        <v>4.2125000000000004</v>
      </c>
      <c r="C2106" s="1">
        <v>1.97</v>
      </c>
      <c r="D2106" s="1">
        <v>4.6148999999999996</v>
      </c>
    </row>
    <row r="2107" spans="1:4" x14ac:dyDescent="0.2">
      <c r="A2107" s="5">
        <v>39442</v>
      </c>
      <c r="B2107" s="1">
        <v>4.2748999999999997</v>
      </c>
      <c r="C2107" s="1">
        <v>1.97</v>
      </c>
      <c r="D2107" s="1">
        <v>4.6703999999999999</v>
      </c>
    </row>
    <row r="2108" spans="1:4" x14ac:dyDescent="0.2">
      <c r="A2108" s="5">
        <v>39443</v>
      </c>
      <c r="B2108" s="1">
        <v>4.1969000000000003</v>
      </c>
      <c r="C2108" s="1">
        <v>1.97</v>
      </c>
      <c r="D2108" s="1">
        <v>4.6111000000000004</v>
      </c>
    </row>
    <row r="2109" spans="1:4" x14ac:dyDescent="0.2">
      <c r="A2109" s="5">
        <v>39444</v>
      </c>
      <c r="B2109" s="1">
        <v>4.0731999999999999</v>
      </c>
      <c r="C2109" s="1">
        <v>1.97</v>
      </c>
      <c r="D2109" s="1">
        <v>4.4949000000000003</v>
      </c>
    </row>
    <row r="2110" spans="1:4" x14ac:dyDescent="0.2">
      <c r="A2110" s="5">
        <v>39447</v>
      </c>
      <c r="B2110" s="1">
        <v>4.0232000000000001</v>
      </c>
      <c r="C2110" s="1">
        <v>1.98</v>
      </c>
      <c r="D2110" s="1">
        <v>4.4522000000000004</v>
      </c>
    </row>
    <row r="2111" spans="1:4" x14ac:dyDescent="0.2">
      <c r="A2111" s="5">
        <v>39448</v>
      </c>
      <c r="B2111" s="1">
        <v>4.0231000000000003</v>
      </c>
      <c r="C2111" s="1">
        <v>1.98</v>
      </c>
      <c r="D2111" s="1">
        <v>4.4522000000000004</v>
      </c>
    </row>
    <row r="2112" spans="1:4" x14ac:dyDescent="0.2">
      <c r="A2112" s="5">
        <v>39449</v>
      </c>
      <c r="B2112" s="1">
        <v>3.9033000000000002</v>
      </c>
      <c r="C2112" s="1">
        <v>1.99</v>
      </c>
      <c r="D2112" s="1">
        <v>4.3524000000000003</v>
      </c>
    </row>
    <row r="2113" spans="1:4" x14ac:dyDescent="0.2">
      <c r="A2113" s="5">
        <v>39450</v>
      </c>
      <c r="B2113" s="1">
        <v>3.8917999999999999</v>
      </c>
      <c r="C2113" s="1">
        <v>2</v>
      </c>
      <c r="D2113" s="1">
        <v>4.3638000000000003</v>
      </c>
    </row>
    <row r="2114" spans="1:4" x14ac:dyDescent="0.2">
      <c r="A2114" s="5">
        <v>39451</v>
      </c>
      <c r="B2114" s="1">
        <v>3.8651</v>
      </c>
      <c r="C2114" s="1">
        <v>2.02</v>
      </c>
      <c r="D2114" s="1">
        <v>4.3761000000000001</v>
      </c>
    </row>
    <row r="2115" spans="1:4" x14ac:dyDescent="0.2">
      <c r="A2115" s="5">
        <v>39454</v>
      </c>
      <c r="B2115" s="1">
        <v>3.8311000000000002</v>
      </c>
      <c r="C2115" s="1">
        <v>2.04</v>
      </c>
      <c r="D2115" s="1">
        <v>4.3381999999999996</v>
      </c>
    </row>
    <row r="2116" spans="1:4" x14ac:dyDescent="0.2">
      <c r="A2116" s="5">
        <v>39455</v>
      </c>
      <c r="B2116" s="1">
        <v>3.7822</v>
      </c>
      <c r="C2116" s="1">
        <v>2.06</v>
      </c>
      <c r="D2116" s="1">
        <v>4.3101000000000003</v>
      </c>
    </row>
    <row r="2117" spans="1:4" x14ac:dyDescent="0.2">
      <c r="A2117" s="5">
        <v>39456</v>
      </c>
      <c r="B2117" s="1">
        <v>3.8214999999999999</v>
      </c>
      <c r="C2117" s="1">
        <v>2.11</v>
      </c>
      <c r="D2117" s="1">
        <v>4.3407</v>
      </c>
    </row>
    <row r="2118" spans="1:4" x14ac:dyDescent="0.2">
      <c r="A2118" s="5">
        <v>39457</v>
      </c>
      <c r="B2118" s="1">
        <v>3.8837000000000002</v>
      </c>
      <c r="C2118" s="1">
        <v>2.11</v>
      </c>
      <c r="D2118" s="1">
        <v>4.4501999999999997</v>
      </c>
    </row>
    <row r="2119" spans="1:4" x14ac:dyDescent="0.2">
      <c r="A2119" s="5">
        <v>39458</v>
      </c>
      <c r="B2119" s="1">
        <v>3.7835000000000001</v>
      </c>
      <c r="C2119" s="1">
        <v>2.09</v>
      </c>
      <c r="D2119" s="1">
        <v>4.375</v>
      </c>
    </row>
    <row r="2120" spans="1:4" x14ac:dyDescent="0.2">
      <c r="A2120" s="5">
        <v>39461</v>
      </c>
      <c r="B2120" s="1">
        <v>3.7646999999999999</v>
      </c>
      <c r="C2120" s="1">
        <v>2.12</v>
      </c>
      <c r="D2120" s="1">
        <v>4.3582000000000001</v>
      </c>
    </row>
    <row r="2121" spans="1:4" x14ac:dyDescent="0.2">
      <c r="A2121" s="5">
        <v>39462</v>
      </c>
      <c r="B2121" s="1">
        <v>3.6751</v>
      </c>
      <c r="C2121" s="1">
        <v>2.14</v>
      </c>
      <c r="D2121" s="1">
        <v>4.2725</v>
      </c>
    </row>
    <row r="2122" spans="1:4" x14ac:dyDescent="0.2">
      <c r="A2122" s="5">
        <v>39463</v>
      </c>
      <c r="B2122" s="1">
        <v>3.7345000000000002</v>
      </c>
      <c r="C2122" s="1">
        <v>2.16</v>
      </c>
      <c r="D2122" s="1">
        <v>4.3422999999999998</v>
      </c>
    </row>
    <row r="2123" spans="1:4" x14ac:dyDescent="0.2">
      <c r="A2123" s="5">
        <v>39464</v>
      </c>
      <c r="B2123" s="1">
        <v>3.6211000000000002</v>
      </c>
      <c r="C2123" s="1">
        <v>2.17</v>
      </c>
      <c r="D2123" s="1">
        <v>4.2550999999999997</v>
      </c>
    </row>
    <row r="2124" spans="1:4" x14ac:dyDescent="0.2">
      <c r="A2124" s="5">
        <v>39465</v>
      </c>
      <c r="B2124" s="1">
        <v>3.6297000000000001</v>
      </c>
      <c r="C2124" s="1">
        <v>2.19</v>
      </c>
      <c r="D2124" s="1">
        <v>4.2809999999999997</v>
      </c>
    </row>
    <row r="2125" spans="1:4" x14ac:dyDescent="0.2">
      <c r="A2125" s="5">
        <v>39468</v>
      </c>
      <c r="B2125" s="1">
        <v>3.6295999999999999</v>
      </c>
      <c r="C2125" s="1">
        <v>2.19</v>
      </c>
      <c r="D2125" s="1">
        <v>4.2808999999999999</v>
      </c>
    </row>
    <row r="2126" spans="1:4" x14ac:dyDescent="0.2">
      <c r="A2126" s="5">
        <v>39469</v>
      </c>
      <c r="B2126" s="1">
        <v>3.4331999999999998</v>
      </c>
      <c r="C2126" s="1">
        <v>2.2999999999999998</v>
      </c>
      <c r="D2126" s="1">
        <v>4.1942000000000004</v>
      </c>
    </row>
    <row r="2127" spans="1:4" x14ac:dyDescent="0.2">
      <c r="A2127" s="5">
        <v>39470</v>
      </c>
      <c r="B2127" s="1">
        <v>3.5979999999999999</v>
      </c>
      <c r="C2127" s="1">
        <v>2.29</v>
      </c>
      <c r="D2127" s="1">
        <v>4.3140000000000001</v>
      </c>
    </row>
    <row r="2128" spans="1:4" x14ac:dyDescent="0.2">
      <c r="A2128" s="5">
        <v>39471</v>
      </c>
      <c r="B2128" s="1">
        <v>3.7018</v>
      </c>
      <c r="C2128" s="1">
        <v>2.25</v>
      </c>
      <c r="D2128" s="1">
        <v>4.3925000000000001</v>
      </c>
    </row>
    <row r="2129" spans="1:4" x14ac:dyDescent="0.2">
      <c r="A2129" s="5">
        <v>39472</v>
      </c>
      <c r="B2129" s="1">
        <v>3.5493999999999999</v>
      </c>
      <c r="C2129" s="1">
        <v>2.2200000000000002</v>
      </c>
      <c r="D2129" s="1">
        <v>4.2633999999999999</v>
      </c>
    </row>
    <row r="2130" spans="1:4" x14ac:dyDescent="0.2">
      <c r="A2130" s="5">
        <v>39475</v>
      </c>
      <c r="B2130" s="1">
        <v>3.5806</v>
      </c>
      <c r="C2130" s="1">
        <v>2.23</v>
      </c>
      <c r="D2130" s="1">
        <v>4.2781000000000002</v>
      </c>
    </row>
    <row r="2131" spans="1:4" x14ac:dyDescent="0.2">
      <c r="A2131" s="5">
        <v>39476</v>
      </c>
      <c r="B2131" s="1">
        <v>3.6768999999999998</v>
      </c>
      <c r="C2131" s="1">
        <v>2.21</v>
      </c>
      <c r="D2131" s="1">
        <v>4.3551000000000002</v>
      </c>
    </row>
    <row r="2132" spans="1:4" x14ac:dyDescent="0.2">
      <c r="A2132" s="5">
        <v>39477</v>
      </c>
      <c r="B2132" s="1">
        <v>3.6656</v>
      </c>
      <c r="C2132" s="1">
        <v>2.21</v>
      </c>
      <c r="D2132" s="1">
        <v>4.3842999999999996</v>
      </c>
    </row>
    <row r="2133" spans="1:4" x14ac:dyDescent="0.2">
      <c r="A2133" s="5">
        <v>39478</v>
      </c>
      <c r="B2133" s="1">
        <v>3.5931000000000002</v>
      </c>
      <c r="C2133" s="1">
        <v>2.2599999999999998</v>
      </c>
      <c r="D2133" s="1">
        <v>4.3224999999999998</v>
      </c>
    </row>
    <row r="2134" spans="1:4" x14ac:dyDescent="0.2">
      <c r="A2134" s="5">
        <v>39479</v>
      </c>
      <c r="B2134" s="1">
        <v>3.5926</v>
      </c>
      <c r="C2134" s="1">
        <v>2.2599999999999998</v>
      </c>
      <c r="D2134" s="1">
        <v>4.3083999999999998</v>
      </c>
    </row>
    <row r="2135" spans="1:4" x14ac:dyDescent="0.2">
      <c r="A2135" s="5">
        <v>39482</v>
      </c>
      <c r="B2135" s="1">
        <v>3.6444000000000001</v>
      </c>
      <c r="C2135" s="1">
        <v>2.25</v>
      </c>
      <c r="D2135" s="1">
        <v>4.3779000000000003</v>
      </c>
    </row>
    <row r="2136" spans="1:4" x14ac:dyDescent="0.2">
      <c r="A2136" s="5">
        <v>39483</v>
      </c>
      <c r="B2136" s="1">
        <v>3.5701000000000001</v>
      </c>
      <c r="C2136" s="1">
        <v>2.25</v>
      </c>
      <c r="D2136" s="1">
        <v>4.3258000000000001</v>
      </c>
    </row>
    <row r="2137" spans="1:4" x14ac:dyDescent="0.2">
      <c r="A2137" s="5">
        <v>39484</v>
      </c>
      <c r="B2137" s="1">
        <v>3.5884999999999998</v>
      </c>
      <c r="C2137" s="1">
        <v>2.27</v>
      </c>
      <c r="D2137" s="1">
        <v>4.3548999999999998</v>
      </c>
    </row>
    <row r="2138" spans="1:4" x14ac:dyDescent="0.2">
      <c r="A2138" s="5">
        <v>39485</v>
      </c>
      <c r="B2138" s="1">
        <v>3.7568999999999999</v>
      </c>
      <c r="C2138" s="1">
        <v>2.2799999999999998</v>
      </c>
      <c r="D2138" s="1">
        <v>4.5176999999999996</v>
      </c>
    </row>
    <row r="2139" spans="1:4" x14ac:dyDescent="0.2">
      <c r="A2139" s="5">
        <v>39486</v>
      </c>
      <c r="B2139" s="1">
        <v>3.6427999999999998</v>
      </c>
      <c r="C2139" s="1">
        <v>2.29</v>
      </c>
      <c r="D2139" s="1">
        <v>4.4165999999999999</v>
      </c>
    </row>
    <row r="2140" spans="1:4" x14ac:dyDescent="0.2">
      <c r="A2140" s="5">
        <v>39489</v>
      </c>
      <c r="B2140" s="1">
        <v>3.6143999999999998</v>
      </c>
      <c r="C2140" s="1">
        <v>2.2999999999999998</v>
      </c>
      <c r="D2140" s="1">
        <v>4.3986000000000001</v>
      </c>
    </row>
    <row r="2141" spans="1:4" x14ac:dyDescent="0.2">
      <c r="A2141" s="5">
        <v>39490</v>
      </c>
      <c r="B2141" s="1">
        <v>3.6579000000000002</v>
      </c>
      <c r="C2141" s="1">
        <v>2.31</v>
      </c>
      <c r="D2141" s="1">
        <v>4.4576000000000002</v>
      </c>
    </row>
    <row r="2142" spans="1:4" x14ac:dyDescent="0.2">
      <c r="A2142" s="5">
        <v>39491</v>
      </c>
      <c r="B2142" s="1">
        <v>3.7282000000000002</v>
      </c>
      <c r="C2142" s="1">
        <v>2.3199999999999998</v>
      </c>
      <c r="D2142" s="1">
        <v>4.5369999999999999</v>
      </c>
    </row>
    <row r="2143" spans="1:4" x14ac:dyDescent="0.2">
      <c r="A2143" s="5">
        <v>39492</v>
      </c>
      <c r="B2143" s="1">
        <v>3.8163</v>
      </c>
      <c r="C2143" s="1">
        <v>2.31</v>
      </c>
      <c r="D2143" s="1">
        <v>4.6368</v>
      </c>
    </row>
    <row r="2144" spans="1:4" x14ac:dyDescent="0.2">
      <c r="A2144" s="5">
        <v>39493</v>
      </c>
      <c r="B2144" s="1">
        <v>3.7686000000000002</v>
      </c>
      <c r="C2144" s="1">
        <v>2.34</v>
      </c>
      <c r="D2144" s="1">
        <v>4.5762</v>
      </c>
    </row>
    <row r="2145" spans="1:4" x14ac:dyDescent="0.2">
      <c r="A2145" s="5">
        <v>39496</v>
      </c>
      <c r="B2145" s="1">
        <v>3.7686000000000002</v>
      </c>
      <c r="C2145" s="1">
        <v>2.34</v>
      </c>
      <c r="D2145" s="1">
        <v>4.5762</v>
      </c>
    </row>
    <row r="2146" spans="1:4" x14ac:dyDescent="0.2">
      <c r="A2146" s="5">
        <v>39497</v>
      </c>
      <c r="B2146" s="1">
        <v>3.8959000000000001</v>
      </c>
      <c r="C2146" s="1">
        <v>2.35</v>
      </c>
      <c r="D2146" s="1">
        <v>4.6649000000000003</v>
      </c>
    </row>
    <row r="2147" spans="1:4" x14ac:dyDescent="0.2">
      <c r="A2147" s="5">
        <v>39498</v>
      </c>
      <c r="B2147" s="1">
        <v>3.8902000000000001</v>
      </c>
      <c r="C2147" s="1">
        <v>2.36</v>
      </c>
      <c r="D2147" s="1">
        <v>4.6078999999999999</v>
      </c>
    </row>
    <row r="2148" spans="1:4" x14ac:dyDescent="0.2">
      <c r="A2148" s="5">
        <v>39499</v>
      </c>
      <c r="B2148" s="1">
        <v>3.7706</v>
      </c>
      <c r="C2148" s="1">
        <v>2.36</v>
      </c>
      <c r="D2148" s="1">
        <v>4.5438000000000001</v>
      </c>
    </row>
    <row r="2149" spans="1:4" x14ac:dyDescent="0.2">
      <c r="A2149" s="5">
        <v>39500</v>
      </c>
      <c r="B2149" s="1">
        <v>3.8016000000000001</v>
      </c>
      <c r="C2149" s="1">
        <v>2.36</v>
      </c>
      <c r="D2149" s="1">
        <v>4.5732999999999997</v>
      </c>
    </row>
    <row r="2150" spans="1:4" x14ac:dyDescent="0.2">
      <c r="A2150" s="5">
        <v>39503</v>
      </c>
      <c r="B2150" s="1">
        <v>3.8963999999999999</v>
      </c>
      <c r="C2150" s="1">
        <v>2.36</v>
      </c>
      <c r="D2150" s="1">
        <v>4.6548999999999996</v>
      </c>
    </row>
    <row r="2151" spans="1:4" x14ac:dyDescent="0.2">
      <c r="A2151" s="5">
        <v>39504</v>
      </c>
      <c r="B2151" s="1">
        <v>3.8595999999999999</v>
      </c>
      <c r="C2151" s="1">
        <v>2.37</v>
      </c>
      <c r="D2151" s="1">
        <v>4.6558999999999999</v>
      </c>
    </row>
    <row r="2152" spans="1:4" x14ac:dyDescent="0.2">
      <c r="A2152" s="5">
        <v>39505</v>
      </c>
      <c r="B2152" s="1">
        <v>3.8481000000000001</v>
      </c>
      <c r="C2152" s="1">
        <v>2.37</v>
      </c>
      <c r="D2152" s="1">
        <v>4.6498999999999997</v>
      </c>
    </row>
    <row r="2153" spans="1:4" x14ac:dyDescent="0.2">
      <c r="A2153" s="5">
        <v>39506</v>
      </c>
      <c r="B2153" s="1">
        <v>3.6697000000000002</v>
      </c>
      <c r="C2153" s="1">
        <v>2.39</v>
      </c>
      <c r="D2153" s="1">
        <v>4.5213000000000001</v>
      </c>
    </row>
    <row r="2154" spans="1:4" x14ac:dyDescent="0.2">
      <c r="A2154" s="5">
        <v>39507</v>
      </c>
      <c r="B2154" s="1">
        <v>3.5091999999999999</v>
      </c>
      <c r="C2154" s="1">
        <v>2.4700000000000002</v>
      </c>
      <c r="D2154" s="1">
        <v>4.4023000000000003</v>
      </c>
    </row>
    <row r="2155" spans="1:4" x14ac:dyDescent="0.2">
      <c r="A2155" s="5">
        <v>39510</v>
      </c>
      <c r="B2155" s="1">
        <v>3.5468000000000002</v>
      </c>
      <c r="C2155" s="1">
        <v>2.52</v>
      </c>
      <c r="D2155" s="1">
        <v>4.4326999999999996</v>
      </c>
    </row>
    <row r="2156" spans="1:4" x14ac:dyDescent="0.2">
      <c r="A2156" s="5">
        <v>39511</v>
      </c>
      <c r="B2156" s="1">
        <v>3.6242000000000001</v>
      </c>
      <c r="C2156" s="1">
        <v>2.5499999999999998</v>
      </c>
      <c r="D2156" s="1">
        <v>4.5068000000000001</v>
      </c>
    </row>
    <row r="2157" spans="1:4" x14ac:dyDescent="0.2">
      <c r="A2157" s="5">
        <v>39512</v>
      </c>
      <c r="B2157" s="1">
        <v>3.6680000000000001</v>
      </c>
      <c r="C2157" s="1">
        <v>2.59</v>
      </c>
      <c r="D2157" s="1">
        <v>4.5979999999999999</v>
      </c>
    </row>
    <row r="2158" spans="1:4" x14ac:dyDescent="0.2">
      <c r="A2158" s="5">
        <v>39513</v>
      </c>
      <c r="B2158" s="1">
        <v>3.5825999999999998</v>
      </c>
      <c r="C2158" s="1">
        <v>2.63</v>
      </c>
      <c r="D2158" s="1">
        <v>4.5605000000000002</v>
      </c>
    </row>
    <row r="2159" spans="1:4" x14ac:dyDescent="0.2">
      <c r="A2159" s="5">
        <v>39514</v>
      </c>
      <c r="B2159" s="1">
        <v>3.5316999999999998</v>
      </c>
      <c r="C2159" s="1">
        <v>2.7</v>
      </c>
      <c r="D2159" s="1">
        <v>4.5399000000000003</v>
      </c>
    </row>
    <row r="2160" spans="1:4" x14ac:dyDescent="0.2">
      <c r="A2160" s="5">
        <v>39517</v>
      </c>
      <c r="B2160" s="1">
        <v>3.4548999999999999</v>
      </c>
      <c r="C2160" s="1">
        <v>2.73</v>
      </c>
      <c r="D2160" s="1">
        <v>4.4633000000000003</v>
      </c>
    </row>
    <row r="2161" spans="1:4" x14ac:dyDescent="0.2">
      <c r="A2161" s="5">
        <v>39518</v>
      </c>
      <c r="B2161" s="1">
        <v>3.5920999999999998</v>
      </c>
      <c r="C2161" s="1">
        <v>2.74</v>
      </c>
      <c r="D2161" s="1">
        <v>4.5076999999999998</v>
      </c>
    </row>
    <row r="2162" spans="1:4" x14ac:dyDescent="0.2">
      <c r="A2162" s="5">
        <v>39519</v>
      </c>
      <c r="B2162" s="1">
        <v>3.4603999999999999</v>
      </c>
      <c r="C2162" s="1">
        <v>2.77</v>
      </c>
      <c r="D2162" s="1">
        <v>4.4097999999999997</v>
      </c>
    </row>
    <row r="2163" spans="1:4" x14ac:dyDescent="0.2">
      <c r="A2163" s="5">
        <v>39520</v>
      </c>
      <c r="B2163" s="1">
        <v>3.5261</v>
      </c>
      <c r="C2163" s="1">
        <v>2.83</v>
      </c>
      <c r="D2163" s="1">
        <v>4.4470000000000001</v>
      </c>
    </row>
    <row r="2164" spans="1:4" x14ac:dyDescent="0.2">
      <c r="A2164" s="5">
        <v>39521</v>
      </c>
      <c r="B2164" s="1">
        <v>3.4679000000000002</v>
      </c>
      <c r="C2164" s="1">
        <v>2.93</v>
      </c>
      <c r="D2164" s="1">
        <v>4.3635000000000002</v>
      </c>
    </row>
    <row r="2165" spans="1:4" x14ac:dyDescent="0.2">
      <c r="A2165" s="5">
        <v>39524</v>
      </c>
      <c r="B2165" s="1">
        <v>3.3060999999999998</v>
      </c>
      <c r="C2165" s="1">
        <v>2.98</v>
      </c>
      <c r="D2165" s="1">
        <v>4.2854000000000001</v>
      </c>
    </row>
    <row r="2166" spans="1:4" x14ac:dyDescent="0.2">
      <c r="A2166" s="5">
        <v>39525</v>
      </c>
      <c r="B2166" s="1">
        <v>3.4828000000000001</v>
      </c>
      <c r="C2166" s="1">
        <v>2.98</v>
      </c>
      <c r="D2166" s="1">
        <v>4.3484999999999996</v>
      </c>
    </row>
    <row r="2167" spans="1:4" x14ac:dyDescent="0.2">
      <c r="A2167" s="5">
        <v>39526</v>
      </c>
      <c r="B2167" s="1">
        <v>3.3281999999999998</v>
      </c>
      <c r="C2167" s="1">
        <v>2.92</v>
      </c>
      <c r="D2167" s="1">
        <v>4.2103999999999999</v>
      </c>
    </row>
    <row r="2168" spans="1:4" x14ac:dyDescent="0.2">
      <c r="A2168" s="5">
        <v>39527</v>
      </c>
      <c r="B2168" s="1">
        <v>3.3336000000000001</v>
      </c>
      <c r="C2168" s="1">
        <v>2.96</v>
      </c>
      <c r="D2168" s="1">
        <v>4.1599000000000004</v>
      </c>
    </row>
    <row r="2169" spans="1:4" x14ac:dyDescent="0.2">
      <c r="A2169" s="5">
        <v>39528</v>
      </c>
      <c r="B2169" s="1">
        <v>3.3334999999999999</v>
      </c>
      <c r="C2169" s="1">
        <v>2.96</v>
      </c>
      <c r="D2169" s="1">
        <v>4.1599000000000004</v>
      </c>
    </row>
    <row r="2170" spans="1:4" x14ac:dyDescent="0.2">
      <c r="A2170" s="5">
        <v>39531</v>
      </c>
      <c r="B2170" s="1">
        <v>3.5562999999999998</v>
      </c>
      <c r="C2170" s="1">
        <v>2.9</v>
      </c>
      <c r="D2170" s="1">
        <v>4.3643999999999998</v>
      </c>
    </row>
    <row r="2171" spans="1:4" x14ac:dyDescent="0.2">
      <c r="A2171" s="5">
        <v>39532</v>
      </c>
      <c r="B2171" s="1">
        <v>3.5053000000000001</v>
      </c>
      <c r="C2171" s="1">
        <v>2.84</v>
      </c>
      <c r="D2171" s="1">
        <v>4.3028000000000004</v>
      </c>
    </row>
    <row r="2172" spans="1:4" x14ac:dyDescent="0.2">
      <c r="A2172" s="5">
        <v>39533</v>
      </c>
      <c r="B2172" s="1">
        <v>3.4601999999999999</v>
      </c>
      <c r="C2172" s="1">
        <v>2.86</v>
      </c>
      <c r="D2172" s="1">
        <v>4.3064999999999998</v>
      </c>
    </row>
    <row r="2173" spans="1:4" x14ac:dyDescent="0.2">
      <c r="A2173" s="5">
        <v>39534</v>
      </c>
      <c r="B2173" s="1">
        <v>3.528</v>
      </c>
      <c r="C2173" s="1">
        <v>2.84</v>
      </c>
      <c r="D2173" s="1">
        <v>4.3898000000000001</v>
      </c>
    </row>
    <row r="2174" spans="1:4" x14ac:dyDescent="0.2">
      <c r="A2174" s="5">
        <v>39535</v>
      </c>
      <c r="B2174" s="1">
        <v>3.4413999999999998</v>
      </c>
      <c r="C2174" s="1">
        <v>2.85</v>
      </c>
      <c r="D2174" s="1">
        <v>4.3177000000000003</v>
      </c>
    </row>
    <row r="2175" spans="1:4" x14ac:dyDescent="0.2">
      <c r="A2175" s="5">
        <v>39538</v>
      </c>
      <c r="B2175" s="1">
        <v>3.4096000000000002</v>
      </c>
      <c r="C2175" s="1">
        <v>2.89</v>
      </c>
      <c r="D2175" s="1">
        <v>4.2916999999999996</v>
      </c>
    </row>
    <row r="2176" spans="1:4" x14ac:dyDescent="0.2">
      <c r="A2176" s="5">
        <v>39539</v>
      </c>
      <c r="B2176" s="1">
        <v>3.5583</v>
      </c>
      <c r="C2176" s="1">
        <v>2.85</v>
      </c>
      <c r="D2176" s="1">
        <v>4.3993000000000002</v>
      </c>
    </row>
    <row r="2177" spans="1:4" x14ac:dyDescent="0.2">
      <c r="A2177" s="5">
        <v>39540</v>
      </c>
      <c r="B2177" s="1">
        <v>3.5962999999999998</v>
      </c>
      <c r="C2177" s="1">
        <v>2.81</v>
      </c>
      <c r="D2177" s="1">
        <v>4.4050000000000002</v>
      </c>
    </row>
    <row r="2178" spans="1:4" x14ac:dyDescent="0.2">
      <c r="A2178" s="5">
        <v>39541</v>
      </c>
      <c r="B2178" s="1">
        <v>3.5773000000000001</v>
      </c>
      <c r="C2178" s="1">
        <v>2.77</v>
      </c>
      <c r="D2178" s="1">
        <v>4.3784999999999998</v>
      </c>
    </row>
    <row r="2179" spans="1:4" x14ac:dyDescent="0.2">
      <c r="A2179" s="5">
        <v>39542</v>
      </c>
      <c r="B2179" s="1">
        <v>3.4657</v>
      </c>
      <c r="C2179" s="1">
        <v>2.73</v>
      </c>
      <c r="D2179" s="1">
        <v>4.3055000000000003</v>
      </c>
    </row>
    <row r="2180" spans="1:4" x14ac:dyDescent="0.2">
      <c r="A2180" s="5">
        <v>39545</v>
      </c>
      <c r="B2180" s="1">
        <v>3.5356000000000001</v>
      </c>
      <c r="C2180" s="1">
        <v>2.67</v>
      </c>
      <c r="D2180" s="1">
        <v>4.3446999999999996</v>
      </c>
    </row>
    <row r="2181" spans="1:4" x14ac:dyDescent="0.2">
      <c r="A2181" s="5">
        <v>39546</v>
      </c>
      <c r="B2181" s="1">
        <v>3.5564</v>
      </c>
      <c r="C2181" s="1">
        <v>2.66</v>
      </c>
      <c r="D2181" s="1">
        <v>4.3794000000000004</v>
      </c>
    </row>
    <row r="2182" spans="1:4" x14ac:dyDescent="0.2">
      <c r="A2182" s="5">
        <v>39547</v>
      </c>
      <c r="B2182" s="1">
        <v>3.4807000000000001</v>
      </c>
      <c r="C2182" s="1">
        <v>2.69</v>
      </c>
      <c r="D2182" s="1">
        <v>4.3204000000000002</v>
      </c>
    </row>
    <row r="2183" spans="1:4" x14ac:dyDescent="0.2">
      <c r="A2183" s="5">
        <v>39548</v>
      </c>
      <c r="B2183" s="1">
        <v>3.5394000000000001</v>
      </c>
      <c r="C2183" s="1">
        <v>2.71</v>
      </c>
      <c r="D2183" s="1">
        <v>4.3483999999999998</v>
      </c>
    </row>
    <row r="2184" spans="1:4" x14ac:dyDescent="0.2">
      <c r="A2184" s="5">
        <v>39549</v>
      </c>
      <c r="B2184" s="1">
        <v>3.4693999999999998</v>
      </c>
      <c r="C2184" s="1">
        <v>2.72</v>
      </c>
      <c r="D2184" s="1">
        <v>4.2990000000000004</v>
      </c>
    </row>
    <row r="2185" spans="1:4" x14ac:dyDescent="0.2">
      <c r="A2185" s="5">
        <v>39552</v>
      </c>
      <c r="B2185" s="1">
        <v>3.5108999999999999</v>
      </c>
      <c r="C2185" s="1">
        <v>2.73</v>
      </c>
      <c r="D2185" s="1">
        <v>4.3493000000000004</v>
      </c>
    </row>
    <row r="2186" spans="1:4" x14ac:dyDescent="0.2">
      <c r="A2186" s="5">
        <v>39553</v>
      </c>
      <c r="B2186" s="1">
        <v>3.6002999999999998</v>
      </c>
      <c r="C2186" s="1">
        <v>2.72</v>
      </c>
      <c r="D2186" s="1">
        <v>4.4412000000000003</v>
      </c>
    </row>
    <row r="2187" spans="1:4" x14ac:dyDescent="0.2">
      <c r="A2187" s="5">
        <v>39554</v>
      </c>
      <c r="B2187" s="1">
        <v>3.6886000000000001</v>
      </c>
      <c r="C2187" s="1">
        <v>2.69</v>
      </c>
      <c r="D2187" s="1">
        <v>4.4931999999999999</v>
      </c>
    </row>
    <row r="2188" spans="1:4" x14ac:dyDescent="0.2">
      <c r="A2188" s="5">
        <v>39555</v>
      </c>
      <c r="B2188" s="1">
        <v>3.7273000000000001</v>
      </c>
      <c r="C2188" s="1">
        <v>2.66</v>
      </c>
      <c r="D2188" s="1">
        <v>4.5263</v>
      </c>
    </row>
    <row r="2189" spans="1:4" x14ac:dyDescent="0.2">
      <c r="A2189" s="5">
        <v>39556</v>
      </c>
      <c r="B2189" s="1">
        <v>3.7061000000000002</v>
      </c>
      <c r="C2189" s="1">
        <v>2.61</v>
      </c>
      <c r="D2189" s="1">
        <v>4.4961000000000002</v>
      </c>
    </row>
    <row r="2190" spans="1:4" x14ac:dyDescent="0.2">
      <c r="A2190" s="5">
        <v>39559</v>
      </c>
      <c r="B2190" s="1">
        <v>3.7254999999999998</v>
      </c>
      <c r="C2190" s="1">
        <v>2.57</v>
      </c>
      <c r="D2190" s="1">
        <v>4.4884000000000004</v>
      </c>
    </row>
    <row r="2191" spans="1:4" x14ac:dyDescent="0.2">
      <c r="A2191" s="5">
        <v>39560</v>
      </c>
      <c r="B2191" s="1">
        <v>3.6907999999999999</v>
      </c>
      <c r="C2191" s="1">
        <v>2.56</v>
      </c>
      <c r="D2191" s="1">
        <v>4.4440999999999997</v>
      </c>
    </row>
    <row r="2192" spans="1:4" x14ac:dyDescent="0.2">
      <c r="A2192" s="5">
        <v>39561</v>
      </c>
      <c r="B2192" s="1">
        <v>3.7313999999999998</v>
      </c>
      <c r="C2192" s="1">
        <v>2.5499999999999998</v>
      </c>
      <c r="D2192" s="1">
        <v>4.4912999999999998</v>
      </c>
    </row>
    <row r="2193" spans="1:4" x14ac:dyDescent="0.2">
      <c r="A2193" s="5">
        <v>39562</v>
      </c>
      <c r="B2193" s="1">
        <v>3.8249</v>
      </c>
      <c r="C2193" s="1">
        <v>2.54</v>
      </c>
      <c r="D2193" s="1">
        <v>4.5458999999999996</v>
      </c>
    </row>
    <row r="2194" spans="1:4" x14ac:dyDescent="0.2">
      <c r="A2194" s="5">
        <v>39563</v>
      </c>
      <c r="B2194" s="1">
        <v>3.8702999999999999</v>
      </c>
      <c r="C2194" s="1">
        <v>2.5099999999999998</v>
      </c>
      <c r="D2194" s="1">
        <v>4.5914000000000001</v>
      </c>
    </row>
    <row r="2195" spans="1:4" x14ac:dyDescent="0.2">
      <c r="A2195" s="5">
        <v>39566</v>
      </c>
      <c r="B2195" s="1">
        <v>3.8252000000000002</v>
      </c>
      <c r="C2195" s="1">
        <v>2.5</v>
      </c>
      <c r="D2195" s="1">
        <v>4.5597000000000003</v>
      </c>
    </row>
    <row r="2196" spans="1:4" x14ac:dyDescent="0.2">
      <c r="A2196" s="5">
        <v>39567</v>
      </c>
      <c r="B2196" s="1">
        <v>3.8193999999999999</v>
      </c>
      <c r="C2196" s="1">
        <v>2.4700000000000002</v>
      </c>
      <c r="D2196" s="1">
        <v>4.5509000000000004</v>
      </c>
    </row>
    <row r="2197" spans="1:4" x14ac:dyDescent="0.2">
      <c r="A2197" s="5">
        <v>39568</v>
      </c>
      <c r="B2197" s="1">
        <v>3.7279</v>
      </c>
      <c r="C2197" s="1">
        <v>2.44</v>
      </c>
      <c r="D2197" s="1">
        <v>4.4672000000000001</v>
      </c>
    </row>
    <row r="2198" spans="1:4" x14ac:dyDescent="0.2">
      <c r="A2198" s="5">
        <v>39569</v>
      </c>
      <c r="B2198" s="1">
        <v>3.7629999999999999</v>
      </c>
      <c r="C2198" s="1">
        <v>2.42</v>
      </c>
      <c r="D2198" s="1">
        <v>4.4991000000000003</v>
      </c>
    </row>
    <row r="2199" spans="1:4" x14ac:dyDescent="0.2">
      <c r="A2199" s="5">
        <v>39570</v>
      </c>
      <c r="B2199" s="1">
        <v>3.8551000000000002</v>
      </c>
      <c r="C2199" s="1">
        <v>2.35</v>
      </c>
      <c r="D2199" s="1">
        <v>4.5774999999999997</v>
      </c>
    </row>
    <row r="2200" spans="1:4" x14ac:dyDescent="0.2">
      <c r="A2200" s="5">
        <v>39573</v>
      </c>
      <c r="B2200" s="1">
        <v>3.867</v>
      </c>
      <c r="C2200" s="1">
        <v>2.34</v>
      </c>
      <c r="D2200" s="1">
        <v>4.6013999999999999</v>
      </c>
    </row>
    <row r="2201" spans="1:4" x14ac:dyDescent="0.2">
      <c r="A2201" s="5">
        <v>39574</v>
      </c>
      <c r="B2201" s="1">
        <v>3.9163999999999999</v>
      </c>
      <c r="C2201" s="1">
        <v>2.36</v>
      </c>
      <c r="D2201" s="1">
        <v>4.6624999999999996</v>
      </c>
    </row>
    <row r="2202" spans="1:4" x14ac:dyDescent="0.2">
      <c r="A2202" s="5">
        <v>39575</v>
      </c>
      <c r="B2202" s="1">
        <v>3.8475000000000001</v>
      </c>
      <c r="C2202" s="1">
        <v>2.36</v>
      </c>
      <c r="D2202" s="1">
        <v>4.6054000000000004</v>
      </c>
    </row>
    <row r="2203" spans="1:4" x14ac:dyDescent="0.2">
      <c r="A2203" s="5">
        <v>39576</v>
      </c>
      <c r="B2203" s="1">
        <v>3.7747999999999999</v>
      </c>
      <c r="C2203" s="1">
        <v>2.38</v>
      </c>
      <c r="D2203" s="1">
        <v>4.5420999999999996</v>
      </c>
    </row>
    <row r="2204" spans="1:4" x14ac:dyDescent="0.2">
      <c r="A2204" s="5">
        <v>39577</v>
      </c>
      <c r="B2204" s="1">
        <v>3.7692000000000001</v>
      </c>
      <c r="C2204" s="1">
        <v>2.4</v>
      </c>
      <c r="D2204" s="1">
        <v>4.5216000000000003</v>
      </c>
    </row>
    <row r="2205" spans="1:4" x14ac:dyDescent="0.2">
      <c r="A2205" s="5">
        <v>39580</v>
      </c>
      <c r="B2205" s="1">
        <v>3.7974000000000001</v>
      </c>
      <c r="C2205" s="1">
        <v>2.4</v>
      </c>
      <c r="D2205" s="1">
        <v>4.5343</v>
      </c>
    </row>
    <row r="2206" spans="1:4" x14ac:dyDescent="0.2">
      <c r="A2206" s="5">
        <v>39581</v>
      </c>
      <c r="B2206" s="1">
        <v>3.9131</v>
      </c>
      <c r="C2206" s="1">
        <v>2.4</v>
      </c>
      <c r="D2206" s="1">
        <v>4.6383999999999999</v>
      </c>
    </row>
    <row r="2207" spans="1:4" x14ac:dyDescent="0.2">
      <c r="A2207" s="5">
        <v>39582</v>
      </c>
      <c r="B2207" s="1">
        <v>3.9112</v>
      </c>
      <c r="C2207" s="1">
        <v>2.39</v>
      </c>
      <c r="D2207" s="1">
        <v>4.6134000000000004</v>
      </c>
    </row>
    <row r="2208" spans="1:4" x14ac:dyDescent="0.2">
      <c r="A2208" s="5">
        <v>39583</v>
      </c>
      <c r="B2208" s="1">
        <v>3.8144</v>
      </c>
      <c r="C2208" s="1">
        <v>2.35</v>
      </c>
      <c r="D2208" s="1">
        <v>4.5510000000000002</v>
      </c>
    </row>
    <row r="2209" spans="1:4" x14ac:dyDescent="0.2">
      <c r="A2209" s="5">
        <v>39584</v>
      </c>
      <c r="B2209" s="1">
        <v>3.8445999999999998</v>
      </c>
      <c r="C2209" s="1">
        <v>2.34</v>
      </c>
      <c r="D2209" s="1">
        <v>4.5736999999999997</v>
      </c>
    </row>
    <row r="2210" spans="1:4" x14ac:dyDescent="0.2">
      <c r="A2210" s="5">
        <v>39587</v>
      </c>
      <c r="B2210" s="1">
        <v>3.8294000000000001</v>
      </c>
      <c r="C2210" s="1">
        <v>2.33</v>
      </c>
      <c r="D2210" s="1">
        <v>4.5716999999999999</v>
      </c>
    </row>
    <row r="2211" spans="1:4" x14ac:dyDescent="0.2">
      <c r="A2211" s="5">
        <v>39588</v>
      </c>
      <c r="B2211" s="1">
        <v>3.7746</v>
      </c>
      <c r="C2211" s="1">
        <v>2.35</v>
      </c>
      <c r="D2211" s="1">
        <v>4.5293999999999999</v>
      </c>
    </row>
    <row r="2212" spans="1:4" x14ac:dyDescent="0.2">
      <c r="A2212" s="5">
        <v>39589</v>
      </c>
      <c r="B2212" s="1">
        <v>3.8067000000000002</v>
      </c>
      <c r="C2212" s="1">
        <v>2.36</v>
      </c>
      <c r="D2212" s="1">
        <v>4.5392000000000001</v>
      </c>
    </row>
    <row r="2213" spans="1:4" x14ac:dyDescent="0.2">
      <c r="A2213" s="5">
        <v>39590</v>
      </c>
      <c r="B2213" s="1">
        <v>3.9110999999999998</v>
      </c>
      <c r="C2213" s="1">
        <v>2.38</v>
      </c>
      <c r="D2213" s="1">
        <v>4.6204999999999998</v>
      </c>
    </row>
    <row r="2214" spans="1:4" x14ac:dyDescent="0.2">
      <c r="A2214" s="5">
        <v>39591</v>
      </c>
      <c r="B2214" s="1">
        <v>3.8424999999999998</v>
      </c>
      <c r="C2214" s="1">
        <v>2.4</v>
      </c>
      <c r="D2214" s="1">
        <v>4.5678000000000001</v>
      </c>
    </row>
    <row r="2215" spans="1:4" x14ac:dyDescent="0.2">
      <c r="A2215" s="5">
        <v>39594</v>
      </c>
      <c r="B2215" s="1">
        <v>3.8424999999999998</v>
      </c>
      <c r="C2215" s="1">
        <v>2.4</v>
      </c>
      <c r="D2215" s="1">
        <v>4.5728</v>
      </c>
    </row>
    <row r="2216" spans="1:4" x14ac:dyDescent="0.2">
      <c r="A2216" s="5">
        <v>39595</v>
      </c>
      <c r="B2216" s="1">
        <v>3.9188000000000001</v>
      </c>
      <c r="C2216" s="1">
        <v>2.41</v>
      </c>
      <c r="D2216" s="1">
        <v>4.6406000000000001</v>
      </c>
    </row>
    <row r="2217" spans="1:4" x14ac:dyDescent="0.2">
      <c r="A2217" s="5">
        <v>39596</v>
      </c>
      <c r="B2217" s="1">
        <v>4.0033000000000003</v>
      </c>
      <c r="C2217" s="1">
        <v>2.39</v>
      </c>
      <c r="D2217" s="1">
        <v>4.6881000000000004</v>
      </c>
    </row>
    <row r="2218" spans="1:4" x14ac:dyDescent="0.2">
      <c r="A2218" s="5">
        <v>39597</v>
      </c>
      <c r="B2218" s="1">
        <v>4.0750000000000002</v>
      </c>
      <c r="C2218" s="1">
        <v>2.38</v>
      </c>
      <c r="D2218" s="1">
        <v>4.7474999999999996</v>
      </c>
    </row>
    <row r="2219" spans="1:4" x14ac:dyDescent="0.2">
      <c r="A2219" s="5">
        <v>39598</v>
      </c>
      <c r="B2219" s="1">
        <v>4.0594999999999999</v>
      </c>
      <c r="C2219" s="1">
        <v>2.35</v>
      </c>
      <c r="D2219" s="1">
        <v>4.7146999999999997</v>
      </c>
    </row>
    <row r="2220" spans="1:4" x14ac:dyDescent="0.2">
      <c r="A2220" s="5">
        <v>39601</v>
      </c>
      <c r="B2220" s="1">
        <v>3.9571000000000001</v>
      </c>
      <c r="C2220" s="1">
        <v>2.37</v>
      </c>
      <c r="D2220" s="1">
        <v>4.67</v>
      </c>
    </row>
    <row r="2221" spans="1:4" x14ac:dyDescent="0.2">
      <c r="A2221" s="5">
        <v>39602</v>
      </c>
      <c r="B2221" s="1">
        <v>3.8938999999999999</v>
      </c>
      <c r="C2221" s="1">
        <v>2.39</v>
      </c>
      <c r="D2221" s="1">
        <v>4.6205999999999996</v>
      </c>
    </row>
    <row r="2222" spans="1:4" x14ac:dyDescent="0.2">
      <c r="A2222" s="5">
        <v>39603</v>
      </c>
      <c r="B2222" s="1">
        <v>3.9763999999999999</v>
      </c>
      <c r="C2222" s="1">
        <v>2.39</v>
      </c>
      <c r="D2222" s="1">
        <v>4.6984000000000004</v>
      </c>
    </row>
    <row r="2223" spans="1:4" x14ac:dyDescent="0.2">
      <c r="A2223" s="5">
        <v>39604</v>
      </c>
      <c r="B2223" s="1">
        <v>4.0382999999999996</v>
      </c>
      <c r="C2223" s="1">
        <v>2.38</v>
      </c>
      <c r="D2223" s="1">
        <v>4.7363</v>
      </c>
    </row>
    <row r="2224" spans="1:4" x14ac:dyDescent="0.2">
      <c r="A2224" s="5">
        <v>39605</v>
      </c>
      <c r="B2224" s="1">
        <v>3.9091999999999998</v>
      </c>
      <c r="C2224" s="1">
        <v>2.39</v>
      </c>
      <c r="D2224" s="1">
        <v>4.6237000000000004</v>
      </c>
    </row>
    <row r="2225" spans="1:4" x14ac:dyDescent="0.2">
      <c r="A2225" s="5">
        <v>39608</v>
      </c>
      <c r="B2225" s="1">
        <v>3.9977</v>
      </c>
      <c r="C2225" s="1">
        <v>2.37</v>
      </c>
      <c r="D2225" s="1">
        <v>4.6296999999999997</v>
      </c>
    </row>
    <row r="2226" spans="1:4" x14ac:dyDescent="0.2">
      <c r="A2226" s="5">
        <v>39609</v>
      </c>
      <c r="B2226" s="1">
        <v>4.1026999999999996</v>
      </c>
      <c r="C2226" s="1">
        <v>2.36</v>
      </c>
      <c r="D2226" s="1">
        <v>4.6985000000000001</v>
      </c>
    </row>
    <row r="2227" spans="1:4" x14ac:dyDescent="0.2">
      <c r="A2227" s="5">
        <v>39610</v>
      </c>
      <c r="B2227" s="1">
        <v>4.0735000000000001</v>
      </c>
      <c r="C2227" s="1">
        <v>2.37</v>
      </c>
      <c r="D2227" s="1">
        <v>4.6944999999999997</v>
      </c>
    </row>
    <row r="2228" spans="1:4" x14ac:dyDescent="0.2">
      <c r="A2228" s="5">
        <v>39611</v>
      </c>
      <c r="B2228" s="1">
        <v>4.2107999999999999</v>
      </c>
      <c r="C2228" s="1">
        <v>2.37</v>
      </c>
      <c r="D2228" s="1">
        <v>4.7571000000000003</v>
      </c>
    </row>
    <row r="2229" spans="1:4" x14ac:dyDescent="0.2">
      <c r="A2229" s="5">
        <v>39612</v>
      </c>
      <c r="B2229" s="1">
        <v>4.2565</v>
      </c>
      <c r="C2229" s="1">
        <v>2.36</v>
      </c>
      <c r="D2229" s="1">
        <v>4.7892999999999999</v>
      </c>
    </row>
    <row r="2230" spans="1:4" x14ac:dyDescent="0.2">
      <c r="A2230" s="5">
        <v>39615</v>
      </c>
      <c r="B2230" s="1">
        <v>4.2666000000000004</v>
      </c>
      <c r="C2230" s="1">
        <v>2.36</v>
      </c>
      <c r="D2230" s="1">
        <v>4.7914000000000003</v>
      </c>
    </row>
    <row r="2231" spans="1:4" x14ac:dyDescent="0.2">
      <c r="A2231" s="5">
        <v>39616</v>
      </c>
      <c r="B2231" s="1">
        <v>4.1973000000000003</v>
      </c>
      <c r="C2231" s="1">
        <v>2.37</v>
      </c>
      <c r="D2231" s="1">
        <v>4.7675000000000001</v>
      </c>
    </row>
    <row r="2232" spans="1:4" x14ac:dyDescent="0.2">
      <c r="A2232" s="5">
        <v>39617</v>
      </c>
      <c r="B2232" s="1">
        <v>4.1363000000000003</v>
      </c>
      <c r="C2232" s="1">
        <v>2.37</v>
      </c>
      <c r="D2232" s="1">
        <v>4.7130000000000001</v>
      </c>
    </row>
    <row r="2233" spans="1:4" x14ac:dyDescent="0.2">
      <c r="A2233" s="5">
        <v>39618</v>
      </c>
      <c r="B2233" s="1">
        <v>4.2073</v>
      </c>
      <c r="C2233" s="1">
        <v>2.38</v>
      </c>
      <c r="D2233" s="1">
        <v>4.7582000000000004</v>
      </c>
    </row>
    <row r="2234" spans="1:4" x14ac:dyDescent="0.2">
      <c r="A2234" s="5">
        <v>39619</v>
      </c>
      <c r="B2234" s="1">
        <v>4.1641000000000004</v>
      </c>
      <c r="C2234" s="1">
        <v>2.42</v>
      </c>
      <c r="D2234" s="1">
        <v>4.7243000000000004</v>
      </c>
    </row>
    <row r="2235" spans="1:4" x14ac:dyDescent="0.2">
      <c r="A2235" s="5">
        <v>39622</v>
      </c>
      <c r="B2235" s="1">
        <v>4.1641000000000004</v>
      </c>
      <c r="C2235" s="1">
        <v>2.44</v>
      </c>
      <c r="D2235" s="1">
        <v>4.7008000000000001</v>
      </c>
    </row>
    <row r="2236" spans="1:4" x14ac:dyDescent="0.2">
      <c r="A2236" s="5">
        <v>39623</v>
      </c>
      <c r="B2236" s="1">
        <v>4.0818000000000003</v>
      </c>
      <c r="C2236" s="1">
        <v>2.48</v>
      </c>
      <c r="D2236" s="1">
        <v>4.6360000000000001</v>
      </c>
    </row>
    <row r="2237" spans="1:4" x14ac:dyDescent="0.2">
      <c r="A2237" s="5">
        <v>39624</v>
      </c>
      <c r="B2237" s="1">
        <v>4.0994000000000002</v>
      </c>
      <c r="C2237" s="1">
        <v>2.4900000000000002</v>
      </c>
      <c r="D2237" s="1">
        <v>4.6429999999999998</v>
      </c>
    </row>
    <row r="2238" spans="1:4" x14ac:dyDescent="0.2">
      <c r="A2238" s="5">
        <v>39625</v>
      </c>
      <c r="B2238" s="1">
        <v>4.0330000000000004</v>
      </c>
      <c r="C2238" s="1">
        <v>2.54</v>
      </c>
      <c r="D2238" s="1">
        <v>4.601</v>
      </c>
    </row>
    <row r="2239" spans="1:4" x14ac:dyDescent="0.2">
      <c r="A2239" s="5">
        <v>39626</v>
      </c>
      <c r="B2239" s="1">
        <v>3.9651999999999998</v>
      </c>
      <c r="C2239" s="1">
        <v>2.63</v>
      </c>
      <c r="D2239" s="1">
        <v>4.5209999999999999</v>
      </c>
    </row>
    <row r="2240" spans="1:4" x14ac:dyDescent="0.2">
      <c r="A2240" s="5">
        <v>39629</v>
      </c>
      <c r="B2240" s="1">
        <v>3.9689999999999999</v>
      </c>
      <c r="C2240" s="1">
        <v>2.65</v>
      </c>
      <c r="D2240" s="1">
        <v>4.5239000000000003</v>
      </c>
    </row>
    <row r="2241" spans="1:4" x14ac:dyDescent="0.2">
      <c r="A2241" s="5">
        <v>39630</v>
      </c>
      <c r="B2241" s="1">
        <v>4.0021000000000004</v>
      </c>
      <c r="C2241" s="1">
        <v>2.67</v>
      </c>
      <c r="D2241" s="1">
        <v>4.5484999999999998</v>
      </c>
    </row>
    <row r="2242" spans="1:4" x14ac:dyDescent="0.2">
      <c r="A2242" s="5">
        <v>39631</v>
      </c>
      <c r="B2242" s="1">
        <v>3.9575</v>
      </c>
      <c r="C2242" s="1">
        <v>2.67</v>
      </c>
      <c r="D2242" s="1">
        <v>4.5025000000000004</v>
      </c>
    </row>
    <row r="2243" spans="1:4" x14ac:dyDescent="0.2">
      <c r="A2243" s="5">
        <v>39632</v>
      </c>
      <c r="B2243" s="1">
        <v>3.9750000000000001</v>
      </c>
      <c r="C2243" s="1">
        <v>2.68</v>
      </c>
      <c r="D2243" s="1">
        <v>4.5347999999999997</v>
      </c>
    </row>
    <row r="2244" spans="1:4" x14ac:dyDescent="0.2">
      <c r="A2244" s="5">
        <v>39633</v>
      </c>
      <c r="B2244" s="1">
        <v>3.9750000000000001</v>
      </c>
      <c r="C2244" s="1">
        <v>2.68</v>
      </c>
      <c r="D2244" s="1">
        <v>4.5327999999999999</v>
      </c>
    </row>
    <row r="2245" spans="1:4" x14ac:dyDescent="0.2">
      <c r="A2245" s="5">
        <v>39636</v>
      </c>
      <c r="B2245" s="1">
        <v>3.8995000000000002</v>
      </c>
      <c r="C2245" s="1">
        <v>2.7</v>
      </c>
      <c r="D2245" s="1">
        <v>4.484</v>
      </c>
    </row>
    <row r="2246" spans="1:4" x14ac:dyDescent="0.2">
      <c r="A2246" s="5">
        <v>39637</v>
      </c>
      <c r="B2246" s="1">
        <v>3.8822000000000001</v>
      </c>
      <c r="C2246" s="1">
        <v>2.7</v>
      </c>
      <c r="D2246" s="1">
        <v>4.4501999999999997</v>
      </c>
    </row>
    <row r="2247" spans="1:4" x14ac:dyDescent="0.2">
      <c r="A2247" s="5">
        <v>39638</v>
      </c>
      <c r="B2247" s="1">
        <v>3.8111999999999999</v>
      </c>
      <c r="C2247" s="1">
        <v>2.7</v>
      </c>
      <c r="D2247" s="1">
        <v>4.4176000000000002</v>
      </c>
    </row>
    <row r="2248" spans="1:4" x14ac:dyDescent="0.2">
      <c r="A2248" s="5">
        <v>39639</v>
      </c>
      <c r="B2248" s="1">
        <v>3.7959000000000001</v>
      </c>
      <c r="C2248" s="1">
        <v>2.71</v>
      </c>
      <c r="D2248" s="1">
        <v>4.4138000000000002</v>
      </c>
    </row>
    <row r="2249" spans="1:4" x14ac:dyDescent="0.2">
      <c r="A2249" s="5">
        <v>39640</v>
      </c>
      <c r="B2249" s="1">
        <v>3.9575999999999998</v>
      </c>
      <c r="C2249" s="1">
        <v>2.72</v>
      </c>
      <c r="D2249" s="1">
        <v>4.5397999999999996</v>
      </c>
    </row>
    <row r="2250" spans="1:4" x14ac:dyDescent="0.2">
      <c r="A2250" s="5">
        <v>39643</v>
      </c>
      <c r="B2250" s="1">
        <v>3.8553000000000002</v>
      </c>
      <c r="C2250" s="1">
        <v>2.72</v>
      </c>
      <c r="D2250" s="1">
        <v>4.4463999999999997</v>
      </c>
    </row>
    <row r="2251" spans="1:4" x14ac:dyDescent="0.2">
      <c r="A2251" s="5">
        <v>39644</v>
      </c>
      <c r="B2251" s="1">
        <v>3.8188</v>
      </c>
      <c r="C2251" s="1">
        <v>2.77</v>
      </c>
      <c r="D2251" s="1">
        <v>4.4580000000000002</v>
      </c>
    </row>
    <row r="2252" spans="1:4" x14ac:dyDescent="0.2">
      <c r="A2252" s="5">
        <v>39645</v>
      </c>
      <c r="B2252" s="1">
        <v>3.9344000000000001</v>
      </c>
      <c r="C2252" s="1">
        <v>2.82</v>
      </c>
      <c r="D2252" s="1">
        <v>4.5853000000000002</v>
      </c>
    </row>
    <row r="2253" spans="1:4" x14ac:dyDescent="0.2">
      <c r="A2253" s="5">
        <v>39646</v>
      </c>
      <c r="B2253" s="1">
        <v>3.9906999999999999</v>
      </c>
      <c r="C2253" s="1">
        <v>2.83</v>
      </c>
      <c r="D2253" s="1">
        <v>4.6073000000000004</v>
      </c>
    </row>
    <row r="2254" spans="1:4" x14ac:dyDescent="0.2">
      <c r="A2254" s="5">
        <v>39647</v>
      </c>
      <c r="B2254" s="1">
        <v>4.0827999999999998</v>
      </c>
      <c r="C2254" s="1">
        <v>2.86</v>
      </c>
      <c r="D2254" s="1">
        <v>4.6475</v>
      </c>
    </row>
    <row r="2255" spans="1:4" x14ac:dyDescent="0.2">
      <c r="A2255" s="5">
        <v>39650</v>
      </c>
      <c r="B2255" s="1">
        <v>4.0416999999999996</v>
      </c>
      <c r="C2255" s="1">
        <v>2.87</v>
      </c>
      <c r="D2255" s="1">
        <v>4.6214000000000004</v>
      </c>
    </row>
    <row r="2256" spans="1:4" x14ac:dyDescent="0.2">
      <c r="A2256" s="5">
        <v>39651</v>
      </c>
      <c r="B2256" s="1">
        <v>4.0987</v>
      </c>
      <c r="C2256" s="1">
        <v>2.87</v>
      </c>
      <c r="D2256" s="1">
        <v>4.6586999999999996</v>
      </c>
    </row>
    <row r="2257" spans="1:4" x14ac:dyDescent="0.2">
      <c r="A2257" s="5">
        <v>39652</v>
      </c>
      <c r="B2257" s="1">
        <v>4.1165000000000003</v>
      </c>
      <c r="C2257" s="1">
        <v>2.84</v>
      </c>
      <c r="D2257" s="1">
        <v>4.6738999999999997</v>
      </c>
    </row>
    <row r="2258" spans="1:4" x14ac:dyDescent="0.2">
      <c r="A2258" s="5">
        <v>39653</v>
      </c>
      <c r="B2258" s="1">
        <v>3.9967999999999999</v>
      </c>
      <c r="C2258" s="1">
        <v>2.83</v>
      </c>
      <c r="D2258" s="1">
        <v>4.6013999999999999</v>
      </c>
    </row>
    <row r="2259" spans="1:4" x14ac:dyDescent="0.2">
      <c r="A2259" s="5">
        <v>39654</v>
      </c>
      <c r="B2259" s="1">
        <v>4.0968999999999998</v>
      </c>
      <c r="C2259" s="1">
        <v>2.83</v>
      </c>
      <c r="D2259" s="1">
        <v>4.6852</v>
      </c>
    </row>
    <row r="2260" spans="1:4" x14ac:dyDescent="0.2">
      <c r="A2260" s="5">
        <v>39657</v>
      </c>
      <c r="B2260" s="1">
        <v>4.0007999999999999</v>
      </c>
      <c r="C2260" s="1">
        <v>2.85</v>
      </c>
      <c r="D2260" s="1">
        <v>4.6014999999999997</v>
      </c>
    </row>
    <row r="2261" spans="1:4" x14ac:dyDescent="0.2">
      <c r="A2261" s="5">
        <v>39658</v>
      </c>
      <c r="B2261" s="1">
        <v>4.0380000000000003</v>
      </c>
      <c r="C2261" s="1">
        <v>2.85</v>
      </c>
      <c r="D2261" s="1">
        <v>4.6234999999999999</v>
      </c>
    </row>
    <row r="2262" spans="1:4" x14ac:dyDescent="0.2">
      <c r="A2262" s="5">
        <v>39659</v>
      </c>
      <c r="B2262" s="1">
        <v>4.0438999999999998</v>
      </c>
      <c r="C2262" s="1">
        <v>2.85</v>
      </c>
      <c r="D2262" s="1">
        <v>4.6447000000000003</v>
      </c>
    </row>
    <row r="2263" spans="1:4" x14ac:dyDescent="0.2">
      <c r="A2263" s="5">
        <v>39660</v>
      </c>
      <c r="B2263" s="1">
        <v>3.9462000000000002</v>
      </c>
      <c r="C2263" s="1">
        <v>2.88</v>
      </c>
      <c r="D2263" s="1">
        <v>4.5727000000000002</v>
      </c>
    </row>
    <row r="2264" spans="1:4" x14ac:dyDescent="0.2">
      <c r="A2264" s="5">
        <v>39661</v>
      </c>
      <c r="B2264" s="1">
        <v>3.9306999999999999</v>
      </c>
      <c r="C2264" s="1">
        <v>2.89</v>
      </c>
      <c r="D2264" s="1">
        <v>4.5608000000000004</v>
      </c>
    </row>
    <row r="2265" spans="1:4" x14ac:dyDescent="0.2">
      <c r="A2265" s="5">
        <v>39664</v>
      </c>
      <c r="B2265" s="1">
        <v>3.9619</v>
      </c>
      <c r="C2265" s="1">
        <v>2.88</v>
      </c>
      <c r="D2265" s="1">
        <v>4.5895999999999999</v>
      </c>
    </row>
    <row r="2266" spans="1:4" x14ac:dyDescent="0.2">
      <c r="A2266" s="5">
        <v>39665</v>
      </c>
      <c r="B2266" s="1">
        <v>4.0167000000000002</v>
      </c>
      <c r="C2266" s="1">
        <v>2.87</v>
      </c>
      <c r="D2266" s="1">
        <v>4.6407999999999996</v>
      </c>
    </row>
    <row r="2267" spans="1:4" x14ac:dyDescent="0.2">
      <c r="A2267" s="5">
        <v>39666</v>
      </c>
      <c r="B2267" s="1">
        <v>4.0500999999999996</v>
      </c>
      <c r="C2267" s="1">
        <v>2.87</v>
      </c>
      <c r="D2267" s="1">
        <v>4.6924999999999999</v>
      </c>
    </row>
    <row r="2268" spans="1:4" x14ac:dyDescent="0.2">
      <c r="A2268" s="5">
        <v>39667</v>
      </c>
      <c r="B2268" s="1">
        <v>3.92</v>
      </c>
      <c r="C2268" s="1">
        <v>2.88</v>
      </c>
      <c r="D2268" s="1">
        <v>4.5549999999999997</v>
      </c>
    </row>
    <row r="2269" spans="1:4" x14ac:dyDescent="0.2">
      <c r="A2269" s="5">
        <v>39668</v>
      </c>
      <c r="B2269" s="1">
        <v>3.9276</v>
      </c>
      <c r="C2269" s="1">
        <v>2.88</v>
      </c>
      <c r="D2269" s="1">
        <v>4.5332999999999997</v>
      </c>
    </row>
    <row r="2270" spans="1:4" x14ac:dyDescent="0.2">
      <c r="A2270" s="5">
        <v>39671</v>
      </c>
      <c r="B2270" s="1">
        <v>3.9904000000000002</v>
      </c>
      <c r="C2270" s="1">
        <v>2.88</v>
      </c>
      <c r="D2270" s="1">
        <v>4.6024000000000003</v>
      </c>
    </row>
    <row r="2271" spans="1:4" x14ac:dyDescent="0.2">
      <c r="A2271" s="5">
        <v>39672</v>
      </c>
      <c r="B2271" s="1">
        <v>3.8954</v>
      </c>
      <c r="C2271" s="1">
        <v>2.89</v>
      </c>
      <c r="D2271" s="1">
        <v>4.5332999999999997</v>
      </c>
    </row>
    <row r="2272" spans="1:4" x14ac:dyDescent="0.2">
      <c r="A2272" s="5">
        <v>39673</v>
      </c>
      <c r="B2272" s="1">
        <v>3.9314</v>
      </c>
      <c r="C2272" s="1">
        <v>2.89</v>
      </c>
      <c r="D2272" s="1">
        <v>4.5594000000000001</v>
      </c>
    </row>
    <row r="2273" spans="1:4" x14ac:dyDescent="0.2">
      <c r="A2273" s="5">
        <v>39674</v>
      </c>
      <c r="B2273" s="1">
        <v>3.8860000000000001</v>
      </c>
      <c r="C2273" s="1">
        <v>2.91</v>
      </c>
      <c r="D2273" s="1">
        <v>4.5168999999999997</v>
      </c>
    </row>
    <row r="2274" spans="1:4" x14ac:dyDescent="0.2">
      <c r="A2274" s="5">
        <v>39675</v>
      </c>
      <c r="B2274" s="1">
        <v>3.8349000000000002</v>
      </c>
      <c r="C2274" s="1">
        <v>2.95</v>
      </c>
      <c r="D2274" s="1">
        <v>4.4634</v>
      </c>
    </row>
    <row r="2275" spans="1:4" x14ac:dyDescent="0.2">
      <c r="A2275" s="5">
        <v>39678</v>
      </c>
      <c r="B2275" s="1">
        <v>3.8104</v>
      </c>
      <c r="C2275" s="1">
        <v>2.96</v>
      </c>
      <c r="D2275" s="1">
        <v>4.4340000000000002</v>
      </c>
    </row>
    <row r="2276" spans="1:4" x14ac:dyDescent="0.2">
      <c r="A2276" s="5">
        <v>39679</v>
      </c>
      <c r="B2276" s="1">
        <v>3.8292000000000002</v>
      </c>
      <c r="C2276" s="1">
        <v>3</v>
      </c>
      <c r="D2276" s="1">
        <v>4.4615</v>
      </c>
    </row>
    <row r="2277" spans="1:4" x14ac:dyDescent="0.2">
      <c r="A2277" s="5">
        <v>39680</v>
      </c>
      <c r="B2277" s="1">
        <v>3.8008999999999999</v>
      </c>
      <c r="C2277" s="1">
        <v>3.01</v>
      </c>
      <c r="D2277" s="1">
        <v>4.4452999999999996</v>
      </c>
    </row>
    <row r="2278" spans="1:4" x14ac:dyDescent="0.2">
      <c r="A2278" s="5">
        <v>39681</v>
      </c>
      <c r="B2278" s="1">
        <v>3.8290999999999999</v>
      </c>
      <c r="C2278" s="1">
        <v>3.02</v>
      </c>
      <c r="D2278" s="1">
        <v>4.4623999999999997</v>
      </c>
    </row>
    <row r="2279" spans="1:4" x14ac:dyDescent="0.2">
      <c r="A2279" s="5">
        <v>39682</v>
      </c>
      <c r="B2279" s="1">
        <v>3.8704000000000001</v>
      </c>
      <c r="C2279" s="1">
        <v>3.02</v>
      </c>
      <c r="D2279" s="1">
        <v>4.4661999999999997</v>
      </c>
    </row>
    <row r="2280" spans="1:4" x14ac:dyDescent="0.2">
      <c r="A2280" s="5">
        <v>39685</v>
      </c>
      <c r="B2280" s="1">
        <v>3.7837000000000001</v>
      </c>
      <c r="C2280" s="1">
        <v>3.03</v>
      </c>
      <c r="D2280" s="1">
        <v>4.3936000000000002</v>
      </c>
    </row>
    <row r="2281" spans="1:4" x14ac:dyDescent="0.2">
      <c r="A2281" s="5">
        <v>39686</v>
      </c>
      <c r="B2281" s="1">
        <v>3.7743000000000002</v>
      </c>
      <c r="C2281" s="1">
        <v>3.03</v>
      </c>
      <c r="D2281" s="1">
        <v>4.3871000000000002</v>
      </c>
    </row>
    <row r="2282" spans="1:4" x14ac:dyDescent="0.2">
      <c r="A2282" s="5">
        <v>39687</v>
      </c>
      <c r="B2282" s="1">
        <v>3.7629999999999999</v>
      </c>
      <c r="C2282" s="1">
        <v>3.04</v>
      </c>
      <c r="D2282" s="1">
        <v>4.3815</v>
      </c>
    </row>
    <row r="2283" spans="1:4" x14ac:dyDescent="0.2">
      <c r="A2283" s="5">
        <v>39688</v>
      </c>
      <c r="B2283" s="1">
        <v>3.7778999999999998</v>
      </c>
      <c r="C2283" s="1">
        <v>3.05</v>
      </c>
      <c r="D2283" s="1">
        <v>4.3758999999999997</v>
      </c>
    </row>
    <row r="2284" spans="1:4" x14ac:dyDescent="0.2">
      <c r="A2284" s="5">
        <v>39689</v>
      </c>
      <c r="B2284" s="1">
        <v>3.8115999999999999</v>
      </c>
      <c r="C2284" s="1">
        <v>3.04</v>
      </c>
      <c r="D2284" s="1">
        <v>4.4226999999999999</v>
      </c>
    </row>
    <row r="2285" spans="1:4" x14ac:dyDescent="0.2">
      <c r="A2285" s="5">
        <v>39692</v>
      </c>
      <c r="B2285" s="1">
        <v>3.8115000000000001</v>
      </c>
      <c r="C2285" s="1">
        <v>3.04</v>
      </c>
      <c r="D2285" s="1">
        <v>4.4226999999999999</v>
      </c>
    </row>
    <row r="2286" spans="1:4" x14ac:dyDescent="0.2">
      <c r="A2286" s="5">
        <v>39693</v>
      </c>
      <c r="B2286" s="1">
        <v>3.7326000000000001</v>
      </c>
      <c r="C2286" s="1">
        <v>3.07</v>
      </c>
      <c r="D2286" s="1">
        <v>4.3554000000000004</v>
      </c>
    </row>
    <row r="2287" spans="1:4" x14ac:dyDescent="0.2">
      <c r="A2287" s="5">
        <v>39694</v>
      </c>
      <c r="B2287" s="1">
        <v>3.6989999999999998</v>
      </c>
      <c r="C2287" s="1">
        <v>3.08</v>
      </c>
      <c r="D2287" s="1">
        <v>4.3185000000000002</v>
      </c>
    </row>
    <row r="2288" spans="1:4" x14ac:dyDescent="0.2">
      <c r="A2288" s="5">
        <v>39695</v>
      </c>
      <c r="B2288" s="1">
        <v>3.6227</v>
      </c>
      <c r="C2288" s="1">
        <v>3.09</v>
      </c>
      <c r="D2288" s="1">
        <v>4.2591999999999999</v>
      </c>
    </row>
    <row r="2289" spans="1:4" x14ac:dyDescent="0.2">
      <c r="A2289" s="5">
        <v>39696</v>
      </c>
      <c r="B2289" s="1">
        <v>3.6985999999999999</v>
      </c>
      <c r="C2289" s="1">
        <v>3.12</v>
      </c>
      <c r="D2289" s="1">
        <v>4.3018999999999998</v>
      </c>
    </row>
    <row r="2290" spans="1:4" x14ac:dyDescent="0.2">
      <c r="A2290" s="5">
        <v>39699</v>
      </c>
      <c r="B2290" s="1">
        <v>3.6743000000000001</v>
      </c>
      <c r="C2290" s="1">
        <v>3.08</v>
      </c>
      <c r="D2290" s="1">
        <v>4.2664</v>
      </c>
    </row>
    <row r="2291" spans="1:4" x14ac:dyDescent="0.2">
      <c r="A2291" s="5">
        <v>39700</v>
      </c>
      <c r="B2291" s="1">
        <v>3.5668000000000002</v>
      </c>
      <c r="C2291" s="1">
        <v>3.12</v>
      </c>
      <c r="D2291" s="1">
        <v>4.1703000000000001</v>
      </c>
    </row>
    <row r="2292" spans="1:4" x14ac:dyDescent="0.2">
      <c r="A2292" s="5">
        <v>39701</v>
      </c>
      <c r="B2292" s="1">
        <v>3.6295000000000002</v>
      </c>
      <c r="C2292" s="1">
        <v>3.16</v>
      </c>
      <c r="D2292" s="1">
        <v>4.2256999999999998</v>
      </c>
    </row>
    <row r="2293" spans="1:4" x14ac:dyDescent="0.2">
      <c r="A2293" s="5">
        <v>39702</v>
      </c>
      <c r="B2293" s="1">
        <v>3.6425000000000001</v>
      </c>
      <c r="C2293" s="1">
        <v>3.23</v>
      </c>
      <c r="D2293" s="1">
        <v>4.2211999999999996</v>
      </c>
    </row>
    <row r="2294" spans="1:4" x14ac:dyDescent="0.2">
      <c r="A2294" s="5">
        <v>39703</v>
      </c>
      <c r="B2294" s="1">
        <v>3.7187000000000001</v>
      </c>
      <c r="C2294" s="1">
        <v>3.27</v>
      </c>
      <c r="D2294" s="1">
        <v>4.3147000000000002</v>
      </c>
    </row>
    <row r="2295" spans="1:4" x14ac:dyDescent="0.2">
      <c r="A2295" s="5">
        <v>39706</v>
      </c>
      <c r="B2295" s="1">
        <v>3.3868</v>
      </c>
      <c r="C2295" s="1">
        <v>3.7</v>
      </c>
      <c r="D2295" s="1">
        <v>4.0227000000000004</v>
      </c>
    </row>
    <row r="2296" spans="1:4" x14ac:dyDescent="0.2">
      <c r="A2296" s="5">
        <v>39707</v>
      </c>
      <c r="B2296" s="1">
        <v>3.4357000000000002</v>
      </c>
      <c r="C2296" s="1">
        <v>3.53</v>
      </c>
      <c r="D2296" s="1">
        <v>4.0910000000000002</v>
      </c>
    </row>
    <row r="2297" spans="1:4" x14ac:dyDescent="0.2">
      <c r="A2297" s="5">
        <v>39708</v>
      </c>
      <c r="B2297" s="1">
        <v>3.4137</v>
      </c>
      <c r="C2297" s="1">
        <v>3.88</v>
      </c>
      <c r="D2297" s="1">
        <v>4.0735999999999999</v>
      </c>
    </row>
    <row r="2298" spans="1:4" x14ac:dyDescent="0.2">
      <c r="A2298" s="5">
        <v>39709</v>
      </c>
      <c r="B2298" s="1">
        <v>3.5436999999999999</v>
      </c>
      <c r="C2298" s="1">
        <v>4.03</v>
      </c>
      <c r="D2298" s="1">
        <v>4.1889000000000003</v>
      </c>
    </row>
    <row r="2299" spans="1:4" x14ac:dyDescent="0.2">
      <c r="A2299" s="5">
        <v>39710</v>
      </c>
      <c r="B2299" s="1">
        <v>3.8105000000000002</v>
      </c>
      <c r="C2299" s="1">
        <v>3.85</v>
      </c>
      <c r="D2299" s="1">
        <v>4.3822999999999999</v>
      </c>
    </row>
    <row r="2300" spans="1:4" x14ac:dyDescent="0.2">
      <c r="A2300" s="5">
        <v>39713</v>
      </c>
      <c r="B2300" s="1">
        <v>3.8351000000000002</v>
      </c>
      <c r="C2300" s="1">
        <v>3.69</v>
      </c>
      <c r="D2300" s="1">
        <v>4.4207999999999998</v>
      </c>
    </row>
    <row r="2301" spans="1:4" x14ac:dyDescent="0.2">
      <c r="A2301" s="5">
        <v>39714</v>
      </c>
      <c r="B2301" s="1">
        <v>3.7991000000000001</v>
      </c>
      <c r="C2301" s="1">
        <v>3.75</v>
      </c>
      <c r="D2301" s="1">
        <v>4.3804999999999996</v>
      </c>
    </row>
    <row r="2302" spans="1:4" x14ac:dyDescent="0.2">
      <c r="A2302" s="5">
        <v>39715</v>
      </c>
      <c r="B2302" s="1">
        <v>3.8104</v>
      </c>
      <c r="C2302" s="1">
        <v>3.79</v>
      </c>
      <c r="D2302" s="1">
        <v>4.4123000000000001</v>
      </c>
    </row>
    <row r="2303" spans="1:4" x14ac:dyDescent="0.2">
      <c r="A2303" s="5">
        <v>39716</v>
      </c>
      <c r="B2303" s="1">
        <v>3.8540000000000001</v>
      </c>
      <c r="C2303" s="1">
        <v>3.9</v>
      </c>
      <c r="D2303" s="1">
        <v>4.4095000000000004</v>
      </c>
    </row>
    <row r="2304" spans="1:4" x14ac:dyDescent="0.2">
      <c r="A2304" s="5">
        <v>39717</v>
      </c>
      <c r="B2304" s="1">
        <v>3.8519999999999999</v>
      </c>
      <c r="C2304" s="1">
        <v>4.17</v>
      </c>
      <c r="D2304" s="1">
        <v>4.3701999999999996</v>
      </c>
    </row>
    <row r="2305" spans="1:4" x14ac:dyDescent="0.2">
      <c r="A2305" s="5">
        <v>39720</v>
      </c>
      <c r="B2305" s="1">
        <v>3.5775999999999999</v>
      </c>
      <c r="C2305" s="1">
        <v>4.26</v>
      </c>
      <c r="D2305" s="1">
        <v>4.1127000000000002</v>
      </c>
    </row>
    <row r="2306" spans="1:4" x14ac:dyDescent="0.2">
      <c r="A2306" s="5">
        <v>39721</v>
      </c>
      <c r="B2306" s="1">
        <v>3.8233999999999999</v>
      </c>
      <c r="C2306" s="1">
        <v>4.41</v>
      </c>
      <c r="D2306" s="1">
        <v>4.3109999999999999</v>
      </c>
    </row>
    <row r="2307" spans="1:4" x14ac:dyDescent="0.2">
      <c r="A2307" s="5">
        <v>39722</v>
      </c>
      <c r="B2307" s="1">
        <v>3.7382</v>
      </c>
      <c r="C2307" s="1">
        <v>4.49</v>
      </c>
      <c r="D2307" s="1">
        <v>4.2146999999999997</v>
      </c>
    </row>
    <row r="2308" spans="1:4" x14ac:dyDescent="0.2">
      <c r="A2308" s="5">
        <v>39723</v>
      </c>
      <c r="B2308" s="1">
        <v>3.6276000000000002</v>
      </c>
      <c r="C2308" s="1">
        <v>4.59</v>
      </c>
      <c r="D2308" s="1">
        <v>4.1513999999999998</v>
      </c>
    </row>
    <row r="2309" spans="1:4" x14ac:dyDescent="0.2">
      <c r="A2309" s="5">
        <v>39724</v>
      </c>
      <c r="B2309" s="1">
        <v>3.6031</v>
      </c>
      <c r="C2309" s="1">
        <v>4.5999999999999996</v>
      </c>
      <c r="D2309" s="1">
        <v>4.0872000000000002</v>
      </c>
    </row>
    <row r="2310" spans="1:4" x14ac:dyDescent="0.2">
      <c r="A2310" s="5">
        <v>39727</v>
      </c>
      <c r="B2310" s="1">
        <v>3.4531999999999998</v>
      </c>
      <c r="C2310" s="1">
        <v>4.74</v>
      </c>
      <c r="D2310" s="1">
        <v>3.972</v>
      </c>
    </row>
    <row r="2311" spans="1:4" x14ac:dyDescent="0.2">
      <c r="A2311" s="5">
        <v>39728</v>
      </c>
      <c r="B2311" s="1">
        <v>3.5028000000000001</v>
      </c>
      <c r="C2311" s="1">
        <v>4.8099999999999996</v>
      </c>
      <c r="D2311" s="1">
        <v>4.0301</v>
      </c>
    </row>
    <row r="2312" spans="1:4" x14ac:dyDescent="0.2">
      <c r="A2312" s="5">
        <v>39729</v>
      </c>
      <c r="B2312" s="1">
        <v>3.6400999999999999</v>
      </c>
      <c r="C2312" s="1">
        <v>4.9800000000000004</v>
      </c>
      <c r="D2312" s="1">
        <v>4.0481999999999996</v>
      </c>
    </row>
    <row r="2313" spans="1:4" x14ac:dyDescent="0.2">
      <c r="A2313" s="5">
        <v>39730</v>
      </c>
      <c r="B2313" s="1">
        <v>3.7850000000000001</v>
      </c>
      <c r="C2313" s="1">
        <v>5.0599999999999996</v>
      </c>
      <c r="D2313" s="1">
        <v>4.1020000000000003</v>
      </c>
    </row>
    <row r="2314" spans="1:4" x14ac:dyDescent="0.2">
      <c r="A2314" s="5">
        <v>39731</v>
      </c>
      <c r="B2314" s="1">
        <v>3.8704999999999998</v>
      </c>
      <c r="C2314" s="1">
        <v>5.24</v>
      </c>
      <c r="D2314" s="1">
        <v>4.1363000000000003</v>
      </c>
    </row>
    <row r="2315" spans="1:4" x14ac:dyDescent="0.2">
      <c r="A2315" s="5">
        <v>39734</v>
      </c>
      <c r="B2315" s="1">
        <v>3.9780000000000002</v>
      </c>
      <c r="C2315" s="1">
        <v>5.24</v>
      </c>
      <c r="D2315" s="1">
        <v>4.1361999999999997</v>
      </c>
    </row>
    <row r="2316" spans="1:4" x14ac:dyDescent="0.2">
      <c r="A2316" s="5">
        <v>39735</v>
      </c>
      <c r="B2316" s="1">
        <v>4.0772000000000004</v>
      </c>
      <c r="C2316" s="1">
        <v>5.12</v>
      </c>
      <c r="D2316" s="1">
        <v>4.2760999999999996</v>
      </c>
    </row>
    <row r="2317" spans="1:4" x14ac:dyDescent="0.2">
      <c r="A2317" s="5">
        <v>39736</v>
      </c>
      <c r="B2317" s="1">
        <v>3.9453</v>
      </c>
      <c r="C2317" s="1">
        <v>5.36</v>
      </c>
      <c r="D2317" s="1">
        <v>4.1913</v>
      </c>
    </row>
    <row r="2318" spans="1:4" x14ac:dyDescent="0.2">
      <c r="A2318" s="5">
        <v>39737</v>
      </c>
      <c r="B2318" s="1">
        <v>3.9569000000000001</v>
      </c>
      <c r="C2318" s="1">
        <v>5.44</v>
      </c>
      <c r="D2318" s="1">
        <v>4.2561</v>
      </c>
    </row>
    <row r="2319" spans="1:4" x14ac:dyDescent="0.2">
      <c r="A2319" s="5">
        <v>39738</v>
      </c>
      <c r="B2319" s="1">
        <v>3.9298999999999999</v>
      </c>
      <c r="C2319" s="1">
        <v>5.6</v>
      </c>
      <c r="D2319" s="1">
        <v>4.3228999999999997</v>
      </c>
    </row>
    <row r="2320" spans="1:4" x14ac:dyDescent="0.2">
      <c r="A2320" s="5">
        <v>39741</v>
      </c>
      <c r="B2320" s="1">
        <v>3.8416000000000001</v>
      </c>
      <c r="C2320" s="1">
        <v>5.63</v>
      </c>
      <c r="D2320" s="1">
        <v>4.2552000000000003</v>
      </c>
    </row>
    <row r="2321" spans="1:4" x14ac:dyDescent="0.2">
      <c r="A2321" s="5">
        <v>39742</v>
      </c>
      <c r="B2321" s="1">
        <v>3.7387999999999999</v>
      </c>
      <c r="C2321" s="1">
        <v>5.61</v>
      </c>
      <c r="D2321" s="1">
        <v>4.2163000000000004</v>
      </c>
    </row>
    <row r="2322" spans="1:4" x14ac:dyDescent="0.2">
      <c r="A2322" s="5">
        <v>39743</v>
      </c>
      <c r="B2322" s="1">
        <v>3.5939999999999999</v>
      </c>
      <c r="C2322" s="1">
        <v>5.6</v>
      </c>
      <c r="D2322" s="1">
        <v>4.0548000000000002</v>
      </c>
    </row>
    <row r="2323" spans="1:4" x14ac:dyDescent="0.2">
      <c r="A2323" s="5">
        <v>39744</v>
      </c>
      <c r="B2323" s="1">
        <v>3.6745000000000001</v>
      </c>
      <c r="C2323" s="1">
        <v>5.61</v>
      </c>
      <c r="D2323" s="1">
        <v>4.0495999999999999</v>
      </c>
    </row>
    <row r="2324" spans="1:4" x14ac:dyDescent="0.2">
      <c r="A2324" s="5">
        <v>39745</v>
      </c>
      <c r="B2324" s="1">
        <v>3.6856</v>
      </c>
      <c r="C2324" s="1">
        <v>5.7</v>
      </c>
      <c r="D2324" s="1">
        <v>4.0686999999999998</v>
      </c>
    </row>
    <row r="2325" spans="1:4" x14ac:dyDescent="0.2">
      <c r="A2325" s="5">
        <v>39748</v>
      </c>
      <c r="B2325" s="1">
        <v>3.6873999999999998</v>
      </c>
      <c r="C2325" s="1">
        <v>5.71</v>
      </c>
      <c r="D2325" s="1">
        <v>4.0453000000000001</v>
      </c>
    </row>
    <row r="2326" spans="1:4" x14ac:dyDescent="0.2">
      <c r="A2326" s="5">
        <v>39749</v>
      </c>
      <c r="B2326" s="1">
        <v>3.8336000000000001</v>
      </c>
      <c r="C2326" s="1">
        <v>5.67</v>
      </c>
      <c r="D2326" s="1">
        <v>4.1912000000000003</v>
      </c>
    </row>
    <row r="2327" spans="1:4" x14ac:dyDescent="0.2">
      <c r="A2327" s="5">
        <v>39750</v>
      </c>
      <c r="B2327" s="1">
        <v>3.8546</v>
      </c>
      <c r="C2327" s="1">
        <v>5.69</v>
      </c>
      <c r="D2327" s="1">
        <v>4.2370000000000001</v>
      </c>
    </row>
    <row r="2328" spans="1:4" x14ac:dyDescent="0.2">
      <c r="A2328" s="5">
        <v>39751</v>
      </c>
      <c r="B2328" s="1">
        <v>3.9645000000000001</v>
      </c>
      <c r="C2328" s="1">
        <v>5.66</v>
      </c>
      <c r="D2328" s="1">
        <v>4.3301999999999996</v>
      </c>
    </row>
    <row r="2329" spans="1:4" x14ac:dyDescent="0.2">
      <c r="A2329" s="5">
        <v>39752</v>
      </c>
      <c r="B2329" s="1">
        <v>3.9529999999999998</v>
      </c>
      <c r="C2329" s="1">
        <v>5.75</v>
      </c>
      <c r="D2329" s="1">
        <v>4.3663999999999996</v>
      </c>
    </row>
    <row r="2330" spans="1:4" x14ac:dyDescent="0.2">
      <c r="A2330" s="5">
        <v>39755</v>
      </c>
      <c r="B2330" s="1">
        <v>3.9140999999999999</v>
      </c>
      <c r="C2330" s="1">
        <v>5.8</v>
      </c>
      <c r="D2330" s="1">
        <v>4.3219000000000003</v>
      </c>
    </row>
    <row r="2331" spans="1:4" x14ac:dyDescent="0.2">
      <c r="A2331" s="5">
        <v>39756</v>
      </c>
      <c r="B2331" s="1">
        <v>3.7246999999999999</v>
      </c>
      <c r="C2331" s="1">
        <v>5.77</v>
      </c>
      <c r="D2331" s="1">
        <v>4.1920000000000002</v>
      </c>
    </row>
    <row r="2332" spans="1:4" x14ac:dyDescent="0.2">
      <c r="A2332" s="5">
        <v>39757</v>
      </c>
      <c r="B2332" s="1">
        <v>3.7019000000000002</v>
      </c>
      <c r="C2332" s="1">
        <v>5.61</v>
      </c>
      <c r="D2332" s="1">
        <v>4.1749999999999998</v>
      </c>
    </row>
    <row r="2333" spans="1:4" x14ac:dyDescent="0.2">
      <c r="A2333" s="5">
        <v>39758</v>
      </c>
      <c r="B2333" s="1">
        <v>3.6886000000000001</v>
      </c>
      <c r="C2333" s="1">
        <v>5.6</v>
      </c>
      <c r="D2333" s="1">
        <v>4.1982999999999997</v>
      </c>
    </row>
    <row r="2334" spans="1:4" x14ac:dyDescent="0.2">
      <c r="A2334" s="5">
        <v>39759</v>
      </c>
      <c r="B2334" s="1">
        <v>3.7928999999999999</v>
      </c>
      <c r="C2334" s="1">
        <v>5.59</v>
      </c>
      <c r="D2334" s="1">
        <v>4.2732999999999999</v>
      </c>
    </row>
    <row r="2335" spans="1:4" x14ac:dyDescent="0.2">
      <c r="A2335" s="5">
        <v>39762</v>
      </c>
      <c r="B2335" s="1">
        <v>3.7431999999999999</v>
      </c>
      <c r="C2335" s="1">
        <v>5.46</v>
      </c>
      <c r="D2335" s="1">
        <v>4.1920000000000002</v>
      </c>
    </row>
    <row r="2336" spans="1:4" x14ac:dyDescent="0.2">
      <c r="A2336" s="5">
        <v>39763</v>
      </c>
      <c r="B2336" s="1">
        <v>3.7431999999999999</v>
      </c>
      <c r="C2336" s="1">
        <v>5.46</v>
      </c>
      <c r="D2336" s="1">
        <v>4.1920000000000002</v>
      </c>
    </row>
    <row r="2337" spans="1:4" x14ac:dyDescent="0.2">
      <c r="A2337" s="5">
        <v>39764</v>
      </c>
      <c r="B2337" s="1">
        <v>3.6465999999999998</v>
      </c>
      <c r="C2337" s="1">
        <v>5.5</v>
      </c>
      <c r="D2337" s="1">
        <v>4.1687000000000003</v>
      </c>
    </row>
    <row r="2338" spans="1:4" x14ac:dyDescent="0.2">
      <c r="A2338" s="5">
        <v>39765</v>
      </c>
      <c r="B2338" s="1">
        <v>3.8525</v>
      </c>
      <c r="C2338" s="1">
        <v>5.52</v>
      </c>
      <c r="D2338" s="1">
        <v>4.3562000000000003</v>
      </c>
    </row>
    <row r="2339" spans="1:4" x14ac:dyDescent="0.2">
      <c r="A2339" s="5">
        <v>39766</v>
      </c>
      <c r="B2339" s="1">
        <v>3.7349000000000001</v>
      </c>
      <c r="C2339" s="1">
        <v>5.58</v>
      </c>
      <c r="D2339" s="1">
        <v>4.2279</v>
      </c>
    </row>
    <row r="2340" spans="1:4" x14ac:dyDescent="0.2">
      <c r="A2340" s="5">
        <v>39769</v>
      </c>
      <c r="B2340" s="1">
        <v>3.6484000000000001</v>
      </c>
      <c r="C2340" s="1">
        <v>5.62</v>
      </c>
      <c r="D2340" s="1">
        <v>4.1919000000000004</v>
      </c>
    </row>
    <row r="2341" spans="1:4" x14ac:dyDescent="0.2">
      <c r="A2341" s="5">
        <v>39770</v>
      </c>
      <c r="B2341" s="1">
        <v>3.5293000000000001</v>
      </c>
      <c r="C2341" s="1">
        <v>5.68</v>
      </c>
      <c r="D2341" s="1">
        <v>4.1138000000000003</v>
      </c>
    </row>
    <row r="2342" spans="1:4" x14ac:dyDescent="0.2">
      <c r="A2342" s="5">
        <v>39771</v>
      </c>
      <c r="B2342" s="1">
        <v>3.3205</v>
      </c>
      <c r="C2342" s="1">
        <v>5.75</v>
      </c>
      <c r="D2342" s="1">
        <v>3.9053</v>
      </c>
    </row>
    <row r="2343" spans="1:4" x14ac:dyDescent="0.2">
      <c r="A2343" s="5">
        <v>39772</v>
      </c>
      <c r="B2343" s="1">
        <v>3.0131000000000001</v>
      </c>
      <c r="C2343" s="1">
        <v>5.91</v>
      </c>
      <c r="D2343" s="1">
        <v>3.4857</v>
      </c>
    </row>
    <row r="2344" spans="1:4" x14ac:dyDescent="0.2">
      <c r="A2344" s="5">
        <v>39773</v>
      </c>
      <c r="B2344" s="1">
        <v>3.1974</v>
      </c>
      <c r="C2344" s="1">
        <v>6.04</v>
      </c>
      <c r="D2344" s="1">
        <v>3.6937000000000002</v>
      </c>
    </row>
    <row r="2345" spans="1:4" x14ac:dyDescent="0.2">
      <c r="A2345" s="5">
        <v>39776</v>
      </c>
      <c r="B2345" s="1">
        <v>3.3235999999999999</v>
      </c>
      <c r="C2345" s="1">
        <v>5.99</v>
      </c>
      <c r="D2345" s="1">
        <v>3.7805</v>
      </c>
    </row>
    <row r="2346" spans="1:4" x14ac:dyDescent="0.2">
      <c r="A2346" s="5">
        <v>39777</v>
      </c>
      <c r="B2346" s="1">
        <v>3.1078000000000001</v>
      </c>
      <c r="C2346" s="1">
        <v>6.02</v>
      </c>
      <c r="D2346" s="1">
        <v>3.6194000000000002</v>
      </c>
    </row>
    <row r="2347" spans="1:4" x14ac:dyDescent="0.2">
      <c r="A2347" s="5">
        <v>39778</v>
      </c>
      <c r="B2347" s="1">
        <v>2.9784000000000002</v>
      </c>
      <c r="C2347" s="1">
        <v>6.05</v>
      </c>
      <c r="D2347" s="1">
        <v>3.5226000000000002</v>
      </c>
    </row>
    <row r="2348" spans="1:4" x14ac:dyDescent="0.2">
      <c r="A2348" s="5">
        <v>39779</v>
      </c>
      <c r="B2348" s="1">
        <v>2.9777999999999998</v>
      </c>
      <c r="C2348" s="1">
        <v>6.05</v>
      </c>
      <c r="D2348" s="1">
        <v>3.5225</v>
      </c>
    </row>
    <row r="2349" spans="1:4" x14ac:dyDescent="0.2">
      <c r="A2349" s="5">
        <v>39780</v>
      </c>
      <c r="B2349" s="1">
        <v>2.92</v>
      </c>
      <c r="C2349" s="1">
        <v>6.07</v>
      </c>
      <c r="D2349" s="1">
        <v>3.4369000000000001</v>
      </c>
    </row>
    <row r="2350" spans="1:4" x14ac:dyDescent="0.2">
      <c r="A2350" s="5">
        <v>39783</v>
      </c>
      <c r="B2350" s="1">
        <v>2.7309000000000001</v>
      </c>
      <c r="C2350" s="1">
        <v>6.13</v>
      </c>
      <c r="D2350" s="1">
        <v>3.2136</v>
      </c>
    </row>
    <row r="2351" spans="1:4" x14ac:dyDescent="0.2">
      <c r="A2351" s="5">
        <v>39784</v>
      </c>
      <c r="B2351" s="1">
        <v>2.6724000000000001</v>
      </c>
      <c r="C2351" s="1">
        <v>6.14</v>
      </c>
      <c r="D2351" s="1">
        <v>3.1739999999999999</v>
      </c>
    </row>
    <row r="2352" spans="1:4" x14ac:dyDescent="0.2">
      <c r="A2352" s="5">
        <v>39785</v>
      </c>
      <c r="B2352" s="1">
        <v>2.6585000000000001</v>
      </c>
      <c r="C2352" s="1">
        <v>6.18</v>
      </c>
      <c r="D2352" s="1">
        <v>3.1619999999999999</v>
      </c>
    </row>
    <row r="2353" spans="1:4" x14ac:dyDescent="0.2">
      <c r="A2353" s="5">
        <v>39786</v>
      </c>
      <c r="B2353" s="1">
        <v>2.5512999999999999</v>
      </c>
      <c r="C2353" s="1">
        <v>6.16</v>
      </c>
      <c r="D2353" s="1">
        <v>3.0409000000000002</v>
      </c>
    </row>
    <row r="2354" spans="1:4" x14ac:dyDescent="0.2">
      <c r="A2354" s="5">
        <v>39787</v>
      </c>
      <c r="B2354" s="1">
        <v>2.7037</v>
      </c>
      <c r="C2354" s="1">
        <v>6.13</v>
      </c>
      <c r="D2354" s="1">
        <v>3.1254</v>
      </c>
    </row>
    <row r="2355" spans="1:4" x14ac:dyDescent="0.2">
      <c r="A2355" s="5">
        <v>39790</v>
      </c>
      <c r="B2355" s="1">
        <v>2.7378</v>
      </c>
      <c r="C2355" s="1">
        <v>6.12</v>
      </c>
      <c r="D2355" s="1">
        <v>3.1503999999999999</v>
      </c>
    </row>
    <row r="2356" spans="1:4" x14ac:dyDescent="0.2">
      <c r="A2356" s="5">
        <v>39791</v>
      </c>
      <c r="B2356" s="1">
        <v>2.6398999999999999</v>
      </c>
      <c r="C2356" s="1">
        <v>6.09</v>
      </c>
      <c r="D2356" s="1">
        <v>3.0411999999999999</v>
      </c>
    </row>
    <row r="2357" spans="1:4" x14ac:dyDescent="0.2">
      <c r="A2357" s="5">
        <v>39792</v>
      </c>
      <c r="B2357" s="1">
        <v>2.6823999999999999</v>
      </c>
      <c r="C2357" s="1">
        <v>6.05</v>
      </c>
      <c r="D2357" s="1">
        <v>3.0857000000000001</v>
      </c>
    </row>
    <row r="2358" spans="1:4" x14ac:dyDescent="0.2">
      <c r="A2358" s="5">
        <v>39793</v>
      </c>
      <c r="B2358" s="1">
        <v>2.6019000000000001</v>
      </c>
      <c r="C2358" s="1">
        <v>6.09</v>
      </c>
      <c r="D2358" s="1">
        <v>3.0609000000000002</v>
      </c>
    </row>
    <row r="2359" spans="1:4" x14ac:dyDescent="0.2">
      <c r="A2359" s="5">
        <v>39794</v>
      </c>
      <c r="B2359" s="1">
        <v>2.5705</v>
      </c>
      <c r="C2359" s="1">
        <v>6.1</v>
      </c>
      <c r="D2359" s="1">
        <v>3.0436000000000001</v>
      </c>
    </row>
    <row r="2360" spans="1:4" x14ac:dyDescent="0.2">
      <c r="A2360" s="5">
        <v>39797</v>
      </c>
      <c r="B2360" s="1">
        <v>2.5127000000000002</v>
      </c>
      <c r="C2360" s="1">
        <v>6.07</v>
      </c>
      <c r="D2360" s="1">
        <v>2.9550000000000001</v>
      </c>
    </row>
    <row r="2361" spans="1:4" x14ac:dyDescent="0.2">
      <c r="A2361" s="5">
        <v>39798</v>
      </c>
      <c r="B2361" s="1">
        <v>2.2557999999999998</v>
      </c>
      <c r="C2361" s="1">
        <v>6.08</v>
      </c>
      <c r="D2361" s="1">
        <v>2.7351999999999999</v>
      </c>
    </row>
    <row r="2362" spans="1:4" x14ac:dyDescent="0.2">
      <c r="A2362" s="5">
        <v>39799</v>
      </c>
      <c r="B2362" s="1">
        <v>2.1915</v>
      </c>
      <c r="C2362" s="1">
        <v>5.97</v>
      </c>
      <c r="D2362" s="1">
        <v>2.6505000000000001</v>
      </c>
    </row>
    <row r="2363" spans="1:4" x14ac:dyDescent="0.2">
      <c r="A2363" s="5">
        <v>39800</v>
      </c>
      <c r="B2363" s="1">
        <v>2.0788000000000002</v>
      </c>
      <c r="C2363" s="1">
        <v>5.89</v>
      </c>
      <c r="D2363" s="1">
        <v>2.5209999999999999</v>
      </c>
    </row>
    <row r="2364" spans="1:4" x14ac:dyDescent="0.2">
      <c r="A2364" s="5">
        <v>39801</v>
      </c>
      <c r="B2364" s="1">
        <v>2.1231</v>
      </c>
      <c r="C2364" s="1">
        <v>5.82</v>
      </c>
      <c r="D2364" s="1">
        <v>2.5501999999999998</v>
      </c>
    </row>
    <row r="2365" spans="1:4" x14ac:dyDescent="0.2">
      <c r="A2365" s="5">
        <v>39804</v>
      </c>
      <c r="B2365" s="1">
        <v>2.17</v>
      </c>
      <c r="C2365" s="1">
        <v>5.75</v>
      </c>
      <c r="D2365" s="1">
        <v>2.6166</v>
      </c>
    </row>
    <row r="2366" spans="1:4" x14ac:dyDescent="0.2">
      <c r="A2366" s="5">
        <v>39805</v>
      </c>
      <c r="B2366" s="1">
        <v>2.1728999999999998</v>
      </c>
      <c r="C2366" s="1">
        <v>5.73</v>
      </c>
      <c r="D2366" s="1">
        <v>2.6375000000000002</v>
      </c>
    </row>
    <row r="2367" spans="1:4" x14ac:dyDescent="0.2">
      <c r="A2367" s="5">
        <v>39806</v>
      </c>
      <c r="B2367" s="1">
        <v>2.1819999999999999</v>
      </c>
      <c r="C2367" s="1">
        <v>5.69</v>
      </c>
      <c r="D2367" s="1">
        <v>2.6318000000000001</v>
      </c>
    </row>
    <row r="2368" spans="1:4" x14ac:dyDescent="0.2">
      <c r="A2368" s="5">
        <v>39807</v>
      </c>
      <c r="B2368" s="1">
        <v>2.1808999999999998</v>
      </c>
      <c r="C2368" s="1">
        <v>5.69</v>
      </c>
      <c r="D2368" s="1">
        <v>2.6315</v>
      </c>
    </row>
    <row r="2369" spans="1:4" x14ac:dyDescent="0.2">
      <c r="A2369" s="5">
        <v>39808</v>
      </c>
      <c r="B2369" s="1">
        <v>2.1318000000000001</v>
      </c>
      <c r="C2369" s="1">
        <v>5.69</v>
      </c>
      <c r="D2369" s="1">
        <v>2.6055999999999999</v>
      </c>
    </row>
    <row r="2370" spans="1:4" x14ac:dyDescent="0.2">
      <c r="A2370" s="5">
        <v>39811</v>
      </c>
      <c r="B2370" s="1">
        <v>2.0989</v>
      </c>
      <c r="C2370" s="1">
        <v>5.67</v>
      </c>
      <c r="D2370" s="1">
        <v>2.6320000000000001</v>
      </c>
    </row>
    <row r="2371" spans="1:4" x14ac:dyDescent="0.2">
      <c r="A2371" s="5">
        <v>39812</v>
      </c>
      <c r="B2371" s="1">
        <v>2.0529999999999999</v>
      </c>
      <c r="C2371" s="1">
        <v>5.6</v>
      </c>
      <c r="D2371" s="1">
        <v>2.5548000000000002</v>
      </c>
    </row>
    <row r="2372" spans="1:4" x14ac:dyDescent="0.2">
      <c r="A2372" s="5">
        <v>39813</v>
      </c>
      <c r="B2372" s="1">
        <v>2.2122999999999999</v>
      </c>
      <c r="C2372" s="1">
        <v>5.55</v>
      </c>
      <c r="D2372" s="1">
        <v>2.6758000000000002</v>
      </c>
    </row>
    <row r="2373" spans="1:4" x14ac:dyDescent="0.2">
      <c r="A2373" s="5">
        <v>39814</v>
      </c>
      <c r="B2373" s="1">
        <v>2.2122999999999999</v>
      </c>
      <c r="C2373" s="1">
        <v>5.55</v>
      </c>
      <c r="D2373" s="1">
        <v>2.6756000000000002</v>
      </c>
    </row>
    <row r="2374" spans="1:4" x14ac:dyDescent="0.2">
      <c r="A2374" s="5">
        <v>39815</v>
      </c>
      <c r="B2374" s="1">
        <v>2.3687999999999998</v>
      </c>
      <c r="C2374" s="1">
        <v>5.55</v>
      </c>
      <c r="D2374" s="1">
        <v>2.7948</v>
      </c>
    </row>
    <row r="2375" spans="1:4" x14ac:dyDescent="0.2">
      <c r="A2375" s="5">
        <v>39818</v>
      </c>
      <c r="B2375" s="1">
        <v>2.4811999999999999</v>
      </c>
      <c r="C2375" s="1">
        <v>5.52</v>
      </c>
      <c r="D2375" s="1">
        <v>3.0283000000000002</v>
      </c>
    </row>
    <row r="2376" spans="1:4" x14ac:dyDescent="0.2">
      <c r="A2376" s="5">
        <v>39819</v>
      </c>
      <c r="B2376" s="1">
        <v>2.4453999999999998</v>
      </c>
      <c r="C2376" s="1">
        <v>5.39</v>
      </c>
      <c r="D2376" s="1">
        <v>2.9950000000000001</v>
      </c>
    </row>
    <row r="2377" spans="1:4" x14ac:dyDescent="0.2">
      <c r="A2377" s="5">
        <v>39820</v>
      </c>
      <c r="B2377" s="1">
        <v>2.4942000000000002</v>
      </c>
      <c r="C2377" s="1">
        <v>5.23</v>
      </c>
      <c r="D2377" s="1">
        <v>3.0363000000000002</v>
      </c>
    </row>
    <row r="2378" spans="1:4" x14ac:dyDescent="0.2">
      <c r="A2378" s="5">
        <v>39821</v>
      </c>
      <c r="B2378" s="1">
        <v>2.4398</v>
      </c>
      <c r="C2378" s="1">
        <v>5.2</v>
      </c>
      <c r="D2378" s="1">
        <v>3.0457999999999998</v>
      </c>
    </row>
    <row r="2379" spans="1:4" x14ac:dyDescent="0.2">
      <c r="A2379" s="5">
        <v>39822</v>
      </c>
      <c r="B2379" s="1">
        <v>2.39</v>
      </c>
      <c r="C2379" s="1">
        <v>5.21</v>
      </c>
      <c r="D2379" s="1">
        <v>3.06</v>
      </c>
    </row>
    <row r="2380" spans="1:4" x14ac:dyDescent="0.2">
      <c r="A2380" s="5">
        <v>39825</v>
      </c>
      <c r="B2380" s="1">
        <v>2.3043999999999998</v>
      </c>
      <c r="C2380" s="1">
        <v>5.18</v>
      </c>
      <c r="D2380" s="1">
        <v>2.9897999999999998</v>
      </c>
    </row>
    <row r="2381" spans="1:4" x14ac:dyDescent="0.2">
      <c r="A2381" s="5">
        <v>39826</v>
      </c>
      <c r="B2381" s="1">
        <v>2.2924000000000002</v>
      </c>
      <c r="C2381" s="1">
        <v>5.21</v>
      </c>
      <c r="D2381" s="1">
        <v>3.0026000000000002</v>
      </c>
    </row>
    <row r="2382" spans="1:4" x14ac:dyDescent="0.2">
      <c r="A2382" s="5">
        <v>39827</v>
      </c>
      <c r="B2382" s="1">
        <v>2.1993</v>
      </c>
      <c r="C2382" s="1">
        <v>5.18</v>
      </c>
      <c r="D2382" s="1">
        <v>2.8862999999999999</v>
      </c>
    </row>
    <row r="2383" spans="1:4" x14ac:dyDescent="0.2">
      <c r="A2383" s="5">
        <v>39828</v>
      </c>
      <c r="B2383" s="1">
        <v>2.2054999999999998</v>
      </c>
      <c r="C2383" s="1">
        <v>5.16</v>
      </c>
      <c r="D2383" s="1">
        <v>2.8672</v>
      </c>
    </row>
    <row r="2384" spans="1:4" x14ac:dyDescent="0.2">
      <c r="A2384" s="5">
        <v>39829</v>
      </c>
      <c r="B2384" s="1">
        <v>2.3188</v>
      </c>
      <c r="C2384" s="1">
        <v>5.15</v>
      </c>
      <c r="D2384" s="1">
        <v>2.8746999999999998</v>
      </c>
    </row>
    <row r="2385" spans="1:4" x14ac:dyDescent="0.2">
      <c r="A2385" s="5">
        <v>39832</v>
      </c>
      <c r="B2385" s="1">
        <v>2.3184</v>
      </c>
      <c r="C2385" s="1">
        <v>5.15</v>
      </c>
      <c r="D2385" s="1">
        <v>2.8746999999999998</v>
      </c>
    </row>
    <row r="2386" spans="1:4" x14ac:dyDescent="0.2">
      <c r="A2386" s="5">
        <v>39833</v>
      </c>
      <c r="B2386" s="1">
        <v>2.3771</v>
      </c>
      <c r="C2386" s="1">
        <v>5.13</v>
      </c>
      <c r="D2386" s="1">
        <v>2.9803999999999999</v>
      </c>
    </row>
    <row r="2387" spans="1:4" x14ac:dyDescent="0.2">
      <c r="A2387" s="5">
        <v>39834</v>
      </c>
      <c r="B2387" s="1">
        <v>2.536</v>
      </c>
      <c r="C2387" s="1">
        <v>5.0999999999999996</v>
      </c>
      <c r="D2387" s="1">
        <v>3.1579000000000002</v>
      </c>
    </row>
    <row r="2388" spans="1:4" x14ac:dyDescent="0.2">
      <c r="A2388" s="5">
        <v>39835</v>
      </c>
      <c r="B2388" s="1">
        <v>2.5922000000000001</v>
      </c>
      <c r="C2388" s="1">
        <v>5.1100000000000003</v>
      </c>
      <c r="D2388" s="1">
        <v>3.2574999999999998</v>
      </c>
    </row>
    <row r="2389" spans="1:4" x14ac:dyDescent="0.2">
      <c r="A2389" s="5">
        <v>39836</v>
      </c>
      <c r="B2389" s="1">
        <v>2.6172</v>
      </c>
      <c r="C2389" s="1">
        <v>5.0999999999999996</v>
      </c>
      <c r="D2389" s="1">
        <v>3.3212000000000002</v>
      </c>
    </row>
    <row r="2390" spans="1:4" x14ac:dyDescent="0.2">
      <c r="A2390" s="5">
        <v>39839</v>
      </c>
      <c r="B2390" s="1">
        <v>2.6410999999999998</v>
      </c>
      <c r="C2390" s="1">
        <v>5.05</v>
      </c>
      <c r="D2390" s="1">
        <v>3.3771</v>
      </c>
    </row>
    <row r="2391" spans="1:4" x14ac:dyDescent="0.2">
      <c r="A2391" s="5">
        <v>39840</v>
      </c>
      <c r="B2391" s="1">
        <v>2.5274000000000001</v>
      </c>
      <c r="C2391" s="1">
        <v>5</v>
      </c>
      <c r="D2391" s="1">
        <v>3.2435</v>
      </c>
    </row>
    <row r="2392" spans="1:4" x14ac:dyDescent="0.2">
      <c r="A2392" s="5">
        <v>39841</v>
      </c>
      <c r="B2392" s="1">
        <v>2.6665000000000001</v>
      </c>
      <c r="C2392" s="1">
        <v>4.9000000000000004</v>
      </c>
      <c r="D2392" s="1">
        <v>3.4232</v>
      </c>
    </row>
    <row r="2393" spans="1:4" x14ac:dyDescent="0.2">
      <c r="A2393" s="5">
        <v>39842</v>
      </c>
      <c r="B2393" s="1">
        <v>2.8586</v>
      </c>
      <c r="C2393" s="1">
        <v>4.8499999999999996</v>
      </c>
      <c r="D2393" s="1">
        <v>3.6063000000000001</v>
      </c>
    </row>
    <row r="2394" spans="1:4" x14ac:dyDescent="0.2">
      <c r="A2394" s="5">
        <v>39843</v>
      </c>
      <c r="B2394" s="1">
        <v>2.8403</v>
      </c>
      <c r="C2394" s="1">
        <v>4.8099999999999996</v>
      </c>
      <c r="D2394" s="1">
        <v>3.6030000000000002</v>
      </c>
    </row>
    <row r="2395" spans="1:4" x14ac:dyDescent="0.2">
      <c r="A2395" s="5">
        <v>39846</v>
      </c>
      <c r="B2395" s="1">
        <v>2.7225999999999999</v>
      </c>
      <c r="C2395" s="1">
        <v>4.83</v>
      </c>
      <c r="D2395" s="1">
        <v>3.4742999999999999</v>
      </c>
    </row>
    <row r="2396" spans="1:4" x14ac:dyDescent="0.2">
      <c r="A2396" s="5">
        <v>39847</v>
      </c>
      <c r="B2396" s="1">
        <v>2.8839999999999999</v>
      </c>
      <c r="C2396" s="1">
        <v>4.82</v>
      </c>
      <c r="D2396" s="1">
        <v>3.6770999999999998</v>
      </c>
    </row>
    <row r="2397" spans="1:4" x14ac:dyDescent="0.2">
      <c r="A2397" s="5">
        <v>39848</v>
      </c>
      <c r="B2397" s="1">
        <v>2.9352999999999998</v>
      </c>
      <c r="C2397" s="1">
        <v>4.8499999999999996</v>
      </c>
      <c r="D2397" s="1">
        <v>3.6810999999999998</v>
      </c>
    </row>
    <row r="2398" spans="1:4" x14ac:dyDescent="0.2">
      <c r="A2398" s="5">
        <v>39849</v>
      </c>
      <c r="B2398" s="1">
        <v>2.9119999999999999</v>
      </c>
      <c r="C2398" s="1">
        <v>4.8499999999999996</v>
      </c>
      <c r="D2398" s="1">
        <v>3.6476999999999999</v>
      </c>
    </row>
    <row r="2399" spans="1:4" x14ac:dyDescent="0.2">
      <c r="A2399" s="5">
        <v>39850</v>
      </c>
      <c r="B2399" s="1">
        <v>2.9916999999999998</v>
      </c>
      <c r="C2399" s="1">
        <v>4.84</v>
      </c>
      <c r="D2399" s="1">
        <v>3.6960999999999999</v>
      </c>
    </row>
    <row r="2400" spans="1:4" x14ac:dyDescent="0.2">
      <c r="A2400" s="5">
        <v>39853</v>
      </c>
      <c r="B2400" s="1">
        <v>2.9843999999999999</v>
      </c>
      <c r="C2400" s="1">
        <v>4.78</v>
      </c>
      <c r="D2400" s="1">
        <v>3.6452</v>
      </c>
    </row>
    <row r="2401" spans="1:4" x14ac:dyDescent="0.2">
      <c r="A2401" s="5">
        <v>39854</v>
      </c>
      <c r="B2401" s="1">
        <v>2.8136000000000001</v>
      </c>
      <c r="C2401" s="1">
        <v>4.74</v>
      </c>
      <c r="D2401" s="1">
        <v>3.4874999999999998</v>
      </c>
    </row>
    <row r="2402" spans="1:4" x14ac:dyDescent="0.2">
      <c r="A2402" s="5">
        <v>39855</v>
      </c>
      <c r="B2402" s="1">
        <v>2.7536999999999998</v>
      </c>
      <c r="C2402" s="1">
        <v>4.72</v>
      </c>
      <c r="D2402" s="1">
        <v>3.4443000000000001</v>
      </c>
    </row>
    <row r="2403" spans="1:4" x14ac:dyDescent="0.2">
      <c r="A2403" s="5">
        <v>39856</v>
      </c>
      <c r="B2403" s="1">
        <v>2.7824</v>
      </c>
      <c r="C2403" s="1">
        <v>4.7300000000000004</v>
      </c>
      <c r="D2403" s="1">
        <v>3.5196000000000001</v>
      </c>
    </row>
    <row r="2404" spans="1:4" x14ac:dyDescent="0.2">
      <c r="A2404" s="5">
        <v>39857</v>
      </c>
      <c r="B2404" s="1">
        <v>2.8894000000000002</v>
      </c>
      <c r="C2404" s="1">
        <v>4.71</v>
      </c>
      <c r="D2404" s="1">
        <v>3.6728000000000001</v>
      </c>
    </row>
    <row r="2405" spans="1:4" x14ac:dyDescent="0.2">
      <c r="A2405" s="5">
        <v>39860</v>
      </c>
      <c r="B2405" s="1">
        <v>2.8895</v>
      </c>
      <c r="C2405" s="1">
        <v>4.71</v>
      </c>
      <c r="D2405" s="1">
        <v>3.6709999999999998</v>
      </c>
    </row>
    <row r="2406" spans="1:4" x14ac:dyDescent="0.2">
      <c r="A2406" s="5">
        <v>39861</v>
      </c>
      <c r="B2406" s="1">
        <v>2.6478999999999999</v>
      </c>
      <c r="C2406" s="1">
        <v>4.72</v>
      </c>
      <c r="D2406" s="1">
        <v>3.4796999999999998</v>
      </c>
    </row>
    <row r="2407" spans="1:4" x14ac:dyDescent="0.2">
      <c r="A2407" s="5">
        <v>39862</v>
      </c>
      <c r="B2407" s="1">
        <v>2.7553999999999998</v>
      </c>
      <c r="C2407" s="1">
        <v>4.83</v>
      </c>
      <c r="D2407" s="1">
        <v>3.5468000000000002</v>
      </c>
    </row>
    <row r="2408" spans="1:4" x14ac:dyDescent="0.2">
      <c r="A2408" s="5">
        <v>39863</v>
      </c>
      <c r="B2408" s="1">
        <v>2.8531</v>
      </c>
      <c r="C2408" s="1">
        <v>4.8499999999999996</v>
      </c>
      <c r="D2408" s="1">
        <v>3.6701000000000001</v>
      </c>
    </row>
    <row r="2409" spans="1:4" x14ac:dyDescent="0.2">
      <c r="A2409" s="5">
        <v>39864</v>
      </c>
      <c r="B2409" s="1">
        <v>2.7879</v>
      </c>
      <c r="C2409" s="1">
        <v>4.93</v>
      </c>
      <c r="D2409" s="1">
        <v>3.5672999999999999</v>
      </c>
    </row>
    <row r="2410" spans="1:4" x14ac:dyDescent="0.2">
      <c r="A2410" s="5">
        <v>39867</v>
      </c>
      <c r="B2410" s="1">
        <v>2.7536</v>
      </c>
      <c r="C2410" s="1">
        <v>4.9800000000000004</v>
      </c>
      <c r="D2410" s="1">
        <v>3.5066999999999999</v>
      </c>
    </row>
    <row r="2411" spans="1:4" x14ac:dyDescent="0.2">
      <c r="A2411" s="5">
        <v>39868</v>
      </c>
      <c r="B2411" s="1">
        <v>2.7951000000000001</v>
      </c>
      <c r="C2411" s="1">
        <v>5.0199999999999996</v>
      </c>
      <c r="D2411" s="1">
        <v>3.4923999999999999</v>
      </c>
    </row>
    <row r="2412" spans="1:4" x14ac:dyDescent="0.2">
      <c r="A2412" s="5">
        <v>39869</v>
      </c>
      <c r="B2412" s="1">
        <v>2.9262999999999999</v>
      </c>
      <c r="C2412" s="1">
        <v>5.03</v>
      </c>
      <c r="D2412" s="1">
        <v>3.5872000000000002</v>
      </c>
    </row>
    <row r="2413" spans="1:4" x14ac:dyDescent="0.2">
      <c r="A2413" s="5">
        <v>39870</v>
      </c>
      <c r="B2413" s="1">
        <v>2.9908000000000001</v>
      </c>
      <c r="C2413" s="1">
        <v>5.04</v>
      </c>
      <c r="D2413" s="1">
        <v>3.6745999999999999</v>
      </c>
    </row>
    <row r="2414" spans="1:4" x14ac:dyDescent="0.2">
      <c r="A2414" s="5">
        <v>39871</v>
      </c>
      <c r="B2414" s="1">
        <v>3.0131000000000001</v>
      </c>
      <c r="C2414" s="1">
        <v>5.05</v>
      </c>
      <c r="D2414" s="1">
        <v>3.7082999999999999</v>
      </c>
    </row>
    <row r="2415" spans="1:4" x14ac:dyDescent="0.2">
      <c r="A2415" s="5">
        <v>39874</v>
      </c>
      <c r="B2415" s="1">
        <v>2.8624000000000001</v>
      </c>
      <c r="C2415" s="1">
        <v>5.1100000000000003</v>
      </c>
      <c r="D2415" s="1">
        <v>3.6105999999999998</v>
      </c>
    </row>
    <row r="2416" spans="1:4" x14ac:dyDescent="0.2">
      <c r="A2416" s="5">
        <v>39875</v>
      </c>
      <c r="B2416" s="1">
        <v>2.8771</v>
      </c>
      <c r="C2416" s="1">
        <v>5.15</v>
      </c>
      <c r="D2416" s="1">
        <v>3.601</v>
      </c>
    </row>
    <row r="2417" spans="1:4" x14ac:dyDescent="0.2">
      <c r="A2417" s="5">
        <v>39876</v>
      </c>
      <c r="B2417" s="1">
        <v>2.9744999999999999</v>
      </c>
      <c r="C2417" s="1">
        <v>5.24</v>
      </c>
      <c r="D2417" s="1">
        <v>3.6667000000000001</v>
      </c>
    </row>
    <row r="2418" spans="1:4" x14ac:dyDescent="0.2">
      <c r="A2418" s="5">
        <v>39877</v>
      </c>
      <c r="B2418" s="1">
        <v>2.8115000000000001</v>
      </c>
      <c r="C2418" s="1">
        <v>5.3</v>
      </c>
      <c r="D2418" s="1">
        <v>3.4881000000000002</v>
      </c>
    </row>
    <row r="2419" spans="1:4" x14ac:dyDescent="0.2">
      <c r="A2419" s="5">
        <v>39878</v>
      </c>
      <c r="B2419" s="1">
        <v>2.8717000000000001</v>
      </c>
      <c r="C2419" s="1">
        <v>5.33</v>
      </c>
      <c r="D2419" s="1">
        <v>3.5535999999999999</v>
      </c>
    </row>
    <row r="2420" spans="1:4" x14ac:dyDescent="0.2">
      <c r="A2420" s="5">
        <v>39881</v>
      </c>
      <c r="B2420" s="1">
        <v>2.8589000000000002</v>
      </c>
      <c r="C2420" s="1">
        <v>5.42</v>
      </c>
      <c r="D2420" s="1">
        <v>3.5665</v>
      </c>
    </row>
    <row r="2421" spans="1:4" x14ac:dyDescent="0.2">
      <c r="A2421" s="5">
        <v>39882</v>
      </c>
      <c r="B2421" s="1">
        <v>3.0044</v>
      </c>
      <c r="C2421" s="1">
        <v>5.38</v>
      </c>
      <c r="D2421" s="1">
        <v>3.7252999999999998</v>
      </c>
    </row>
    <row r="2422" spans="1:4" x14ac:dyDescent="0.2">
      <c r="A2422" s="5">
        <v>39883</v>
      </c>
      <c r="B2422" s="1">
        <v>2.9047999999999998</v>
      </c>
      <c r="C2422" s="1">
        <v>5.43</v>
      </c>
      <c r="D2422" s="1">
        <v>3.6614</v>
      </c>
    </row>
    <row r="2423" spans="1:4" x14ac:dyDescent="0.2">
      <c r="A2423" s="5">
        <v>39884</v>
      </c>
      <c r="B2423" s="1">
        <v>2.8534999999999999</v>
      </c>
      <c r="C2423" s="1">
        <v>5.47</v>
      </c>
      <c r="D2423" s="1">
        <v>3.6105999999999998</v>
      </c>
    </row>
    <row r="2424" spans="1:4" x14ac:dyDescent="0.2">
      <c r="A2424" s="5">
        <v>39885</v>
      </c>
      <c r="B2424" s="1">
        <v>2.8902000000000001</v>
      </c>
      <c r="C2424" s="1">
        <v>5.49</v>
      </c>
      <c r="D2424" s="1">
        <v>3.6728999999999998</v>
      </c>
    </row>
    <row r="2425" spans="1:4" x14ac:dyDescent="0.2">
      <c r="A2425" s="5">
        <v>39888</v>
      </c>
      <c r="B2425" s="1">
        <v>2.9529000000000001</v>
      </c>
      <c r="C2425" s="1">
        <v>5.48</v>
      </c>
      <c r="D2425" s="1">
        <v>3.7576999999999998</v>
      </c>
    </row>
    <row r="2426" spans="1:4" x14ac:dyDescent="0.2">
      <c r="A2426" s="5">
        <v>39889</v>
      </c>
      <c r="B2426" s="1">
        <v>3.0066000000000002</v>
      </c>
      <c r="C2426" s="1">
        <v>5.46</v>
      </c>
      <c r="D2426" s="1">
        <v>3.8250999999999999</v>
      </c>
    </row>
    <row r="2427" spans="1:4" x14ac:dyDescent="0.2">
      <c r="A2427" s="5">
        <v>39890</v>
      </c>
      <c r="B2427" s="1">
        <v>2.5329999999999999</v>
      </c>
      <c r="C2427" s="1">
        <v>5.46</v>
      </c>
      <c r="D2427" s="1">
        <v>3.5322</v>
      </c>
    </row>
    <row r="2428" spans="1:4" x14ac:dyDescent="0.2">
      <c r="A2428" s="5">
        <v>39891</v>
      </c>
      <c r="B2428" s="1">
        <v>2.6023000000000001</v>
      </c>
      <c r="C2428" s="1">
        <v>5.45</v>
      </c>
      <c r="D2428" s="1">
        <v>3.629</v>
      </c>
    </row>
    <row r="2429" spans="1:4" x14ac:dyDescent="0.2">
      <c r="A2429" s="5">
        <v>39892</v>
      </c>
      <c r="B2429" s="1">
        <v>2.6343999999999999</v>
      </c>
      <c r="C2429" s="1">
        <v>5.46</v>
      </c>
      <c r="D2429" s="1">
        <v>3.6606000000000001</v>
      </c>
    </row>
    <row r="2430" spans="1:4" x14ac:dyDescent="0.2">
      <c r="A2430" s="5">
        <v>39895</v>
      </c>
      <c r="B2430" s="1">
        <v>2.6522999999999999</v>
      </c>
      <c r="C2430" s="1">
        <v>5.43</v>
      </c>
      <c r="D2430" s="1">
        <v>3.6915</v>
      </c>
    </row>
    <row r="2431" spans="1:4" x14ac:dyDescent="0.2">
      <c r="A2431" s="5">
        <v>39896</v>
      </c>
      <c r="B2431" s="1">
        <v>2.7010000000000001</v>
      </c>
      <c r="C2431" s="1">
        <v>5.46</v>
      </c>
      <c r="D2431" s="1">
        <v>3.6385999999999998</v>
      </c>
    </row>
    <row r="2432" spans="1:4" x14ac:dyDescent="0.2">
      <c r="A2432" s="5">
        <v>39897</v>
      </c>
      <c r="B2432" s="1">
        <v>2.7844000000000002</v>
      </c>
      <c r="C2432" s="1">
        <v>5.42</v>
      </c>
      <c r="D2432" s="1">
        <v>3.7406999999999999</v>
      </c>
    </row>
    <row r="2433" spans="1:4" x14ac:dyDescent="0.2">
      <c r="A2433" s="5">
        <v>39898</v>
      </c>
      <c r="B2433" s="1">
        <v>2.7389000000000001</v>
      </c>
      <c r="C2433" s="1">
        <v>5.43</v>
      </c>
      <c r="D2433" s="1">
        <v>3.6518000000000002</v>
      </c>
    </row>
    <row r="2434" spans="1:4" x14ac:dyDescent="0.2">
      <c r="A2434" s="5">
        <v>39899</v>
      </c>
      <c r="B2434" s="1">
        <v>2.7570999999999999</v>
      </c>
      <c r="C2434" s="1">
        <v>5.4</v>
      </c>
      <c r="D2434" s="1">
        <v>3.6124000000000001</v>
      </c>
    </row>
    <row r="2435" spans="1:4" x14ac:dyDescent="0.2">
      <c r="A2435" s="5">
        <v>39902</v>
      </c>
      <c r="B2435" s="1">
        <v>2.7117</v>
      </c>
      <c r="C2435" s="1">
        <v>5.44</v>
      </c>
      <c r="D2435" s="1">
        <v>3.5985</v>
      </c>
    </row>
    <row r="2436" spans="1:4" x14ac:dyDescent="0.2">
      <c r="A2436" s="5">
        <v>39903</v>
      </c>
      <c r="B2436" s="1">
        <v>2.6629</v>
      </c>
      <c r="C2436" s="1">
        <v>5.43</v>
      </c>
      <c r="D2436" s="1">
        <v>3.5339</v>
      </c>
    </row>
    <row r="2437" spans="1:4" x14ac:dyDescent="0.2">
      <c r="A2437" s="5">
        <v>39904</v>
      </c>
      <c r="B2437" s="1">
        <v>2.6539000000000001</v>
      </c>
      <c r="C2437" s="1">
        <v>5.43</v>
      </c>
      <c r="D2437" s="1">
        <v>3.5015000000000001</v>
      </c>
    </row>
    <row r="2438" spans="1:4" x14ac:dyDescent="0.2">
      <c r="A2438" s="5">
        <v>39905</v>
      </c>
      <c r="B2438" s="1">
        <v>2.7662</v>
      </c>
      <c r="C2438" s="1">
        <v>5.38</v>
      </c>
      <c r="D2438" s="1">
        <v>3.5968</v>
      </c>
    </row>
    <row r="2439" spans="1:4" x14ac:dyDescent="0.2">
      <c r="A2439" s="5">
        <v>39906</v>
      </c>
      <c r="B2439" s="1">
        <v>2.8853</v>
      </c>
      <c r="C2439" s="1">
        <v>5.32</v>
      </c>
      <c r="D2439" s="1">
        <v>3.6899000000000002</v>
      </c>
    </row>
    <row r="2440" spans="1:4" x14ac:dyDescent="0.2">
      <c r="A2440" s="5">
        <v>39909</v>
      </c>
      <c r="B2440" s="1">
        <v>2.9222999999999999</v>
      </c>
      <c r="C2440" s="1">
        <v>5.26</v>
      </c>
      <c r="D2440" s="1">
        <v>3.7246999999999999</v>
      </c>
    </row>
    <row r="2441" spans="1:4" x14ac:dyDescent="0.2">
      <c r="A2441" s="5">
        <v>39910</v>
      </c>
      <c r="B2441" s="1">
        <v>2.8965000000000001</v>
      </c>
      <c r="C2441" s="1">
        <v>5.24</v>
      </c>
      <c r="D2441" s="1">
        <v>3.7139000000000002</v>
      </c>
    </row>
    <row r="2442" spans="1:4" x14ac:dyDescent="0.2">
      <c r="A2442" s="5">
        <v>39911</v>
      </c>
      <c r="B2442" s="1">
        <v>2.8559000000000001</v>
      </c>
      <c r="C2442" s="1">
        <v>5.23</v>
      </c>
      <c r="D2442" s="1">
        <v>3.6686000000000001</v>
      </c>
    </row>
    <row r="2443" spans="1:4" x14ac:dyDescent="0.2">
      <c r="A2443" s="5">
        <v>39912</v>
      </c>
      <c r="B2443" s="1">
        <v>2.9207000000000001</v>
      </c>
      <c r="C2443" s="1">
        <v>5.19</v>
      </c>
      <c r="D2443" s="1">
        <v>3.7517</v>
      </c>
    </row>
    <row r="2444" spans="1:4" x14ac:dyDescent="0.2">
      <c r="A2444" s="5">
        <v>39913</v>
      </c>
      <c r="B2444" s="1">
        <v>2.9226000000000001</v>
      </c>
      <c r="C2444" s="1">
        <v>5.19</v>
      </c>
      <c r="D2444" s="1">
        <v>3.7498999999999998</v>
      </c>
    </row>
    <row r="2445" spans="1:4" x14ac:dyDescent="0.2">
      <c r="A2445" s="5">
        <v>39916</v>
      </c>
      <c r="B2445" s="1">
        <v>2.8578999999999999</v>
      </c>
      <c r="C2445" s="1">
        <v>5.09</v>
      </c>
      <c r="D2445" s="1">
        <v>3.7103999999999999</v>
      </c>
    </row>
    <row r="2446" spans="1:4" x14ac:dyDescent="0.2">
      <c r="A2446" s="5">
        <v>39917</v>
      </c>
      <c r="B2446" s="1">
        <v>2.7845</v>
      </c>
      <c r="C2446" s="1">
        <v>4.99</v>
      </c>
      <c r="D2446" s="1">
        <v>3.6545000000000001</v>
      </c>
    </row>
    <row r="2447" spans="1:4" x14ac:dyDescent="0.2">
      <c r="A2447" s="5">
        <v>39918</v>
      </c>
      <c r="B2447" s="1">
        <v>2.7644000000000002</v>
      </c>
      <c r="C2447" s="1">
        <v>4.96</v>
      </c>
      <c r="D2447" s="1">
        <v>3.6625000000000001</v>
      </c>
    </row>
    <row r="2448" spans="1:4" x14ac:dyDescent="0.2">
      <c r="A2448" s="5">
        <v>39919</v>
      </c>
      <c r="B2448" s="1">
        <v>2.8302999999999998</v>
      </c>
      <c r="C2448" s="1">
        <v>4.9000000000000004</v>
      </c>
      <c r="D2448" s="1">
        <v>3.714</v>
      </c>
    </row>
    <row r="2449" spans="1:4" x14ac:dyDescent="0.2">
      <c r="A2449" s="5">
        <v>39920</v>
      </c>
      <c r="B2449" s="1">
        <v>2.9451000000000001</v>
      </c>
      <c r="C2449" s="1">
        <v>4.83</v>
      </c>
      <c r="D2449" s="1">
        <v>3.7980999999999998</v>
      </c>
    </row>
    <row r="2450" spans="1:4" x14ac:dyDescent="0.2">
      <c r="A2450" s="5">
        <v>39923</v>
      </c>
      <c r="B2450" s="1">
        <v>2.8359000000000001</v>
      </c>
      <c r="C2450" s="1">
        <v>4.8</v>
      </c>
      <c r="D2450" s="1">
        <v>3.6890999999999998</v>
      </c>
    </row>
    <row r="2451" spans="1:4" x14ac:dyDescent="0.2">
      <c r="A2451" s="5">
        <v>39924</v>
      </c>
      <c r="B2451" s="1">
        <v>2.8969</v>
      </c>
      <c r="C2451" s="1">
        <v>4.84</v>
      </c>
      <c r="D2451" s="1">
        <v>3.7391999999999999</v>
      </c>
    </row>
    <row r="2452" spans="1:4" x14ac:dyDescent="0.2">
      <c r="A2452" s="5">
        <v>39925</v>
      </c>
      <c r="B2452" s="1">
        <v>2.9397000000000002</v>
      </c>
      <c r="C2452" s="1">
        <v>4.83</v>
      </c>
      <c r="D2452" s="1">
        <v>3.8035999999999999</v>
      </c>
    </row>
    <row r="2453" spans="1:4" x14ac:dyDescent="0.2">
      <c r="A2453" s="5">
        <v>39926</v>
      </c>
      <c r="B2453" s="1">
        <v>2.9192999999999998</v>
      </c>
      <c r="C2453" s="1">
        <v>4.79</v>
      </c>
      <c r="D2453" s="1">
        <v>3.7917999999999998</v>
      </c>
    </row>
    <row r="2454" spans="1:4" x14ac:dyDescent="0.2">
      <c r="A2454" s="5">
        <v>39927</v>
      </c>
      <c r="B2454" s="1">
        <v>2.9903</v>
      </c>
      <c r="C2454" s="1">
        <v>4.7300000000000004</v>
      </c>
      <c r="D2454" s="1">
        <v>3.8813</v>
      </c>
    </row>
    <row r="2455" spans="1:4" x14ac:dyDescent="0.2">
      <c r="A2455" s="5">
        <v>39930</v>
      </c>
      <c r="B2455" s="1">
        <v>2.9083000000000001</v>
      </c>
      <c r="C2455" s="1">
        <v>4.67</v>
      </c>
      <c r="D2455" s="1">
        <v>3.8294000000000001</v>
      </c>
    </row>
    <row r="2456" spans="1:4" x14ac:dyDescent="0.2">
      <c r="A2456" s="5">
        <v>39931</v>
      </c>
      <c r="B2456" s="1">
        <v>3.0072999999999999</v>
      </c>
      <c r="C2456" s="1">
        <v>4.63</v>
      </c>
      <c r="D2456" s="1">
        <v>3.9537</v>
      </c>
    </row>
    <row r="2457" spans="1:4" x14ac:dyDescent="0.2">
      <c r="A2457" s="5">
        <v>39932</v>
      </c>
      <c r="B2457" s="1">
        <v>3.1073</v>
      </c>
      <c r="C2457" s="1">
        <v>4.59</v>
      </c>
      <c r="D2457" s="1">
        <v>4.0274999999999999</v>
      </c>
    </row>
    <row r="2458" spans="1:4" x14ac:dyDescent="0.2">
      <c r="A2458" s="5">
        <v>39933</v>
      </c>
      <c r="B2458" s="1">
        <v>3.1187</v>
      </c>
      <c r="C2458" s="1">
        <v>4.3899999999999997</v>
      </c>
      <c r="D2458" s="1">
        <v>4.0324</v>
      </c>
    </row>
    <row r="2459" spans="1:4" x14ac:dyDescent="0.2">
      <c r="A2459" s="5">
        <v>39934</v>
      </c>
      <c r="B2459" s="1">
        <v>3.1533000000000002</v>
      </c>
      <c r="C2459" s="1">
        <v>4.4000000000000004</v>
      </c>
      <c r="D2459" s="1">
        <v>4.0702999999999996</v>
      </c>
    </row>
    <row r="2460" spans="1:4" x14ac:dyDescent="0.2">
      <c r="A2460" s="5">
        <v>39937</v>
      </c>
      <c r="B2460" s="1">
        <v>3.1514000000000002</v>
      </c>
      <c r="C2460" s="1">
        <v>4.3499999999999996</v>
      </c>
      <c r="D2460" s="1">
        <v>4.048</v>
      </c>
    </row>
    <row r="2461" spans="1:4" x14ac:dyDescent="0.2">
      <c r="A2461" s="5">
        <v>39938</v>
      </c>
      <c r="B2461" s="1">
        <v>3.1591999999999998</v>
      </c>
      <c r="C2461" s="1">
        <v>4.28</v>
      </c>
      <c r="D2461" s="1">
        <v>4.0655000000000001</v>
      </c>
    </row>
    <row r="2462" spans="1:4" x14ac:dyDescent="0.2">
      <c r="A2462" s="5">
        <v>39939</v>
      </c>
      <c r="B2462" s="1">
        <v>3.1612</v>
      </c>
      <c r="C2462" s="1">
        <v>4.22</v>
      </c>
      <c r="D2462" s="1">
        <v>4.0949</v>
      </c>
    </row>
    <row r="2463" spans="1:4" x14ac:dyDescent="0.2">
      <c r="A2463" s="5">
        <v>39940</v>
      </c>
      <c r="B2463" s="1">
        <v>3.3340999999999998</v>
      </c>
      <c r="C2463" s="1">
        <v>4.1399999999999997</v>
      </c>
      <c r="D2463" s="1">
        <v>4.3056999999999999</v>
      </c>
    </row>
    <row r="2464" spans="1:4" x14ac:dyDescent="0.2">
      <c r="A2464" s="5">
        <v>39941</v>
      </c>
      <c r="B2464" s="1">
        <v>3.2856000000000001</v>
      </c>
      <c r="C2464" s="1">
        <v>4.07</v>
      </c>
      <c r="D2464" s="1">
        <v>4.2675999999999998</v>
      </c>
    </row>
    <row r="2465" spans="1:4" x14ac:dyDescent="0.2">
      <c r="A2465" s="5">
        <v>39944</v>
      </c>
      <c r="B2465" s="1">
        <v>3.1654</v>
      </c>
      <c r="C2465" s="1">
        <v>4.07</v>
      </c>
      <c r="D2465" s="1">
        <v>4.1847000000000003</v>
      </c>
    </row>
    <row r="2466" spans="1:4" x14ac:dyDescent="0.2">
      <c r="A2466" s="5">
        <v>39945</v>
      </c>
      <c r="B2466" s="1">
        <v>3.1726999999999999</v>
      </c>
      <c r="C2466" s="1">
        <v>4.07</v>
      </c>
      <c r="D2466" s="1">
        <v>4.1593</v>
      </c>
    </row>
    <row r="2467" spans="1:4" x14ac:dyDescent="0.2">
      <c r="A2467" s="5">
        <v>39946</v>
      </c>
      <c r="B2467" s="1">
        <v>3.1194999999999999</v>
      </c>
      <c r="C2467" s="1">
        <v>4.0999999999999996</v>
      </c>
      <c r="D2467" s="1">
        <v>4.0990000000000002</v>
      </c>
    </row>
    <row r="2468" spans="1:4" x14ac:dyDescent="0.2">
      <c r="A2468" s="5">
        <v>39947</v>
      </c>
      <c r="B2468" s="1">
        <v>3.0884</v>
      </c>
      <c r="C2468" s="1">
        <v>4.1399999999999997</v>
      </c>
      <c r="D2468" s="1">
        <v>4.0483000000000002</v>
      </c>
    </row>
    <row r="2469" spans="1:4" x14ac:dyDescent="0.2">
      <c r="A2469" s="5">
        <v>39948</v>
      </c>
      <c r="B2469" s="1">
        <v>3.1341000000000001</v>
      </c>
      <c r="C2469" s="1">
        <v>4.08</v>
      </c>
      <c r="D2469" s="1">
        <v>4.0838000000000001</v>
      </c>
    </row>
    <row r="2470" spans="1:4" x14ac:dyDescent="0.2">
      <c r="A2470" s="5">
        <v>39951</v>
      </c>
      <c r="B2470" s="1">
        <v>3.23</v>
      </c>
      <c r="C2470" s="1">
        <v>4.0199999999999996</v>
      </c>
      <c r="D2470" s="1">
        <v>4.1984000000000004</v>
      </c>
    </row>
    <row r="2471" spans="1:4" x14ac:dyDescent="0.2">
      <c r="A2471" s="5">
        <v>39952</v>
      </c>
      <c r="B2471" s="1">
        <v>3.2429999999999999</v>
      </c>
      <c r="C2471" s="1">
        <v>3.94</v>
      </c>
      <c r="D2471" s="1">
        <v>4.2084999999999999</v>
      </c>
    </row>
    <row r="2472" spans="1:4" x14ac:dyDescent="0.2">
      <c r="A2472" s="5">
        <v>39953</v>
      </c>
      <c r="B2472" s="1">
        <v>3.1911999999999998</v>
      </c>
      <c r="C2472" s="1">
        <v>3.87</v>
      </c>
      <c r="D2472" s="1">
        <v>4.1437999999999997</v>
      </c>
    </row>
    <row r="2473" spans="1:4" x14ac:dyDescent="0.2">
      <c r="A2473" s="5">
        <v>39954</v>
      </c>
      <c r="B2473" s="1">
        <v>3.3643999999999998</v>
      </c>
      <c r="C2473" s="1">
        <v>3.84</v>
      </c>
      <c r="D2473" s="1">
        <v>4.3125</v>
      </c>
    </row>
    <row r="2474" spans="1:4" x14ac:dyDescent="0.2">
      <c r="A2474" s="5">
        <v>39955</v>
      </c>
      <c r="B2474" s="1">
        <v>3.4495</v>
      </c>
      <c r="C2474" s="1">
        <v>3.82</v>
      </c>
      <c r="D2474" s="1">
        <v>4.3836000000000004</v>
      </c>
    </row>
    <row r="2475" spans="1:4" x14ac:dyDescent="0.2">
      <c r="A2475" s="5">
        <v>39958</v>
      </c>
      <c r="B2475" s="1">
        <v>3.4496000000000002</v>
      </c>
      <c r="C2475" s="1">
        <v>3.82</v>
      </c>
      <c r="D2475" s="1">
        <v>4.3836000000000004</v>
      </c>
    </row>
    <row r="2476" spans="1:4" x14ac:dyDescent="0.2">
      <c r="A2476" s="5">
        <v>39959</v>
      </c>
      <c r="B2476" s="1">
        <v>3.5467</v>
      </c>
      <c r="C2476" s="1">
        <v>3.78</v>
      </c>
      <c r="D2476" s="1">
        <v>4.4912000000000001</v>
      </c>
    </row>
    <row r="2477" spans="1:4" x14ac:dyDescent="0.2">
      <c r="A2477" s="5">
        <v>39960</v>
      </c>
      <c r="B2477" s="1">
        <v>3.7381000000000002</v>
      </c>
      <c r="C2477" s="1">
        <v>3.7</v>
      </c>
      <c r="D2477" s="1">
        <v>4.6318999999999999</v>
      </c>
    </row>
    <row r="2478" spans="1:4" x14ac:dyDescent="0.2">
      <c r="A2478" s="5">
        <v>39961</v>
      </c>
      <c r="B2478" s="1">
        <v>3.6122000000000001</v>
      </c>
      <c r="C2478" s="1">
        <v>3.63</v>
      </c>
      <c r="D2478" s="1">
        <v>4.4873000000000003</v>
      </c>
    </row>
    <row r="2479" spans="1:4" x14ac:dyDescent="0.2">
      <c r="A2479" s="5">
        <v>39962</v>
      </c>
      <c r="B2479" s="1">
        <v>3.4594</v>
      </c>
      <c r="C2479" s="1">
        <v>3.52</v>
      </c>
      <c r="D2479" s="1">
        <v>4.3361000000000001</v>
      </c>
    </row>
    <row r="2480" spans="1:4" x14ac:dyDescent="0.2">
      <c r="A2480" s="5">
        <v>39965</v>
      </c>
      <c r="B2480" s="1">
        <v>3.6726000000000001</v>
      </c>
      <c r="C2480" s="1">
        <v>3.43</v>
      </c>
      <c r="D2480" s="1">
        <v>4.5336999999999996</v>
      </c>
    </row>
    <row r="2481" spans="1:4" x14ac:dyDescent="0.2">
      <c r="A2481" s="5">
        <v>39966</v>
      </c>
      <c r="B2481" s="1">
        <v>3.6126999999999998</v>
      </c>
      <c r="C2481" s="1">
        <v>3.31</v>
      </c>
      <c r="D2481" s="1">
        <v>4.4824000000000002</v>
      </c>
    </row>
    <row r="2482" spans="1:4" x14ac:dyDescent="0.2">
      <c r="A2482" s="5">
        <v>39967</v>
      </c>
      <c r="B2482" s="1">
        <v>3.5398000000000001</v>
      </c>
      <c r="C2482" s="1">
        <v>3.29</v>
      </c>
      <c r="D2482" s="1">
        <v>4.4452999999999996</v>
      </c>
    </row>
    <row r="2483" spans="1:4" x14ac:dyDescent="0.2">
      <c r="A2483" s="5">
        <v>39968</v>
      </c>
      <c r="B2483" s="1">
        <v>3.7099000000000002</v>
      </c>
      <c r="C2483" s="1">
        <v>3.28</v>
      </c>
      <c r="D2483" s="1">
        <v>4.5785</v>
      </c>
    </row>
    <row r="2484" spans="1:4" x14ac:dyDescent="0.2">
      <c r="A2484" s="5">
        <v>39969</v>
      </c>
      <c r="B2484" s="1">
        <v>3.8279000000000001</v>
      </c>
      <c r="C2484" s="1">
        <v>3.25</v>
      </c>
      <c r="D2484" s="1">
        <v>4.6330999999999998</v>
      </c>
    </row>
    <row r="2485" spans="1:4" x14ac:dyDescent="0.2">
      <c r="A2485" s="5">
        <v>39972</v>
      </c>
      <c r="B2485" s="1">
        <v>3.8736000000000002</v>
      </c>
      <c r="C2485" s="1">
        <v>3.25</v>
      </c>
      <c r="D2485" s="1">
        <v>4.6138000000000003</v>
      </c>
    </row>
    <row r="2486" spans="1:4" x14ac:dyDescent="0.2">
      <c r="A2486" s="5">
        <v>39973</v>
      </c>
      <c r="B2486" s="1">
        <v>3.8559000000000001</v>
      </c>
      <c r="C2486" s="1">
        <v>3.22</v>
      </c>
      <c r="D2486" s="1">
        <v>4.6524000000000001</v>
      </c>
    </row>
    <row r="2487" spans="1:4" x14ac:dyDescent="0.2">
      <c r="A2487" s="5">
        <v>39974</v>
      </c>
      <c r="B2487" s="1">
        <v>3.9455</v>
      </c>
      <c r="C2487" s="1">
        <v>3.15</v>
      </c>
      <c r="D2487" s="1">
        <v>4.7619999999999996</v>
      </c>
    </row>
    <row r="2488" spans="1:4" x14ac:dyDescent="0.2">
      <c r="A2488" s="5">
        <v>39975</v>
      </c>
      <c r="B2488" s="1">
        <v>3.8542999999999998</v>
      </c>
      <c r="C2488" s="1">
        <v>3.11</v>
      </c>
      <c r="D2488" s="1">
        <v>4.6965000000000003</v>
      </c>
    </row>
    <row r="2489" spans="1:4" x14ac:dyDescent="0.2">
      <c r="A2489" s="5">
        <v>39976</v>
      </c>
      <c r="B2489" s="1">
        <v>3.7915999999999999</v>
      </c>
      <c r="C2489" s="1">
        <v>3.07</v>
      </c>
      <c r="D2489" s="1">
        <v>4.6443000000000003</v>
      </c>
    </row>
    <row r="2490" spans="1:4" x14ac:dyDescent="0.2">
      <c r="A2490" s="5">
        <v>39979</v>
      </c>
      <c r="B2490" s="1">
        <v>3.7113</v>
      </c>
      <c r="C2490" s="1">
        <v>3.04</v>
      </c>
      <c r="D2490" s="1">
        <v>4.5606</v>
      </c>
    </row>
    <row r="2491" spans="1:4" x14ac:dyDescent="0.2">
      <c r="A2491" s="5">
        <v>39980</v>
      </c>
      <c r="B2491" s="1">
        <v>3.6587999999999998</v>
      </c>
      <c r="C2491" s="1">
        <v>3.03</v>
      </c>
      <c r="D2491" s="1">
        <v>4.4726999999999997</v>
      </c>
    </row>
    <row r="2492" spans="1:4" x14ac:dyDescent="0.2">
      <c r="A2492" s="5">
        <v>39981</v>
      </c>
      <c r="B2492" s="1">
        <v>3.6882000000000001</v>
      </c>
      <c r="C2492" s="1">
        <v>3.07</v>
      </c>
      <c r="D2492" s="1">
        <v>4.51</v>
      </c>
    </row>
    <row r="2493" spans="1:4" x14ac:dyDescent="0.2">
      <c r="A2493" s="5">
        <v>39982</v>
      </c>
      <c r="B2493" s="1">
        <v>3.8277000000000001</v>
      </c>
      <c r="C2493" s="1">
        <v>3.09</v>
      </c>
      <c r="D2493" s="1">
        <v>4.6037999999999997</v>
      </c>
    </row>
    <row r="2494" spans="1:4" x14ac:dyDescent="0.2">
      <c r="A2494" s="5">
        <v>39983</v>
      </c>
      <c r="B2494" s="1">
        <v>3.7808000000000002</v>
      </c>
      <c r="C2494" s="1">
        <v>3.07</v>
      </c>
      <c r="D2494" s="1">
        <v>4.5041000000000002</v>
      </c>
    </row>
    <row r="2495" spans="1:4" x14ac:dyDescent="0.2">
      <c r="A2495" s="5">
        <v>39986</v>
      </c>
      <c r="B2495" s="1">
        <v>3.681</v>
      </c>
      <c r="C2495" s="1">
        <v>3.07</v>
      </c>
      <c r="D2495" s="1">
        <v>4.4375999999999998</v>
      </c>
    </row>
    <row r="2496" spans="1:4" x14ac:dyDescent="0.2">
      <c r="A2496" s="5">
        <v>39987</v>
      </c>
      <c r="B2496" s="1">
        <v>3.6208</v>
      </c>
      <c r="C2496" s="1">
        <v>3.08</v>
      </c>
      <c r="D2496" s="1">
        <v>4.3569000000000004</v>
      </c>
    </row>
    <row r="2497" spans="1:4" x14ac:dyDescent="0.2">
      <c r="A2497" s="5">
        <v>39988</v>
      </c>
      <c r="B2497" s="1">
        <v>3.6850999999999998</v>
      </c>
      <c r="C2497" s="1">
        <v>3.09</v>
      </c>
      <c r="D2497" s="1">
        <v>4.4269999999999996</v>
      </c>
    </row>
    <row r="2498" spans="1:4" x14ac:dyDescent="0.2">
      <c r="A2498" s="5">
        <v>39989</v>
      </c>
      <c r="B2498" s="1">
        <v>3.5398000000000001</v>
      </c>
      <c r="C2498" s="1">
        <v>3.1</v>
      </c>
      <c r="D2498" s="1">
        <v>4.3341000000000003</v>
      </c>
    </row>
    <row r="2499" spans="1:4" x14ac:dyDescent="0.2">
      <c r="A2499" s="5">
        <v>39990</v>
      </c>
      <c r="B2499" s="1">
        <v>3.5363000000000002</v>
      </c>
      <c r="C2499" s="1">
        <v>3.11</v>
      </c>
      <c r="D2499" s="1">
        <v>4.3360000000000003</v>
      </c>
    </row>
    <row r="2500" spans="1:4" x14ac:dyDescent="0.2">
      <c r="A2500" s="5">
        <v>39993</v>
      </c>
      <c r="B2500" s="1">
        <v>3.4767999999999999</v>
      </c>
      <c r="C2500" s="1">
        <v>3.1</v>
      </c>
      <c r="D2500" s="1">
        <v>4.2869999999999999</v>
      </c>
    </row>
    <row r="2501" spans="1:4" x14ac:dyDescent="0.2">
      <c r="A2501" s="5">
        <v>39994</v>
      </c>
      <c r="B2501" s="1">
        <v>3.5326</v>
      </c>
      <c r="C2501" s="1">
        <v>3.06</v>
      </c>
      <c r="D2501" s="1">
        <v>4.3293999999999997</v>
      </c>
    </row>
    <row r="2502" spans="1:4" x14ac:dyDescent="0.2">
      <c r="A2502" s="5">
        <v>39995</v>
      </c>
      <c r="B2502" s="1">
        <v>3.5365000000000002</v>
      </c>
      <c r="C2502" s="1">
        <v>3.05</v>
      </c>
      <c r="D2502" s="1">
        <v>4.3285</v>
      </c>
    </row>
    <row r="2503" spans="1:4" x14ac:dyDescent="0.2">
      <c r="A2503" s="5">
        <v>39996</v>
      </c>
      <c r="B2503" s="1">
        <v>3.4946000000000002</v>
      </c>
      <c r="C2503" s="1">
        <v>3.05</v>
      </c>
      <c r="D2503" s="1">
        <v>4.3181000000000003</v>
      </c>
    </row>
    <row r="2504" spans="1:4" x14ac:dyDescent="0.2">
      <c r="A2504" s="5">
        <v>39997</v>
      </c>
      <c r="B2504" s="1">
        <v>3.4984999999999999</v>
      </c>
      <c r="C2504" s="1">
        <v>3.05</v>
      </c>
      <c r="D2504" s="1">
        <v>4.3209</v>
      </c>
    </row>
    <row r="2505" spans="1:4" x14ac:dyDescent="0.2">
      <c r="A2505" s="5">
        <v>40000</v>
      </c>
      <c r="B2505" s="1">
        <v>3.5063</v>
      </c>
      <c r="C2505" s="1">
        <v>3.05</v>
      </c>
      <c r="D2505" s="1">
        <v>4.3578999999999999</v>
      </c>
    </row>
    <row r="2506" spans="1:4" x14ac:dyDescent="0.2">
      <c r="A2506" s="5">
        <v>40001</v>
      </c>
      <c r="B2506" s="1">
        <v>3.4544000000000001</v>
      </c>
      <c r="C2506" s="1">
        <v>3.05</v>
      </c>
      <c r="D2506" s="1">
        <v>4.3086000000000002</v>
      </c>
    </row>
    <row r="2507" spans="1:4" x14ac:dyDescent="0.2">
      <c r="A2507" s="5">
        <v>40002</v>
      </c>
      <c r="B2507" s="1">
        <v>3.3081</v>
      </c>
      <c r="C2507" s="1">
        <v>3.05</v>
      </c>
      <c r="D2507" s="1">
        <v>4.1935000000000002</v>
      </c>
    </row>
    <row r="2508" spans="1:4" x14ac:dyDescent="0.2">
      <c r="A2508" s="5">
        <v>40003</v>
      </c>
      <c r="B2508" s="1">
        <v>3.403</v>
      </c>
      <c r="C2508" s="1">
        <v>3.04</v>
      </c>
      <c r="D2508" s="1">
        <v>4.3002000000000002</v>
      </c>
    </row>
    <row r="2509" spans="1:4" x14ac:dyDescent="0.2">
      <c r="A2509" s="5">
        <v>40004</v>
      </c>
      <c r="B2509" s="1">
        <v>3.3026</v>
      </c>
      <c r="C2509" s="1">
        <v>3.05</v>
      </c>
      <c r="D2509" s="1">
        <v>4.1989000000000001</v>
      </c>
    </row>
    <row r="2510" spans="1:4" x14ac:dyDescent="0.2">
      <c r="A2510" s="5">
        <v>40007</v>
      </c>
      <c r="B2510" s="1">
        <v>3.35</v>
      </c>
      <c r="C2510" s="1">
        <v>3.04</v>
      </c>
      <c r="D2510" s="1">
        <v>4.2321</v>
      </c>
    </row>
    <row r="2511" spans="1:4" x14ac:dyDescent="0.2">
      <c r="A2511" s="5">
        <v>40008</v>
      </c>
      <c r="B2511" s="1">
        <v>3.4702999999999999</v>
      </c>
      <c r="C2511" s="1">
        <v>3.03</v>
      </c>
      <c r="D2511" s="1">
        <v>4.3741000000000003</v>
      </c>
    </row>
    <row r="2512" spans="1:4" x14ac:dyDescent="0.2">
      <c r="A2512" s="5">
        <v>40009</v>
      </c>
      <c r="B2512" s="1">
        <v>3.6038000000000001</v>
      </c>
      <c r="C2512" s="1">
        <v>2.97</v>
      </c>
      <c r="D2512" s="1">
        <v>4.4885999999999999</v>
      </c>
    </row>
    <row r="2513" spans="1:4" x14ac:dyDescent="0.2">
      <c r="A2513" s="5">
        <v>40010</v>
      </c>
      <c r="B2513" s="1">
        <v>3.5689000000000002</v>
      </c>
      <c r="C2513" s="1">
        <v>2.97</v>
      </c>
      <c r="D2513" s="1">
        <v>4.4474999999999998</v>
      </c>
    </row>
    <row r="2514" spans="1:4" x14ac:dyDescent="0.2">
      <c r="A2514" s="5">
        <v>40011</v>
      </c>
      <c r="B2514" s="1">
        <v>3.6433</v>
      </c>
      <c r="C2514" s="1">
        <v>2.91</v>
      </c>
      <c r="D2514" s="1">
        <v>4.5350000000000001</v>
      </c>
    </row>
    <row r="2515" spans="1:4" x14ac:dyDescent="0.2">
      <c r="A2515" s="5">
        <v>40014</v>
      </c>
      <c r="B2515" s="1">
        <v>3.6063000000000001</v>
      </c>
      <c r="C2515" s="1">
        <v>2.84</v>
      </c>
      <c r="D2515" s="1">
        <v>4.5141999999999998</v>
      </c>
    </row>
    <row r="2516" spans="1:4" x14ac:dyDescent="0.2">
      <c r="A2516" s="5">
        <v>40015</v>
      </c>
      <c r="B2516" s="1">
        <v>3.4824000000000002</v>
      </c>
      <c r="C2516" s="1">
        <v>2.79</v>
      </c>
      <c r="D2516" s="1">
        <v>4.3905000000000003</v>
      </c>
    </row>
    <row r="2517" spans="1:4" x14ac:dyDescent="0.2">
      <c r="A2517" s="5">
        <v>40016</v>
      </c>
      <c r="B2517" s="1">
        <v>3.5442999999999998</v>
      </c>
      <c r="C2517" s="1">
        <v>2.77</v>
      </c>
      <c r="D2517" s="1">
        <v>4.4465000000000003</v>
      </c>
    </row>
    <row r="2518" spans="1:4" x14ac:dyDescent="0.2">
      <c r="A2518" s="5">
        <v>40017</v>
      </c>
      <c r="B2518" s="1">
        <v>3.6555</v>
      </c>
      <c r="C2518" s="1">
        <v>2.74</v>
      </c>
      <c r="D2518" s="1">
        <v>4.55</v>
      </c>
    </row>
    <row r="2519" spans="1:4" x14ac:dyDescent="0.2">
      <c r="A2519" s="5">
        <v>40018</v>
      </c>
      <c r="B2519" s="1">
        <v>3.6577999999999999</v>
      </c>
      <c r="C2519" s="1">
        <v>2.72</v>
      </c>
      <c r="D2519" s="1">
        <v>4.5391000000000004</v>
      </c>
    </row>
    <row r="2520" spans="1:4" x14ac:dyDescent="0.2">
      <c r="A2520" s="5">
        <v>40021</v>
      </c>
      <c r="B2520" s="1">
        <v>3.7189000000000001</v>
      </c>
      <c r="C2520" s="1">
        <v>2.7</v>
      </c>
      <c r="D2520" s="1">
        <v>4.6256000000000004</v>
      </c>
    </row>
    <row r="2521" spans="1:4" x14ac:dyDescent="0.2">
      <c r="A2521" s="5">
        <v>40022</v>
      </c>
      <c r="B2521" s="1">
        <v>3.6856</v>
      </c>
      <c r="C2521" s="1">
        <v>2.66</v>
      </c>
      <c r="D2521" s="1">
        <v>4.5491000000000001</v>
      </c>
    </row>
    <row r="2522" spans="1:4" x14ac:dyDescent="0.2">
      <c r="A2522" s="5">
        <v>40023</v>
      </c>
      <c r="B2522" s="1">
        <v>3.6581999999999999</v>
      </c>
      <c r="C2522" s="1">
        <v>2.63</v>
      </c>
      <c r="D2522" s="1">
        <v>4.5073999999999996</v>
      </c>
    </row>
    <row r="2523" spans="1:4" x14ac:dyDescent="0.2">
      <c r="A2523" s="5">
        <v>40024</v>
      </c>
      <c r="B2523" s="1">
        <v>3.6074000000000002</v>
      </c>
      <c r="C2523" s="1">
        <v>2.56</v>
      </c>
      <c r="D2523" s="1">
        <v>4.4107000000000003</v>
      </c>
    </row>
    <row r="2524" spans="1:4" x14ac:dyDescent="0.2">
      <c r="A2524" s="5">
        <v>40025</v>
      </c>
      <c r="B2524" s="1">
        <v>3.4796</v>
      </c>
      <c r="C2524" s="1">
        <v>2.4700000000000002</v>
      </c>
      <c r="D2524" s="1">
        <v>4.2983000000000002</v>
      </c>
    </row>
    <row r="2525" spans="1:4" x14ac:dyDescent="0.2">
      <c r="A2525" s="5">
        <v>40028</v>
      </c>
      <c r="B2525" s="1">
        <v>3.6333000000000002</v>
      </c>
      <c r="C2525" s="1">
        <v>2.44</v>
      </c>
      <c r="D2525" s="1">
        <v>4.4039999999999999</v>
      </c>
    </row>
    <row r="2526" spans="1:4" x14ac:dyDescent="0.2">
      <c r="A2526" s="5">
        <v>40029</v>
      </c>
      <c r="B2526" s="1">
        <v>3.6844999999999999</v>
      </c>
      <c r="C2526" s="1">
        <v>2.4300000000000002</v>
      </c>
      <c r="D2526" s="1">
        <v>4.4631999999999996</v>
      </c>
    </row>
    <row r="2527" spans="1:4" x14ac:dyDescent="0.2">
      <c r="A2527" s="5">
        <v>40030</v>
      </c>
      <c r="B2527" s="1">
        <v>3.7458999999999998</v>
      </c>
      <c r="C2527" s="1">
        <v>2.41</v>
      </c>
      <c r="D2527" s="1">
        <v>4.5491999999999999</v>
      </c>
    </row>
    <row r="2528" spans="1:4" x14ac:dyDescent="0.2">
      <c r="A2528" s="5">
        <v>40031</v>
      </c>
      <c r="B2528" s="1">
        <v>3.7501000000000002</v>
      </c>
      <c r="C2528" s="1">
        <v>2.39</v>
      </c>
      <c r="D2528" s="1">
        <v>4.5332999999999997</v>
      </c>
    </row>
    <row r="2529" spans="1:4" x14ac:dyDescent="0.2">
      <c r="A2529" s="5">
        <v>40032</v>
      </c>
      <c r="B2529" s="1">
        <v>3.8502000000000001</v>
      </c>
      <c r="C2529" s="1">
        <v>2.37</v>
      </c>
      <c r="D2529" s="1">
        <v>4.6044999999999998</v>
      </c>
    </row>
    <row r="2530" spans="1:4" x14ac:dyDescent="0.2">
      <c r="A2530" s="5">
        <v>40035</v>
      </c>
      <c r="B2530" s="1">
        <v>3.7765</v>
      </c>
      <c r="C2530" s="1">
        <v>2.35</v>
      </c>
      <c r="D2530" s="1">
        <v>4.5312999999999999</v>
      </c>
    </row>
    <row r="2531" spans="1:4" x14ac:dyDescent="0.2">
      <c r="A2531" s="5">
        <v>40036</v>
      </c>
      <c r="B2531" s="1">
        <v>3.6677</v>
      </c>
      <c r="C2531" s="1">
        <v>2.34</v>
      </c>
      <c r="D2531" s="1">
        <v>4.4359999999999999</v>
      </c>
    </row>
    <row r="2532" spans="1:4" x14ac:dyDescent="0.2">
      <c r="A2532" s="5">
        <v>40037</v>
      </c>
      <c r="B2532" s="1">
        <v>3.7172000000000001</v>
      </c>
      <c r="C2532" s="1">
        <v>2.37</v>
      </c>
      <c r="D2532" s="1">
        <v>4.5373000000000001</v>
      </c>
    </row>
    <row r="2533" spans="1:4" x14ac:dyDescent="0.2">
      <c r="A2533" s="5">
        <v>40038</v>
      </c>
      <c r="B2533" s="1">
        <v>3.5950000000000002</v>
      </c>
      <c r="C2533" s="1">
        <v>2.36</v>
      </c>
      <c r="D2533" s="1">
        <v>4.4272999999999998</v>
      </c>
    </row>
    <row r="2534" spans="1:4" x14ac:dyDescent="0.2">
      <c r="A2534" s="5">
        <v>40039</v>
      </c>
      <c r="B2534" s="1">
        <v>3.5688</v>
      </c>
      <c r="C2534" s="1">
        <v>2.34</v>
      </c>
      <c r="D2534" s="1">
        <v>4.4206000000000003</v>
      </c>
    </row>
    <row r="2535" spans="1:4" x14ac:dyDescent="0.2">
      <c r="A2535" s="5">
        <v>40042</v>
      </c>
      <c r="B2535" s="1">
        <v>3.4683999999999999</v>
      </c>
      <c r="C2535" s="1">
        <v>2.41</v>
      </c>
      <c r="D2535" s="1">
        <v>4.3242000000000003</v>
      </c>
    </row>
    <row r="2536" spans="1:4" x14ac:dyDescent="0.2">
      <c r="A2536" s="5">
        <v>40043</v>
      </c>
      <c r="B2536" s="1">
        <v>3.5091999999999999</v>
      </c>
      <c r="C2536" s="1">
        <v>2.44</v>
      </c>
      <c r="D2536" s="1">
        <v>4.3526999999999996</v>
      </c>
    </row>
    <row r="2537" spans="1:4" x14ac:dyDescent="0.2">
      <c r="A2537" s="5">
        <v>40044</v>
      </c>
      <c r="B2537" s="1">
        <v>3.4517000000000002</v>
      </c>
      <c r="C2537" s="1">
        <v>2.4700000000000002</v>
      </c>
      <c r="D2537" s="1">
        <v>4.2914000000000003</v>
      </c>
    </row>
    <row r="2538" spans="1:4" x14ac:dyDescent="0.2">
      <c r="A2538" s="5">
        <v>40045</v>
      </c>
      <c r="B2538" s="1">
        <v>3.4312999999999998</v>
      </c>
      <c r="C2538" s="1">
        <v>2.4500000000000002</v>
      </c>
      <c r="D2538" s="1">
        <v>4.2426000000000004</v>
      </c>
    </row>
    <row r="2539" spans="1:4" x14ac:dyDescent="0.2">
      <c r="A2539" s="5">
        <v>40046</v>
      </c>
      <c r="B2539" s="1">
        <v>3.5649000000000002</v>
      </c>
      <c r="C2539" s="1">
        <v>2.4</v>
      </c>
      <c r="D2539" s="1">
        <v>4.3747999999999996</v>
      </c>
    </row>
    <row r="2540" spans="1:4" x14ac:dyDescent="0.2">
      <c r="A2540" s="5">
        <v>40049</v>
      </c>
      <c r="B2540" s="1">
        <v>3.4754999999999998</v>
      </c>
      <c r="C2540" s="1">
        <v>2.37</v>
      </c>
      <c r="D2540" s="1">
        <v>4.2659000000000002</v>
      </c>
    </row>
    <row r="2541" spans="1:4" x14ac:dyDescent="0.2">
      <c r="A2541" s="5">
        <v>40050</v>
      </c>
      <c r="B2541" s="1">
        <v>3.4348000000000001</v>
      </c>
      <c r="C2541" s="1">
        <v>2.35</v>
      </c>
      <c r="D2541" s="1">
        <v>4.2228000000000003</v>
      </c>
    </row>
    <row r="2542" spans="1:4" x14ac:dyDescent="0.2">
      <c r="A2542" s="5">
        <v>40051</v>
      </c>
      <c r="B2542" s="1">
        <v>3.4329000000000001</v>
      </c>
      <c r="C2542" s="1">
        <v>2.35</v>
      </c>
      <c r="D2542" s="1">
        <v>4.1951000000000001</v>
      </c>
    </row>
    <row r="2543" spans="1:4" x14ac:dyDescent="0.2">
      <c r="A2543" s="5">
        <v>40052</v>
      </c>
      <c r="B2543" s="1">
        <v>3.4531000000000001</v>
      </c>
      <c r="C2543" s="1">
        <v>2.35</v>
      </c>
      <c r="D2543" s="1">
        <v>4.2236000000000002</v>
      </c>
    </row>
    <row r="2544" spans="1:4" x14ac:dyDescent="0.2">
      <c r="A2544" s="5">
        <v>40053</v>
      </c>
      <c r="B2544" s="1">
        <v>3.4456000000000002</v>
      </c>
      <c r="C2544" s="1">
        <v>2.33</v>
      </c>
      <c r="D2544" s="1">
        <v>4.2004000000000001</v>
      </c>
    </row>
    <row r="2545" spans="1:4" x14ac:dyDescent="0.2">
      <c r="A2545" s="5">
        <v>40056</v>
      </c>
      <c r="B2545" s="1">
        <v>3.3975</v>
      </c>
      <c r="C2545" s="1">
        <v>2.31</v>
      </c>
      <c r="D2545" s="1">
        <v>4.1782000000000004</v>
      </c>
    </row>
    <row r="2546" spans="1:4" x14ac:dyDescent="0.2">
      <c r="A2546" s="5">
        <v>40057</v>
      </c>
      <c r="B2546" s="1">
        <v>3.3624999999999998</v>
      </c>
      <c r="C2546" s="1">
        <v>2.33</v>
      </c>
      <c r="D2546" s="1">
        <v>4.1923000000000004</v>
      </c>
    </row>
    <row r="2547" spans="1:4" x14ac:dyDescent="0.2">
      <c r="A2547" s="5">
        <v>40058</v>
      </c>
      <c r="B2547" s="1">
        <v>3.3056000000000001</v>
      </c>
      <c r="C2547" s="1">
        <v>2.33</v>
      </c>
      <c r="D2547" s="1">
        <v>4.1200999999999999</v>
      </c>
    </row>
    <row r="2548" spans="1:4" x14ac:dyDescent="0.2">
      <c r="A2548" s="5">
        <v>40059</v>
      </c>
      <c r="B2548" s="1">
        <v>3.3439999999999999</v>
      </c>
      <c r="C2548" s="1">
        <v>2.33</v>
      </c>
      <c r="D2548" s="1">
        <v>4.1604000000000001</v>
      </c>
    </row>
    <row r="2549" spans="1:4" x14ac:dyDescent="0.2">
      <c r="A2549" s="5">
        <v>40060</v>
      </c>
      <c r="B2549" s="1">
        <v>3.4378000000000002</v>
      </c>
      <c r="C2549" s="1">
        <v>2.3199999999999998</v>
      </c>
      <c r="D2549" s="1">
        <v>4.2666000000000004</v>
      </c>
    </row>
    <row r="2550" spans="1:4" x14ac:dyDescent="0.2">
      <c r="A2550" s="5">
        <v>40063</v>
      </c>
      <c r="B2550" s="1">
        <v>3.4415</v>
      </c>
      <c r="C2550" s="1">
        <v>2.3199999999999998</v>
      </c>
      <c r="D2550" s="1">
        <v>4.2693000000000003</v>
      </c>
    </row>
    <row r="2551" spans="1:4" x14ac:dyDescent="0.2">
      <c r="A2551" s="5">
        <v>40064</v>
      </c>
      <c r="B2551" s="1">
        <v>3.4823</v>
      </c>
      <c r="C2551" s="1">
        <v>2.29</v>
      </c>
      <c r="D2551" s="1">
        <v>4.3183999999999996</v>
      </c>
    </row>
    <row r="2552" spans="1:4" x14ac:dyDescent="0.2">
      <c r="A2552" s="5">
        <v>40065</v>
      </c>
      <c r="B2552" s="1">
        <v>3.4710999999999999</v>
      </c>
      <c r="C2552" s="1">
        <v>2.27</v>
      </c>
      <c r="D2552" s="1">
        <v>4.3285</v>
      </c>
    </row>
    <row r="2553" spans="1:4" x14ac:dyDescent="0.2">
      <c r="A2553" s="5">
        <v>40066</v>
      </c>
      <c r="B2553" s="1">
        <v>3.3472</v>
      </c>
      <c r="C2553" s="1">
        <v>2.2599999999999998</v>
      </c>
      <c r="D2553" s="1">
        <v>4.1984000000000004</v>
      </c>
    </row>
    <row r="2554" spans="1:4" x14ac:dyDescent="0.2">
      <c r="A2554" s="5">
        <v>40067</v>
      </c>
      <c r="B2554" s="1">
        <v>3.347</v>
      </c>
      <c r="C2554" s="1">
        <v>2.23</v>
      </c>
      <c r="D2554" s="1">
        <v>4.1797000000000004</v>
      </c>
    </row>
    <row r="2555" spans="1:4" x14ac:dyDescent="0.2">
      <c r="A2555" s="5">
        <v>40070</v>
      </c>
      <c r="B2555" s="1">
        <v>3.4207999999999998</v>
      </c>
      <c r="C2555" s="1">
        <v>2.21</v>
      </c>
      <c r="D2555" s="1">
        <v>4.2286999999999999</v>
      </c>
    </row>
    <row r="2556" spans="1:4" x14ac:dyDescent="0.2">
      <c r="A2556" s="5">
        <v>40071</v>
      </c>
      <c r="B2556" s="1">
        <v>3.4540999999999999</v>
      </c>
      <c r="C2556" s="1">
        <v>2.17</v>
      </c>
      <c r="D2556" s="1">
        <v>4.2656000000000001</v>
      </c>
    </row>
    <row r="2557" spans="1:4" x14ac:dyDescent="0.2">
      <c r="A2557" s="5">
        <v>40072</v>
      </c>
      <c r="B2557" s="1">
        <v>3.4689999999999999</v>
      </c>
      <c r="C2557" s="1">
        <v>2.13</v>
      </c>
      <c r="D2557" s="1">
        <v>4.2573999999999996</v>
      </c>
    </row>
    <row r="2558" spans="1:4" x14ac:dyDescent="0.2">
      <c r="A2558" s="5">
        <v>40073</v>
      </c>
      <c r="B2558" s="1">
        <v>3.3835999999999999</v>
      </c>
      <c r="C2558" s="1">
        <v>2.12</v>
      </c>
      <c r="D2558" s="1">
        <v>4.1654999999999998</v>
      </c>
    </row>
    <row r="2559" spans="1:4" x14ac:dyDescent="0.2">
      <c r="A2559" s="5">
        <v>40074</v>
      </c>
      <c r="B2559" s="1">
        <v>3.4632000000000001</v>
      </c>
      <c r="C2559" s="1">
        <v>2.12</v>
      </c>
      <c r="D2559" s="1">
        <v>4.2168999999999999</v>
      </c>
    </row>
    <row r="2560" spans="1:4" x14ac:dyDescent="0.2">
      <c r="A2560" s="5">
        <v>40077</v>
      </c>
      <c r="B2560" s="1">
        <v>3.4799000000000002</v>
      </c>
      <c r="C2560" s="1">
        <v>2.12</v>
      </c>
      <c r="D2560" s="1">
        <v>4.2347999999999999</v>
      </c>
    </row>
    <row r="2561" spans="1:4" x14ac:dyDescent="0.2">
      <c r="A2561" s="5">
        <v>40078</v>
      </c>
      <c r="B2561" s="1">
        <v>3.4445000000000001</v>
      </c>
      <c r="C2561" s="1">
        <v>2.12</v>
      </c>
      <c r="D2561" s="1">
        <v>4.1963999999999997</v>
      </c>
    </row>
    <row r="2562" spans="1:4" x14ac:dyDescent="0.2">
      <c r="A2562" s="5">
        <v>40079</v>
      </c>
      <c r="B2562" s="1">
        <v>3.4184000000000001</v>
      </c>
      <c r="C2562" s="1">
        <v>2.13</v>
      </c>
      <c r="D2562" s="1">
        <v>4.1973000000000003</v>
      </c>
    </row>
    <row r="2563" spans="1:4" x14ac:dyDescent="0.2">
      <c r="A2563" s="5">
        <v>40080</v>
      </c>
      <c r="B2563" s="1">
        <v>3.3813</v>
      </c>
      <c r="C2563" s="1">
        <v>2.13</v>
      </c>
      <c r="D2563" s="1">
        <v>4.1723999999999997</v>
      </c>
    </row>
    <row r="2564" spans="1:4" x14ac:dyDescent="0.2">
      <c r="A2564" s="5">
        <v>40081</v>
      </c>
      <c r="B2564" s="1">
        <v>3.3184</v>
      </c>
      <c r="C2564" s="1">
        <v>2.14</v>
      </c>
      <c r="D2564" s="1">
        <v>4.09</v>
      </c>
    </row>
    <row r="2565" spans="1:4" x14ac:dyDescent="0.2">
      <c r="A2565" s="5">
        <v>40084</v>
      </c>
      <c r="B2565" s="1">
        <v>3.2797000000000001</v>
      </c>
      <c r="C2565" s="1">
        <v>2.16</v>
      </c>
      <c r="D2565" s="1">
        <v>4.0321999999999996</v>
      </c>
    </row>
    <row r="2566" spans="1:4" x14ac:dyDescent="0.2">
      <c r="A2566" s="5">
        <v>40085</v>
      </c>
      <c r="B2566" s="1">
        <v>3.2906</v>
      </c>
      <c r="C2566" s="1">
        <v>2.19</v>
      </c>
      <c r="D2566" s="1">
        <v>4.0175999999999998</v>
      </c>
    </row>
    <row r="2567" spans="1:4" x14ac:dyDescent="0.2">
      <c r="A2567" s="5">
        <v>40086</v>
      </c>
      <c r="B2567" s="1">
        <v>3.3052999999999999</v>
      </c>
      <c r="C2567" s="1">
        <v>2.1800000000000002</v>
      </c>
      <c r="D2567" s="1">
        <v>4.0500999999999996</v>
      </c>
    </row>
    <row r="2568" spans="1:4" x14ac:dyDescent="0.2">
      <c r="A2568" s="5">
        <v>40087</v>
      </c>
      <c r="B2568" s="1">
        <v>3.1789999999999998</v>
      </c>
      <c r="C2568" s="1">
        <v>2.21</v>
      </c>
      <c r="D2568" s="1">
        <v>3.9557000000000002</v>
      </c>
    </row>
    <row r="2569" spans="1:4" x14ac:dyDescent="0.2">
      <c r="A2569" s="5">
        <v>40088</v>
      </c>
      <c r="B2569" s="1">
        <v>3.2187999999999999</v>
      </c>
      <c r="C2569" s="1">
        <v>2.2400000000000002</v>
      </c>
      <c r="D2569" s="1">
        <v>3.9962</v>
      </c>
    </row>
    <row r="2570" spans="1:4" x14ac:dyDescent="0.2">
      <c r="A2570" s="5">
        <v>40091</v>
      </c>
      <c r="B2570" s="1">
        <v>3.2204999999999999</v>
      </c>
      <c r="C2570" s="1">
        <v>2.2200000000000002</v>
      </c>
      <c r="D2570" s="1">
        <v>4.0157999999999996</v>
      </c>
    </row>
    <row r="2571" spans="1:4" x14ac:dyDescent="0.2">
      <c r="A2571" s="5">
        <v>40092</v>
      </c>
      <c r="B2571" s="1">
        <v>3.2551999999999999</v>
      </c>
      <c r="C2571" s="1">
        <v>2.21</v>
      </c>
      <c r="D2571" s="1">
        <v>4.0663999999999998</v>
      </c>
    </row>
    <row r="2572" spans="1:4" x14ac:dyDescent="0.2">
      <c r="A2572" s="5">
        <v>40093</v>
      </c>
      <c r="B2572" s="1">
        <v>3.1819999999999999</v>
      </c>
      <c r="C2572" s="1">
        <v>2.19</v>
      </c>
      <c r="D2572" s="1">
        <v>4.0021000000000004</v>
      </c>
    </row>
    <row r="2573" spans="1:4" x14ac:dyDescent="0.2">
      <c r="A2573" s="5">
        <v>40094</v>
      </c>
      <c r="B2573" s="1">
        <v>3.2477</v>
      </c>
      <c r="C2573" s="1">
        <v>2.1800000000000002</v>
      </c>
      <c r="D2573" s="1">
        <v>4.0880000000000001</v>
      </c>
    </row>
    <row r="2574" spans="1:4" x14ac:dyDescent="0.2">
      <c r="A2574" s="5">
        <v>40095</v>
      </c>
      <c r="B2574" s="1">
        <v>3.3801999999999999</v>
      </c>
      <c r="C2574" s="1">
        <v>2.17</v>
      </c>
      <c r="D2574" s="1">
        <v>4.2229000000000001</v>
      </c>
    </row>
    <row r="2575" spans="1:4" x14ac:dyDescent="0.2">
      <c r="A2575" s="5">
        <v>40098</v>
      </c>
      <c r="B2575" s="1">
        <v>3.3782999999999999</v>
      </c>
      <c r="C2575" s="1">
        <v>2.17</v>
      </c>
      <c r="D2575" s="1">
        <v>4.2282000000000002</v>
      </c>
    </row>
    <row r="2576" spans="1:4" x14ac:dyDescent="0.2">
      <c r="A2576" s="5">
        <v>40099</v>
      </c>
      <c r="B2576" s="1">
        <v>3.3468</v>
      </c>
      <c r="C2576" s="1">
        <v>2.16</v>
      </c>
      <c r="D2576" s="1">
        <v>4.1996000000000002</v>
      </c>
    </row>
    <row r="2577" spans="1:4" x14ac:dyDescent="0.2">
      <c r="A2577" s="5">
        <v>40100</v>
      </c>
      <c r="B2577" s="1">
        <v>3.4136000000000002</v>
      </c>
      <c r="C2577" s="1">
        <v>2.14</v>
      </c>
      <c r="D2577" s="1">
        <v>4.2633999999999999</v>
      </c>
    </row>
    <row r="2578" spans="1:4" x14ac:dyDescent="0.2">
      <c r="A2578" s="5">
        <v>40101</v>
      </c>
      <c r="B2578" s="1">
        <v>3.4565000000000001</v>
      </c>
      <c r="C2578" s="1">
        <v>2.13</v>
      </c>
      <c r="D2578" s="1">
        <v>4.3023999999999996</v>
      </c>
    </row>
    <row r="2579" spans="1:4" x14ac:dyDescent="0.2">
      <c r="A2579" s="5">
        <v>40102</v>
      </c>
      <c r="B2579" s="1">
        <v>3.4115000000000002</v>
      </c>
      <c r="C2579" s="1">
        <v>2.13</v>
      </c>
      <c r="D2579" s="1">
        <v>4.2443</v>
      </c>
    </row>
    <row r="2580" spans="1:4" x14ac:dyDescent="0.2">
      <c r="A2580" s="5">
        <v>40105</v>
      </c>
      <c r="B2580" s="1">
        <v>3.3891</v>
      </c>
      <c r="C2580" s="1">
        <v>2.12</v>
      </c>
      <c r="D2580" s="1">
        <v>4.1994999999999996</v>
      </c>
    </row>
    <row r="2581" spans="1:4" x14ac:dyDescent="0.2">
      <c r="A2581" s="5">
        <v>40106</v>
      </c>
      <c r="B2581" s="1">
        <v>3.3407</v>
      </c>
      <c r="C2581" s="1">
        <v>2.1</v>
      </c>
      <c r="D2581" s="1">
        <v>4.1657000000000002</v>
      </c>
    </row>
    <row r="2582" spans="1:4" x14ac:dyDescent="0.2">
      <c r="A2582" s="5">
        <v>40107</v>
      </c>
      <c r="B2582" s="1">
        <v>3.3853</v>
      </c>
      <c r="C2582" s="1">
        <v>2.08</v>
      </c>
      <c r="D2582" s="1">
        <v>4.2074999999999996</v>
      </c>
    </row>
    <row r="2583" spans="1:4" x14ac:dyDescent="0.2">
      <c r="A2583" s="5">
        <v>40108</v>
      </c>
      <c r="B2583" s="1">
        <v>3.4131999999999998</v>
      </c>
      <c r="C2583" s="1">
        <v>2.0699999999999998</v>
      </c>
      <c r="D2583" s="1">
        <v>4.2362000000000002</v>
      </c>
    </row>
    <row r="2584" spans="1:4" x14ac:dyDescent="0.2">
      <c r="A2584" s="5">
        <v>40109</v>
      </c>
      <c r="B2584" s="1">
        <v>3.49</v>
      </c>
      <c r="C2584" s="1">
        <v>2.0499999999999998</v>
      </c>
      <c r="D2584" s="1">
        <v>4.2923</v>
      </c>
    </row>
    <row r="2585" spans="1:4" x14ac:dyDescent="0.2">
      <c r="A2585" s="5">
        <v>40112</v>
      </c>
      <c r="B2585" s="1">
        <v>3.5541999999999998</v>
      </c>
      <c r="C2585" s="1">
        <v>2.04</v>
      </c>
      <c r="D2585" s="1">
        <v>4.3648999999999996</v>
      </c>
    </row>
    <row r="2586" spans="1:4" x14ac:dyDescent="0.2">
      <c r="A2586" s="5">
        <v>40113</v>
      </c>
      <c r="B2586" s="1">
        <v>3.4447999999999999</v>
      </c>
      <c r="C2586" s="1">
        <v>2.0299999999999998</v>
      </c>
      <c r="D2586" s="1">
        <v>4.2759</v>
      </c>
    </row>
    <row r="2587" spans="1:4" x14ac:dyDescent="0.2">
      <c r="A2587" s="5">
        <v>40114</v>
      </c>
      <c r="B2587" s="1">
        <v>3.4148000000000001</v>
      </c>
      <c r="C2587" s="1">
        <v>2.04</v>
      </c>
      <c r="D2587" s="1">
        <v>4.2587000000000002</v>
      </c>
    </row>
    <row r="2588" spans="1:4" x14ac:dyDescent="0.2">
      <c r="A2588" s="5">
        <v>40115</v>
      </c>
      <c r="B2588" s="1">
        <v>3.4973999999999998</v>
      </c>
      <c r="C2588" s="1">
        <v>2.04</v>
      </c>
      <c r="D2588" s="1">
        <v>4.3353000000000002</v>
      </c>
    </row>
    <row r="2589" spans="1:4" x14ac:dyDescent="0.2">
      <c r="A2589" s="5">
        <v>40116</v>
      </c>
      <c r="B2589" s="1">
        <v>3.3828</v>
      </c>
      <c r="C2589" s="1">
        <v>2.06</v>
      </c>
      <c r="D2589" s="1">
        <v>4.2252999999999998</v>
      </c>
    </row>
    <row r="2590" spans="1:4" x14ac:dyDescent="0.2">
      <c r="A2590" s="5">
        <v>40119</v>
      </c>
      <c r="B2590" s="1">
        <v>3.4144999999999999</v>
      </c>
      <c r="C2590" s="1">
        <v>2.0499999999999998</v>
      </c>
      <c r="D2590" s="1">
        <v>4.2603999999999997</v>
      </c>
    </row>
    <row r="2591" spans="1:4" x14ac:dyDescent="0.2">
      <c r="A2591" s="5">
        <v>40120</v>
      </c>
      <c r="B2591" s="1">
        <v>3.4651999999999998</v>
      </c>
      <c r="C2591" s="1">
        <v>2.0699999999999998</v>
      </c>
      <c r="D2591" s="1">
        <v>4.3288000000000002</v>
      </c>
    </row>
    <row r="2592" spans="1:4" x14ac:dyDescent="0.2">
      <c r="A2592" s="5">
        <v>40121</v>
      </c>
      <c r="B2592" s="1">
        <v>3.5236999999999998</v>
      </c>
      <c r="C2592" s="1">
        <v>2.0699999999999998</v>
      </c>
      <c r="D2592" s="1">
        <v>4.3993000000000002</v>
      </c>
    </row>
    <row r="2593" spans="1:4" x14ac:dyDescent="0.2">
      <c r="A2593" s="5">
        <v>40122</v>
      </c>
      <c r="B2593" s="1">
        <v>3.5236000000000001</v>
      </c>
      <c r="C2593" s="1">
        <v>2.06</v>
      </c>
      <c r="D2593" s="1">
        <v>4.3983999999999996</v>
      </c>
    </row>
    <row r="2594" spans="1:4" x14ac:dyDescent="0.2">
      <c r="A2594" s="5">
        <v>40123</v>
      </c>
      <c r="B2594" s="1">
        <v>3.4971000000000001</v>
      </c>
      <c r="C2594" s="1">
        <v>2.04</v>
      </c>
      <c r="D2594" s="1">
        <v>4.3974000000000002</v>
      </c>
    </row>
    <row r="2595" spans="1:4" x14ac:dyDescent="0.2">
      <c r="A2595" s="5">
        <v>40126</v>
      </c>
      <c r="B2595" s="1">
        <v>3.4857</v>
      </c>
      <c r="C2595" s="1">
        <v>2.0299999999999998</v>
      </c>
      <c r="D2595" s="1">
        <v>4.3993000000000002</v>
      </c>
    </row>
    <row r="2596" spans="1:4" x14ac:dyDescent="0.2">
      <c r="A2596" s="5">
        <v>40127</v>
      </c>
      <c r="B2596" s="1">
        <v>3.4723999999999999</v>
      </c>
      <c r="C2596" s="1">
        <v>2.02</v>
      </c>
      <c r="D2596" s="1">
        <v>4.4123999999999999</v>
      </c>
    </row>
    <row r="2597" spans="1:4" x14ac:dyDescent="0.2">
      <c r="A2597" s="5">
        <v>40128</v>
      </c>
      <c r="B2597" s="1">
        <v>3.4830999999999999</v>
      </c>
      <c r="C2597" s="1">
        <v>2.02</v>
      </c>
      <c r="D2597" s="1">
        <v>4.4123999999999999</v>
      </c>
    </row>
    <row r="2598" spans="1:4" x14ac:dyDescent="0.2">
      <c r="A2598" s="5">
        <v>40129</v>
      </c>
      <c r="B2598" s="1">
        <v>3.4438</v>
      </c>
      <c r="C2598" s="1">
        <v>2.0099999999999998</v>
      </c>
      <c r="D2598" s="1">
        <v>4.3909000000000002</v>
      </c>
    </row>
    <row r="2599" spans="1:4" x14ac:dyDescent="0.2">
      <c r="A2599" s="5">
        <v>40130</v>
      </c>
      <c r="B2599" s="1">
        <v>3.4177</v>
      </c>
      <c r="C2599" s="1">
        <v>2.0099999999999998</v>
      </c>
      <c r="D2599" s="1">
        <v>4.3514999999999997</v>
      </c>
    </row>
    <row r="2600" spans="1:4" x14ac:dyDescent="0.2">
      <c r="A2600" s="5">
        <v>40133</v>
      </c>
      <c r="B2600" s="1">
        <v>3.3342999999999998</v>
      </c>
      <c r="C2600" s="1">
        <v>2.0099999999999998</v>
      </c>
      <c r="D2600" s="1">
        <v>4.2736999999999998</v>
      </c>
    </row>
    <row r="2601" spans="1:4" x14ac:dyDescent="0.2">
      <c r="A2601" s="5">
        <v>40134</v>
      </c>
      <c r="B2601" s="1">
        <v>3.3231999999999999</v>
      </c>
      <c r="C2601" s="1">
        <v>2</v>
      </c>
      <c r="D2601" s="1">
        <v>4.2572000000000001</v>
      </c>
    </row>
    <row r="2602" spans="1:4" x14ac:dyDescent="0.2">
      <c r="A2602" s="5">
        <v>40135</v>
      </c>
      <c r="B2602" s="1">
        <v>3.3637999999999999</v>
      </c>
      <c r="C2602" s="1">
        <v>2</v>
      </c>
      <c r="D2602" s="1">
        <v>4.2976000000000001</v>
      </c>
    </row>
    <row r="2603" spans="1:4" x14ac:dyDescent="0.2">
      <c r="A2603" s="5">
        <v>40136</v>
      </c>
      <c r="B2603" s="1">
        <v>3.3361000000000001</v>
      </c>
      <c r="C2603" s="1">
        <v>2.0099999999999998</v>
      </c>
      <c r="D2603" s="1">
        <v>4.2774000000000001</v>
      </c>
    </row>
    <row r="2604" spans="1:4" x14ac:dyDescent="0.2">
      <c r="A2604" s="5">
        <v>40137</v>
      </c>
      <c r="B2604" s="1">
        <v>3.3656000000000001</v>
      </c>
      <c r="C2604" s="1">
        <v>2.02</v>
      </c>
      <c r="D2604" s="1">
        <v>4.2948000000000004</v>
      </c>
    </row>
    <row r="2605" spans="1:4" x14ac:dyDescent="0.2">
      <c r="A2605" s="5">
        <v>40140</v>
      </c>
      <c r="B2605" s="1">
        <v>3.3489</v>
      </c>
      <c r="C2605" s="1">
        <v>2.02</v>
      </c>
      <c r="D2605" s="1">
        <v>4.2763999999999998</v>
      </c>
    </row>
    <row r="2606" spans="1:4" x14ac:dyDescent="0.2">
      <c r="A2606" s="5">
        <v>40141</v>
      </c>
      <c r="B2606" s="1">
        <v>3.3027000000000002</v>
      </c>
      <c r="C2606" s="1">
        <v>2.04</v>
      </c>
      <c r="D2606" s="1">
        <v>4.2462</v>
      </c>
    </row>
    <row r="2607" spans="1:4" x14ac:dyDescent="0.2">
      <c r="A2607" s="5">
        <v>40142</v>
      </c>
      <c r="B2607" s="1">
        <v>3.2694999999999999</v>
      </c>
      <c r="C2607" s="1">
        <v>2.08</v>
      </c>
      <c r="D2607" s="1">
        <v>4.2333999999999996</v>
      </c>
    </row>
    <row r="2608" spans="1:4" x14ac:dyDescent="0.2">
      <c r="A2608" s="5">
        <v>40143</v>
      </c>
      <c r="B2608" s="1">
        <v>3.2694000000000001</v>
      </c>
      <c r="C2608" s="1">
        <v>2.08</v>
      </c>
      <c r="D2608" s="1">
        <v>4.2351999999999999</v>
      </c>
    </row>
    <row r="2609" spans="1:4" x14ac:dyDescent="0.2">
      <c r="A2609" s="5">
        <v>40144</v>
      </c>
      <c r="B2609" s="1">
        <v>3.2050999999999998</v>
      </c>
      <c r="C2609" s="1">
        <v>2.0499999999999998</v>
      </c>
      <c r="D2609" s="1">
        <v>4.1997999999999998</v>
      </c>
    </row>
    <row r="2610" spans="1:4" x14ac:dyDescent="0.2">
      <c r="A2610" s="5">
        <v>40147</v>
      </c>
      <c r="B2610" s="1">
        <v>3.1978</v>
      </c>
      <c r="C2610" s="1">
        <v>2.06</v>
      </c>
      <c r="D2610" s="1">
        <v>4.1917</v>
      </c>
    </row>
    <row r="2611" spans="1:4" x14ac:dyDescent="0.2">
      <c r="A2611" s="5">
        <v>40148</v>
      </c>
      <c r="B2611" s="1">
        <v>3.2822</v>
      </c>
      <c r="C2611" s="1">
        <v>2.06</v>
      </c>
      <c r="D2611" s="1">
        <v>4.2735000000000003</v>
      </c>
    </row>
    <row r="2612" spans="1:4" x14ac:dyDescent="0.2">
      <c r="A2612" s="5">
        <v>40149</v>
      </c>
      <c r="B2612" s="1">
        <v>3.3098999999999998</v>
      </c>
      <c r="C2612" s="1">
        <v>2.04</v>
      </c>
      <c r="D2612" s="1">
        <v>4.2515000000000001</v>
      </c>
    </row>
    <row r="2613" spans="1:4" x14ac:dyDescent="0.2">
      <c r="A2613" s="5">
        <v>40150</v>
      </c>
      <c r="B2613" s="1">
        <v>3.3841999999999999</v>
      </c>
      <c r="C2613" s="1">
        <v>2.0299999999999998</v>
      </c>
      <c r="D2613" s="1">
        <v>4.3318000000000003</v>
      </c>
    </row>
    <row r="2614" spans="1:4" x14ac:dyDescent="0.2">
      <c r="A2614" s="5">
        <v>40151</v>
      </c>
      <c r="B2614" s="1">
        <v>3.4722</v>
      </c>
      <c r="C2614" s="1">
        <v>1.99</v>
      </c>
      <c r="D2614" s="1">
        <v>4.3947000000000003</v>
      </c>
    </row>
    <row r="2615" spans="1:4" x14ac:dyDescent="0.2">
      <c r="A2615" s="5">
        <v>40154</v>
      </c>
      <c r="B2615" s="1">
        <v>3.4289999999999998</v>
      </c>
      <c r="C2615" s="1">
        <v>1.98</v>
      </c>
      <c r="D2615" s="1">
        <v>4.3842999999999996</v>
      </c>
    </row>
    <row r="2616" spans="1:4" x14ac:dyDescent="0.2">
      <c r="A2616" s="5">
        <v>40155</v>
      </c>
      <c r="B2616" s="1">
        <v>3.3803999999999998</v>
      </c>
      <c r="C2616" s="1">
        <v>1.96</v>
      </c>
      <c r="D2616" s="1">
        <v>4.3738999999999999</v>
      </c>
    </row>
    <row r="2617" spans="1:4" x14ac:dyDescent="0.2">
      <c r="A2617" s="5">
        <v>40156</v>
      </c>
      <c r="B2617" s="1">
        <v>3.4327999999999999</v>
      </c>
      <c r="C2617" s="1">
        <v>1.95</v>
      </c>
      <c r="D2617" s="1">
        <v>4.4184000000000001</v>
      </c>
    </row>
    <row r="2618" spans="1:4" x14ac:dyDescent="0.2">
      <c r="A2618" s="5">
        <v>40157</v>
      </c>
      <c r="B2618" s="1">
        <v>3.4967000000000001</v>
      </c>
      <c r="C2618" s="1">
        <v>1.92</v>
      </c>
      <c r="D2618" s="1">
        <v>4.5057999999999998</v>
      </c>
    </row>
    <row r="2619" spans="1:4" x14ac:dyDescent="0.2">
      <c r="A2619" s="5">
        <v>40158</v>
      </c>
      <c r="B2619" s="1">
        <v>3.5497999999999998</v>
      </c>
      <c r="C2619" s="1">
        <v>1.89</v>
      </c>
      <c r="D2619" s="1">
        <v>4.5008999999999997</v>
      </c>
    </row>
    <row r="2620" spans="1:4" x14ac:dyDescent="0.2">
      <c r="A2620" s="5">
        <v>40161</v>
      </c>
      <c r="B2620" s="1">
        <v>3.548</v>
      </c>
      <c r="C2620" s="1">
        <v>1.87</v>
      </c>
      <c r="D2620" s="1">
        <v>4.4816000000000003</v>
      </c>
    </row>
    <row r="2621" spans="1:4" x14ac:dyDescent="0.2">
      <c r="A2621" s="5">
        <v>40162</v>
      </c>
      <c r="B2621" s="1">
        <v>3.5861000000000001</v>
      </c>
      <c r="C2621" s="1">
        <v>1.82</v>
      </c>
      <c r="D2621" s="1">
        <v>4.5213999999999999</v>
      </c>
    </row>
    <row r="2622" spans="1:4" x14ac:dyDescent="0.2">
      <c r="A2622" s="5">
        <v>40163</v>
      </c>
      <c r="B2622" s="1">
        <v>3.5975000000000001</v>
      </c>
      <c r="C2622" s="1">
        <v>1.81</v>
      </c>
      <c r="D2622" s="1">
        <v>4.5243000000000002</v>
      </c>
    </row>
    <row r="2623" spans="1:4" x14ac:dyDescent="0.2">
      <c r="A2623" s="5">
        <v>40164</v>
      </c>
      <c r="B2623" s="1">
        <v>3.4780000000000002</v>
      </c>
      <c r="C2623" s="1">
        <v>1.81</v>
      </c>
      <c r="D2623" s="1">
        <v>4.4164000000000003</v>
      </c>
    </row>
    <row r="2624" spans="1:4" x14ac:dyDescent="0.2">
      <c r="A2624" s="5">
        <v>40165</v>
      </c>
      <c r="B2624" s="1">
        <v>3.5367999999999999</v>
      </c>
      <c r="C2624" s="1">
        <v>1.8</v>
      </c>
      <c r="D2624" s="1">
        <v>4.4574999999999996</v>
      </c>
    </row>
    <row r="2625" spans="1:4" x14ac:dyDescent="0.2">
      <c r="A2625" s="5">
        <v>40168</v>
      </c>
      <c r="B2625" s="1">
        <v>3.6745000000000001</v>
      </c>
      <c r="C2625" s="1">
        <v>1.79</v>
      </c>
      <c r="D2625" s="1">
        <v>4.5586000000000002</v>
      </c>
    </row>
    <row r="2626" spans="1:4" x14ac:dyDescent="0.2">
      <c r="A2626" s="5">
        <v>40169</v>
      </c>
      <c r="B2626" s="1">
        <v>3.7538</v>
      </c>
      <c r="C2626" s="1">
        <v>1.79</v>
      </c>
      <c r="D2626" s="1">
        <v>4.6100000000000003</v>
      </c>
    </row>
    <row r="2627" spans="1:4" x14ac:dyDescent="0.2">
      <c r="A2627" s="5">
        <v>40170</v>
      </c>
      <c r="B2627" s="1">
        <v>3.7481</v>
      </c>
      <c r="C2627" s="1">
        <v>1.77</v>
      </c>
      <c r="D2627" s="1">
        <v>4.6070000000000002</v>
      </c>
    </row>
    <row r="2628" spans="1:4" x14ac:dyDescent="0.2">
      <c r="A2628" s="5">
        <v>40171</v>
      </c>
      <c r="B2628" s="1">
        <v>3.8029000000000002</v>
      </c>
      <c r="C2628" s="1">
        <v>1.78</v>
      </c>
      <c r="D2628" s="1">
        <v>4.6833</v>
      </c>
    </row>
    <row r="2629" spans="1:4" x14ac:dyDescent="0.2">
      <c r="A2629" s="5">
        <v>40172</v>
      </c>
      <c r="B2629" s="1">
        <v>3.8029999999999999</v>
      </c>
      <c r="C2629" s="1">
        <v>1.78</v>
      </c>
      <c r="D2629" s="1">
        <v>4.6833999999999998</v>
      </c>
    </row>
    <row r="2630" spans="1:4" x14ac:dyDescent="0.2">
      <c r="A2630" s="5">
        <v>40175</v>
      </c>
      <c r="B2630" s="1">
        <v>3.8401999999999998</v>
      </c>
      <c r="C2630" s="1">
        <v>1.76</v>
      </c>
      <c r="D2630" s="1">
        <v>4.6894</v>
      </c>
    </row>
    <row r="2631" spans="1:4" x14ac:dyDescent="0.2">
      <c r="A2631" s="5">
        <v>40176</v>
      </c>
      <c r="B2631" s="1">
        <v>3.7972000000000001</v>
      </c>
      <c r="C2631" s="1">
        <v>1.75</v>
      </c>
      <c r="D2631" s="1">
        <v>4.6369999999999996</v>
      </c>
    </row>
    <row r="2632" spans="1:4" x14ac:dyDescent="0.2">
      <c r="A2632" s="5">
        <v>40177</v>
      </c>
      <c r="B2632" s="1">
        <v>3.7856000000000001</v>
      </c>
      <c r="C2632" s="1">
        <v>1.74</v>
      </c>
      <c r="D2632" s="1">
        <v>4.6090999999999998</v>
      </c>
    </row>
    <row r="2633" spans="1:4" x14ac:dyDescent="0.2">
      <c r="A2633" s="5">
        <v>40178</v>
      </c>
      <c r="B2633" s="1">
        <v>3.8368000000000002</v>
      </c>
      <c r="C2633" s="1">
        <v>1.72</v>
      </c>
      <c r="D2633" s="1">
        <v>4.6410999999999998</v>
      </c>
    </row>
    <row r="2634" spans="1:4" x14ac:dyDescent="0.2">
      <c r="A2634" s="5">
        <v>40179</v>
      </c>
      <c r="B2634" s="1">
        <v>3.835</v>
      </c>
      <c r="C2634" s="1">
        <v>1.72</v>
      </c>
      <c r="D2634" s="1">
        <v>4.6280999999999999</v>
      </c>
    </row>
    <row r="2635" spans="1:4" x14ac:dyDescent="0.2">
      <c r="A2635" s="5">
        <v>40182</v>
      </c>
      <c r="B2635" s="1">
        <v>3.8155000000000001</v>
      </c>
      <c r="C2635" s="1">
        <v>1.7</v>
      </c>
      <c r="D2635" s="1">
        <v>4.6430999999999996</v>
      </c>
    </row>
    <row r="2636" spans="1:4" x14ac:dyDescent="0.2">
      <c r="A2636" s="5">
        <v>40183</v>
      </c>
      <c r="B2636" s="1">
        <v>3.7608000000000001</v>
      </c>
      <c r="C2636" s="1">
        <v>1.66</v>
      </c>
      <c r="D2636" s="1">
        <v>4.6090999999999998</v>
      </c>
    </row>
    <row r="2637" spans="1:4" x14ac:dyDescent="0.2">
      <c r="A2637" s="5">
        <v>40184</v>
      </c>
      <c r="B2637" s="1">
        <v>3.8214999999999999</v>
      </c>
      <c r="C2637" s="1">
        <v>1.64</v>
      </c>
      <c r="D2637" s="1">
        <v>4.6875</v>
      </c>
    </row>
    <row r="2638" spans="1:4" x14ac:dyDescent="0.2">
      <c r="A2638" s="5">
        <v>40185</v>
      </c>
      <c r="B2638" s="1">
        <v>3.8235000000000001</v>
      </c>
      <c r="C2638" s="1">
        <v>1.62</v>
      </c>
      <c r="D2638" s="1">
        <v>4.6855000000000002</v>
      </c>
    </row>
    <row r="2639" spans="1:4" x14ac:dyDescent="0.2">
      <c r="A2639" s="5">
        <v>40186</v>
      </c>
      <c r="B2639" s="1">
        <v>3.8296999999999999</v>
      </c>
      <c r="C2639" s="1">
        <v>1.62</v>
      </c>
      <c r="D2639" s="1">
        <v>4.7149999999999999</v>
      </c>
    </row>
    <row r="2640" spans="1:4" x14ac:dyDescent="0.2">
      <c r="A2640" s="5">
        <v>40189</v>
      </c>
      <c r="B2640" s="1">
        <v>3.8180000000000001</v>
      </c>
      <c r="C2640" s="1">
        <v>1.61</v>
      </c>
      <c r="D2640" s="1">
        <v>4.7313999999999998</v>
      </c>
    </row>
    <row r="2641" spans="1:4" x14ac:dyDescent="0.2">
      <c r="A2641" s="5">
        <v>40190</v>
      </c>
      <c r="B2641" s="1">
        <v>3.7107999999999999</v>
      </c>
      <c r="C2641" s="1">
        <v>1.63</v>
      </c>
      <c r="D2641" s="1">
        <v>4.6170999999999998</v>
      </c>
    </row>
    <row r="2642" spans="1:4" x14ac:dyDescent="0.2">
      <c r="A2642" s="5">
        <v>40191</v>
      </c>
      <c r="B2642" s="1">
        <v>3.7907999999999999</v>
      </c>
      <c r="C2642" s="1">
        <v>1.63</v>
      </c>
      <c r="D2642" s="1">
        <v>4.7119999999999997</v>
      </c>
    </row>
    <row r="2643" spans="1:4" x14ac:dyDescent="0.2">
      <c r="A2643" s="5">
        <v>40192</v>
      </c>
      <c r="B2643" s="1">
        <v>3.7382</v>
      </c>
      <c r="C2643" s="1">
        <v>1.63</v>
      </c>
      <c r="D2643" s="1">
        <v>4.6271000000000004</v>
      </c>
    </row>
    <row r="2644" spans="1:4" x14ac:dyDescent="0.2">
      <c r="A2644" s="5">
        <v>40193</v>
      </c>
      <c r="B2644" s="1">
        <v>3.6743999999999999</v>
      </c>
      <c r="C2644" s="1">
        <v>1.65</v>
      </c>
      <c r="D2644" s="1">
        <v>4.5814000000000004</v>
      </c>
    </row>
    <row r="2645" spans="1:4" x14ac:dyDescent="0.2">
      <c r="A2645" s="5">
        <v>40196</v>
      </c>
      <c r="B2645" s="1">
        <v>3.6745000000000001</v>
      </c>
      <c r="C2645" s="1">
        <v>1.65</v>
      </c>
      <c r="D2645" s="1">
        <v>4.5814000000000004</v>
      </c>
    </row>
    <row r="2646" spans="1:4" x14ac:dyDescent="0.2">
      <c r="A2646" s="5">
        <v>40197</v>
      </c>
      <c r="B2646" s="1">
        <v>3.6919</v>
      </c>
      <c r="C2646" s="1">
        <v>1.66</v>
      </c>
      <c r="D2646" s="1">
        <v>4.5872999999999999</v>
      </c>
    </row>
    <row r="2647" spans="1:4" x14ac:dyDescent="0.2">
      <c r="A2647" s="5">
        <v>40198</v>
      </c>
      <c r="B2647" s="1">
        <v>3.6474000000000002</v>
      </c>
      <c r="C2647" s="1">
        <v>1.67</v>
      </c>
      <c r="D2647" s="1">
        <v>4.5342000000000002</v>
      </c>
    </row>
    <row r="2648" spans="1:4" x14ac:dyDescent="0.2">
      <c r="A2648" s="5">
        <v>40199</v>
      </c>
      <c r="B2648" s="1">
        <v>3.5857999999999999</v>
      </c>
      <c r="C2648" s="1">
        <v>1.67</v>
      </c>
      <c r="D2648" s="1">
        <v>4.4931999999999999</v>
      </c>
    </row>
    <row r="2649" spans="1:4" x14ac:dyDescent="0.2">
      <c r="A2649" s="5">
        <v>40200</v>
      </c>
      <c r="B2649" s="1">
        <v>3.6071</v>
      </c>
      <c r="C2649" s="1">
        <v>1.72</v>
      </c>
      <c r="D2649" s="1">
        <v>4.5312000000000001</v>
      </c>
    </row>
    <row r="2650" spans="1:4" x14ac:dyDescent="0.2">
      <c r="A2650" s="5">
        <v>40203</v>
      </c>
      <c r="B2650" s="1">
        <v>3.6265000000000001</v>
      </c>
      <c r="C2650" s="1">
        <v>1.72</v>
      </c>
      <c r="D2650" s="1">
        <v>4.5468999999999999</v>
      </c>
    </row>
    <row r="2651" spans="1:4" x14ac:dyDescent="0.2">
      <c r="A2651" s="5">
        <v>40204</v>
      </c>
      <c r="B2651" s="1">
        <v>3.6187999999999998</v>
      </c>
      <c r="C2651" s="1">
        <v>1.71</v>
      </c>
      <c r="D2651" s="1">
        <v>4.5528000000000004</v>
      </c>
    </row>
    <row r="2652" spans="1:4" x14ac:dyDescent="0.2">
      <c r="A2652" s="5">
        <v>40205</v>
      </c>
      <c r="B2652" s="1">
        <v>3.6478999999999999</v>
      </c>
      <c r="C2652" s="1">
        <v>1.7</v>
      </c>
      <c r="D2652" s="1">
        <v>4.5627000000000004</v>
      </c>
    </row>
    <row r="2653" spans="1:4" x14ac:dyDescent="0.2">
      <c r="A2653" s="5">
        <v>40206</v>
      </c>
      <c r="B2653" s="1">
        <v>3.6343999999999999</v>
      </c>
      <c r="C2653" s="1">
        <v>1.71</v>
      </c>
      <c r="D2653" s="1">
        <v>4.5488999999999997</v>
      </c>
    </row>
    <row r="2654" spans="1:4" x14ac:dyDescent="0.2">
      <c r="A2654" s="5">
        <v>40207</v>
      </c>
      <c r="B2654" s="1">
        <v>3.5844</v>
      </c>
      <c r="C2654" s="1">
        <v>1.69</v>
      </c>
      <c r="D2654" s="1">
        <v>4.4884000000000004</v>
      </c>
    </row>
    <row r="2655" spans="1:4" x14ac:dyDescent="0.2">
      <c r="A2655" s="5">
        <v>40210</v>
      </c>
      <c r="B2655" s="1">
        <v>3.6501000000000001</v>
      </c>
      <c r="C2655" s="1">
        <v>1.72</v>
      </c>
      <c r="D2655" s="1">
        <v>4.5617000000000001</v>
      </c>
    </row>
    <row r="2656" spans="1:4" x14ac:dyDescent="0.2">
      <c r="A2656" s="5">
        <v>40211</v>
      </c>
      <c r="B2656" s="1">
        <v>3.6404999999999998</v>
      </c>
      <c r="C2656" s="1">
        <v>1.71</v>
      </c>
      <c r="D2656" s="1">
        <v>4.5587999999999997</v>
      </c>
    </row>
    <row r="2657" spans="1:4" x14ac:dyDescent="0.2">
      <c r="A2657" s="5">
        <v>40212</v>
      </c>
      <c r="B2657" s="1">
        <v>3.7046999999999999</v>
      </c>
      <c r="C2657" s="1">
        <v>1.69</v>
      </c>
      <c r="D2657" s="1">
        <v>4.6383000000000001</v>
      </c>
    </row>
    <row r="2658" spans="1:4" x14ac:dyDescent="0.2">
      <c r="A2658" s="5">
        <v>40213</v>
      </c>
      <c r="B2658" s="1">
        <v>3.6057999999999999</v>
      </c>
      <c r="C2658" s="1">
        <v>1.73</v>
      </c>
      <c r="D2658" s="1">
        <v>4.5499000000000001</v>
      </c>
    </row>
    <row r="2659" spans="1:4" x14ac:dyDescent="0.2">
      <c r="A2659" s="5">
        <v>40214</v>
      </c>
      <c r="B2659" s="1">
        <v>3.5653999999999999</v>
      </c>
      <c r="C2659" s="1">
        <v>1.78</v>
      </c>
      <c r="D2659" s="1">
        <v>4.5186000000000002</v>
      </c>
    </row>
    <row r="2660" spans="1:4" x14ac:dyDescent="0.2">
      <c r="A2660" s="5">
        <v>40217</v>
      </c>
      <c r="B2660" s="1">
        <v>3.5596999999999999</v>
      </c>
      <c r="C2660" s="1">
        <v>1.8</v>
      </c>
      <c r="D2660" s="1">
        <v>4.4972000000000003</v>
      </c>
    </row>
    <row r="2661" spans="1:4" x14ac:dyDescent="0.2">
      <c r="A2661" s="5">
        <v>40218</v>
      </c>
      <c r="B2661" s="1">
        <v>3.6448</v>
      </c>
      <c r="C2661" s="1">
        <v>1.82</v>
      </c>
      <c r="D2661" s="1">
        <v>4.5834999999999999</v>
      </c>
    </row>
    <row r="2662" spans="1:4" x14ac:dyDescent="0.2">
      <c r="A2662" s="5">
        <v>40219</v>
      </c>
      <c r="B2662" s="1">
        <v>3.6897000000000002</v>
      </c>
      <c r="C2662" s="1">
        <v>1.81</v>
      </c>
      <c r="D2662" s="1">
        <v>4.6364000000000001</v>
      </c>
    </row>
    <row r="2663" spans="1:4" x14ac:dyDescent="0.2">
      <c r="A2663" s="5">
        <v>40220</v>
      </c>
      <c r="B2663" s="1">
        <v>3.7155</v>
      </c>
      <c r="C2663" s="1">
        <v>1.81</v>
      </c>
      <c r="D2663" s="1">
        <v>4.6646000000000001</v>
      </c>
    </row>
    <row r="2664" spans="1:4" x14ac:dyDescent="0.2">
      <c r="A2664" s="5">
        <v>40221</v>
      </c>
      <c r="B2664" s="1">
        <v>3.6928000000000001</v>
      </c>
      <c r="C2664" s="1">
        <v>1.8</v>
      </c>
      <c r="D2664" s="1">
        <v>4.6463000000000001</v>
      </c>
    </row>
    <row r="2665" spans="1:4" x14ac:dyDescent="0.2">
      <c r="A2665" s="5">
        <v>40224</v>
      </c>
      <c r="B2665" s="1">
        <v>3.6909000000000001</v>
      </c>
      <c r="C2665" s="1">
        <v>1.8</v>
      </c>
      <c r="D2665" s="1">
        <v>4.6493000000000002</v>
      </c>
    </row>
    <row r="2666" spans="1:4" x14ac:dyDescent="0.2">
      <c r="A2666" s="5">
        <v>40225</v>
      </c>
      <c r="B2666" s="1">
        <v>3.6568999999999998</v>
      </c>
      <c r="C2666" s="1">
        <v>1.82</v>
      </c>
      <c r="D2666" s="1">
        <v>4.6318000000000001</v>
      </c>
    </row>
    <row r="2667" spans="1:4" x14ac:dyDescent="0.2">
      <c r="A2667" s="5">
        <v>40226</v>
      </c>
      <c r="B2667" s="1">
        <v>3.7307000000000001</v>
      </c>
      <c r="C2667" s="1">
        <v>1.79</v>
      </c>
      <c r="D2667" s="1">
        <v>4.6971999999999996</v>
      </c>
    </row>
    <row r="2668" spans="1:4" x14ac:dyDescent="0.2">
      <c r="A2668" s="5">
        <v>40227</v>
      </c>
      <c r="B2668" s="1">
        <v>3.8012000000000001</v>
      </c>
      <c r="C2668" s="1">
        <v>1.76</v>
      </c>
      <c r="D2668" s="1">
        <v>4.7309000000000001</v>
      </c>
    </row>
    <row r="2669" spans="1:4" x14ac:dyDescent="0.2">
      <c r="A2669" s="5">
        <v>40228</v>
      </c>
      <c r="B2669" s="1">
        <v>3.7726000000000002</v>
      </c>
      <c r="C2669" s="1">
        <v>1.74</v>
      </c>
      <c r="D2669" s="1">
        <v>4.7031000000000001</v>
      </c>
    </row>
    <row r="2670" spans="1:4" x14ac:dyDescent="0.2">
      <c r="A2670" s="5">
        <v>40231</v>
      </c>
      <c r="B2670" s="1">
        <v>3.7955000000000001</v>
      </c>
      <c r="C2670" s="1">
        <v>1.71</v>
      </c>
      <c r="D2670" s="1">
        <v>4.7268999999999997</v>
      </c>
    </row>
    <row r="2671" spans="1:4" x14ac:dyDescent="0.2">
      <c r="A2671" s="5">
        <v>40232</v>
      </c>
      <c r="B2671" s="1">
        <v>3.6833999999999998</v>
      </c>
      <c r="C2671" s="1">
        <v>1.71</v>
      </c>
      <c r="D2671" s="1">
        <v>4.6298000000000004</v>
      </c>
    </row>
    <row r="2672" spans="1:4" x14ac:dyDescent="0.2">
      <c r="A2672" s="5">
        <v>40233</v>
      </c>
      <c r="B2672" s="1">
        <v>3.6909000000000001</v>
      </c>
      <c r="C2672" s="1">
        <v>1.72</v>
      </c>
      <c r="D2672" s="1">
        <v>4.6356000000000002</v>
      </c>
    </row>
    <row r="2673" spans="1:4" x14ac:dyDescent="0.2">
      <c r="A2673" s="5">
        <v>40234</v>
      </c>
      <c r="B2673" s="1">
        <v>3.6324000000000001</v>
      </c>
      <c r="C2673" s="1">
        <v>1.73</v>
      </c>
      <c r="D2673" s="1">
        <v>4.5747999999999998</v>
      </c>
    </row>
    <row r="2674" spans="1:4" x14ac:dyDescent="0.2">
      <c r="A2674" s="5">
        <v>40235</v>
      </c>
      <c r="B2674" s="1">
        <v>3.6116999999999999</v>
      </c>
      <c r="C2674" s="1">
        <v>1.73</v>
      </c>
      <c r="D2674" s="1">
        <v>4.5566000000000004</v>
      </c>
    </row>
    <row r="2675" spans="1:4" x14ac:dyDescent="0.2">
      <c r="A2675" s="5">
        <v>40238</v>
      </c>
      <c r="B2675" s="1">
        <v>3.6078999999999999</v>
      </c>
      <c r="C2675" s="1">
        <v>1.7</v>
      </c>
      <c r="D2675" s="1">
        <v>4.5575999999999999</v>
      </c>
    </row>
    <row r="2676" spans="1:4" x14ac:dyDescent="0.2">
      <c r="A2676" s="5">
        <v>40239</v>
      </c>
      <c r="B2676" s="1">
        <v>3.6040999999999999</v>
      </c>
      <c r="C2676" s="1">
        <v>1.68</v>
      </c>
      <c r="D2676" s="1">
        <v>4.5670999999999999</v>
      </c>
    </row>
    <row r="2677" spans="1:4" x14ac:dyDescent="0.2">
      <c r="A2677" s="5">
        <v>40240</v>
      </c>
      <c r="B2677" s="1">
        <v>3.6173000000000002</v>
      </c>
      <c r="C2677" s="1">
        <v>1.69</v>
      </c>
      <c r="D2677" s="1">
        <v>4.5853000000000002</v>
      </c>
    </row>
    <row r="2678" spans="1:4" x14ac:dyDescent="0.2">
      <c r="A2678" s="5">
        <v>40241</v>
      </c>
      <c r="B2678" s="1">
        <v>3.6021999999999998</v>
      </c>
      <c r="C2678" s="1">
        <v>1.68</v>
      </c>
      <c r="D2678" s="1">
        <v>4.5556000000000001</v>
      </c>
    </row>
    <row r="2679" spans="1:4" x14ac:dyDescent="0.2">
      <c r="A2679" s="5">
        <v>40242</v>
      </c>
      <c r="B2679" s="1">
        <v>3.6796000000000002</v>
      </c>
      <c r="C2679" s="1">
        <v>1.66</v>
      </c>
      <c r="D2679" s="1">
        <v>4.6422999999999996</v>
      </c>
    </row>
    <row r="2680" spans="1:4" x14ac:dyDescent="0.2">
      <c r="A2680" s="5">
        <v>40245</v>
      </c>
      <c r="B2680" s="1">
        <v>3.7157</v>
      </c>
      <c r="C2680" s="1">
        <v>1.63</v>
      </c>
      <c r="D2680" s="1">
        <v>4.6863000000000001</v>
      </c>
    </row>
    <row r="2681" spans="1:4" x14ac:dyDescent="0.2">
      <c r="A2681" s="5">
        <v>40246</v>
      </c>
      <c r="B2681" s="1">
        <v>3.7004999999999999</v>
      </c>
      <c r="C2681" s="1">
        <v>1.63</v>
      </c>
      <c r="D2681" s="1">
        <v>4.6755000000000004</v>
      </c>
    </row>
    <row r="2682" spans="1:4" x14ac:dyDescent="0.2">
      <c r="A2682" s="5">
        <v>40247</v>
      </c>
      <c r="B2682" s="1">
        <v>3.7214999999999998</v>
      </c>
      <c r="C2682" s="1">
        <v>1.61</v>
      </c>
      <c r="D2682" s="1">
        <v>4.6912000000000003</v>
      </c>
    </row>
    <row r="2683" spans="1:4" x14ac:dyDescent="0.2">
      <c r="A2683" s="5">
        <v>40248</v>
      </c>
      <c r="B2683" s="1">
        <v>3.7271999999999998</v>
      </c>
      <c r="C2683" s="1">
        <v>1.61</v>
      </c>
      <c r="D2683" s="1">
        <v>4.6666999999999996</v>
      </c>
    </row>
    <row r="2684" spans="1:4" x14ac:dyDescent="0.2">
      <c r="A2684" s="5">
        <v>40249</v>
      </c>
      <c r="B2684" s="1">
        <v>3.7006000000000001</v>
      </c>
      <c r="C2684" s="1">
        <v>1.6</v>
      </c>
      <c r="D2684" s="1">
        <v>4.6247999999999996</v>
      </c>
    </row>
    <row r="2685" spans="1:4" x14ac:dyDescent="0.2">
      <c r="A2685" s="5">
        <v>40252</v>
      </c>
      <c r="B2685" s="1">
        <v>3.6949000000000001</v>
      </c>
      <c r="C2685" s="1">
        <v>1.59</v>
      </c>
      <c r="D2685" s="1">
        <v>4.6266999999999996</v>
      </c>
    </row>
    <row r="2686" spans="1:4" x14ac:dyDescent="0.2">
      <c r="A2686" s="5">
        <v>40253</v>
      </c>
      <c r="B2686" s="1">
        <v>3.6493000000000002</v>
      </c>
      <c r="C2686" s="1">
        <v>1.59</v>
      </c>
      <c r="D2686" s="1">
        <v>4.5871000000000004</v>
      </c>
    </row>
    <row r="2687" spans="1:4" x14ac:dyDescent="0.2">
      <c r="A2687" s="5">
        <v>40254</v>
      </c>
      <c r="B2687" s="1">
        <v>3.6360999999999999</v>
      </c>
      <c r="C2687" s="1">
        <v>1.56</v>
      </c>
      <c r="D2687" s="1">
        <v>4.5659999999999998</v>
      </c>
    </row>
    <row r="2688" spans="1:4" x14ac:dyDescent="0.2">
      <c r="A2688" s="5">
        <v>40255</v>
      </c>
      <c r="B2688" s="1">
        <v>3.6758999999999999</v>
      </c>
      <c r="C2688" s="1">
        <v>1.55</v>
      </c>
      <c r="D2688" s="1">
        <v>4.5910000000000002</v>
      </c>
    </row>
    <row r="2689" spans="1:4" x14ac:dyDescent="0.2">
      <c r="A2689" s="5">
        <v>40256</v>
      </c>
      <c r="B2689" s="1">
        <v>3.6892</v>
      </c>
      <c r="C2689" s="1">
        <v>1.55</v>
      </c>
      <c r="D2689" s="1">
        <v>4.5793999999999997</v>
      </c>
    </row>
    <row r="2690" spans="1:4" x14ac:dyDescent="0.2">
      <c r="A2690" s="5">
        <v>40259</v>
      </c>
      <c r="B2690" s="1">
        <v>3.6587999999999998</v>
      </c>
      <c r="C2690" s="1">
        <v>1.56</v>
      </c>
      <c r="D2690" s="1">
        <v>4.5678999999999998</v>
      </c>
    </row>
    <row r="2691" spans="1:4" x14ac:dyDescent="0.2">
      <c r="A2691" s="5">
        <v>40260</v>
      </c>
      <c r="B2691" s="1">
        <v>3.6854</v>
      </c>
      <c r="C2691" s="1">
        <v>1.55</v>
      </c>
      <c r="D2691" s="1">
        <v>4.6054000000000004</v>
      </c>
    </row>
    <row r="2692" spans="1:4" x14ac:dyDescent="0.2">
      <c r="A2692" s="5">
        <v>40261</v>
      </c>
      <c r="B2692" s="1">
        <v>3.8523999999999998</v>
      </c>
      <c r="C2692" s="1">
        <v>1.54</v>
      </c>
      <c r="D2692" s="1">
        <v>4.7317999999999998</v>
      </c>
    </row>
    <row r="2693" spans="1:4" x14ac:dyDescent="0.2">
      <c r="A2693" s="5">
        <v>40262</v>
      </c>
      <c r="B2693" s="1">
        <v>3.8776999999999999</v>
      </c>
      <c r="C2693" s="1">
        <v>1.53</v>
      </c>
      <c r="D2693" s="1">
        <v>4.7576999999999998</v>
      </c>
    </row>
    <row r="2694" spans="1:4" x14ac:dyDescent="0.2">
      <c r="A2694" s="5">
        <v>40263</v>
      </c>
      <c r="B2694" s="1">
        <v>3.8468</v>
      </c>
      <c r="C2694" s="1">
        <v>1.52</v>
      </c>
      <c r="D2694" s="1">
        <v>4.7457000000000003</v>
      </c>
    </row>
    <row r="2695" spans="1:4" x14ac:dyDescent="0.2">
      <c r="A2695" s="5">
        <v>40266</v>
      </c>
      <c r="B2695" s="1">
        <v>3.8643000000000001</v>
      </c>
      <c r="C2695" s="1">
        <v>1.51</v>
      </c>
      <c r="D2695" s="1">
        <v>4.7676999999999996</v>
      </c>
    </row>
    <row r="2696" spans="1:4" x14ac:dyDescent="0.2">
      <c r="A2696" s="5">
        <v>40267</v>
      </c>
      <c r="B2696" s="1">
        <v>3.8565999999999998</v>
      </c>
      <c r="C2696" s="1">
        <v>1.49</v>
      </c>
      <c r="D2696" s="1">
        <v>4.7457000000000003</v>
      </c>
    </row>
    <row r="2697" spans="1:4" x14ac:dyDescent="0.2">
      <c r="A2697" s="5">
        <v>40268</v>
      </c>
      <c r="B2697" s="1">
        <v>3.8256999999999999</v>
      </c>
      <c r="C2697" s="1">
        <v>1.5</v>
      </c>
      <c r="D2697" s="1">
        <v>4.7129000000000003</v>
      </c>
    </row>
    <row r="2698" spans="1:4" x14ac:dyDescent="0.2">
      <c r="A2698" s="5">
        <v>40269</v>
      </c>
      <c r="B2698" s="1">
        <v>3.8685</v>
      </c>
      <c r="C2698" s="1">
        <v>1.48</v>
      </c>
      <c r="D2698" s="1">
        <v>4.7278000000000002</v>
      </c>
    </row>
    <row r="2699" spans="1:4" x14ac:dyDescent="0.2">
      <c r="A2699" s="5">
        <v>40270</v>
      </c>
      <c r="B2699" s="1">
        <v>3.9445999999999999</v>
      </c>
      <c r="C2699" s="1">
        <v>1.47</v>
      </c>
      <c r="D2699" s="1">
        <v>4.806</v>
      </c>
    </row>
    <row r="2700" spans="1:4" x14ac:dyDescent="0.2">
      <c r="A2700" s="5">
        <v>40273</v>
      </c>
      <c r="B2700" s="1">
        <v>3.9859</v>
      </c>
      <c r="C2700" s="1">
        <v>1.45</v>
      </c>
      <c r="D2700" s="1">
        <v>4.8395000000000001</v>
      </c>
    </row>
    <row r="2701" spans="1:4" x14ac:dyDescent="0.2">
      <c r="A2701" s="5">
        <v>40274</v>
      </c>
      <c r="B2701" s="1">
        <v>3.9504999999999999</v>
      </c>
      <c r="C2701" s="1">
        <v>1.45</v>
      </c>
      <c r="D2701" s="1">
        <v>4.8323999999999998</v>
      </c>
    </row>
    <row r="2702" spans="1:4" x14ac:dyDescent="0.2">
      <c r="A2702" s="5">
        <v>40275</v>
      </c>
      <c r="B2702" s="1">
        <v>3.8531</v>
      </c>
      <c r="C2702" s="1">
        <v>1.45</v>
      </c>
      <c r="D2702" s="1">
        <v>4.7377000000000002</v>
      </c>
    </row>
    <row r="2703" spans="1:4" x14ac:dyDescent="0.2">
      <c r="A2703" s="5">
        <v>40276</v>
      </c>
      <c r="B2703" s="1">
        <v>3.8900999999999999</v>
      </c>
      <c r="C2703" s="1">
        <v>1.45</v>
      </c>
      <c r="D2703" s="1">
        <v>4.7526999999999999</v>
      </c>
    </row>
    <row r="2704" spans="1:4" x14ac:dyDescent="0.2">
      <c r="A2704" s="5">
        <v>40277</v>
      </c>
      <c r="B2704" s="1">
        <v>3.8824999999999998</v>
      </c>
      <c r="C2704" s="1">
        <v>1.45</v>
      </c>
      <c r="D2704" s="1">
        <v>4.7397</v>
      </c>
    </row>
    <row r="2705" spans="1:4" x14ac:dyDescent="0.2">
      <c r="A2705" s="5">
        <v>40280</v>
      </c>
      <c r="B2705" s="1">
        <v>3.8416999999999999</v>
      </c>
      <c r="C2705" s="1">
        <v>1.44</v>
      </c>
      <c r="D2705" s="1">
        <v>4.6961000000000004</v>
      </c>
    </row>
    <row r="2706" spans="1:4" x14ac:dyDescent="0.2">
      <c r="A2706" s="5">
        <v>40281</v>
      </c>
      <c r="B2706" s="1">
        <v>3.8203999999999998</v>
      </c>
      <c r="C2706" s="1">
        <v>1.43</v>
      </c>
      <c r="D2706" s="1">
        <v>4.6813000000000002</v>
      </c>
    </row>
    <row r="2707" spans="1:4" x14ac:dyDescent="0.2">
      <c r="A2707" s="5">
        <v>40282</v>
      </c>
      <c r="B2707" s="1">
        <v>3.8593000000000002</v>
      </c>
      <c r="C2707" s="1">
        <v>1.42</v>
      </c>
      <c r="D2707" s="1">
        <v>4.7298</v>
      </c>
    </row>
    <row r="2708" spans="1:4" x14ac:dyDescent="0.2">
      <c r="A2708" s="5">
        <v>40283</v>
      </c>
      <c r="B2708" s="1">
        <v>3.8321000000000001</v>
      </c>
      <c r="C2708" s="1">
        <v>1.39</v>
      </c>
      <c r="D2708" s="1">
        <v>4.7149000000000001</v>
      </c>
    </row>
    <row r="2709" spans="1:4" x14ac:dyDescent="0.2">
      <c r="A2709" s="5">
        <v>40284</v>
      </c>
      <c r="B2709" s="1">
        <v>3.7625999999999999</v>
      </c>
      <c r="C2709" s="1">
        <v>1.39</v>
      </c>
      <c r="D2709" s="1">
        <v>4.6704999999999997</v>
      </c>
    </row>
    <row r="2710" spans="1:4" x14ac:dyDescent="0.2">
      <c r="A2710" s="5">
        <v>40287</v>
      </c>
      <c r="B2710" s="1">
        <v>3.7974000000000001</v>
      </c>
      <c r="C2710" s="1">
        <v>1.42</v>
      </c>
      <c r="D2710" s="1">
        <v>4.6940999999999997</v>
      </c>
    </row>
    <row r="2711" spans="1:4" x14ac:dyDescent="0.2">
      <c r="A2711" s="5">
        <v>40288</v>
      </c>
      <c r="B2711" s="1">
        <v>3.7993000000000001</v>
      </c>
      <c r="C2711" s="1">
        <v>1.41</v>
      </c>
      <c r="D2711" s="1">
        <v>4.6734</v>
      </c>
    </row>
    <row r="2712" spans="1:4" x14ac:dyDescent="0.2">
      <c r="A2712" s="5">
        <v>40289</v>
      </c>
      <c r="B2712" s="1">
        <v>3.7355999999999998</v>
      </c>
      <c r="C2712" s="1">
        <v>1.4</v>
      </c>
      <c r="D2712" s="1">
        <v>4.6158999999999999</v>
      </c>
    </row>
    <row r="2713" spans="1:4" x14ac:dyDescent="0.2">
      <c r="A2713" s="5">
        <v>40290</v>
      </c>
      <c r="B2713" s="1">
        <v>3.7723</v>
      </c>
      <c r="C2713" s="1">
        <v>1.4</v>
      </c>
      <c r="D2713" s="1">
        <v>4.6363000000000003</v>
      </c>
    </row>
    <row r="2714" spans="1:4" x14ac:dyDescent="0.2">
      <c r="A2714" s="5">
        <v>40291</v>
      </c>
      <c r="B2714" s="1">
        <v>3.8092000000000001</v>
      </c>
      <c r="C2714" s="1">
        <v>1.39</v>
      </c>
      <c r="D2714" s="1">
        <v>4.6597</v>
      </c>
    </row>
    <row r="2715" spans="1:4" x14ac:dyDescent="0.2">
      <c r="A2715" s="5">
        <v>40294</v>
      </c>
      <c r="B2715" s="1">
        <v>3.8054000000000001</v>
      </c>
      <c r="C2715" s="1">
        <v>1.4</v>
      </c>
      <c r="D2715" s="1">
        <v>4.6646000000000001</v>
      </c>
    </row>
    <row r="2716" spans="1:4" x14ac:dyDescent="0.2">
      <c r="A2716" s="5">
        <v>40295</v>
      </c>
      <c r="B2716" s="1">
        <v>3.6877</v>
      </c>
      <c r="C2716" s="1">
        <v>1.44</v>
      </c>
      <c r="D2716" s="1">
        <v>4.5762999999999998</v>
      </c>
    </row>
    <row r="2717" spans="1:4" x14ac:dyDescent="0.2">
      <c r="A2717" s="5">
        <v>40296</v>
      </c>
      <c r="B2717" s="1">
        <v>3.7627999999999999</v>
      </c>
      <c r="C2717" s="1">
        <v>1.46</v>
      </c>
      <c r="D2717" s="1">
        <v>4.6265000000000001</v>
      </c>
    </row>
    <row r="2718" spans="1:4" x14ac:dyDescent="0.2">
      <c r="A2718" s="5">
        <v>40297</v>
      </c>
      <c r="B2718" s="1">
        <v>3.7242999999999999</v>
      </c>
      <c r="C2718" s="1">
        <v>1.44</v>
      </c>
      <c r="D2718" s="1">
        <v>4.5888</v>
      </c>
    </row>
    <row r="2719" spans="1:4" x14ac:dyDescent="0.2">
      <c r="A2719" s="5">
        <v>40298</v>
      </c>
      <c r="B2719" s="1">
        <v>3.6532</v>
      </c>
      <c r="C2719" s="1">
        <v>1.43</v>
      </c>
      <c r="D2719" s="1">
        <v>4.5171999999999999</v>
      </c>
    </row>
    <row r="2720" spans="1:4" x14ac:dyDescent="0.2">
      <c r="A2720" s="5">
        <v>40301</v>
      </c>
      <c r="B2720" s="1">
        <v>3.6819999999999999</v>
      </c>
      <c r="C2720" s="1">
        <v>1.44</v>
      </c>
      <c r="D2720" s="1">
        <v>4.5266000000000002</v>
      </c>
    </row>
    <row r="2721" spans="1:4" x14ac:dyDescent="0.2">
      <c r="A2721" s="5">
        <v>40302</v>
      </c>
      <c r="B2721" s="1">
        <v>3.5901999999999998</v>
      </c>
      <c r="C2721" s="1">
        <v>1.46</v>
      </c>
      <c r="D2721" s="1">
        <v>4.4123000000000001</v>
      </c>
    </row>
    <row r="2722" spans="1:4" x14ac:dyDescent="0.2">
      <c r="A2722" s="5">
        <v>40303</v>
      </c>
      <c r="B2722" s="1">
        <v>3.5388000000000002</v>
      </c>
      <c r="C2722" s="1">
        <v>1.5</v>
      </c>
      <c r="D2722" s="1">
        <v>4.3846999999999996</v>
      </c>
    </row>
    <row r="2723" spans="1:4" x14ac:dyDescent="0.2">
      <c r="A2723" s="5">
        <v>40304</v>
      </c>
      <c r="B2723" s="1">
        <v>3.3938000000000001</v>
      </c>
      <c r="C2723" s="1">
        <v>1.61</v>
      </c>
      <c r="D2723" s="1">
        <v>4.2003000000000004</v>
      </c>
    </row>
    <row r="2724" spans="1:4" x14ac:dyDescent="0.2">
      <c r="A2724" s="5">
        <v>40305</v>
      </c>
      <c r="B2724" s="1">
        <v>3.4255</v>
      </c>
      <c r="C2724" s="1">
        <v>1.69</v>
      </c>
      <c r="D2724" s="1">
        <v>4.2748999999999997</v>
      </c>
    </row>
    <row r="2725" spans="1:4" x14ac:dyDescent="0.2">
      <c r="A2725" s="5">
        <v>40308</v>
      </c>
      <c r="B2725" s="1">
        <v>3.5406</v>
      </c>
      <c r="C2725" s="1">
        <v>1.64</v>
      </c>
      <c r="D2725" s="1">
        <v>4.4104000000000001</v>
      </c>
    </row>
    <row r="2726" spans="1:4" x14ac:dyDescent="0.2">
      <c r="A2726" s="5">
        <v>40309</v>
      </c>
      <c r="B2726" s="1">
        <v>3.5234999999999999</v>
      </c>
      <c r="C2726" s="1">
        <v>1.69</v>
      </c>
      <c r="D2726" s="1">
        <v>4.4196999999999997</v>
      </c>
    </row>
    <row r="2727" spans="1:4" x14ac:dyDescent="0.2">
      <c r="A2727" s="5">
        <v>40310</v>
      </c>
      <c r="B2727" s="1">
        <v>3.5710000000000002</v>
      </c>
      <c r="C2727" s="1">
        <v>1.66</v>
      </c>
      <c r="D2727" s="1">
        <v>4.4802999999999997</v>
      </c>
    </row>
    <row r="2728" spans="1:4" x14ac:dyDescent="0.2">
      <c r="A2728" s="5">
        <v>40311</v>
      </c>
      <c r="B2728" s="1">
        <v>3.5261</v>
      </c>
      <c r="C2728" s="1">
        <v>1.65</v>
      </c>
      <c r="D2728" s="1">
        <v>4.4271000000000003</v>
      </c>
    </row>
    <row r="2729" spans="1:4" x14ac:dyDescent="0.2">
      <c r="A2729" s="5">
        <v>40312</v>
      </c>
      <c r="B2729" s="1">
        <v>3.4533999999999998</v>
      </c>
      <c r="C2729" s="1">
        <v>1.66</v>
      </c>
      <c r="D2729" s="1">
        <v>4.3357000000000001</v>
      </c>
    </row>
    <row r="2730" spans="1:4" x14ac:dyDescent="0.2">
      <c r="A2730" s="5">
        <v>40315</v>
      </c>
      <c r="B2730" s="1">
        <v>3.4868999999999999</v>
      </c>
      <c r="C2730" s="1">
        <v>1.67</v>
      </c>
      <c r="D2730" s="1">
        <v>4.359</v>
      </c>
    </row>
    <row r="2731" spans="1:4" x14ac:dyDescent="0.2">
      <c r="A2731" s="5">
        <v>40316</v>
      </c>
      <c r="B2731" s="1">
        <v>3.3462000000000001</v>
      </c>
      <c r="C2731" s="1">
        <v>1.68</v>
      </c>
      <c r="D2731" s="1">
        <v>4.2289000000000003</v>
      </c>
    </row>
    <row r="2732" spans="1:4" x14ac:dyDescent="0.2">
      <c r="A2732" s="5">
        <v>40317</v>
      </c>
      <c r="B2732" s="1">
        <v>3.3681999999999999</v>
      </c>
      <c r="C2732" s="1">
        <v>1.73</v>
      </c>
      <c r="D2732" s="1">
        <v>4.2435</v>
      </c>
    </row>
    <row r="2733" spans="1:4" x14ac:dyDescent="0.2">
      <c r="A2733" s="5">
        <v>40318</v>
      </c>
      <c r="B2733" s="1">
        <v>3.2126000000000001</v>
      </c>
      <c r="C2733" s="1">
        <v>1.77</v>
      </c>
      <c r="D2733" s="1">
        <v>4.0877999999999997</v>
      </c>
    </row>
    <row r="2734" spans="1:4" x14ac:dyDescent="0.2">
      <c r="A2734" s="5">
        <v>40319</v>
      </c>
      <c r="B2734" s="1">
        <v>3.2378999999999998</v>
      </c>
      <c r="C2734" s="1">
        <v>1.79</v>
      </c>
      <c r="D2734" s="1">
        <v>4.0991</v>
      </c>
    </row>
    <row r="2735" spans="1:4" x14ac:dyDescent="0.2">
      <c r="A2735" s="5">
        <v>40322</v>
      </c>
      <c r="B2735" s="1">
        <v>3.1941999999999999</v>
      </c>
      <c r="C2735" s="1">
        <v>1.82</v>
      </c>
      <c r="D2735" s="1">
        <v>4.0842000000000001</v>
      </c>
    </row>
    <row r="2736" spans="1:4" x14ac:dyDescent="0.2">
      <c r="A2736" s="5">
        <v>40323</v>
      </c>
      <c r="B2736" s="1">
        <v>3.1577999999999999</v>
      </c>
      <c r="C2736" s="1">
        <v>1.88</v>
      </c>
      <c r="D2736" s="1">
        <v>4.0570000000000004</v>
      </c>
    </row>
    <row r="2737" spans="1:4" x14ac:dyDescent="0.2">
      <c r="A2737" s="5">
        <v>40324</v>
      </c>
      <c r="B2737" s="1">
        <v>3.1886000000000001</v>
      </c>
      <c r="C2737" s="1">
        <v>1.86</v>
      </c>
      <c r="D2737" s="1">
        <v>4.0921000000000003</v>
      </c>
    </row>
    <row r="2738" spans="1:4" x14ac:dyDescent="0.2">
      <c r="A2738" s="5">
        <v>40325</v>
      </c>
      <c r="B2738" s="1">
        <v>3.3605</v>
      </c>
      <c r="C2738" s="1">
        <v>1.84</v>
      </c>
      <c r="D2738" s="1">
        <v>4.2553000000000001</v>
      </c>
    </row>
    <row r="2739" spans="1:4" x14ac:dyDescent="0.2">
      <c r="A2739" s="5">
        <v>40326</v>
      </c>
      <c r="B2739" s="1">
        <v>3.2921999999999998</v>
      </c>
      <c r="C2739" s="1">
        <v>1.87</v>
      </c>
      <c r="D2739" s="1">
        <v>4.2088000000000001</v>
      </c>
    </row>
    <row r="2740" spans="1:4" x14ac:dyDescent="0.2">
      <c r="A2740" s="5">
        <v>40329</v>
      </c>
      <c r="B2740" s="1">
        <v>3.2848000000000002</v>
      </c>
      <c r="C2740" s="1">
        <v>1.87</v>
      </c>
      <c r="D2740" s="1">
        <v>4.2042999999999999</v>
      </c>
    </row>
    <row r="2741" spans="1:4" x14ac:dyDescent="0.2">
      <c r="A2741" s="5">
        <v>40330</v>
      </c>
      <c r="B2741" s="1">
        <v>3.2591000000000001</v>
      </c>
      <c r="C2741" s="1">
        <v>1.9</v>
      </c>
      <c r="D2741" s="1">
        <v>4.1790000000000003</v>
      </c>
    </row>
    <row r="2742" spans="1:4" x14ac:dyDescent="0.2">
      <c r="A2742" s="5">
        <v>40331</v>
      </c>
      <c r="B2742" s="1">
        <v>3.34</v>
      </c>
      <c r="C2742" s="1">
        <v>1.91</v>
      </c>
      <c r="D2742" s="1">
        <v>4.2388000000000003</v>
      </c>
    </row>
    <row r="2743" spans="1:4" x14ac:dyDescent="0.2">
      <c r="A2743" s="5">
        <v>40332</v>
      </c>
      <c r="B2743" s="1">
        <v>3.3639000000000001</v>
      </c>
      <c r="C2743" s="1">
        <v>1.9</v>
      </c>
      <c r="D2743" s="1">
        <v>4.2698</v>
      </c>
    </row>
    <row r="2744" spans="1:4" x14ac:dyDescent="0.2">
      <c r="A2744" s="5">
        <v>40333</v>
      </c>
      <c r="B2744" s="1">
        <v>3.2023000000000001</v>
      </c>
      <c r="C2744" s="1">
        <v>1.91</v>
      </c>
      <c r="D2744" s="1">
        <v>4.1299000000000001</v>
      </c>
    </row>
    <row r="2745" spans="1:4" x14ac:dyDescent="0.2">
      <c r="A2745" s="5">
        <v>40336</v>
      </c>
      <c r="B2745" s="1">
        <v>3.1421999999999999</v>
      </c>
      <c r="C2745" s="1">
        <v>1.91</v>
      </c>
      <c r="D2745" s="1">
        <v>4.0812999999999997</v>
      </c>
    </row>
    <row r="2746" spans="1:4" x14ac:dyDescent="0.2">
      <c r="A2746" s="5">
        <v>40337</v>
      </c>
      <c r="B2746" s="1">
        <v>3.1857000000000002</v>
      </c>
      <c r="C2746" s="1">
        <v>1.94</v>
      </c>
      <c r="D2746" s="1">
        <v>4.1102999999999996</v>
      </c>
    </row>
    <row r="2747" spans="1:4" x14ac:dyDescent="0.2">
      <c r="A2747" s="5">
        <v>40338</v>
      </c>
      <c r="B2747" s="1">
        <v>3.1728999999999998</v>
      </c>
      <c r="C2747" s="1">
        <v>1.96</v>
      </c>
      <c r="D2747" s="1">
        <v>4.1102999999999996</v>
      </c>
    </row>
    <row r="2748" spans="1:4" x14ac:dyDescent="0.2">
      <c r="A2748" s="5">
        <v>40339</v>
      </c>
      <c r="B2748" s="1">
        <v>3.3193000000000001</v>
      </c>
      <c r="C2748" s="1">
        <v>1.98</v>
      </c>
      <c r="D2748" s="1">
        <v>4.2332000000000001</v>
      </c>
    </row>
    <row r="2749" spans="1:4" x14ac:dyDescent="0.2">
      <c r="A2749" s="5">
        <v>40340</v>
      </c>
      <c r="B2749" s="1">
        <v>3.2345999999999999</v>
      </c>
      <c r="C2749" s="1">
        <v>1.97</v>
      </c>
      <c r="D2749" s="1">
        <v>4.1493000000000002</v>
      </c>
    </row>
    <row r="2750" spans="1:4" x14ac:dyDescent="0.2">
      <c r="A2750" s="5">
        <v>40343</v>
      </c>
      <c r="B2750" s="1">
        <v>3.2528999999999999</v>
      </c>
      <c r="C2750" s="1">
        <v>1.96</v>
      </c>
      <c r="D2750" s="1">
        <v>4.1788999999999996</v>
      </c>
    </row>
    <row r="2751" spans="1:4" x14ac:dyDescent="0.2">
      <c r="A2751" s="5">
        <v>40344</v>
      </c>
      <c r="B2751" s="1">
        <v>3.3025000000000002</v>
      </c>
      <c r="C2751" s="1">
        <v>1.95</v>
      </c>
      <c r="D2751" s="1">
        <v>4.2195</v>
      </c>
    </row>
    <row r="2752" spans="1:4" x14ac:dyDescent="0.2">
      <c r="A2752" s="5">
        <v>40345</v>
      </c>
      <c r="B2752" s="1">
        <v>3.2601</v>
      </c>
      <c r="C2752" s="1">
        <v>1.95</v>
      </c>
      <c r="D2752" s="1">
        <v>4.1816000000000004</v>
      </c>
    </row>
    <row r="2753" spans="1:4" x14ac:dyDescent="0.2">
      <c r="A2753" s="5">
        <v>40346</v>
      </c>
      <c r="B2753" s="1">
        <v>3.1886999999999999</v>
      </c>
      <c r="C2753" s="1">
        <v>1.93</v>
      </c>
      <c r="D2753" s="1">
        <v>4.1216999999999997</v>
      </c>
    </row>
    <row r="2754" spans="1:4" x14ac:dyDescent="0.2">
      <c r="A2754" s="5">
        <v>40347</v>
      </c>
      <c r="B2754" s="1">
        <v>3.2195</v>
      </c>
      <c r="C2754" s="1">
        <v>1.91</v>
      </c>
      <c r="D2754" s="1">
        <v>4.1439000000000004</v>
      </c>
    </row>
    <row r="2755" spans="1:4" x14ac:dyDescent="0.2">
      <c r="A2755" s="5">
        <v>40350</v>
      </c>
      <c r="B2755" s="1">
        <v>3.2414000000000001</v>
      </c>
      <c r="C2755" s="1">
        <v>1.87</v>
      </c>
      <c r="D2755" s="1">
        <v>4.1626000000000003</v>
      </c>
    </row>
    <row r="2756" spans="1:4" x14ac:dyDescent="0.2">
      <c r="A2756" s="5">
        <v>40351</v>
      </c>
      <c r="B2756" s="1">
        <v>3.1663999999999999</v>
      </c>
      <c r="C2756" s="1">
        <v>1.88</v>
      </c>
      <c r="D2756" s="1">
        <v>4.1003999999999996</v>
      </c>
    </row>
    <row r="2757" spans="1:4" x14ac:dyDescent="0.2">
      <c r="A2757" s="5">
        <v>40352</v>
      </c>
      <c r="B2757" s="1">
        <v>3.1190000000000002</v>
      </c>
      <c r="C2757" s="1">
        <v>1.9</v>
      </c>
      <c r="D2757" s="1">
        <v>4.0599999999999996</v>
      </c>
    </row>
    <row r="2758" spans="1:4" x14ac:dyDescent="0.2">
      <c r="A2758" s="5">
        <v>40353</v>
      </c>
      <c r="B2758" s="1">
        <v>3.1371000000000002</v>
      </c>
      <c r="C2758" s="1">
        <v>1.9</v>
      </c>
      <c r="D2758" s="1">
        <v>4.1039000000000003</v>
      </c>
    </row>
    <row r="2759" spans="1:4" x14ac:dyDescent="0.2">
      <c r="A2759" s="5">
        <v>40354</v>
      </c>
      <c r="B2759" s="1">
        <v>3.1078000000000001</v>
      </c>
      <c r="C2759" s="1">
        <v>1.91</v>
      </c>
      <c r="D2759" s="1">
        <v>4.0625</v>
      </c>
    </row>
    <row r="2760" spans="1:4" x14ac:dyDescent="0.2">
      <c r="A2760" s="5">
        <v>40357</v>
      </c>
      <c r="B2760" s="1">
        <v>3.0209999999999999</v>
      </c>
      <c r="C2760" s="1">
        <v>1.91</v>
      </c>
      <c r="D2760" s="1">
        <v>4.0008999999999997</v>
      </c>
    </row>
    <row r="2761" spans="1:4" x14ac:dyDescent="0.2">
      <c r="A2761" s="5">
        <v>40358</v>
      </c>
      <c r="B2761" s="1">
        <v>2.9491000000000001</v>
      </c>
      <c r="C2761" s="1">
        <v>1.92</v>
      </c>
      <c r="D2761" s="1">
        <v>3.9316</v>
      </c>
    </row>
    <row r="2762" spans="1:4" x14ac:dyDescent="0.2">
      <c r="A2762" s="5">
        <v>40359</v>
      </c>
      <c r="B2762" s="1">
        <v>2.9310999999999998</v>
      </c>
      <c r="C2762" s="1">
        <v>1.93</v>
      </c>
      <c r="D2762" s="1">
        <v>3.8885000000000001</v>
      </c>
    </row>
    <row r="2763" spans="1:4" x14ac:dyDescent="0.2">
      <c r="A2763" s="5">
        <v>40360</v>
      </c>
      <c r="B2763" s="1">
        <v>2.9470000000000001</v>
      </c>
      <c r="C2763" s="1">
        <v>1.93</v>
      </c>
      <c r="D2763" s="1">
        <v>3.8944000000000001</v>
      </c>
    </row>
    <row r="2764" spans="1:4" x14ac:dyDescent="0.2">
      <c r="A2764" s="5">
        <v>40361</v>
      </c>
      <c r="B2764" s="1">
        <v>2.9769999999999999</v>
      </c>
      <c r="C2764" s="1">
        <v>1.93</v>
      </c>
      <c r="D2764" s="1">
        <v>3.9424999999999999</v>
      </c>
    </row>
    <row r="2765" spans="1:4" x14ac:dyDescent="0.2">
      <c r="A2765" s="5">
        <v>40364</v>
      </c>
      <c r="B2765" s="1">
        <v>2.9733000000000001</v>
      </c>
      <c r="C2765" s="1">
        <v>1.93</v>
      </c>
      <c r="D2765" s="1">
        <v>3.9424999999999999</v>
      </c>
    </row>
    <row r="2766" spans="1:4" x14ac:dyDescent="0.2">
      <c r="A2766" s="5">
        <v>40365</v>
      </c>
      <c r="B2766" s="1">
        <v>2.9302000000000001</v>
      </c>
      <c r="C2766" s="1">
        <v>1.92</v>
      </c>
      <c r="D2766" s="1">
        <v>3.89</v>
      </c>
    </row>
    <row r="2767" spans="1:4" x14ac:dyDescent="0.2">
      <c r="A2767" s="5">
        <v>40366</v>
      </c>
      <c r="B2767" s="1">
        <v>2.9803000000000002</v>
      </c>
      <c r="C2767" s="1">
        <v>1.92</v>
      </c>
      <c r="D2767" s="1">
        <v>3.9569000000000001</v>
      </c>
    </row>
    <row r="2768" spans="1:4" x14ac:dyDescent="0.2">
      <c r="A2768" s="5">
        <v>40367</v>
      </c>
      <c r="B2768" s="1">
        <v>3.0306000000000002</v>
      </c>
      <c r="C2768" s="1">
        <v>1.9</v>
      </c>
      <c r="D2768" s="1">
        <v>4.0118999999999998</v>
      </c>
    </row>
    <row r="2769" spans="1:4" x14ac:dyDescent="0.2">
      <c r="A2769" s="5">
        <v>40368</v>
      </c>
      <c r="B2769" s="1">
        <v>3.052</v>
      </c>
      <c r="C2769" s="1">
        <v>1.88</v>
      </c>
      <c r="D2769" s="1">
        <v>4.0361000000000002</v>
      </c>
    </row>
    <row r="2770" spans="1:4" x14ac:dyDescent="0.2">
      <c r="A2770" s="5">
        <v>40371</v>
      </c>
      <c r="B2770" s="1">
        <v>3.0628000000000002</v>
      </c>
      <c r="C2770" s="1">
        <v>1.86</v>
      </c>
      <c r="D2770" s="1">
        <v>4.0560999999999998</v>
      </c>
    </row>
    <row r="2771" spans="1:4" x14ac:dyDescent="0.2">
      <c r="A2771" s="5">
        <v>40372</v>
      </c>
      <c r="B2771" s="1">
        <v>3.1208</v>
      </c>
      <c r="C2771" s="1">
        <v>1.83</v>
      </c>
      <c r="D2771" s="1">
        <v>4.1063000000000001</v>
      </c>
    </row>
    <row r="2772" spans="1:4" x14ac:dyDescent="0.2">
      <c r="A2772" s="5">
        <v>40373</v>
      </c>
      <c r="B2772" s="1">
        <v>3.0426000000000002</v>
      </c>
      <c r="C2772" s="1">
        <v>1.82</v>
      </c>
      <c r="D2772" s="1">
        <v>4.0282</v>
      </c>
    </row>
    <row r="2773" spans="1:4" x14ac:dyDescent="0.2">
      <c r="A2773" s="5">
        <v>40374</v>
      </c>
      <c r="B2773" s="1">
        <v>2.9937</v>
      </c>
      <c r="C2773" s="1">
        <v>1.82</v>
      </c>
      <c r="D2773" s="1">
        <v>3.9859</v>
      </c>
    </row>
    <row r="2774" spans="1:4" x14ac:dyDescent="0.2">
      <c r="A2774" s="5">
        <v>40375</v>
      </c>
      <c r="B2774" s="1">
        <v>2.9215</v>
      </c>
      <c r="C2774" s="1">
        <v>1.82</v>
      </c>
      <c r="D2774" s="1">
        <v>3.9379</v>
      </c>
    </row>
    <row r="2775" spans="1:4" x14ac:dyDescent="0.2">
      <c r="A2775" s="5">
        <v>40378</v>
      </c>
      <c r="B2775" s="1">
        <v>2.9537</v>
      </c>
      <c r="C2775" s="1">
        <v>1.83</v>
      </c>
      <c r="D2775" s="1">
        <v>3.9771999999999998</v>
      </c>
    </row>
    <row r="2776" spans="1:4" x14ac:dyDescent="0.2">
      <c r="A2776" s="5">
        <v>40379</v>
      </c>
      <c r="B2776" s="1">
        <v>2.9481000000000002</v>
      </c>
      <c r="C2776" s="1">
        <v>1.83</v>
      </c>
      <c r="D2776" s="1">
        <v>3.9788999999999999</v>
      </c>
    </row>
    <row r="2777" spans="1:4" x14ac:dyDescent="0.2">
      <c r="A2777" s="5">
        <v>40380</v>
      </c>
      <c r="B2777" s="1">
        <v>2.8782000000000001</v>
      </c>
      <c r="C2777" s="1">
        <v>1.81</v>
      </c>
      <c r="D2777" s="1">
        <v>3.8889</v>
      </c>
    </row>
    <row r="2778" spans="1:4" x14ac:dyDescent="0.2">
      <c r="A2778" s="5">
        <v>40381</v>
      </c>
      <c r="B2778" s="1">
        <v>2.9352999999999998</v>
      </c>
      <c r="C2778" s="1">
        <v>1.8</v>
      </c>
      <c r="D2778" s="1">
        <v>3.9498000000000002</v>
      </c>
    </row>
    <row r="2779" spans="1:4" x14ac:dyDescent="0.2">
      <c r="A2779" s="5">
        <v>40382</v>
      </c>
      <c r="B2779" s="1">
        <v>2.9943</v>
      </c>
      <c r="C2779" s="1">
        <v>1.78</v>
      </c>
      <c r="D2779" s="1">
        <v>4.0141999999999998</v>
      </c>
    </row>
    <row r="2780" spans="1:4" x14ac:dyDescent="0.2">
      <c r="A2780" s="5">
        <v>40385</v>
      </c>
      <c r="B2780" s="1">
        <v>2.9923999999999999</v>
      </c>
      <c r="C2780" s="1">
        <v>1.76</v>
      </c>
      <c r="D2780" s="1">
        <v>4.0185000000000004</v>
      </c>
    </row>
    <row r="2781" spans="1:4" x14ac:dyDescent="0.2">
      <c r="A2781" s="5">
        <v>40386</v>
      </c>
      <c r="B2781" s="1">
        <v>3.0485000000000002</v>
      </c>
      <c r="C2781" s="1">
        <v>1.72</v>
      </c>
      <c r="D2781" s="1">
        <v>4.0787000000000004</v>
      </c>
    </row>
    <row r="2782" spans="1:4" x14ac:dyDescent="0.2">
      <c r="A2782" s="5">
        <v>40387</v>
      </c>
      <c r="B2782" s="1">
        <v>2.9849999999999999</v>
      </c>
      <c r="C2782" s="1">
        <v>1.72</v>
      </c>
      <c r="D2782" s="1">
        <v>4.0637999999999996</v>
      </c>
    </row>
    <row r="2783" spans="1:4" x14ac:dyDescent="0.2">
      <c r="A2783" s="5">
        <v>40388</v>
      </c>
      <c r="B2783" s="1">
        <v>2.9794</v>
      </c>
      <c r="C2783" s="1">
        <v>1.73</v>
      </c>
      <c r="D2783" s="1">
        <v>4.0777999999999999</v>
      </c>
    </row>
    <row r="2784" spans="1:4" x14ac:dyDescent="0.2">
      <c r="A2784" s="5">
        <v>40389</v>
      </c>
      <c r="B2784" s="1">
        <v>2.9051999999999998</v>
      </c>
      <c r="C2784" s="1">
        <v>1.75</v>
      </c>
      <c r="D2784" s="1">
        <v>3.9881000000000002</v>
      </c>
    </row>
    <row r="2785" spans="1:4" x14ac:dyDescent="0.2">
      <c r="A2785" s="5">
        <v>40392</v>
      </c>
      <c r="B2785" s="1">
        <v>2.9609000000000001</v>
      </c>
      <c r="C2785" s="1">
        <v>1.74</v>
      </c>
      <c r="D2785" s="1">
        <v>4.0618999999999996</v>
      </c>
    </row>
    <row r="2786" spans="1:4" x14ac:dyDescent="0.2">
      <c r="A2786" s="5">
        <v>40393</v>
      </c>
      <c r="B2786" s="1">
        <v>2.9085000000000001</v>
      </c>
      <c r="C2786" s="1">
        <v>1.74</v>
      </c>
      <c r="D2786" s="1">
        <v>4.0488</v>
      </c>
    </row>
    <row r="2787" spans="1:4" x14ac:dyDescent="0.2">
      <c r="A2787" s="5">
        <v>40394</v>
      </c>
      <c r="B2787" s="1">
        <v>2.9498000000000002</v>
      </c>
      <c r="C2787" s="1">
        <v>1.73</v>
      </c>
      <c r="D2787" s="1">
        <v>4.0795000000000003</v>
      </c>
    </row>
    <row r="2788" spans="1:4" x14ac:dyDescent="0.2">
      <c r="A2788" s="5">
        <v>40395</v>
      </c>
      <c r="B2788" s="1">
        <v>2.9011</v>
      </c>
      <c r="C2788" s="1">
        <v>1.73</v>
      </c>
      <c r="D2788" s="1">
        <v>4.0505000000000004</v>
      </c>
    </row>
    <row r="2789" spans="1:4" x14ac:dyDescent="0.2">
      <c r="A2789" s="5">
        <v>40396</v>
      </c>
      <c r="B2789" s="1">
        <v>2.8166000000000002</v>
      </c>
      <c r="C2789" s="1">
        <v>1.73</v>
      </c>
      <c r="D2789" s="1">
        <v>3.9940000000000002</v>
      </c>
    </row>
    <row r="2790" spans="1:4" x14ac:dyDescent="0.2">
      <c r="A2790" s="5">
        <v>40399</v>
      </c>
      <c r="B2790" s="1">
        <v>2.8289</v>
      </c>
      <c r="C2790" s="1">
        <v>1.73</v>
      </c>
      <c r="D2790" s="1">
        <v>4.0164999999999997</v>
      </c>
    </row>
    <row r="2791" spans="1:4" x14ac:dyDescent="0.2">
      <c r="A2791" s="5">
        <v>40400</v>
      </c>
      <c r="B2791" s="1">
        <v>2.7593000000000001</v>
      </c>
      <c r="C2791" s="1">
        <v>1.74</v>
      </c>
      <c r="D2791" s="1">
        <v>4.0044000000000004</v>
      </c>
    </row>
    <row r="2792" spans="1:4" x14ac:dyDescent="0.2">
      <c r="A2792" s="5">
        <v>40401</v>
      </c>
      <c r="B2792" s="1">
        <v>2.6814</v>
      </c>
      <c r="C2792" s="1">
        <v>1.77</v>
      </c>
      <c r="D2792" s="1">
        <v>3.9188000000000001</v>
      </c>
    </row>
    <row r="2793" spans="1:4" x14ac:dyDescent="0.2">
      <c r="A2793" s="5">
        <v>40402</v>
      </c>
      <c r="B2793" s="1">
        <v>2.7454999999999998</v>
      </c>
      <c r="C2793" s="1">
        <v>1.78</v>
      </c>
      <c r="D2793" s="1">
        <v>3.9476</v>
      </c>
    </row>
    <row r="2794" spans="1:4" x14ac:dyDescent="0.2">
      <c r="A2794" s="5">
        <v>40403</v>
      </c>
      <c r="B2794" s="1">
        <v>2.6716000000000002</v>
      </c>
      <c r="C2794" s="1">
        <v>1.79</v>
      </c>
      <c r="D2794" s="1">
        <v>3.8538000000000001</v>
      </c>
    </row>
    <row r="2795" spans="1:4" x14ac:dyDescent="0.2">
      <c r="A2795" s="5">
        <v>40406</v>
      </c>
      <c r="B2795" s="1">
        <v>2.5626000000000002</v>
      </c>
      <c r="C2795" s="1">
        <v>1.79</v>
      </c>
      <c r="D2795" s="1">
        <v>3.7109999999999999</v>
      </c>
    </row>
    <row r="2796" spans="1:4" x14ac:dyDescent="0.2">
      <c r="A2796" s="5">
        <v>40407</v>
      </c>
      <c r="B2796" s="1">
        <v>2.6320999999999999</v>
      </c>
      <c r="C2796" s="1">
        <v>1.78</v>
      </c>
      <c r="D2796" s="1">
        <v>3.7631999999999999</v>
      </c>
    </row>
    <row r="2797" spans="1:4" x14ac:dyDescent="0.2">
      <c r="A2797" s="5">
        <v>40408</v>
      </c>
      <c r="B2797" s="1">
        <v>2.6320999999999999</v>
      </c>
      <c r="C2797" s="1">
        <v>1.77</v>
      </c>
      <c r="D2797" s="1">
        <v>3.7330999999999999</v>
      </c>
    </row>
    <row r="2798" spans="1:4" x14ac:dyDescent="0.2">
      <c r="A2798" s="5">
        <v>40409</v>
      </c>
      <c r="B2798" s="1">
        <v>2.5750000000000002</v>
      </c>
      <c r="C2798" s="1">
        <v>1.76</v>
      </c>
      <c r="D2798" s="1">
        <v>3.6543000000000001</v>
      </c>
    </row>
    <row r="2799" spans="1:4" x14ac:dyDescent="0.2">
      <c r="A2799" s="5">
        <v>40410</v>
      </c>
      <c r="B2799" s="1">
        <v>2.6105999999999998</v>
      </c>
      <c r="C2799" s="1">
        <v>1.77</v>
      </c>
      <c r="D2799" s="1">
        <v>3.6600999999999999</v>
      </c>
    </row>
    <row r="2800" spans="1:4" x14ac:dyDescent="0.2">
      <c r="A2800" s="5">
        <v>40413</v>
      </c>
      <c r="B2800" s="1">
        <v>2.5981000000000001</v>
      </c>
      <c r="C2800" s="1">
        <v>1.77</v>
      </c>
      <c r="D2800" s="1">
        <v>3.6617999999999999</v>
      </c>
    </row>
    <row r="2801" spans="1:4" x14ac:dyDescent="0.2">
      <c r="A2801" s="5">
        <v>40414</v>
      </c>
      <c r="B2801" s="1">
        <v>2.488</v>
      </c>
      <c r="C2801" s="1">
        <v>1.8</v>
      </c>
      <c r="D2801" s="1">
        <v>3.5605000000000002</v>
      </c>
    </row>
    <row r="2802" spans="1:4" x14ac:dyDescent="0.2">
      <c r="A2802" s="5">
        <v>40415</v>
      </c>
      <c r="B2802" s="1">
        <v>2.5339999999999998</v>
      </c>
      <c r="C2802" s="1">
        <v>1.81</v>
      </c>
      <c r="D2802" s="1">
        <v>3.5695000000000001</v>
      </c>
    </row>
    <row r="2803" spans="1:4" x14ac:dyDescent="0.2">
      <c r="A2803" s="5">
        <v>40416</v>
      </c>
      <c r="B2803" s="1">
        <v>2.4754999999999998</v>
      </c>
      <c r="C2803" s="1">
        <v>1.81</v>
      </c>
      <c r="D2803" s="1">
        <v>3.5114999999999998</v>
      </c>
    </row>
    <row r="2804" spans="1:4" x14ac:dyDescent="0.2">
      <c r="A2804" s="5">
        <v>40417</v>
      </c>
      <c r="B2804" s="1">
        <v>2.6446999999999998</v>
      </c>
      <c r="C2804" s="1">
        <v>1.82</v>
      </c>
      <c r="D2804" s="1">
        <v>3.6896</v>
      </c>
    </row>
    <row r="2805" spans="1:4" x14ac:dyDescent="0.2">
      <c r="A2805" s="5">
        <v>40420</v>
      </c>
      <c r="B2805" s="1">
        <v>2.5285000000000002</v>
      </c>
      <c r="C2805" s="1">
        <v>1.84</v>
      </c>
      <c r="D2805" s="1">
        <v>3.5809000000000002</v>
      </c>
    </row>
    <row r="2806" spans="1:4" x14ac:dyDescent="0.2">
      <c r="A2806" s="5">
        <v>40421</v>
      </c>
      <c r="B2806" s="1">
        <v>2.4683000000000002</v>
      </c>
      <c r="C2806" s="1">
        <v>1.86</v>
      </c>
      <c r="D2806" s="1">
        <v>3.5154999999999998</v>
      </c>
    </row>
    <row r="2807" spans="1:4" x14ac:dyDescent="0.2">
      <c r="A2807" s="5">
        <v>40422</v>
      </c>
      <c r="B2807" s="1">
        <v>2.573</v>
      </c>
      <c r="C2807" s="1">
        <v>1.85</v>
      </c>
      <c r="D2807" s="1">
        <v>3.6457000000000002</v>
      </c>
    </row>
    <row r="2808" spans="1:4" x14ac:dyDescent="0.2">
      <c r="A2808" s="5">
        <v>40423</v>
      </c>
      <c r="B2808" s="1">
        <v>2.6231</v>
      </c>
      <c r="C2808" s="1">
        <v>1.83</v>
      </c>
      <c r="D2808" s="1">
        <v>3.7141000000000002</v>
      </c>
    </row>
    <row r="2809" spans="1:4" x14ac:dyDescent="0.2">
      <c r="A2809" s="5">
        <v>40424</v>
      </c>
      <c r="B2809" s="1">
        <v>2.6970000000000001</v>
      </c>
      <c r="C2809" s="1">
        <v>1.82</v>
      </c>
      <c r="D2809" s="1">
        <v>3.7810999999999999</v>
      </c>
    </row>
    <row r="2810" spans="1:4" x14ac:dyDescent="0.2">
      <c r="A2810" s="5">
        <v>40427</v>
      </c>
      <c r="B2810" s="1">
        <v>2.7025000000000001</v>
      </c>
      <c r="C2810" s="1">
        <v>1.82</v>
      </c>
      <c r="D2810" s="1">
        <v>3.7837000000000001</v>
      </c>
    </row>
    <row r="2811" spans="1:4" x14ac:dyDescent="0.2">
      <c r="A2811" s="5">
        <v>40428</v>
      </c>
      <c r="B2811" s="1">
        <v>2.5943999999999998</v>
      </c>
      <c r="C2811" s="1">
        <v>1.77</v>
      </c>
      <c r="D2811" s="1">
        <v>3.6616</v>
      </c>
    </row>
    <row r="2812" spans="1:4" x14ac:dyDescent="0.2">
      <c r="A2812" s="5">
        <v>40429</v>
      </c>
      <c r="B2812" s="1">
        <v>2.6555</v>
      </c>
      <c r="C2812" s="1">
        <v>1.79</v>
      </c>
      <c r="D2812" s="1">
        <v>3.7294</v>
      </c>
    </row>
    <row r="2813" spans="1:4" x14ac:dyDescent="0.2">
      <c r="A2813" s="5">
        <v>40430</v>
      </c>
      <c r="B2813" s="1">
        <v>2.7587999999999999</v>
      </c>
      <c r="C2813" s="1">
        <v>1.77</v>
      </c>
      <c r="D2813" s="1">
        <v>3.8386999999999998</v>
      </c>
    </row>
    <row r="2814" spans="1:4" x14ac:dyDescent="0.2">
      <c r="A2814" s="5">
        <v>40431</v>
      </c>
      <c r="B2814" s="1">
        <v>2.7917000000000001</v>
      </c>
      <c r="C2814" s="1">
        <v>1.76</v>
      </c>
      <c r="D2814" s="1">
        <v>3.8687</v>
      </c>
    </row>
    <row r="2815" spans="1:4" x14ac:dyDescent="0.2">
      <c r="A2815" s="5">
        <v>40434</v>
      </c>
      <c r="B2815" s="1">
        <v>2.7480000000000002</v>
      </c>
      <c r="C2815" s="1">
        <v>1.73</v>
      </c>
      <c r="D2815" s="1">
        <v>3.8483000000000001</v>
      </c>
    </row>
    <row r="2816" spans="1:4" x14ac:dyDescent="0.2">
      <c r="A2816" s="5">
        <v>40435</v>
      </c>
      <c r="B2816" s="1">
        <v>2.6789999999999998</v>
      </c>
      <c r="C2816" s="1">
        <v>1.73</v>
      </c>
      <c r="D2816" s="1">
        <v>3.7993000000000001</v>
      </c>
    </row>
    <row r="2817" spans="1:4" x14ac:dyDescent="0.2">
      <c r="A2817" s="5">
        <v>40436</v>
      </c>
      <c r="B2817" s="1">
        <v>2.7206999999999999</v>
      </c>
      <c r="C2817" s="1">
        <v>1.75</v>
      </c>
      <c r="D2817" s="1">
        <v>3.8713000000000002</v>
      </c>
    </row>
    <row r="2818" spans="1:4" x14ac:dyDescent="0.2">
      <c r="A2818" s="5">
        <v>40437</v>
      </c>
      <c r="B2818" s="1">
        <v>2.7608000000000001</v>
      </c>
      <c r="C2818" s="1">
        <v>1.75</v>
      </c>
      <c r="D2818" s="1">
        <v>3.9247999999999998</v>
      </c>
    </row>
    <row r="2819" spans="1:4" x14ac:dyDescent="0.2">
      <c r="A2819" s="5">
        <v>40438</v>
      </c>
      <c r="B2819" s="1">
        <v>2.7372000000000001</v>
      </c>
      <c r="C2819" s="1">
        <v>1.75</v>
      </c>
      <c r="D2819" s="1">
        <v>3.9033000000000002</v>
      </c>
    </row>
    <row r="2820" spans="1:4" x14ac:dyDescent="0.2">
      <c r="A2820" s="5">
        <v>40441</v>
      </c>
      <c r="B2820" s="1">
        <v>2.7025999999999999</v>
      </c>
      <c r="C2820" s="1">
        <v>1.74</v>
      </c>
      <c r="D2820" s="1">
        <v>3.8757000000000001</v>
      </c>
    </row>
    <row r="2821" spans="1:4" x14ac:dyDescent="0.2">
      <c r="A2821" s="5">
        <v>40442</v>
      </c>
      <c r="B2821" s="1">
        <v>2.5727000000000002</v>
      </c>
      <c r="C2821" s="1">
        <v>1.75</v>
      </c>
      <c r="D2821" s="1">
        <v>3.7845</v>
      </c>
    </row>
    <row r="2822" spans="1:4" x14ac:dyDescent="0.2">
      <c r="A2822" s="5">
        <v>40443</v>
      </c>
      <c r="B2822" s="1">
        <v>2.5583</v>
      </c>
      <c r="C2822" s="1">
        <v>1.75</v>
      </c>
      <c r="D2822" s="1">
        <v>3.7498999999999998</v>
      </c>
    </row>
    <row r="2823" spans="1:4" x14ac:dyDescent="0.2">
      <c r="A2823" s="5">
        <v>40444</v>
      </c>
      <c r="B2823" s="1">
        <v>2.5510999999999999</v>
      </c>
      <c r="C2823" s="1">
        <v>1.76</v>
      </c>
      <c r="D2823" s="1">
        <v>3.7301000000000002</v>
      </c>
    </row>
    <row r="2824" spans="1:4" x14ac:dyDescent="0.2">
      <c r="A2824" s="5">
        <v>40445</v>
      </c>
      <c r="B2824" s="1">
        <v>2.605</v>
      </c>
      <c r="C2824" s="1">
        <v>1.76</v>
      </c>
      <c r="D2824" s="1">
        <v>3.794</v>
      </c>
    </row>
    <row r="2825" spans="1:4" x14ac:dyDescent="0.2">
      <c r="A2825" s="5">
        <v>40448</v>
      </c>
      <c r="B2825" s="1">
        <v>2.5242</v>
      </c>
      <c r="C2825" s="1">
        <v>1.75</v>
      </c>
      <c r="D2825" s="1">
        <v>3.7181000000000002</v>
      </c>
    </row>
    <row r="2826" spans="1:4" x14ac:dyDescent="0.2">
      <c r="A2826" s="5">
        <v>40449</v>
      </c>
      <c r="B2826" s="1">
        <v>2.4653</v>
      </c>
      <c r="C2826" s="1">
        <v>1.76</v>
      </c>
      <c r="D2826" s="1">
        <v>3.6579000000000002</v>
      </c>
    </row>
    <row r="2827" spans="1:4" x14ac:dyDescent="0.2">
      <c r="A2827" s="5">
        <v>40450</v>
      </c>
      <c r="B2827" s="1">
        <v>2.5026999999999999</v>
      </c>
      <c r="C2827" s="1">
        <v>1.75</v>
      </c>
      <c r="D2827" s="1">
        <v>3.6840999999999999</v>
      </c>
    </row>
    <row r="2828" spans="1:4" x14ac:dyDescent="0.2">
      <c r="A2828" s="5">
        <v>40451</v>
      </c>
      <c r="B2828" s="1">
        <v>2.5097999999999998</v>
      </c>
      <c r="C2828" s="1">
        <v>1.75</v>
      </c>
      <c r="D2828" s="1">
        <v>3.6848999999999998</v>
      </c>
    </row>
    <row r="2829" spans="1:4" x14ac:dyDescent="0.2">
      <c r="A2829" s="5">
        <v>40452</v>
      </c>
      <c r="B2829" s="1">
        <v>2.5097</v>
      </c>
      <c r="C2829" s="1">
        <v>1.75</v>
      </c>
      <c r="D2829" s="1">
        <v>3.7147000000000001</v>
      </c>
    </row>
    <row r="2830" spans="1:4" x14ac:dyDescent="0.2">
      <c r="A2830" s="5">
        <v>40455</v>
      </c>
      <c r="B2830" s="1">
        <v>2.4758</v>
      </c>
      <c r="C2830" s="1">
        <v>1.74</v>
      </c>
      <c r="D2830" s="1">
        <v>3.7061000000000002</v>
      </c>
    </row>
    <row r="2831" spans="1:4" x14ac:dyDescent="0.2">
      <c r="A2831" s="5">
        <v>40456</v>
      </c>
      <c r="B2831" s="1">
        <v>2.4722</v>
      </c>
      <c r="C2831" s="1">
        <v>1.73</v>
      </c>
      <c r="D2831" s="1">
        <v>3.7471999999999999</v>
      </c>
    </row>
    <row r="2832" spans="1:4" x14ac:dyDescent="0.2">
      <c r="A2832" s="5">
        <v>40457</v>
      </c>
      <c r="B2832" s="1">
        <v>2.3976000000000002</v>
      </c>
      <c r="C2832" s="1">
        <v>1.7</v>
      </c>
      <c r="D2832" s="1">
        <v>3.6747000000000001</v>
      </c>
    </row>
    <row r="2833" spans="1:4" x14ac:dyDescent="0.2">
      <c r="A2833" s="5">
        <v>40458</v>
      </c>
      <c r="B2833" s="1">
        <v>2.3834</v>
      </c>
      <c r="C2833" s="1">
        <v>1.7</v>
      </c>
      <c r="D2833" s="1">
        <v>3.7121</v>
      </c>
    </row>
    <row r="2834" spans="1:4" x14ac:dyDescent="0.2">
      <c r="A2834" s="5">
        <v>40459</v>
      </c>
      <c r="B2834" s="1">
        <v>2.3919999999999999</v>
      </c>
      <c r="C2834" s="1">
        <v>1.7</v>
      </c>
      <c r="D2834" s="1">
        <v>3.7488999999999999</v>
      </c>
    </row>
    <row r="2835" spans="1:4" x14ac:dyDescent="0.2">
      <c r="A2835" s="5">
        <v>40462</v>
      </c>
      <c r="B2835" s="1">
        <v>2.3919000000000001</v>
      </c>
      <c r="C2835" s="1">
        <v>1.7</v>
      </c>
      <c r="D2835" s="1">
        <v>3.7488999999999999</v>
      </c>
    </row>
    <row r="2836" spans="1:4" x14ac:dyDescent="0.2">
      <c r="A2836" s="5">
        <v>40463</v>
      </c>
      <c r="B2836" s="1">
        <v>2.4308999999999998</v>
      </c>
      <c r="C2836" s="1">
        <v>1.69</v>
      </c>
      <c r="D2836" s="1">
        <v>3.8191999999999999</v>
      </c>
    </row>
    <row r="2837" spans="1:4" x14ac:dyDescent="0.2">
      <c r="A2837" s="5">
        <v>40464</v>
      </c>
      <c r="B2837" s="1">
        <v>2.4220000000000002</v>
      </c>
      <c r="C2837" s="1">
        <v>1.69</v>
      </c>
      <c r="D2837" s="1">
        <v>3.8166000000000002</v>
      </c>
    </row>
    <row r="2838" spans="1:4" x14ac:dyDescent="0.2">
      <c r="A2838" s="5">
        <v>40465</v>
      </c>
      <c r="B2838" s="1">
        <v>2.5076000000000001</v>
      </c>
      <c r="C2838" s="1">
        <v>1.7</v>
      </c>
      <c r="D2838" s="1">
        <v>3.9148999999999998</v>
      </c>
    </row>
    <row r="2839" spans="1:4" x14ac:dyDescent="0.2">
      <c r="A2839" s="5">
        <v>40466</v>
      </c>
      <c r="B2839" s="1">
        <v>2.5596999999999999</v>
      </c>
      <c r="C2839" s="1">
        <v>1.74</v>
      </c>
      <c r="D2839" s="1">
        <v>3.9790999999999999</v>
      </c>
    </row>
    <row r="2840" spans="1:4" x14ac:dyDescent="0.2">
      <c r="A2840" s="5">
        <v>40469</v>
      </c>
      <c r="B2840" s="1">
        <v>2.5074999999999998</v>
      </c>
      <c r="C2840" s="1">
        <v>1.74</v>
      </c>
      <c r="D2840" s="1">
        <v>3.9537</v>
      </c>
    </row>
    <row r="2841" spans="1:4" x14ac:dyDescent="0.2">
      <c r="A2841" s="5">
        <v>40470</v>
      </c>
      <c r="B2841" s="1">
        <v>2.4752000000000001</v>
      </c>
      <c r="C2841" s="1">
        <v>1.73</v>
      </c>
      <c r="D2841" s="1">
        <v>3.9131</v>
      </c>
    </row>
    <row r="2842" spans="1:4" x14ac:dyDescent="0.2">
      <c r="A2842" s="5">
        <v>40471</v>
      </c>
      <c r="B2842" s="1">
        <v>2.4788000000000001</v>
      </c>
      <c r="C2842" s="1">
        <v>1.74</v>
      </c>
      <c r="D2842" s="1">
        <v>3.8898999999999999</v>
      </c>
    </row>
    <row r="2843" spans="1:4" x14ac:dyDescent="0.2">
      <c r="A2843" s="5">
        <v>40472</v>
      </c>
      <c r="B2843" s="1">
        <v>2.5451999999999999</v>
      </c>
      <c r="C2843" s="1">
        <v>1.72</v>
      </c>
      <c r="D2843" s="1">
        <v>3.9609000000000001</v>
      </c>
    </row>
    <row r="2844" spans="1:4" x14ac:dyDescent="0.2">
      <c r="A2844" s="5">
        <v>40473</v>
      </c>
      <c r="B2844" s="1">
        <v>2.5541</v>
      </c>
      <c r="C2844" s="1">
        <v>1.72</v>
      </c>
      <c r="D2844" s="1">
        <v>3.9293</v>
      </c>
    </row>
    <row r="2845" spans="1:4" x14ac:dyDescent="0.2">
      <c r="A2845" s="5">
        <v>40476</v>
      </c>
      <c r="B2845" s="1">
        <v>2.5613000000000001</v>
      </c>
      <c r="C2845" s="1">
        <v>1.69</v>
      </c>
      <c r="D2845" s="1">
        <v>3.9095</v>
      </c>
    </row>
    <row r="2846" spans="1:4" x14ac:dyDescent="0.2">
      <c r="A2846" s="5">
        <v>40477</v>
      </c>
      <c r="B2846" s="1">
        <v>2.6393</v>
      </c>
      <c r="C2846" s="1">
        <v>1.68</v>
      </c>
      <c r="D2846" s="1">
        <v>3.9946000000000002</v>
      </c>
    </row>
    <row r="2847" spans="1:4" x14ac:dyDescent="0.2">
      <c r="A2847" s="5">
        <v>40478</v>
      </c>
      <c r="B2847" s="1">
        <v>2.7198000000000002</v>
      </c>
      <c r="C2847" s="1">
        <v>1.67</v>
      </c>
      <c r="D2847" s="1">
        <v>4.0564</v>
      </c>
    </row>
    <row r="2848" spans="1:4" x14ac:dyDescent="0.2">
      <c r="A2848" s="5">
        <v>40479</v>
      </c>
      <c r="B2848" s="1">
        <v>2.6576</v>
      </c>
      <c r="C2848" s="1">
        <v>1.67</v>
      </c>
      <c r="D2848" s="1">
        <v>4.0490000000000004</v>
      </c>
    </row>
    <row r="2849" spans="1:4" x14ac:dyDescent="0.2">
      <c r="A2849" s="5">
        <v>40480</v>
      </c>
      <c r="B2849" s="1">
        <v>2.5992999999999999</v>
      </c>
      <c r="C2849" s="1">
        <v>1.68</v>
      </c>
      <c r="D2849" s="1">
        <v>3.9828000000000001</v>
      </c>
    </row>
    <row r="2850" spans="1:4" x14ac:dyDescent="0.2">
      <c r="A2850" s="5">
        <v>40483</v>
      </c>
      <c r="B2850" s="1">
        <v>2.6229</v>
      </c>
      <c r="C2850" s="1">
        <v>1.69</v>
      </c>
      <c r="D2850" s="1">
        <v>4.0029000000000003</v>
      </c>
    </row>
    <row r="2851" spans="1:4" x14ac:dyDescent="0.2">
      <c r="A2851" s="5">
        <v>40484</v>
      </c>
      <c r="B2851" s="1">
        <v>2.5865999999999998</v>
      </c>
      <c r="C2851" s="1">
        <v>1.68</v>
      </c>
      <c r="D2851" s="1">
        <v>3.9266000000000001</v>
      </c>
    </row>
    <row r="2852" spans="1:4" x14ac:dyDescent="0.2">
      <c r="A2852" s="5">
        <v>40485</v>
      </c>
      <c r="B2852" s="1">
        <v>2.5701999999999998</v>
      </c>
      <c r="C2852" s="1">
        <v>1.68</v>
      </c>
      <c r="D2852" s="1">
        <v>4.0397999999999996</v>
      </c>
    </row>
    <row r="2853" spans="1:4" x14ac:dyDescent="0.2">
      <c r="A2853" s="5">
        <v>40486</v>
      </c>
      <c r="B2853" s="1">
        <v>2.4889999999999999</v>
      </c>
      <c r="C2853" s="1">
        <v>1.65</v>
      </c>
      <c r="D2853" s="1">
        <v>4.0712999999999999</v>
      </c>
    </row>
    <row r="2854" spans="1:4" x14ac:dyDescent="0.2">
      <c r="A2854" s="5">
        <v>40487</v>
      </c>
      <c r="B2854" s="1">
        <v>2.5304000000000002</v>
      </c>
      <c r="C2854" s="1">
        <v>1.64</v>
      </c>
      <c r="D2854" s="1">
        <v>4.1192000000000002</v>
      </c>
    </row>
    <row r="2855" spans="1:4" x14ac:dyDescent="0.2">
      <c r="A2855" s="5">
        <v>40490</v>
      </c>
      <c r="B2855" s="1">
        <v>2.5501999999999998</v>
      </c>
      <c r="C2855" s="1">
        <v>1.63</v>
      </c>
      <c r="D2855" s="1">
        <v>4.1200999999999999</v>
      </c>
    </row>
    <row r="2856" spans="1:4" x14ac:dyDescent="0.2">
      <c r="A2856" s="5">
        <v>40491</v>
      </c>
      <c r="B2856" s="1">
        <v>2.6558000000000002</v>
      </c>
      <c r="C2856" s="1">
        <v>1.62</v>
      </c>
      <c r="D2856" s="1">
        <v>4.2465999999999999</v>
      </c>
    </row>
    <row r="2857" spans="1:4" x14ac:dyDescent="0.2">
      <c r="A2857" s="5">
        <v>40492</v>
      </c>
      <c r="B2857" s="1">
        <v>2.6286</v>
      </c>
      <c r="C2857" s="1">
        <v>1.64</v>
      </c>
      <c r="D2857" s="1">
        <v>4.2310999999999996</v>
      </c>
    </row>
    <row r="2858" spans="1:4" x14ac:dyDescent="0.2">
      <c r="A2858" s="5">
        <v>40493</v>
      </c>
      <c r="B2858" s="1">
        <v>2.6446999999999998</v>
      </c>
      <c r="C2858" s="1">
        <v>1.64</v>
      </c>
      <c r="D2858" s="1">
        <v>4.2430000000000003</v>
      </c>
    </row>
    <row r="2859" spans="1:4" x14ac:dyDescent="0.2">
      <c r="A2859" s="5">
        <v>40494</v>
      </c>
      <c r="B2859" s="1">
        <v>2.7871000000000001</v>
      </c>
      <c r="C2859" s="1">
        <v>1.64</v>
      </c>
      <c r="D2859" s="1">
        <v>4.2843999999999998</v>
      </c>
    </row>
    <row r="2860" spans="1:4" x14ac:dyDescent="0.2">
      <c r="A2860" s="5">
        <v>40497</v>
      </c>
      <c r="B2860" s="1">
        <v>2.9592999999999998</v>
      </c>
      <c r="C2860" s="1">
        <v>1.66</v>
      </c>
      <c r="D2860" s="1">
        <v>4.4153000000000002</v>
      </c>
    </row>
    <row r="2861" spans="1:4" x14ac:dyDescent="0.2">
      <c r="A2861" s="5">
        <v>40498</v>
      </c>
      <c r="B2861" s="1">
        <v>2.84</v>
      </c>
      <c r="C2861" s="1">
        <v>1.67</v>
      </c>
      <c r="D2861" s="1">
        <v>4.2648000000000001</v>
      </c>
    </row>
    <row r="2862" spans="1:4" x14ac:dyDescent="0.2">
      <c r="A2862" s="5">
        <v>40499</v>
      </c>
      <c r="B2862" s="1">
        <v>2.8765999999999998</v>
      </c>
      <c r="C2862" s="1">
        <v>1.66</v>
      </c>
      <c r="D2862" s="1">
        <v>4.2853000000000003</v>
      </c>
    </row>
    <row r="2863" spans="1:4" x14ac:dyDescent="0.2">
      <c r="A2863" s="5">
        <v>40500</v>
      </c>
      <c r="B2863" s="1">
        <v>2.895</v>
      </c>
      <c r="C2863" s="1">
        <v>1.64</v>
      </c>
      <c r="D2863" s="1">
        <v>4.2807000000000004</v>
      </c>
    </row>
    <row r="2864" spans="1:4" x14ac:dyDescent="0.2">
      <c r="A2864" s="5">
        <v>40501</v>
      </c>
      <c r="B2864" s="1">
        <v>2.8713000000000002</v>
      </c>
      <c r="C2864" s="1">
        <v>1.64</v>
      </c>
      <c r="D2864" s="1">
        <v>4.2443999999999997</v>
      </c>
    </row>
    <row r="2865" spans="1:4" x14ac:dyDescent="0.2">
      <c r="A2865" s="5">
        <v>40504</v>
      </c>
      <c r="B2865" s="1">
        <v>2.8018999999999998</v>
      </c>
      <c r="C2865" s="1">
        <v>1.65</v>
      </c>
      <c r="D2865" s="1">
        <v>4.2047999999999996</v>
      </c>
    </row>
    <row r="2866" spans="1:4" x14ac:dyDescent="0.2">
      <c r="A2866" s="5">
        <v>40505</v>
      </c>
      <c r="B2866" s="1">
        <v>2.7728999999999999</v>
      </c>
      <c r="C2866" s="1">
        <v>1.67</v>
      </c>
      <c r="D2866" s="1">
        <v>4.1901000000000002</v>
      </c>
    </row>
    <row r="2867" spans="1:4" x14ac:dyDescent="0.2">
      <c r="A2867" s="5">
        <v>40506</v>
      </c>
      <c r="B2867" s="1">
        <v>2.9119999999999999</v>
      </c>
      <c r="C2867" s="1">
        <v>1.67</v>
      </c>
      <c r="D2867" s="1">
        <v>4.2797000000000001</v>
      </c>
    </row>
    <row r="2868" spans="1:4" x14ac:dyDescent="0.2">
      <c r="A2868" s="5">
        <v>40507</v>
      </c>
      <c r="B2868" s="1">
        <v>2.9085000000000001</v>
      </c>
      <c r="C2868" s="1">
        <v>1.67</v>
      </c>
      <c r="D2868" s="1">
        <v>4.2750000000000004</v>
      </c>
    </row>
    <row r="2869" spans="1:4" x14ac:dyDescent="0.2">
      <c r="A2869" s="5">
        <v>40508</v>
      </c>
      <c r="B2869" s="1">
        <v>2.8662999999999998</v>
      </c>
      <c r="C2869" s="1">
        <v>1.68</v>
      </c>
      <c r="D2869" s="1">
        <v>4.2092999999999998</v>
      </c>
    </row>
    <row r="2870" spans="1:4" x14ac:dyDescent="0.2">
      <c r="A2870" s="5">
        <v>40511</v>
      </c>
      <c r="B2870" s="1">
        <v>2.8205</v>
      </c>
      <c r="C2870" s="1">
        <v>1.69</v>
      </c>
      <c r="D2870" s="1">
        <v>4.1401000000000003</v>
      </c>
    </row>
    <row r="2871" spans="1:4" x14ac:dyDescent="0.2">
      <c r="A2871" s="5">
        <v>40512</v>
      </c>
      <c r="B2871" s="1">
        <v>2.7968000000000002</v>
      </c>
      <c r="C2871" s="1">
        <v>1.71</v>
      </c>
      <c r="D2871" s="1">
        <v>4.1104000000000003</v>
      </c>
    </row>
    <row r="2872" spans="1:4" x14ac:dyDescent="0.2">
      <c r="A2872" s="5">
        <v>40513</v>
      </c>
      <c r="B2872" s="1">
        <v>2.9641999999999999</v>
      </c>
      <c r="C2872" s="1">
        <v>1.71</v>
      </c>
      <c r="D2872" s="1">
        <v>4.2397</v>
      </c>
    </row>
    <row r="2873" spans="1:4" x14ac:dyDescent="0.2">
      <c r="A2873" s="5">
        <v>40514</v>
      </c>
      <c r="B2873" s="1">
        <v>2.9885000000000002</v>
      </c>
      <c r="C2873" s="1">
        <v>1.69</v>
      </c>
      <c r="D2873" s="1">
        <v>4.2545000000000002</v>
      </c>
    </row>
    <row r="2874" spans="1:4" x14ac:dyDescent="0.2">
      <c r="A2874" s="5">
        <v>40515</v>
      </c>
      <c r="B2874" s="1">
        <v>3.0055000000000001</v>
      </c>
      <c r="C2874" s="1">
        <v>1.69</v>
      </c>
      <c r="D2874" s="1">
        <v>4.3143000000000002</v>
      </c>
    </row>
    <row r="2875" spans="1:4" x14ac:dyDescent="0.2">
      <c r="A2875" s="5">
        <v>40518</v>
      </c>
      <c r="B2875" s="1">
        <v>2.9201000000000001</v>
      </c>
      <c r="C2875" s="1">
        <v>1.69</v>
      </c>
      <c r="D2875" s="1">
        <v>4.2397</v>
      </c>
    </row>
    <row r="2876" spans="1:4" x14ac:dyDescent="0.2">
      <c r="A2876" s="5">
        <v>40519</v>
      </c>
      <c r="B2876" s="1">
        <v>3.1257000000000001</v>
      </c>
      <c r="C2876" s="1">
        <v>1.65</v>
      </c>
      <c r="D2876" s="1">
        <v>4.3673999999999999</v>
      </c>
    </row>
    <row r="2877" spans="1:4" x14ac:dyDescent="0.2">
      <c r="A2877" s="5">
        <v>40520</v>
      </c>
      <c r="B2877" s="1">
        <v>3.2723</v>
      </c>
      <c r="C2877" s="1">
        <v>1.63</v>
      </c>
      <c r="D2877" s="1">
        <v>4.4561000000000002</v>
      </c>
    </row>
    <row r="2878" spans="1:4" x14ac:dyDescent="0.2">
      <c r="A2878" s="5">
        <v>40521</v>
      </c>
      <c r="B2878" s="1">
        <v>3.2037</v>
      </c>
      <c r="C2878" s="1">
        <v>1.61</v>
      </c>
      <c r="D2878" s="1">
        <v>4.3979999999999997</v>
      </c>
    </row>
    <row r="2879" spans="1:4" x14ac:dyDescent="0.2">
      <c r="A2879" s="5">
        <v>40522</v>
      </c>
      <c r="B2879" s="1">
        <v>3.319</v>
      </c>
      <c r="C2879" s="1">
        <v>1.61</v>
      </c>
      <c r="D2879" s="1">
        <v>4.4288999999999996</v>
      </c>
    </row>
    <row r="2880" spans="1:4" x14ac:dyDescent="0.2">
      <c r="A2880" s="5">
        <v>40525</v>
      </c>
      <c r="B2880" s="1">
        <v>3.2749999999999999</v>
      </c>
      <c r="C2880" s="1">
        <v>1.62</v>
      </c>
      <c r="D2880" s="1">
        <v>4.4076000000000004</v>
      </c>
    </row>
    <row r="2881" spans="1:4" x14ac:dyDescent="0.2">
      <c r="A2881" s="5">
        <v>40526</v>
      </c>
      <c r="B2881" s="1">
        <v>3.4727000000000001</v>
      </c>
      <c r="C2881" s="1">
        <v>1.61</v>
      </c>
      <c r="D2881" s="1">
        <v>4.5288000000000004</v>
      </c>
    </row>
    <row r="2882" spans="1:4" x14ac:dyDescent="0.2">
      <c r="A2882" s="5">
        <v>40527</v>
      </c>
      <c r="B2882" s="1">
        <v>3.5318000000000001</v>
      </c>
      <c r="C2882" s="1">
        <v>1.61</v>
      </c>
      <c r="D2882" s="1">
        <v>4.5946999999999996</v>
      </c>
    </row>
    <row r="2883" spans="1:4" x14ac:dyDescent="0.2">
      <c r="A2883" s="5">
        <v>40528</v>
      </c>
      <c r="B2883" s="1">
        <v>3.4224000000000001</v>
      </c>
      <c r="C2883" s="1">
        <v>1.61</v>
      </c>
      <c r="D2883" s="1">
        <v>4.5338000000000003</v>
      </c>
    </row>
    <row r="2884" spans="1:4" x14ac:dyDescent="0.2">
      <c r="A2884" s="5">
        <v>40529</v>
      </c>
      <c r="B2884" s="1">
        <v>3.3279000000000001</v>
      </c>
      <c r="C2884" s="1">
        <v>1.6</v>
      </c>
      <c r="D2884" s="1">
        <v>4.4367000000000001</v>
      </c>
    </row>
    <row r="2885" spans="1:4" x14ac:dyDescent="0.2">
      <c r="A2885" s="5">
        <v>40532</v>
      </c>
      <c r="B2885" s="1">
        <v>3.3357999999999999</v>
      </c>
      <c r="C2885" s="1">
        <v>1.6</v>
      </c>
      <c r="D2885" s="1">
        <v>4.4414999999999996</v>
      </c>
    </row>
    <row r="2886" spans="1:4" x14ac:dyDescent="0.2">
      <c r="A2886" s="5">
        <v>40533</v>
      </c>
      <c r="B2886" s="1">
        <v>3.3031000000000001</v>
      </c>
      <c r="C2886" s="1">
        <v>1.6</v>
      </c>
      <c r="D2886" s="1">
        <v>4.4183000000000003</v>
      </c>
    </row>
    <row r="2887" spans="1:4" x14ac:dyDescent="0.2">
      <c r="A2887" s="5">
        <v>40534</v>
      </c>
      <c r="B2887" s="1">
        <v>3.3458000000000001</v>
      </c>
      <c r="C2887" s="1">
        <v>1.59</v>
      </c>
      <c r="D2887" s="1">
        <v>4.4463999999999997</v>
      </c>
    </row>
    <row r="2888" spans="1:4" x14ac:dyDescent="0.2">
      <c r="A2888" s="5">
        <v>40535</v>
      </c>
      <c r="B2888" s="1">
        <v>3.3892000000000002</v>
      </c>
      <c r="C2888" s="1">
        <v>1.58</v>
      </c>
      <c r="D2888" s="1">
        <v>4.4698000000000002</v>
      </c>
    </row>
    <row r="2889" spans="1:4" x14ac:dyDescent="0.2">
      <c r="A2889" s="5">
        <v>40536</v>
      </c>
      <c r="B2889" s="1">
        <v>3.3933</v>
      </c>
      <c r="C2889" s="1">
        <v>1.58</v>
      </c>
      <c r="D2889" s="1">
        <v>4.4698000000000002</v>
      </c>
    </row>
    <row r="2890" spans="1:4" x14ac:dyDescent="0.2">
      <c r="A2890" s="5">
        <v>40539</v>
      </c>
      <c r="B2890" s="1">
        <v>3.3294000000000001</v>
      </c>
      <c r="C2890" s="1">
        <v>1.58</v>
      </c>
      <c r="D2890" s="1">
        <v>4.4019000000000004</v>
      </c>
    </row>
    <row r="2891" spans="1:4" x14ac:dyDescent="0.2">
      <c r="A2891" s="5">
        <v>40540</v>
      </c>
      <c r="B2891" s="1">
        <v>3.4794999999999998</v>
      </c>
      <c r="C2891" s="1">
        <v>1.58</v>
      </c>
      <c r="D2891" s="1">
        <v>4.5319000000000003</v>
      </c>
    </row>
    <row r="2892" spans="1:4" x14ac:dyDescent="0.2">
      <c r="A2892" s="5">
        <v>40541</v>
      </c>
      <c r="B2892" s="1">
        <v>3.3489</v>
      </c>
      <c r="C2892" s="1">
        <v>1.57</v>
      </c>
      <c r="D2892" s="1">
        <v>4.4309000000000003</v>
      </c>
    </row>
    <row r="2893" spans="1:4" x14ac:dyDescent="0.2">
      <c r="A2893" s="5">
        <v>40542</v>
      </c>
      <c r="B2893" s="1">
        <v>3.3645999999999998</v>
      </c>
      <c r="C2893" s="1">
        <v>1.56</v>
      </c>
      <c r="D2893" s="1">
        <v>4.4230999999999998</v>
      </c>
    </row>
    <row r="2894" spans="1:4" x14ac:dyDescent="0.2">
      <c r="A2894" s="5">
        <v>40543</v>
      </c>
      <c r="B2894" s="1">
        <v>3.2934999999999999</v>
      </c>
      <c r="C2894" s="1">
        <v>1.56</v>
      </c>
      <c r="D2894" s="1">
        <v>4.3341000000000003</v>
      </c>
    </row>
    <row r="2895" spans="1:4" x14ac:dyDescent="0.2">
      <c r="A2895" s="5">
        <v>40546</v>
      </c>
      <c r="B2895" s="1">
        <v>3.3323999999999998</v>
      </c>
      <c r="C2895" s="1">
        <v>1.54</v>
      </c>
      <c r="D2895" s="1">
        <v>4.3971</v>
      </c>
    </row>
    <row r="2896" spans="1:4" x14ac:dyDescent="0.2">
      <c r="A2896" s="5">
        <v>40547</v>
      </c>
      <c r="B2896" s="1">
        <v>3.3287</v>
      </c>
      <c r="C2896" s="1">
        <v>1.52</v>
      </c>
      <c r="D2896" s="1">
        <v>4.4105999999999996</v>
      </c>
    </row>
    <row r="2897" spans="1:4" x14ac:dyDescent="0.2">
      <c r="A2897" s="5">
        <v>40548</v>
      </c>
      <c r="B2897" s="1">
        <v>3.4653999999999998</v>
      </c>
      <c r="C2897" s="1">
        <v>1.51</v>
      </c>
      <c r="D2897" s="1">
        <v>4.5438999999999998</v>
      </c>
    </row>
    <row r="2898" spans="1:4" x14ac:dyDescent="0.2">
      <c r="A2898" s="5">
        <v>40549</v>
      </c>
      <c r="B2898" s="1">
        <v>3.3932000000000002</v>
      </c>
      <c r="C2898" s="1">
        <v>1.51</v>
      </c>
      <c r="D2898" s="1">
        <v>4.5111999999999997</v>
      </c>
    </row>
    <row r="2899" spans="1:4" x14ac:dyDescent="0.2">
      <c r="A2899" s="5">
        <v>40550</v>
      </c>
      <c r="B2899" s="1">
        <v>3.3237000000000001</v>
      </c>
      <c r="C2899" s="1">
        <v>1.52</v>
      </c>
      <c r="D2899" s="1">
        <v>4.4846000000000004</v>
      </c>
    </row>
    <row r="2900" spans="1:4" x14ac:dyDescent="0.2">
      <c r="A2900" s="5">
        <v>40553</v>
      </c>
      <c r="B2900" s="1">
        <v>3.2831999999999999</v>
      </c>
      <c r="C2900" s="1">
        <v>1.53</v>
      </c>
      <c r="D2900" s="1">
        <v>4.4611000000000001</v>
      </c>
    </row>
    <row r="2901" spans="1:4" x14ac:dyDescent="0.2">
      <c r="A2901" s="5">
        <v>40554</v>
      </c>
      <c r="B2901" s="1">
        <v>3.3395999999999999</v>
      </c>
      <c r="C2901" s="1">
        <v>1.5</v>
      </c>
      <c r="D2901" s="1">
        <v>4.4875999999999996</v>
      </c>
    </row>
    <row r="2902" spans="1:4" x14ac:dyDescent="0.2">
      <c r="A2902" s="5">
        <v>40555</v>
      </c>
      <c r="B2902" s="1">
        <v>3.3650000000000002</v>
      </c>
      <c r="C2902" s="1">
        <v>1.5</v>
      </c>
      <c r="D2902" s="1">
        <v>4.5309999999999997</v>
      </c>
    </row>
    <row r="2903" spans="1:4" x14ac:dyDescent="0.2">
      <c r="A2903" s="5">
        <v>40556</v>
      </c>
      <c r="B2903" s="1">
        <v>3.2972000000000001</v>
      </c>
      <c r="C2903" s="1">
        <v>1.52</v>
      </c>
      <c r="D2903" s="1">
        <v>4.4984000000000002</v>
      </c>
    </row>
    <row r="2904" spans="1:4" x14ac:dyDescent="0.2">
      <c r="A2904" s="5">
        <v>40557</v>
      </c>
      <c r="B2904" s="1">
        <v>3.3231000000000002</v>
      </c>
      <c r="C2904" s="1">
        <v>1.52</v>
      </c>
      <c r="D2904" s="1">
        <v>4.5301</v>
      </c>
    </row>
    <row r="2905" spans="1:4" x14ac:dyDescent="0.2">
      <c r="A2905" s="5">
        <v>40560</v>
      </c>
      <c r="B2905" s="1">
        <v>3.3290999999999999</v>
      </c>
      <c r="C2905" s="1">
        <v>1.52</v>
      </c>
      <c r="D2905" s="1">
        <v>4.5281000000000002</v>
      </c>
    </row>
    <row r="2906" spans="1:4" x14ac:dyDescent="0.2">
      <c r="A2906" s="5">
        <v>40561</v>
      </c>
      <c r="B2906" s="1">
        <v>3.3662999999999998</v>
      </c>
      <c r="C2906" s="1">
        <v>1.5</v>
      </c>
      <c r="D2906" s="1">
        <v>4.5629999999999997</v>
      </c>
    </row>
    <row r="2907" spans="1:4" x14ac:dyDescent="0.2">
      <c r="A2907" s="5">
        <v>40562</v>
      </c>
      <c r="B2907" s="1">
        <v>3.339</v>
      </c>
      <c r="C2907" s="1">
        <v>1.5</v>
      </c>
      <c r="D2907" s="1">
        <v>4.5270999999999999</v>
      </c>
    </row>
    <row r="2908" spans="1:4" x14ac:dyDescent="0.2">
      <c r="A2908" s="5">
        <v>40563</v>
      </c>
      <c r="B2908" s="1">
        <v>3.4487999999999999</v>
      </c>
      <c r="C2908" s="1">
        <v>1.5</v>
      </c>
      <c r="D2908" s="1">
        <v>4.6093000000000002</v>
      </c>
    </row>
    <row r="2909" spans="1:4" x14ac:dyDescent="0.2">
      <c r="A2909" s="5">
        <v>40564</v>
      </c>
      <c r="B2909" s="1">
        <v>3.4041999999999999</v>
      </c>
      <c r="C2909" s="1">
        <v>1.5</v>
      </c>
      <c r="D2909" s="1">
        <v>4.5650000000000004</v>
      </c>
    </row>
    <row r="2910" spans="1:4" x14ac:dyDescent="0.2">
      <c r="A2910" s="5">
        <v>40567</v>
      </c>
      <c r="B2910" s="1">
        <v>3.4043999999999999</v>
      </c>
      <c r="C2910" s="1">
        <v>1.49</v>
      </c>
      <c r="D2910" s="1">
        <v>4.5570000000000004</v>
      </c>
    </row>
    <row r="2911" spans="1:4" x14ac:dyDescent="0.2">
      <c r="A2911" s="5">
        <v>40568</v>
      </c>
      <c r="B2911" s="1">
        <v>3.3283999999999998</v>
      </c>
      <c r="C2911" s="1">
        <v>1.5</v>
      </c>
      <c r="D2911" s="1">
        <v>4.4896000000000003</v>
      </c>
    </row>
    <row r="2912" spans="1:4" x14ac:dyDescent="0.2">
      <c r="A2912" s="5">
        <v>40569</v>
      </c>
      <c r="B2912" s="1">
        <v>3.4146000000000001</v>
      </c>
      <c r="C2912" s="1">
        <v>1.49</v>
      </c>
      <c r="D2912" s="1">
        <v>4.5861000000000001</v>
      </c>
    </row>
    <row r="2913" spans="1:4" x14ac:dyDescent="0.2">
      <c r="A2913" s="5">
        <v>40570</v>
      </c>
      <c r="B2913" s="1">
        <v>3.3873000000000002</v>
      </c>
      <c r="C2913" s="1">
        <v>1.5</v>
      </c>
      <c r="D2913" s="1">
        <v>4.5690999999999997</v>
      </c>
    </row>
    <row r="2914" spans="1:4" x14ac:dyDescent="0.2">
      <c r="A2914" s="5">
        <v>40571</v>
      </c>
      <c r="B2914" s="1">
        <v>3.3214000000000001</v>
      </c>
      <c r="C2914" s="1">
        <v>1.5</v>
      </c>
      <c r="D2914" s="1">
        <v>4.5282</v>
      </c>
    </row>
    <row r="2915" spans="1:4" x14ac:dyDescent="0.2">
      <c r="A2915" s="5">
        <v>40574</v>
      </c>
      <c r="B2915" s="1">
        <v>3.3704000000000001</v>
      </c>
      <c r="C2915" s="1">
        <v>1.5</v>
      </c>
      <c r="D2915" s="1">
        <v>4.5711000000000004</v>
      </c>
    </row>
    <row r="2916" spans="1:4" x14ac:dyDescent="0.2">
      <c r="A2916" s="5">
        <v>40575</v>
      </c>
      <c r="B2916" s="1">
        <v>3.4394</v>
      </c>
      <c r="C2916" s="1">
        <v>1.49</v>
      </c>
      <c r="D2916" s="1">
        <v>4.6165000000000003</v>
      </c>
    </row>
    <row r="2917" spans="1:4" x14ac:dyDescent="0.2">
      <c r="A2917" s="5">
        <v>40576</v>
      </c>
      <c r="B2917" s="1">
        <v>3.4771000000000001</v>
      </c>
      <c r="C2917" s="1">
        <v>1.48</v>
      </c>
      <c r="D2917" s="1">
        <v>4.6196000000000002</v>
      </c>
    </row>
    <row r="2918" spans="1:4" x14ac:dyDescent="0.2">
      <c r="A2918" s="5">
        <v>40577</v>
      </c>
      <c r="B2918" s="1">
        <v>3.5488</v>
      </c>
      <c r="C2918" s="1">
        <v>1.47</v>
      </c>
      <c r="D2918" s="1">
        <v>4.6645000000000003</v>
      </c>
    </row>
    <row r="2919" spans="1:4" x14ac:dyDescent="0.2">
      <c r="A2919" s="5">
        <v>40578</v>
      </c>
      <c r="B2919" s="1">
        <v>3.6356000000000002</v>
      </c>
      <c r="C2919" s="1">
        <v>1.45</v>
      </c>
      <c r="D2919" s="1">
        <v>4.7275</v>
      </c>
    </row>
    <row r="2920" spans="1:4" x14ac:dyDescent="0.2">
      <c r="A2920" s="5">
        <v>40581</v>
      </c>
      <c r="B2920" s="1">
        <v>3.6299000000000001</v>
      </c>
      <c r="C2920" s="1">
        <v>1.42</v>
      </c>
      <c r="D2920" s="1">
        <v>4.6965000000000003</v>
      </c>
    </row>
    <row r="2921" spans="1:4" x14ac:dyDescent="0.2">
      <c r="A2921" s="5">
        <v>40582</v>
      </c>
      <c r="B2921" s="1">
        <v>3.7372999999999998</v>
      </c>
      <c r="C2921" s="1">
        <v>1.4</v>
      </c>
      <c r="D2921" s="1">
        <v>4.7652000000000001</v>
      </c>
    </row>
    <row r="2922" spans="1:4" x14ac:dyDescent="0.2">
      <c r="A2922" s="5">
        <v>40583</v>
      </c>
      <c r="B2922" s="1">
        <v>3.6465000000000001</v>
      </c>
      <c r="C2922" s="1">
        <v>1.4</v>
      </c>
      <c r="D2922" s="1">
        <v>4.7110000000000003</v>
      </c>
    </row>
    <row r="2923" spans="1:4" x14ac:dyDescent="0.2">
      <c r="A2923" s="5">
        <v>40584</v>
      </c>
      <c r="B2923" s="1">
        <v>3.6928000000000001</v>
      </c>
      <c r="C2923" s="1">
        <v>1.4</v>
      </c>
      <c r="D2923" s="1">
        <v>4.7641999999999998</v>
      </c>
    </row>
    <row r="2924" spans="1:4" x14ac:dyDescent="0.2">
      <c r="A2924" s="5">
        <v>40585</v>
      </c>
      <c r="B2924" s="1">
        <v>3.6288</v>
      </c>
      <c r="C2924" s="1">
        <v>1.4</v>
      </c>
      <c r="D2924" s="1">
        <v>4.6875999999999998</v>
      </c>
    </row>
    <row r="2925" spans="1:4" x14ac:dyDescent="0.2">
      <c r="A2925" s="5">
        <v>40588</v>
      </c>
      <c r="B2925" s="1">
        <v>3.6194000000000002</v>
      </c>
      <c r="C2925" s="1">
        <v>1.39</v>
      </c>
      <c r="D2925" s="1">
        <v>4.6711</v>
      </c>
    </row>
    <row r="2926" spans="1:4" x14ac:dyDescent="0.2">
      <c r="A2926" s="5">
        <v>40589</v>
      </c>
      <c r="B2926" s="1">
        <v>3.6044</v>
      </c>
      <c r="C2926" s="1">
        <v>1.37</v>
      </c>
      <c r="D2926" s="1">
        <v>4.6615000000000002</v>
      </c>
    </row>
    <row r="2927" spans="1:4" x14ac:dyDescent="0.2">
      <c r="A2927" s="5">
        <v>40590</v>
      </c>
      <c r="B2927" s="1">
        <v>3.6193</v>
      </c>
      <c r="C2927" s="1">
        <v>1.37</v>
      </c>
      <c r="D2927" s="1">
        <v>4.6798000000000002</v>
      </c>
    </row>
    <row r="2928" spans="1:4" x14ac:dyDescent="0.2">
      <c r="A2928" s="5">
        <v>40591</v>
      </c>
      <c r="B2928" s="1">
        <v>3.5724999999999998</v>
      </c>
      <c r="C2928" s="1">
        <v>1.37</v>
      </c>
      <c r="D2928" s="1">
        <v>4.6681999999999997</v>
      </c>
    </row>
    <row r="2929" spans="1:4" x14ac:dyDescent="0.2">
      <c r="A2929" s="5">
        <v>40592</v>
      </c>
      <c r="B2929" s="1">
        <v>3.5798999999999999</v>
      </c>
      <c r="C2929" s="1">
        <v>1.37</v>
      </c>
      <c r="D2929" s="1">
        <v>4.6836000000000002</v>
      </c>
    </row>
    <row r="2930" spans="1:4" x14ac:dyDescent="0.2">
      <c r="A2930" s="5">
        <v>40595</v>
      </c>
      <c r="B2930" s="1">
        <v>3.5874000000000001</v>
      </c>
      <c r="C2930" s="1">
        <v>1.37</v>
      </c>
      <c r="D2930" s="1">
        <v>4.6836000000000002</v>
      </c>
    </row>
    <row r="2931" spans="1:4" x14ac:dyDescent="0.2">
      <c r="A2931" s="5">
        <v>40596</v>
      </c>
      <c r="B2931" s="1">
        <v>3.4533</v>
      </c>
      <c r="C2931" s="1">
        <v>1.39</v>
      </c>
      <c r="D2931" s="1">
        <v>4.6031000000000004</v>
      </c>
    </row>
    <row r="2932" spans="1:4" x14ac:dyDescent="0.2">
      <c r="A2932" s="5">
        <v>40597</v>
      </c>
      <c r="B2932" s="1">
        <v>3.4847999999999999</v>
      </c>
      <c r="C2932" s="1">
        <v>1.4</v>
      </c>
      <c r="D2932" s="1">
        <v>4.5822000000000003</v>
      </c>
    </row>
    <row r="2933" spans="1:4" x14ac:dyDescent="0.2">
      <c r="A2933" s="5">
        <v>40598</v>
      </c>
      <c r="B2933" s="1">
        <v>3.4477000000000002</v>
      </c>
      <c r="C2933" s="1">
        <v>1.42</v>
      </c>
      <c r="D2933" s="1">
        <v>4.5416999999999996</v>
      </c>
    </row>
    <row r="2934" spans="1:4" x14ac:dyDescent="0.2">
      <c r="A2934" s="5">
        <v>40599</v>
      </c>
      <c r="B2934" s="1">
        <v>3.4125000000000001</v>
      </c>
      <c r="C2934" s="1">
        <v>1.41</v>
      </c>
      <c r="D2934" s="1">
        <v>4.4960000000000004</v>
      </c>
    </row>
    <row r="2935" spans="1:4" x14ac:dyDescent="0.2">
      <c r="A2935" s="5">
        <v>40602</v>
      </c>
      <c r="B2935" s="1">
        <v>3.4272</v>
      </c>
      <c r="C2935" s="1">
        <v>1.39</v>
      </c>
      <c r="D2935" s="1">
        <v>4.5007000000000001</v>
      </c>
    </row>
    <row r="2936" spans="1:4" x14ac:dyDescent="0.2">
      <c r="A2936" s="5">
        <v>40603</v>
      </c>
      <c r="B2936" s="1">
        <v>3.3921000000000001</v>
      </c>
      <c r="C2936" s="1">
        <v>1.4</v>
      </c>
      <c r="D2936" s="1">
        <v>4.4794</v>
      </c>
    </row>
    <row r="2937" spans="1:4" x14ac:dyDescent="0.2">
      <c r="A2937" s="5">
        <v>40604</v>
      </c>
      <c r="B2937" s="1">
        <v>3.4697</v>
      </c>
      <c r="C2937" s="1">
        <v>1.4</v>
      </c>
      <c r="D2937" s="1">
        <v>4.5660999999999996</v>
      </c>
    </row>
    <row r="2938" spans="1:4" x14ac:dyDescent="0.2">
      <c r="A2938" s="5">
        <v>40605</v>
      </c>
      <c r="B2938" s="1">
        <v>3.5554000000000001</v>
      </c>
      <c r="C2938" s="1">
        <v>1.38</v>
      </c>
      <c r="D2938" s="1">
        <v>4.6191000000000004</v>
      </c>
    </row>
    <row r="2939" spans="1:4" x14ac:dyDescent="0.2">
      <c r="A2939" s="5">
        <v>40606</v>
      </c>
      <c r="B2939" s="1">
        <v>3.49</v>
      </c>
      <c r="C2939" s="1">
        <v>1.39</v>
      </c>
      <c r="D2939" s="1">
        <v>4.5963000000000003</v>
      </c>
    </row>
    <row r="2940" spans="1:4" x14ac:dyDescent="0.2">
      <c r="A2940" s="5">
        <v>40609</v>
      </c>
      <c r="B2940" s="1">
        <v>3.5123000000000002</v>
      </c>
      <c r="C2940" s="1">
        <v>1.39</v>
      </c>
      <c r="D2940" s="1">
        <v>4.6219000000000001</v>
      </c>
    </row>
    <row r="2941" spans="1:4" x14ac:dyDescent="0.2">
      <c r="A2941" s="5">
        <v>40610</v>
      </c>
      <c r="B2941" s="1">
        <v>3.5476999999999999</v>
      </c>
      <c r="C2941" s="1">
        <v>1.39</v>
      </c>
      <c r="D2941" s="1">
        <v>4.6631999999999998</v>
      </c>
    </row>
    <row r="2942" spans="1:4" x14ac:dyDescent="0.2">
      <c r="A2942" s="5">
        <v>40611</v>
      </c>
      <c r="B2942" s="1">
        <v>3.4674999999999998</v>
      </c>
      <c r="C2942" s="1">
        <v>1.39</v>
      </c>
      <c r="D2942" s="1">
        <v>4.6067</v>
      </c>
    </row>
    <row r="2943" spans="1:4" x14ac:dyDescent="0.2">
      <c r="A2943" s="5">
        <v>40612</v>
      </c>
      <c r="B2943" s="1">
        <v>3.3584000000000001</v>
      </c>
      <c r="C2943" s="1">
        <v>1.4</v>
      </c>
      <c r="D2943" s="1">
        <v>4.4985999999999997</v>
      </c>
    </row>
    <row r="2944" spans="1:4" x14ac:dyDescent="0.2">
      <c r="A2944" s="5">
        <v>40613</v>
      </c>
      <c r="B2944" s="1">
        <v>3.4024999999999999</v>
      </c>
      <c r="C2944" s="1">
        <v>1.41</v>
      </c>
      <c r="D2944" s="1">
        <v>4.548</v>
      </c>
    </row>
    <row r="2945" spans="1:4" x14ac:dyDescent="0.2">
      <c r="A2945" s="5">
        <v>40616</v>
      </c>
      <c r="B2945" s="1">
        <v>3.3563000000000001</v>
      </c>
      <c r="C2945" s="1">
        <v>1.41</v>
      </c>
      <c r="D2945" s="1">
        <v>4.5349000000000004</v>
      </c>
    </row>
    <row r="2946" spans="1:4" x14ac:dyDescent="0.2">
      <c r="A2946" s="5">
        <v>40617</v>
      </c>
      <c r="B2946" s="1">
        <v>3.3029999999999999</v>
      </c>
      <c r="C2946" s="1">
        <v>1.46</v>
      </c>
      <c r="D2946" s="1">
        <v>4.4542000000000002</v>
      </c>
    </row>
    <row r="2947" spans="1:4" x14ac:dyDescent="0.2">
      <c r="A2947" s="5">
        <v>40618</v>
      </c>
      <c r="B2947" s="1">
        <v>3.17</v>
      </c>
      <c r="C2947" s="1">
        <v>1.47</v>
      </c>
      <c r="D2947" s="1">
        <v>4.3552999999999997</v>
      </c>
    </row>
    <row r="2948" spans="1:4" x14ac:dyDescent="0.2">
      <c r="A2948" s="5">
        <v>40619</v>
      </c>
      <c r="B2948" s="1">
        <v>3.2549999999999999</v>
      </c>
      <c r="C2948" s="1">
        <v>1.47</v>
      </c>
      <c r="D2948" s="1">
        <v>4.4358000000000004</v>
      </c>
    </row>
    <row r="2949" spans="1:4" x14ac:dyDescent="0.2">
      <c r="A2949" s="5">
        <v>40620</v>
      </c>
      <c r="B2949" s="1">
        <v>3.2677999999999998</v>
      </c>
      <c r="C2949" s="1">
        <v>1.46</v>
      </c>
      <c r="D2949" s="1">
        <v>4.4165999999999999</v>
      </c>
    </row>
    <row r="2950" spans="1:4" x14ac:dyDescent="0.2">
      <c r="A2950" s="5">
        <v>40623</v>
      </c>
      <c r="B2950" s="1">
        <v>3.3281999999999998</v>
      </c>
      <c r="C2950" s="1">
        <v>1.44</v>
      </c>
      <c r="D2950" s="1">
        <v>4.4513999999999996</v>
      </c>
    </row>
    <row r="2951" spans="1:4" x14ac:dyDescent="0.2">
      <c r="A2951" s="5">
        <v>40624</v>
      </c>
      <c r="B2951" s="1">
        <v>3.3262999999999998</v>
      </c>
      <c r="C2951" s="1">
        <v>1.43</v>
      </c>
      <c r="D2951" s="1">
        <v>4.4367000000000001</v>
      </c>
    </row>
    <row r="2952" spans="1:4" x14ac:dyDescent="0.2">
      <c r="A2952" s="5">
        <v>40625</v>
      </c>
      <c r="B2952" s="1">
        <v>3.3500999999999999</v>
      </c>
      <c r="C2952" s="1">
        <v>1.43</v>
      </c>
      <c r="D2952" s="1">
        <v>4.4477000000000002</v>
      </c>
    </row>
    <row r="2953" spans="1:4" x14ac:dyDescent="0.2">
      <c r="A2953" s="5">
        <v>40626</v>
      </c>
      <c r="B2953" s="1">
        <v>3.4037000000000002</v>
      </c>
      <c r="C2953" s="1">
        <v>1.42</v>
      </c>
      <c r="D2953" s="1">
        <v>4.4825999999999997</v>
      </c>
    </row>
    <row r="2954" spans="1:4" x14ac:dyDescent="0.2">
      <c r="A2954" s="5">
        <v>40627</v>
      </c>
      <c r="B2954" s="1">
        <v>3.4388000000000001</v>
      </c>
      <c r="C2954" s="1">
        <v>1.42</v>
      </c>
      <c r="D2954" s="1">
        <v>4.5002000000000004</v>
      </c>
    </row>
    <row r="2955" spans="1:4" x14ac:dyDescent="0.2">
      <c r="A2955" s="5">
        <v>40630</v>
      </c>
      <c r="B2955" s="1">
        <v>3.4312999999999998</v>
      </c>
      <c r="C2955" s="1">
        <v>1.42</v>
      </c>
      <c r="D2955" s="1">
        <v>4.4946000000000002</v>
      </c>
    </row>
    <row r="2956" spans="1:4" x14ac:dyDescent="0.2">
      <c r="A2956" s="5">
        <v>40631</v>
      </c>
      <c r="B2956" s="1">
        <v>3.4872000000000001</v>
      </c>
      <c r="C2956" s="1">
        <v>1.42</v>
      </c>
      <c r="D2956" s="1">
        <v>4.5441000000000003</v>
      </c>
    </row>
    <row r="2957" spans="1:4" x14ac:dyDescent="0.2">
      <c r="A2957" s="5">
        <v>40632</v>
      </c>
      <c r="B2957" s="1">
        <v>3.4348999999999998</v>
      </c>
      <c r="C2957" s="1">
        <v>1.42</v>
      </c>
      <c r="D2957" s="1">
        <v>4.5019999999999998</v>
      </c>
    </row>
    <row r="2958" spans="1:4" x14ac:dyDescent="0.2">
      <c r="A2958" s="5">
        <v>40633</v>
      </c>
      <c r="B2958" s="1">
        <v>3.4702999999999999</v>
      </c>
      <c r="C2958" s="1">
        <v>1.42</v>
      </c>
      <c r="D2958" s="1">
        <v>4.5076000000000001</v>
      </c>
    </row>
    <row r="2959" spans="1:4" x14ac:dyDescent="0.2">
      <c r="A2959" s="5">
        <v>40634</v>
      </c>
      <c r="B2959" s="1">
        <v>3.4422000000000001</v>
      </c>
      <c r="C2959" s="1">
        <v>1.42</v>
      </c>
      <c r="D2959" s="1">
        <v>4.4852999999999996</v>
      </c>
    </row>
    <row r="2960" spans="1:4" x14ac:dyDescent="0.2">
      <c r="A2960" s="5">
        <v>40637</v>
      </c>
      <c r="B2960" s="1">
        <v>3.4178999999999999</v>
      </c>
      <c r="C2960" s="1">
        <v>1.41</v>
      </c>
      <c r="D2960" s="1">
        <v>4.476</v>
      </c>
    </row>
    <row r="2961" spans="1:4" x14ac:dyDescent="0.2">
      <c r="A2961" s="5">
        <v>40638</v>
      </c>
      <c r="B2961" s="1">
        <v>3.4794999999999998</v>
      </c>
      <c r="C2961" s="1">
        <v>1.39</v>
      </c>
      <c r="D2961" s="1">
        <v>4.5038</v>
      </c>
    </row>
    <row r="2962" spans="1:4" x14ac:dyDescent="0.2">
      <c r="A2962" s="5">
        <v>40639</v>
      </c>
      <c r="B2962" s="1">
        <v>3.5451999999999999</v>
      </c>
      <c r="C2962" s="1">
        <v>1.38</v>
      </c>
      <c r="D2962" s="1">
        <v>4.5949</v>
      </c>
    </row>
    <row r="2963" spans="1:4" x14ac:dyDescent="0.2">
      <c r="A2963" s="5">
        <v>40640</v>
      </c>
      <c r="B2963" s="1">
        <v>3.5451000000000001</v>
      </c>
      <c r="C2963" s="1">
        <v>1.37</v>
      </c>
      <c r="D2963" s="1">
        <v>4.6158999999999999</v>
      </c>
    </row>
    <row r="2964" spans="1:4" x14ac:dyDescent="0.2">
      <c r="A2964" s="5">
        <v>40641</v>
      </c>
      <c r="B2964" s="1">
        <v>3.5771999999999999</v>
      </c>
      <c r="C2964" s="1">
        <v>1.36</v>
      </c>
      <c r="D2964" s="1">
        <v>4.6417000000000002</v>
      </c>
    </row>
    <row r="2965" spans="1:4" x14ac:dyDescent="0.2">
      <c r="A2965" s="5">
        <v>40644</v>
      </c>
      <c r="B2965" s="1">
        <v>3.5847000000000002</v>
      </c>
      <c r="C2965" s="1">
        <v>1.36</v>
      </c>
      <c r="D2965" s="1">
        <v>4.6542000000000003</v>
      </c>
    </row>
    <row r="2966" spans="1:4" x14ac:dyDescent="0.2">
      <c r="A2966" s="5">
        <v>40645</v>
      </c>
      <c r="B2966" s="1">
        <v>3.4904000000000002</v>
      </c>
      <c r="C2966" s="1">
        <v>1.37</v>
      </c>
      <c r="D2966" s="1">
        <v>4.5750000000000002</v>
      </c>
    </row>
    <row r="2967" spans="1:4" x14ac:dyDescent="0.2">
      <c r="A2967" s="5">
        <v>40646</v>
      </c>
      <c r="B2967" s="1">
        <v>3.4584999999999999</v>
      </c>
      <c r="C2967" s="1">
        <v>1.37</v>
      </c>
      <c r="D2967" s="1">
        <v>4.5429000000000004</v>
      </c>
    </row>
    <row r="2968" spans="1:4" x14ac:dyDescent="0.2">
      <c r="A2968" s="5">
        <v>40647</v>
      </c>
      <c r="B2968" s="1">
        <v>3.4979</v>
      </c>
      <c r="C2968" s="1">
        <v>1.38</v>
      </c>
      <c r="D2968" s="1">
        <v>4.5484999999999998</v>
      </c>
    </row>
    <row r="2969" spans="1:4" x14ac:dyDescent="0.2">
      <c r="A2969" s="5">
        <v>40648</v>
      </c>
      <c r="B2969" s="1">
        <v>3.4079000000000002</v>
      </c>
      <c r="C2969" s="1">
        <v>1.38</v>
      </c>
      <c r="D2969" s="1">
        <v>4.4683999999999999</v>
      </c>
    </row>
    <row r="2970" spans="1:4" x14ac:dyDescent="0.2">
      <c r="A2970" s="5">
        <v>40651</v>
      </c>
      <c r="B2970" s="1">
        <v>3.3742999999999999</v>
      </c>
      <c r="C2970" s="1">
        <v>1.39</v>
      </c>
      <c r="D2970" s="1">
        <v>4.4564000000000004</v>
      </c>
    </row>
    <row r="2971" spans="1:4" x14ac:dyDescent="0.2">
      <c r="A2971" s="5">
        <v>40652</v>
      </c>
      <c r="B2971" s="1">
        <v>3.3631000000000002</v>
      </c>
      <c r="C2971" s="1">
        <v>1.39</v>
      </c>
      <c r="D2971" s="1">
        <v>4.4316000000000004</v>
      </c>
    </row>
    <row r="2972" spans="1:4" x14ac:dyDescent="0.2">
      <c r="A2972" s="5">
        <v>40653</v>
      </c>
      <c r="B2972" s="1">
        <v>3.4077000000000002</v>
      </c>
      <c r="C2972" s="1">
        <v>1.37</v>
      </c>
      <c r="D2972" s="1">
        <v>4.4656000000000002</v>
      </c>
    </row>
    <row r="2973" spans="1:4" x14ac:dyDescent="0.2">
      <c r="A2973" s="5">
        <v>40654</v>
      </c>
      <c r="B2973" s="1">
        <v>3.3963000000000001</v>
      </c>
      <c r="C2973" s="1">
        <v>1.37</v>
      </c>
      <c r="D2973" s="1">
        <v>4.4739000000000004</v>
      </c>
    </row>
    <row r="2974" spans="1:4" x14ac:dyDescent="0.2">
      <c r="A2974" s="5">
        <v>40655</v>
      </c>
      <c r="B2974" s="1">
        <v>3.3906999999999998</v>
      </c>
      <c r="C2974" s="1">
        <v>1.37</v>
      </c>
      <c r="D2974" s="1">
        <v>4.4645999999999999</v>
      </c>
    </row>
    <row r="2975" spans="1:4" x14ac:dyDescent="0.2">
      <c r="A2975" s="5">
        <v>40658</v>
      </c>
      <c r="B2975" s="1">
        <v>3.3626999999999998</v>
      </c>
      <c r="C2975" s="1">
        <v>1.37</v>
      </c>
      <c r="D2975" s="1">
        <v>4.4554</v>
      </c>
    </row>
    <row r="2976" spans="1:4" x14ac:dyDescent="0.2">
      <c r="A2976" s="5">
        <v>40659</v>
      </c>
      <c r="B2976" s="1">
        <v>3.3069999999999999</v>
      </c>
      <c r="C2976" s="1">
        <v>1.37</v>
      </c>
      <c r="D2976" s="1">
        <v>4.3905000000000003</v>
      </c>
    </row>
    <row r="2977" spans="1:4" x14ac:dyDescent="0.2">
      <c r="A2977" s="5">
        <v>40660</v>
      </c>
      <c r="B2977" s="1">
        <v>3.3552</v>
      </c>
      <c r="C2977" s="1">
        <v>1.37</v>
      </c>
      <c r="D2977" s="1">
        <v>4.4526000000000003</v>
      </c>
    </row>
    <row r="2978" spans="1:4" x14ac:dyDescent="0.2">
      <c r="A2978" s="5">
        <v>40661</v>
      </c>
      <c r="B2978" s="1">
        <v>3.3106</v>
      </c>
      <c r="C2978" s="1">
        <v>1.37</v>
      </c>
      <c r="D2978" s="1">
        <v>4.4141000000000004</v>
      </c>
    </row>
    <row r="2979" spans="1:4" x14ac:dyDescent="0.2">
      <c r="A2979" s="5">
        <v>40662</v>
      </c>
      <c r="B2979" s="1">
        <v>3.2863000000000002</v>
      </c>
      <c r="C2979" s="1">
        <v>1.38</v>
      </c>
      <c r="D2979" s="1">
        <v>4.3967999999999998</v>
      </c>
    </row>
    <row r="2980" spans="1:4" x14ac:dyDescent="0.2">
      <c r="A2980" s="5">
        <v>40665</v>
      </c>
      <c r="B2980" s="1">
        <v>3.2787999999999999</v>
      </c>
      <c r="C2980" s="1">
        <v>1.38</v>
      </c>
      <c r="D2980" s="1">
        <v>4.3785999999999996</v>
      </c>
    </row>
    <row r="2981" spans="1:4" x14ac:dyDescent="0.2">
      <c r="A2981" s="5">
        <v>40666</v>
      </c>
      <c r="B2981" s="1">
        <v>3.2473000000000001</v>
      </c>
      <c r="C2981" s="1">
        <v>1.38</v>
      </c>
      <c r="D2981" s="1">
        <v>4.3506999999999998</v>
      </c>
    </row>
    <row r="2982" spans="1:4" x14ac:dyDescent="0.2">
      <c r="A2982" s="5">
        <v>40667</v>
      </c>
      <c r="B2982" s="1">
        <v>3.2159</v>
      </c>
      <c r="C2982" s="1">
        <v>1.37</v>
      </c>
      <c r="D2982" s="1">
        <v>4.3211000000000004</v>
      </c>
    </row>
    <row r="2983" spans="1:4" x14ac:dyDescent="0.2">
      <c r="A2983" s="5">
        <v>40668</v>
      </c>
      <c r="B2983" s="1">
        <v>3.1499000000000001</v>
      </c>
      <c r="C2983" s="1">
        <v>1.38</v>
      </c>
      <c r="D2983" s="1">
        <v>4.2556000000000003</v>
      </c>
    </row>
    <row r="2984" spans="1:4" x14ac:dyDescent="0.2">
      <c r="A2984" s="5">
        <v>40669</v>
      </c>
      <c r="B2984" s="1">
        <v>3.1459000000000001</v>
      </c>
      <c r="C2984" s="1">
        <v>1.39</v>
      </c>
      <c r="D2984" s="1">
        <v>4.2854999999999999</v>
      </c>
    </row>
    <row r="2985" spans="1:4" x14ac:dyDescent="0.2">
      <c r="A2985" s="5">
        <v>40672</v>
      </c>
      <c r="B2985" s="1">
        <v>3.1604000000000001</v>
      </c>
      <c r="C2985" s="1">
        <v>1.39</v>
      </c>
      <c r="D2985" s="1">
        <v>4.3085000000000004</v>
      </c>
    </row>
    <row r="2986" spans="1:4" x14ac:dyDescent="0.2">
      <c r="A2986" s="5">
        <v>40673</v>
      </c>
      <c r="B2986" s="1">
        <v>3.2134999999999998</v>
      </c>
      <c r="C2986" s="1">
        <v>1.39</v>
      </c>
      <c r="D2986" s="1">
        <v>4.3506</v>
      </c>
    </row>
    <row r="2987" spans="1:4" x14ac:dyDescent="0.2">
      <c r="A2987" s="5">
        <v>40674</v>
      </c>
      <c r="B2987" s="1">
        <v>3.1593</v>
      </c>
      <c r="C2987" s="1">
        <v>1.39</v>
      </c>
      <c r="D2987" s="1">
        <v>4.3032000000000004</v>
      </c>
    </row>
    <row r="2988" spans="1:4" x14ac:dyDescent="0.2">
      <c r="A2988" s="5">
        <v>40675</v>
      </c>
      <c r="B2988" s="1">
        <v>3.2225000000000001</v>
      </c>
      <c r="C2988" s="1">
        <v>1.4</v>
      </c>
      <c r="D2988" s="1">
        <v>4.3468999999999998</v>
      </c>
    </row>
    <row r="2989" spans="1:4" x14ac:dyDescent="0.2">
      <c r="A2989" s="5">
        <v>40676</v>
      </c>
      <c r="B2989" s="1">
        <v>3.1709000000000001</v>
      </c>
      <c r="C2989" s="1">
        <v>1.41</v>
      </c>
      <c r="D2989" s="1">
        <v>4.3078000000000003</v>
      </c>
    </row>
    <row r="2990" spans="1:4" x14ac:dyDescent="0.2">
      <c r="A2990" s="5">
        <v>40679</v>
      </c>
      <c r="B2990" s="1">
        <v>3.1469999999999998</v>
      </c>
      <c r="C2990" s="1">
        <v>1.41</v>
      </c>
      <c r="D2990" s="1">
        <v>4.2718999999999996</v>
      </c>
    </row>
    <row r="2991" spans="1:4" x14ac:dyDescent="0.2">
      <c r="A2991" s="5">
        <v>40680</v>
      </c>
      <c r="B2991" s="1">
        <v>3.1158000000000001</v>
      </c>
      <c r="C2991" s="1">
        <v>1.41</v>
      </c>
      <c r="D2991" s="1">
        <v>4.2271000000000001</v>
      </c>
    </row>
    <row r="2992" spans="1:4" x14ac:dyDescent="0.2">
      <c r="A2992" s="5">
        <v>40681</v>
      </c>
      <c r="B2992" s="1">
        <v>3.1800999999999999</v>
      </c>
      <c r="C2992" s="1">
        <v>1.41</v>
      </c>
      <c r="D2992" s="1">
        <v>4.2949000000000002</v>
      </c>
    </row>
    <row r="2993" spans="1:4" x14ac:dyDescent="0.2">
      <c r="A2993" s="5">
        <v>40682</v>
      </c>
      <c r="B2993" s="1">
        <v>3.1709000000000001</v>
      </c>
      <c r="C2993" s="1">
        <v>1.41</v>
      </c>
      <c r="D2993" s="1">
        <v>4.3032000000000004</v>
      </c>
    </row>
    <row r="2994" spans="1:4" x14ac:dyDescent="0.2">
      <c r="A2994" s="5">
        <v>40683</v>
      </c>
      <c r="B2994" s="1">
        <v>3.1450999999999998</v>
      </c>
      <c r="C2994" s="1">
        <v>1.41</v>
      </c>
      <c r="D2994" s="1">
        <v>4.2976000000000001</v>
      </c>
    </row>
    <row r="2995" spans="1:4" x14ac:dyDescent="0.2">
      <c r="A2995" s="5">
        <v>40686</v>
      </c>
      <c r="B2995" s="1">
        <v>3.1286</v>
      </c>
      <c r="C2995" s="1">
        <v>1.42</v>
      </c>
      <c r="D2995" s="1">
        <v>4.2663000000000002</v>
      </c>
    </row>
    <row r="2996" spans="1:4" x14ac:dyDescent="0.2">
      <c r="A2996" s="5">
        <v>40687</v>
      </c>
      <c r="B2996" s="1">
        <v>3.1139000000000001</v>
      </c>
      <c r="C2996" s="1">
        <v>1.43</v>
      </c>
      <c r="D2996" s="1">
        <v>4.2497999999999996</v>
      </c>
    </row>
    <row r="2997" spans="1:4" x14ac:dyDescent="0.2">
      <c r="A2997" s="5">
        <v>40688</v>
      </c>
      <c r="B2997" s="1">
        <v>3.1303999999999998</v>
      </c>
      <c r="C2997" s="1">
        <v>1.44</v>
      </c>
      <c r="D2997" s="1">
        <v>4.2819000000000003</v>
      </c>
    </row>
    <row r="2998" spans="1:4" x14ac:dyDescent="0.2">
      <c r="A2998" s="5">
        <v>40689</v>
      </c>
      <c r="B2998" s="1">
        <v>3.0571999999999999</v>
      </c>
      <c r="C2998" s="1">
        <v>1.45</v>
      </c>
      <c r="D2998" s="1">
        <v>4.2225000000000001</v>
      </c>
    </row>
    <row r="2999" spans="1:4" x14ac:dyDescent="0.2">
      <c r="A2999" s="5">
        <v>40690</v>
      </c>
      <c r="B2999" s="1">
        <v>3.0735000000000001</v>
      </c>
      <c r="C2999" s="1">
        <v>1.46</v>
      </c>
      <c r="D2999" s="1">
        <v>4.2423999999999999</v>
      </c>
    </row>
    <row r="3000" spans="1:4" x14ac:dyDescent="0.2">
      <c r="A3000" s="5">
        <v>40693</v>
      </c>
      <c r="B3000" s="1">
        <v>3.0735000000000001</v>
      </c>
      <c r="C3000" s="1">
        <v>1.46</v>
      </c>
      <c r="D3000" s="1">
        <v>4.2423999999999999</v>
      </c>
    </row>
    <row r="3001" spans="1:4" x14ac:dyDescent="0.2">
      <c r="A3001" s="5">
        <v>40694</v>
      </c>
      <c r="B3001" s="1">
        <v>3.0607000000000002</v>
      </c>
      <c r="C3001" s="1">
        <v>1.46</v>
      </c>
      <c r="D3001" s="1">
        <v>4.2241999999999997</v>
      </c>
    </row>
    <row r="3002" spans="1:4" x14ac:dyDescent="0.2">
      <c r="A3002" s="5">
        <v>40695</v>
      </c>
      <c r="B3002" s="1">
        <v>2.9407999999999999</v>
      </c>
      <c r="C3002" s="1">
        <v>1.46</v>
      </c>
      <c r="D3002" s="1">
        <v>4.1414999999999997</v>
      </c>
    </row>
    <row r="3003" spans="1:4" x14ac:dyDescent="0.2">
      <c r="A3003" s="5">
        <v>40696</v>
      </c>
      <c r="B3003" s="1">
        <v>3.0297000000000001</v>
      </c>
      <c r="C3003" s="1">
        <v>1.48</v>
      </c>
      <c r="D3003" s="1">
        <v>4.2442000000000002</v>
      </c>
    </row>
    <row r="3004" spans="1:4" x14ac:dyDescent="0.2">
      <c r="A3004" s="5">
        <v>40697</v>
      </c>
      <c r="B3004" s="1">
        <v>2.9859</v>
      </c>
      <c r="C3004" s="1">
        <v>1.49</v>
      </c>
      <c r="D3004" s="1">
        <v>4.2224000000000004</v>
      </c>
    </row>
    <row r="3005" spans="1:4" x14ac:dyDescent="0.2">
      <c r="A3005" s="5">
        <v>40700</v>
      </c>
      <c r="B3005" s="1">
        <v>2.9950000000000001</v>
      </c>
      <c r="C3005" s="1">
        <v>1.49</v>
      </c>
      <c r="D3005" s="1">
        <v>4.2579000000000002</v>
      </c>
    </row>
    <row r="3006" spans="1:4" x14ac:dyDescent="0.2">
      <c r="A3006" s="5">
        <v>40701</v>
      </c>
      <c r="B3006" s="1">
        <v>2.9948999999999999</v>
      </c>
      <c r="C3006" s="1">
        <v>1.49</v>
      </c>
      <c r="D3006" s="1">
        <v>4.2579000000000002</v>
      </c>
    </row>
    <row r="3007" spans="1:4" x14ac:dyDescent="0.2">
      <c r="A3007" s="5">
        <v>40702</v>
      </c>
      <c r="B3007" s="1">
        <v>2.9386999999999999</v>
      </c>
      <c r="C3007" s="1">
        <v>1.51</v>
      </c>
      <c r="D3007" s="1">
        <v>4.1852999999999998</v>
      </c>
    </row>
    <row r="3008" spans="1:4" x14ac:dyDescent="0.2">
      <c r="A3008" s="5">
        <v>40703</v>
      </c>
      <c r="B3008" s="1">
        <v>2.9967000000000001</v>
      </c>
      <c r="C3008" s="1">
        <v>1.51</v>
      </c>
      <c r="D3008" s="1">
        <v>4.2149999999999999</v>
      </c>
    </row>
    <row r="3009" spans="1:4" x14ac:dyDescent="0.2">
      <c r="A3009" s="5">
        <v>40704</v>
      </c>
      <c r="B3009" s="1">
        <v>2.9693000000000001</v>
      </c>
      <c r="C3009" s="1">
        <v>1.52</v>
      </c>
      <c r="D3009" s="1">
        <v>4.1816000000000004</v>
      </c>
    </row>
    <row r="3010" spans="1:4" x14ac:dyDescent="0.2">
      <c r="A3010" s="5">
        <v>40707</v>
      </c>
      <c r="B3010" s="1">
        <v>2.9838</v>
      </c>
      <c r="C3010" s="1">
        <v>1.53</v>
      </c>
      <c r="D3010" s="1">
        <v>4.2004999999999999</v>
      </c>
    </row>
    <row r="3011" spans="1:4" x14ac:dyDescent="0.2">
      <c r="A3011" s="5">
        <v>40708</v>
      </c>
      <c r="B3011" s="1">
        <v>3.0972</v>
      </c>
      <c r="C3011" s="1">
        <v>1.52</v>
      </c>
      <c r="D3011" s="1">
        <v>4.2964000000000002</v>
      </c>
    </row>
    <row r="3012" spans="1:4" x14ac:dyDescent="0.2">
      <c r="A3012" s="5">
        <v>40709</v>
      </c>
      <c r="B3012" s="1">
        <v>2.9691999999999998</v>
      </c>
      <c r="C3012" s="1">
        <v>1.53</v>
      </c>
      <c r="D3012" s="1">
        <v>4.1996000000000002</v>
      </c>
    </row>
    <row r="3013" spans="1:4" x14ac:dyDescent="0.2">
      <c r="A3013" s="5">
        <v>40710</v>
      </c>
      <c r="B3013" s="1">
        <v>2.9274</v>
      </c>
      <c r="C3013" s="1">
        <v>1.55</v>
      </c>
      <c r="D3013" s="1">
        <v>4.1753</v>
      </c>
    </row>
    <row r="3014" spans="1:4" x14ac:dyDescent="0.2">
      <c r="A3014" s="5">
        <v>40711</v>
      </c>
      <c r="B3014" s="1">
        <v>2.9445000000000001</v>
      </c>
      <c r="C3014" s="1">
        <v>1.54</v>
      </c>
      <c r="D3014" s="1">
        <v>4.2050000000000001</v>
      </c>
    </row>
    <row r="3015" spans="1:4" x14ac:dyDescent="0.2">
      <c r="A3015" s="5">
        <v>40714</v>
      </c>
      <c r="B3015" s="1">
        <v>2.9580000000000002</v>
      </c>
      <c r="C3015" s="1">
        <v>1.55</v>
      </c>
      <c r="D3015" s="1">
        <v>4.1977000000000002</v>
      </c>
    </row>
    <row r="3016" spans="1:4" x14ac:dyDescent="0.2">
      <c r="A3016" s="5">
        <v>40715</v>
      </c>
      <c r="B3016" s="1">
        <v>2.9834999999999998</v>
      </c>
      <c r="C3016" s="1">
        <v>1.55</v>
      </c>
      <c r="D3016" s="1">
        <v>4.2184999999999997</v>
      </c>
    </row>
    <row r="3017" spans="1:4" x14ac:dyDescent="0.2">
      <c r="A3017" s="5">
        <v>40716</v>
      </c>
      <c r="B3017" s="1">
        <v>2.9824999999999999</v>
      </c>
      <c r="C3017" s="1">
        <v>1.55</v>
      </c>
      <c r="D3017" s="1">
        <v>4.2149000000000001</v>
      </c>
    </row>
    <row r="3018" spans="1:4" x14ac:dyDescent="0.2">
      <c r="A3018" s="5">
        <v>40717</v>
      </c>
      <c r="B3018" s="1">
        <v>2.9116</v>
      </c>
      <c r="C3018" s="1">
        <v>1.57</v>
      </c>
      <c r="D3018" s="1">
        <v>4.1680000000000001</v>
      </c>
    </row>
    <row r="3019" spans="1:4" x14ac:dyDescent="0.2">
      <c r="A3019" s="5">
        <v>40718</v>
      </c>
      <c r="B3019" s="1">
        <v>2.8635999999999999</v>
      </c>
      <c r="C3019" s="1">
        <v>1.58</v>
      </c>
      <c r="D3019" s="1">
        <v>4.1832000000000003</v>
      </c>
    </row>
    <row r="3020" spans="1:4" x14ac:dyDescent="0.2">
      <c r="A3020" s="5">
        <v>40721</v>
      </c>
      <c r="B3020" s="1">
        <v>2.9304999999999999</v>
      </c>
      <c r="C3020" s="1">
        <v>1.58</v>
      </c>
      <c r="D3020" s="1">
        <v>4.2953999999999999</v>
      </c>
    </row>
    <row r="3021" spans="1:4" x14ac:dyDescent="0.2">
      <c r="A3021" s="5">
        <v>40722</v>
      </c>
      <c r="B3021" s="1">
        <v>3.0308000000000002</v>
      </c>
      <c r="C3021" s="1">
        <v>1.57</v>
      </c>
      <c r="D3021" s="1">
        <v>4.3242000000000003</v>
      </c>
    </row>
    <row r="3022" spans="1:4" x14ac:dyDescent="0.2">
      <c r="A3022" s="5">
        <v>40723</v>
      </c>
      <c r="B3022" s="1">
        <v>3.1118000000000001</v>
      </c>
      <c r="C3022" s="1">
        <v>1.55</v>
      </c>
      <c r="D3022" s="1">
        <v>4.3765999999999998</v>
      </c>
    </row>
    <row r="3023" spans="1:4" x14ac:dyDescent="0.2">
      <c r="A3023" s="5">
        <v>40724</v>
      </c>
      <c r="B3023" s="1">
        <v>3.16</v>
      </c>
      <c r="C3023" s="1">
        <v>1.53</v>
      </c>
      <c r="D3023" s="1">
        <v>4.3710000000000004</v>
      </c>
    </row>
    <row r="3024" spans="1:4" x14ac:dyDescent="0.2">
      <c r="A3024" s="5">
        <v>40725</v>
      </c>
      <c r="B3024" s="1">
        <v>3.1823000000000001</v>
      </c>
      <c r="C3024" s="1">
        <v>1.52</v>
      </c>
      <c r="D3024" s="1">
        <v>4.3907999999999996</v>
      </c>
    </row>
    <row r="3025" spans="1:4" x14ac:dyDescent="0.2">
      <c r="A3025" s="5">
        <v>40728</v>
      </c>
      <c r="B3025" s="1">
        <v>3.1823000000000001</v>
      </c>
      <c r="C3025" s="1">
        <v>1.52</v>
      </c>
      <c r="D3025" s="1">
        <v>4.3907999999999996</v>
      </c>
    </row>
    <row r="3026" spans="1:4" x14ac:dyDescent="0.2">
      <c r="A3026" s="5">
        <v>40729</v>
      </c>
      <c r="B3026" s="1">
        <v>3.121</v>
      </c>
      <c r="C3026" s="1">
        <v>1.51</v>
      </c>
      <c r="D3026" s="1">
        <v>4.3727999999999998</v>
      </c>
    </row>
    <row r="3027" spans="1:4" x14ac:dyDescent="0.2">
      <c r="A3027" s="5">
        <v>40730</v>
      </c>
      <c r="B3027" s="1">
        <v>3.1080000000000001</v>
      </c>
      <c r="C3027" s="1">
        <v>1.51</v>
      </c>
      <c r="D3027" s="1">
        <v>4.3624999999999998</v>
      </c>
    </row>
    <row r="3028" spans="1:4" x14ac:dyDescent="0.2">
      <c r="A3028" s="5">
        <v>40731</v>
      </c>
      <c r="B3028" s="1">
        <v>3.1377000000000002</v>
      </c>
      <c r="C3028" s="1">
        <v>1.49</v>
      </c>
      <c r="D3028" s="1">
        <v>4.3662000000000001</v>
      </c>
    </row>
    <row r="3029" spans="1:4" x14ac:dyDescent="0.2">
      <c r="A3029" s="5">
        <v>40732</v>
      </c>
      <c r="B3029" s="1">
        <v>3.0268000000000002</v>
      </c>
      <c r="C3029" s="1">
        <v>1.5</v>
      </c>
      <c r="D3029" s="1">
        <v>4.2824</v>
      </c>
    </row>
    <row r="3030" spans="1:4" x14ac:dyDescent="0.2">
      <c r="A3030" s="5">
        <v>40735</v>
      </c>
      <c r="B3030" s="1">
        <v>2.9188999999999998</v>
      </c>
      <c r="C3030" s="1">
        <v>1.52</v>
      </c>
      <c r="D3030" s="1">
        <v>4.2083000000000004</v>
      </c>
    </row>
    <row r="3031" spans="1:4" x14ac:dyDescent="0.2">
      <c r="A3031" s="5">
        <v>40736</v>
      </c>
      <c r="B3031" s="1">
        <v>2.8769999999999998</v>
      </c>
      <c r="C3031" s="1">
        <v>1.53</v>
      </c>
      <c r="D3031" s="1">
        <v>4.1677</v>
      </c>
    </row>
    <row r="3032" spans="1:4" x14ac:dyDescent="0.2">
      <c r="A3032" s="5">
        <v>40737</v>
      </c>
      <c r="B3032" s="1">
        <v>2.8824000000000001</v>
      </c>
      <c r="C3032" s="1">
        <v>1.52</v>
      </c>
      <c r="D3032" s="1">
        <v>4.1722000000000001</v>
      </c>
    </row>
    <row r="3033" spans="1:4" x14ac:dyDescent="0.2">
      <c r="A3033" s="5">
        <v>40738</v>
      </c>
      <c r="B3033" s="1">
        <v>2.9533999999999998</v>
      </c>
      <c r="C3033" s="1">
        <v>1.52</v>
      </c>
      <c r="D3033" s="1">
        <v>4.2538999999999998</v>
      </c>
    </row>
    <row r="3034" spans="1:4" x14ac:dyDescent="0.2">
      <c r="A3034" s="5">
        <v>40739</v>
      </c>
      <c r="B3034" s="1">
        <v>2.9058000000000002</v>
      </c>
      <c r="C3034" s="1">
        <v>1.54</v>
      </c>
      <c r="D3034" s="1">
        <v>4.2465000000000002</v>
      </c>
    </row>
    <row r="3035" spans="1:4" x14ac:dyDescent="0.2">
      <c r="A3035" s="5">
        <v>40742</v>
      </c>
      <c r="B3035" s="1">
        <v>2.9276</v>
      </c>
      <c r="C3035" s="1">
        <v>1.55</v>
      </c>
      <c r="D3035" s="1">
        <v>4.3083</v>
      </c>
    </row>
    <row r="3036" spans="1:4" x14ac:dyDescent="0.2">
      <c r="A3036" s="5">
        <v>40743</v>
      </c>
      <c r="B3036" s="1">
        <v>2.8801999999999999</v>
      </c>
      <c r="C3036" s="1">
        <v>1.55</v>
      </c>
      <c r="D3036" s="1">
        <v>4.1901999999999999</v>
      </c>
    </row>
    <row r="3037" spans="1:4" x14ac:dyDescent="0.2">
      <c r="A3037" s="5">
        <v>40744</v>
      </c>
      <c r="B3037" s="1">
        <v>2.9275000000000002</v>
      </c>
      <c r="C3037" s="1">
        <v>1.54</v>
      </c>
      <c r="D3037" s="1">
        <v>4.2519999999999998</v>
      </c>
    </row>
    <row r="3038" spans="1:4" x14ac:dyDescent="0.2">
      <c r="A3038" s="5">
        <v>40745</v>
      </c>
      <c r="B3038" s="1">
        <v>3.0135999999999998</v>
      </c>
      <c r="C3038" s="1">
        <v>1.54</v>
      </c>
      <c r="D3038" s="1">
        <v>4.3120000000000003</v>
      </c>
    </row>
    <row r="3039" spans="1:4" x14ac:dyDescent="0.2">
      <c r="A3039" s="5">
        <v>40746</v>
      </c>
      <c r="B3039" s="1">
        <v>2.9621</v>
      </c>
      <c r="C3039" s="1">
        <v>1.52</v>
      </c>
      <c r="D3039" s="1">
        <v>4.2575000000000003</v>
      </c>
    </row>
    <row r="3040" spans="1:4" x14ac:dyDescent="0.2">
      <c r="A3040" s="5">
        <v>40749</v>
      </c>
      <c r="B3040" s="1">
        <v>3.0005999999999999</v>
      </c>
      <c r="C3040" s="1">
        <v>1.53</v>
      </c>
      <c r="D3040" s="1">
        <v>4.3193999999999999</v>
      </c>
    </row>
    <row r="3041" spans="1:4" x14ac:dyDescent="0.2">
      <c r="A3041" s="5">
        <v>40750</v>
      </c>
      <c r="B3041" s="1">
        <v>2.9529000000000001</v>
      </c>
      <c r="C3041" s="1">
        <v>1.52</v>
      </c>
      <c r="D3041" s="1">
        <v>4.2823000000000002</v>
      </c>
    </row>
    <row r="3042" spans="1:4" x14ac:dyDescent="0.2">
      <c r="A3042" s="5">
        <v>40751</v>
      </c>
      <c r="B3042" s="1">
        <v>2.9803000000000002</v>
      </c>
      <c r="C3042" s="1">
        <v>1.52</v>
      </c>
      <c r="D3042" s="1">
        <v>4.2850999999999999</v>
      </c>
    </row>
    <row r="3043" spans="1:4" x14ac:dyDescent="0.2">
      <c r="A3043" s="5">
        <v>40752</v>
      </c>
      <c r="B3043" s="1">
        <v>2.9453999999999998</v>
      </c>
      <c r="C3043" s="1">
        <v>1.52</v>
      </c>
      <c r="D3043" s="1">
        <v>4.2556000000000003</v>
      </c>
    </row>
    <row r="3044" spans="1:4" x14ac:dyDescent="0.2">
      <c r="A3044" s="5">
        <v>40753</v>
      </c>
      <c r="B3044" s="1">
        <v>2.7961</v>
      </c>
      <c r="C3044" s="1">
        <v>1.53</v>
      </c>
      <c r="D3044" s="1">
        <v>4.1184000000000003</v>
      </c>
    </row>
    <row r="3045" spans="1:4" x14ac:dyDescent="0.2">
      <c r="A3045" s="5">
        <v>40756</v>
      </c>
      <c r="B3045" s="1">
        <v>2.7437</v>
      </c>
      <c r="C3045" s="1">
        <v>1.53</v>
      </c>
      <c r="D3045" s="1">
        <v>4.0795000000000003</v>
      </c>
    </row>
    <row r="3046" spans="1:4" x14ac:dyDescent="0.2">
      <c r="A3046" s="5">
        <v>40757</v>
      </c>
      <c r="B3046" s="1">
        <v>2.6114000000000002</v>
      </c>
      <c r="C3046" s="1">
        <v>1.53</v>
      </c>
      <c r="D3046" s="1">
        <v>3.9087999999999998</v>
      </c>
    </row>
    <row r="3047" spans="1:4" x14ac:dyDescent="0.2">
      <c r="A3047" s="5">
        <v>40758</v>
      </c>
      <c r="B3047" s="1">
        <v>2.6202000000000001</v>
      </c>
      <c r="C3047" s="1">
        <v>1.55</v>
      </c>
      <c r="D3047" s="1">
        <v>3.9020000000000001</v>
      </c>
    </row>
    <row r="3048" spans="1:4" x14ac:dyDescent="0.2">
      <c r="A3048" s="5">
        <v>40759</v>
      </c>
      <c r="B3048" s="1">
        <v>2.4028</v>
      </c>
      <c r="C3048" s="1">
        <v>1.58</v>
      </c>
      <c r="D3048" s="1">
        <v>3.6707000000000001</v>
      </c>
    </row>
    <row r="3049" spans="1:4" x14ac:dyDescent="0.2">
      <c r="A3049" s="5">
        <v>40760</v>
      </c>
      <c r="B3049" s="1">
        <v>2.5585</v>
      </c>
      <c r="C3049" s="1">
        <v>1.63</v>
      </c>
      <c r="D3049" s="1">
        <v>3.8458000000000001</v>
      </c>
    </row>
    <row r="3050" spans="1:4" x14ac:dyDescent="0.2">
      <c r="A3050" s="5">
        <v>40763</v>
      </c>
      <c r="B3050" s="1">
        <v>2.3178999999999998</v>
      </c>
      <c r="C3050" s="1">
        <v>1.73</v>
      </c>
      <c r="D3050" s="1">
        <v>3.653</v>
      </c>
    </row>
    <row r="3051" spans="1:4" x14ac:dyDescent="0.2">
      <c r="A3051" s="5">
        <v>40764</v>
      </c>
      <c r="B3051" s="1">
        <v>2.2488000000000001</v>
      </c>
      <c r="C3051" s="1">
        <v>1.79</v>
      </c>
      <c r="D3051" s="1">
        <v>3.6181000000000001</v>
      </c>
    </row>
    <row r="3052" spans="1:4" x14ac:dyDescent="0.2">
      <c r="A3052" s="5">
        <v>40765</v>
      </c>
      <c r="B3052" s="1">
        <v>2.1061000000000001</v>
      </c>
      <c r="C3052" s="1">
        <v>1.81</v>
      </c>
      <c r="D3052" s="1">
        <v>3.5146000000000002</v>
      </c>
    </row>
    <row r="3053" spans="1:4" x14ac:dyDescent="0.2">
      <c r="A3053" s="5">
        <v>40766</v>
      </c>
      <c r="B3053" s="1">
        <v>2.3399000000000001</v>
      </c>
      <c r="C3053" s="1">
        <v>1.89</v>
      </c>
      <c r="D3053" s="1">
        <v>3.7690000000000001</v>
      </c>
    </row>
    <row r="3054" spans="1:4" x14ac:dyDescent="0.2">
      <c r="A3054" s="5">
        <v>40767</v>
      </c>
      <c r="B3054" s="1">
        <v>2.2547999999999999</v>
      </c>
      <c r="C3054" s="1">
        <v>1.89</v>
      </c>
      <c r="D3054" s="1">
        <v>3.7256999999999998</v>
      </c>
    </row>
    <row r="3055" spans="1:4" x14ac:dyDescent="0.2">
      <c r="A3055" s="5">
        <v>40770</v>
      </c>
      <c r="B3055" s="1">
        <v>2.3052999999999999</v>
      </c>
      <c r="C3055" s="1">
        <v>1.97</v>
      </c>
      <c r="D3055" s="1">
        <v>3.7709999999999999</v>
      </c>
    </row>
    <row r="3056" spans="1:4" x14ac:dyDescent="0.2">
      <c r="A3056" s="5">
        <v>40771</v>
      </c>
      <c r="B3056" s="1">
        <v>2.2195999999999998</v>
      </c>
      <c r="C3056" s="1">
        <v>1.97</v>
      </c>
      <c r="D3056" s="1">
        <v>3.6671</v>
      </c>
    </row>
    <row r="3057" spans="1:4" x14ac:dyDescent="0.2">
      <c r="A3057" s="5">
        <v>40772</v>
      </c>
      <c r="B3057" s="1">
        <v>2.1652</v>
      </c>
      <c r="C3057" s="1">
        <v>1.97</v>
      </c>
      <c r="D3057" s="1">
        <v>3.5632999999999999</v>
      </c>
    </row>
    <row r="3058" spans="1:4" x14ac:dyDescent="0.2">
      <c r="A3058" s="5">
        <v>40773</v>
      </c>
      <c r="B3058" s="1">
        <v>2.0623999999999998</v>
      </c>
      <c r="C3058" s="1">
        <v>2.0099999999999998</v>
      </c>
      <c r="D3058" s="1">
        <v>3.4192999999999998</v>
      </c>
    </row>
    <row r="3059" spans="1:4" x14ac:dyDescent="0.2">
      <c r="A3059" s="5">
        <v>40774</v>
      </c>
      <c r="B3059" s="1">
        <v>2.0623</v>
      </c>
      <c r="C3059" s="1">
        <v>2.06</v>
      </c>
      <c r="D3059" s="1">
        <v>3.3904000000000001</v>
      </c>
    </row>
    <row r="3060" spans="1:4" x14ac:dyDescent="0.2">
      <c r="A3060" s="5">
        <v>40777</v>
      </c>
      <c r="B3060" s="1">
        <v>2.1057999999999999</v>
      </c>
      <c r="C3060" s="1">
        <v>2.0699999999999998</v>
      </c>
      <c r="D3060" s="1">
        <v>3.4232999999999998</v>
      </c>
    </row>
    <row r="3061" spans="1:4" x14ac:dyDescent="0.2">
      <c r="A3061" s="5">
        <v>40778</v>
      </c>
      <c r="B3061" s="1">
        <v>2.153</v>
      </c>
      <c r="C3061" s="1">
        <v>2.12</v>
      </c>
      <c r="D3061" s="1">
        <v>3.4931000000000001</v>
      </c>
    </row>
    <row r="3062" spans="1:4" x14ac:dyDescent="0.2">
      <c r="A3062" s="5">
        <v>40779</v>
      </c>
      <c r="B3062" s="1">
        <v>2.2993999999999999</v>
      </c>
      <c r="C3062" s="1">
        <v>2.16</v>
      </c>
      <c r="D3062" s="1">
        <v>3.6534</v>
      </c>
    </row>
    <row r="3063" spans="1:4" x14ac:dyDescent="0.2">
      <c r="A3063" s="5">
        <v>40780</v>
      </c>
      <c r="B3063" s="1">
        <v>2.2286000000000001</v>
      </c>
      <c r="C3063" s="1">
        <v>2.13</v>
      </c>
      <c r="D3063" s="1">
        <v>3.6009000000000002</v>
      </c>
    </row>
    <row r="3064" spans="1:4" x14ac:dyDescent="0.2">
      <c r="A3064" s="5">
        <v>40781</v>
      </c>
      <c r="B3064" s="1">
        <v>2.1899000000000002</v>
      </c>
      <c r="C3064" s="1">
        <v>2.14</v>
      </c>
      <c r="D3064" s="1">
        <v>3.5350000000000001</v>
      </c>
    </row>
    <row r="3065" spans="1:4" x14ac:dyDescent="0.2">
      <c r="A3065" s="5">
        <v>40784</v>
      </c>
      <c r="B3065" s="1">
        <v>2.2561</v>
      </c>
      <c r="C3065" s="1">
        <v>2.14</v>
      </c>
      <c r="D3065" s="1">
        <v>3.5916000000000001</v>
      </c>
    </row>
    <row r="3066" spans="1:4" x14ac:dyDescent="0.2">
      <c r="A3066" s="5">
        <v>40785</v>
      </c>
      <c r="B3066" s="1">
        <v>2.1766999999999999</v>
      </c>
      <c r="C3066" s="1">
        <v>2.12</v>
      </c>
      <c r="D3066" s="1">
        <v>3.5225</v>
      </c>
    </row>
    <row r="3067" spans="1:4" x14ac:dyDescent="0.2">
      <c r="A3067" s="5">
        <v>40786</v>
      </c>
      <c r="B3067" s="1">
        <v>2.2233999999999998</v>
      </c>
      <c r="C3067" s="1">
        <v>2.08</v>
      </c>
      <c r="D3067" s="1">
        <v>3.6008</v>
      </c>
    </row>
    <row r="3068" spans="1:4" x14ac:dyDescent="0.2">
      <c r="A3068" s="5">
        <v>40787</v>
      </c>
      <c r="B3068" s="1">
        <v>2.1301999999999999</v>
      </c>
      <c r="C3068" s="1">
        <v>2.0699999999999998</v>
      </c>
      <c r="D3068" s="1">
        <v>3.4944999999999999</v>
      </c>
    </row>
    <row r="3069" spans="1:4" x14ac:dyDescent="0.2">
      <c r="A3069" s="5">
        <v>40788</v>
      </c>
      <c r="B3069" s="1">
        <v>1.9857</v>
      </c>
      <c r="C3069" s="1">
        <v>2.09</v>
      </c>
      <c r="D3069" s="1">
        <v>3.2968999999999999</v>
      </c>
    </row>
    <row r="3070" spans="1:4" x14ac:dyDescent="0.2">
      <c r="A3070" s="5">
        <v>40791</v>
      </c>
      <c r="B3070" s="1">
        <v>1.9857</v>
      </c>
      <c r="C3070" s="1">
        <v>2.09</v>
      </c>
      <c r="D3070" s="1">
        <v>3.2968999999999999</v>
      </c>
    </row>
    <row r="3071" spans="1:4" x14ac:dyDescent="0.2">
      <c r="A3071" s="5">
        <v>40792</v>
      </c>
      <c r="B3071" s="1">
        <v>1.984</v>
      </c>
      <c r="C3071" s="1">
        <v>2.13</v>
      </c>
      <c r="D3071" s="1">
        <v>3.2719999999999998</v>
      </c>
    </row>
    <row r="3072" spans="1:4" x14ac:dyDescent="0.2">
      <c r="A3072" s="5">
        <v>40793</v>
      </c>
      <c r="B3072" s="1">
        <v>2.0428999999999999</v>
      </c>
      <c r="C3072" s="1">
        <v>2.11</v>
      </c>
      <c r="D3072" s="1">
        <v>3.367</v>
      </c>
    </row>
    <row r="3073" spans="1:4" x14ac:dyDescent="0.2">
      <c r="A3073" s="5">
        <v>40794</v>
      </c>
      <c r="B3073" s="1">
        <v>1.9786999999999999</v>
      </c>
      <c r="C3073" s="1">
        <v>2.12</v>
      </c>
      <c r="D3073" s="1">
        <v>3.3086000000000002</v>
      </c>
    </row>
    <row r="3074" spans="1:4" x14ac:dyDescent="0.2">
      <c r="A3074" s="5">
        <v>40795</v>
      </c>
      <c r="B3074" s="1">
        <v>1.9182999999999999</v>
      </c>
      <c r="C3074" s="1">
        <v>2.15</v>
      </c>
      <c r="D3074" s="1">
        <v>3.2463000000000002</v>
      </c>
    </row>
    <row r="3075" spans="1:4" x14ac:dyDescent="0.2">
      <c r="A3075" s="5">
        <v>40798</v>
      </c>
      <c r="B3075" s="1">
        <v>1.9475</v>
      </c>
      <c r="C3075" s="1">
        <v>2.2000000000000002</v>
      </c>
      <c r="D3075" s="1">
        <v>3.2509000000000001</v>
      </c>
    </row>
    <row r="3076" spans="1:4" x14ac:dyDescent="0.2">
      <c r="A3076" s="5">
        <v>40799</v>
      </c>
      <c r="B3076" s="1">
        <v>1.9905999999999999</v>
      </c>
      <c r="C3076" s="1">
        <v>2.21</v>
      </c>
      <c r="D3076" s="1">
        <v>3.3273000000000001</v>
      </c>
    </row>
    <row r="3077" spans="1:4" x14ac:dyDescent="0.2">
      <c r="A3077" s="5">
        <v>40800</v>
      </c>
      <c r="B3077" s="1">
        <v>1.9837</v>
      </c>
      <c r="C3077" s="1">
        <v>2.2000000000000002</v>
      </c>
      <c r="D3077" s="1">
        <v>3.2709999999999999</v>
      </c>
    </row>
    <row r="3078" spans="1:4" x14ac:dyDescent="0.2">
      <c r="A3078" s="5">
        <v>40801</v>
      </c>
      <c r="B3078" s="1">
        <v>2.0819999999999999</v>
      </c>
      <c r="C3078" s="1">
        <v>2.2000000000000002</v>
      </c>
      <c r="D3078" s="1">
        <v>3.3565</v>
      </c>
    </row>
    <row r="3079" spans="1:4" x14ac:dyDescent="0.2">
      <c r="A3079" s="5">
        <v>40802</v>
      </c>
      <c r="B3079" s="1">
        <v>2.0478999999999998</v>
      </c>
      <c r="C3079" s="1">
        <v>2.2000000000000002</v>
      </c>
      <c r="D3079" s="1">
        <v>3.3130000000000002</v>
      </c>
    </row>
    <row r="3080" spans="1:4" x14ac:dyDescent="0.2">
      <c r="A3080" s="5">
        <v>40805</v>
      </c>
      <c r="B3080" s="1">
        <v>1.9505999999999999</v>
      </c>
      <c r="C3080" s="1">
        <v>2.23</v>
      </c>
      <c r="D3080" s="1">
        <v>3.2183999999999999</v>
      </c>
    </row>
    <row r="3081" spans="1:4" x14ac:dyDescent="0.2">
      <c r="A3081" s="5">
        <v>40806</v>
      </c>
      <c r="B3081" s="1">
        <v>1.9384999999999999</v>
      </c>
      <c r="C3081" s="1">
        <v>2.23</v>
      </c>
      <c r="D3081" s="1">
        <v>3.2023999999999999</v>
      </c>
    </row>
    <row r="3082" spans="1:4" x14ac:dyDescent="0.2">
      <c r="A3082" s="5">
        <v>40807</v>
      </c>
      <c r="B3082" s="1">
        <v>1.8575999999999999</v>
      </c>
      <c r="C3082" s="1">
        <v>2.23</v>
      </c>
      <c r="D3082" s="1">
        <v>2.9942000000000002</v>
      </c>
    </row>
    <row r="3083" spans="1:4" x14ac:dyDescent="0.2">
      <c r="A3083" s="5">
        <v>40808</v>
      </c>
      <c r="B3083" s="1">
        <v>1.718</v>
      </c>
      <c r="C3083" s="1">
        <v>2.31</v>
      </c>
      <c r="D3083" s="1">
        <v>2.7976999999999999</v>
      </c>
    </row>
    <row r="3084" spans="1:4" x14ac:dyDescent="0.2">
      <c r="A3084" s="5">
        <v>40809</v>
      </c>
      <c r="B3084" s="1">
        <v>1.8333999999999999</v>
      </c>
      <c r="C3084" s="1">
        <v>2.37</v>
      </c>
      <c r="D3084" s="1">
        <v>2.9001999999999999</v>
      </c>
    </row>
    <row r="3085" spans="1:4" x14ac:dyDescent="0.2">
      <c r="A3085" s="5">
        <v>40812</v>
      </c>
      <c r="B3085" s="1">
        <v>1.9001999999999999</v>
      </c>
      <c r="C3085" s="1">
        <v>2.36</v>
      </c>
      <c r="D3085" s="1">
        <v>2.9925000000000002</v>
      </c>
    </row>
    <row r="3086" spans="1:4" x14ac:dyDescent="0.2">
      <c r="A3086" s="5">
        <v>40813</v>
      </c>
      <c r="B3086" s="1">
        <v>1.9711000000000001</v>
      </c>
      <c r="C3086" s="1">
        <v>2.34</v>
      </c>
      <c r="D3086" s="1">
        <v>3.0693000000000001</v>
      </c>
    </row>
    <row r="3087" spans="1:4" x14ac:dyDescent="0.2">
      <c r="A3087" s="5">
        <v>40814</v>
      </c>
      <c r="B3087" s="1">
        <v>1.9797</v>
      </c>
      <c r="C3087" s="1">
        <v>2.35</v>
      </c>
      <c r="D3087" s="1">
        <v>3.07</v>
      </c>
    </row>
    <row r="3088" spans="1:4" x14ac:dyDescent="0.2">
      <c r="A3088" s="5">
        <v>40815</v>
      </c>
      <c r="B3088" s="1">
        <v>1.9962</v>
      </c>
      <c r="C3088" s="1">
        <v>2.36</v>
      </c>
      <c r="D3088" s="1">
        <v>3.0537000000000001</v>
      </c>
    </row>
    <row r="3089" spans="1:4" x14ac:dyDescent="0.2">
      <c r="A3089" s="5">
        <v>40816</v>
      </c>
      <c r="B3089" s="1">
        <v>1.9154</v>
      </c>
      <c r="C3089" s="1">
        <v>2.38</v>
      </c>
      <c r="D3089" s="1">
        <v>2.9134000000000002</v>
      </c>
    </row>
    <row r="3090" spans="1:4" x14ac:dyDescent="0.2">
      <c r="A3090" s="5">
        <v>40819</v>
      </c>
      <c r="B3090" s="1">
        <v>1.756</v>
      </c>
      <c r="C3090" s="1">
        <v>2.4300000000000002</v>
      </c>
      <c r="D3090" s="1">
        <v>2.7246000000000001</v>
      </c>
    </row>
    <row r="3091" spans="1:4" x14ac:dyDescent="0.2">
      <c r="A3091" s="5">
        <v>40820</v>
      </c>
      <c r="B3091" s="1">
        <v>1.8207</v>
      </c>
      <c r="C3091" s="1">
        <v>2.52</v>
      </c>
      <c r="D3091" s="1">
        <v>2.8039000000000001</v>
      </c>
    </row>
    <row r="3092" spans="1:4" x14ac:dyDescent="0.2">
      <c r="A3092" s="5">
        <v>40821</v>
      </c>
      <c r="B3092" s="1">
        <v>1.8876999999999999</v>
      </c>
      <c r="C3092" s="1">
        <v>2.52</v>
      </c>
      <c r="D3092" s="1">
        <v>2.8519000000000001</v>
      </c>
    </row>
    <row r="3093" spans="1:4" x14ac:dyDescent="0.2">
      <c r="A3093" s="5">
        <v>40822</v>
      </c>
      <c r="B3093" s="1">
        <v>1.9872000000000001</v>
      </c>
      <c r="C3093" s="1">
        <v>2.4900000000000002</v>
      </c>
      <c r="D3093" s="1">
        <v>2.9496000000000002</v>
      </c>
    </row>
    <row r="3094" spans="1:4" x14ac:dyDescent="0.2">
      <c r="A3094" s="5">
        <v>40823</v>
      </c>
      <c r="B3094" s="1">
        <v>2.0764</v>
      </c>
      <c r="C3094" s="1">
        <v>2.4700000000000002</v>
      </c>
      <c r="D3094" s="1">
        <v>3.0167000000000002</v>
      </c>
    </row>
    <row r="3095" spans="1:4" x14ac:dyDescent="0.2">
      <c r="A3095" s="5">
        <v>40826</v>
      </c>
      <c r="B3095" s="1">
        <v>2.0764</v>
      </c>
      <c r="C3095" s="1">
        <v>2.4700000000000002</v>
      </c>
      <c r="D3095" s="1">
        <v>3.0167000000000002</v>
      </c>
    </row>
    <row r="3096" spans="1:4" x14ac:dyDescent="0.2">
      <c r="A3096" s="5">
        <v>40827</v>
      </c>
      <c r="B3096" s="1">
        <v>2.1496</v>
      </c>
      <c r="C3096" s="1">
        <v>2.41</v>
      </c>
      <c r="D3096" s="1">
        <v>3.0998999999999999</v>
      </c>
    </row>
    <row r="3097" spans="1:4" x14ac:dyDescent="0.2">
      <c r="A3097" s="5">
        <v>40828</v>
      </c>
      <c r="B3097" s="1">
        <v>2.2101000000000002</v>
      </c>
      <c r="C3097" s="1">
        <v>2.37</v>
      </c>
      <c r="D3097" s="1">
        <v>3.1964000000000001</v>
      </c>
    </row>
    <row r="3098" spans="1:4" x14ac:dyDescent="0.2">
      <c r="A3098" s="5">
        <v>40829</v>
      </c>
      <c r="B3098" s="1">
        <v>2.1833999999999998</v>
      </c>
      <c r="C3098" s="1">
        <v>2.35</v>
      </c>
      <c r="D3098" s="1">
        <v>3.1507999999999998</v>
      </c>
    </row>
    <row r="3099" spans="1:4" x14ac:dyDescent="0.2">
      <c r="A3099" s="5">
        <v>40830</v>
      </c>
      <c r="B3099" s="1">
        <v>2.2477</v>
      </c>
      <c r="C3099" s="1">
        <v>2.31</v>
      </c>
      <c r="D3099" s="1">
        <v>3.2315</v>
      </c>
    </row>
    <row r="3100" spans="1:4" x14ac:dyDescent="0.2">
      <c r="A3100" s="5">
        <v>40833</v>
      </c>
      <c r="B3100" s="1">
        <v>2.1549999999999998</v>
      </c>
      <c r="C3100" s="1">
        <v>2.2999999999999998</v>
      </c>
      <c r="D3100" s="1">
        <v>3.1303999999999998</v>
      </c>
    </row>
    <row r="3101" spans="1:4" x14ac:dyDescent="0.2">
      <c r="A3101" s="5">
        <v>40834</v>
      </c>
      <c r="B3101" s="1">
        <v>2.1762999999999999</v>
      </c>
      <c r="C3101" s="1">
        <v>2.2999999999999998</v>
      </c>
      <c r="D3101" s="1">
        <v>3.1718000000000002</v>
      </c>
    </row>
    <row r="3102" spans="1:4" x14ac:dyDescent="0.2">
      <c r="A3102" s="5">
        <v>40835</v>
      </c>
      <c r="B3102" s="1">
        <v>2.1602999999999999</v>
      </c>
      <c r="C3102" s="1">
        <v>2.2400000000000002</v>
      </c>
      <c r="D3102" s="1">
        <v>3.1756000000000002</v>
      </c>
    </row>
    <row r="3103" spans="1:4" x14ac:dyDescent="0.2">
      <c r="A3103" s="5">
        <v>40836</v>
      </c>
      <c r="B3103" s="1">
        <v>2.1888000000000001</v>
      </c>
      <c r="C3103" s="1">
        <v>2.21</v>
      </c>
      <c r="D3103" s="1">
        <v>3.2160000000000002</v>
      </c>
    </row>
    <row r="3104" spans="1:4" x14ac:dyDescent="0.2">
      <c r="A3104" s="5">
        <v>40837</v>
      </c>
      <c r="B3104" s="1">
        <v>2.2191999999999998</v>
      </c>
      <c r="C3104" s="1">
        <v>2.1800000000000002</v>
      </c>
      <c r="D3104" s="1">
        <v>3.2637999999999998</v>
      </c>
    </row>
    <row r="3105" spans="1:4" x14ac:dyDescent="0.2">
      <c r="A3105" s="5">
        <v>40840</v>
      </c>
      <c r="B3105" s="1">
        <v>2.2336</v>
      </c>
      <c r="C3105" s="1">
        <v>2.14</v>
      </c>
      <c r="D3105" s="1">
        <v>3.2707000000000002</v>
      </c>
    </row>
    <row r="3106" spans="1:4" x14ac:dyDescent="0.2">
      <c r="A3106" s="5">
        <v>40841</v>
      </c>
      <c r="B3106" s="1">
        <v>2.1089000000000002</v>
      </c>
      <c r="C3106" s="1">
        <v>2.12</v>
      </c>
      <c r="D3106" s="1">
        <v>3.1301000000000001</v>
      </c>
    </row>
    <row r="3107" spans="1:4" x14ac:dyDescent="0.2">
      <c r="A3107" s="5">
        <v>40842</v>
      </c>
      <c r="B3107" s="1">
        <v>2.2040999999999999</v>
      </c>
      <c r="C3107" s="1">
        <v>2.11</v>
      </c>
      <c r="D3107" s="1">
        <v>3.2204999999999999</v>
      </c>
    </row>
    <row r="3108" spans="1:4" x14ac:dyDescent="0.2">
      <c r="A3108" s="5">
        <v>40843</v>
      </c>
      <c r="B3108" s="1">
        <v>2.3963999999999999</v>
      </c>
      <c r="C3108" s="1">
        <v>2.02</v>
      </c>
      <c r="D3108" s="1">
        <v>3.4561000000000002</v>
      </c>
    </row>
    <row r="3109" spans="1:4" x14ac:dyDescent="0.2">
      <c r="A3109" s="5">
        <v>40844</v>
      </c>
      <c r="B3109" s="1">
        <v>2.3167</v>
      </c>
      <c r="C3109" s="1">
        <v>2</v>
      </c>
      <c r="D3109" s="1">
        <v>3.3754</v>
      </c>
    </row>
    <row r="3110" spans="1:4" x14ac:dyDescent="0.2">
      <c r="A3110" s="5">
        <v>40847</v>
      </c>
      <c r="B3110" s="1">
        <v>2.1133000000000002</v>
      </c>
      <c r="C3110" s="1">
        <v>2.02</v>
      </c>
      <c r="D3110" s="1">
        <v>3.1307</v>
      </c>
    </row>
    <row r="3111" spans="1:4" x14ac:dyDescent="0.2">
      <c r="A3111" s="5">
        <v>40848</v>
      </c>
      <c r="B3111" s="1">
        <v>1.9888999999999999</v>
      </c>
      <c r="C3111" s="1">
        <v>2.08</v>
      </c>
      <c r="D3111" s="1">
        <v>2.9998</v>
      </c>
    </row>
    <row r="3112" spans="1:4" x14ac:dyDescent="0.2">
      <c r="A3112" s="5">
        <v>40849</v>
      </c>
      <c r="B3112" s="1">
        <v>1.9854000000000001</v>
      </c>
      <c r="C3112" s="1">
        <v>2.08</v>
      </c>
      <c r="D3112" s="1">
        <v>3.0129000000000001</v>
      </c>
    </row>
    <row r="3113" spans="1:4" x14ac:dyDescent="0.2">
      <c r="A3113" s="5">
        <v>40850</v>
      </c>
      <c r="B3113" s="1">
        <v>2.0733999999999999</v>
      </c>
      <c r="C3113" s="1">
        <v>2.0699999999999998</v>
      </c>
      <c r="D3113" s="1">
        <v>3.1215999999999999</v>
      </c>
    </row>
    <row r="3114" spans="1:4" x14ac:dyDescent="0.2">
      <c r="A3114" s="5">
        <v>40851</v>
      </c>
      <c r="B3114" s="1">
        <v>2.0327000000000002</v>
      </c>
      <c r="C3114" s="1">
        <v>2.0699999999999998</v>
      </c>
      <c r="D3114" s="1">
        <v>3.0916000000000001</v>
      </c>
    </row>
    <row r="3115" spans="1:4" x14ac:dyDescent="0.2">
      <c r="A3115" s="5">
        <v>40854</v>
      </c>
      <c r="B3115" s="1">
        <v>2.0371000000000001</v>
      </c>
      <c r="C3115" s="1">
        <v>2.08</v>
      </c>
      <c r="D3115" s="1">
        <v>3.0996999999999999</v>
      </c>
    </row>
    <row r="3116" spans="1:4" x14ac:dyDescent="0.2">
      <c r="A3116" s="5">
        <v>40855</v>
      </c>
      <c r="B3116" s="1">
        <v>2.0769000000000002</v>
      </c>
      <c r="C3116" s="1">
        <v>2.11</v>
      </c>
      <c r="D3116" s="1">
        <v>3.1372</v>
      </c>
    </row>
    <row r="3117" spans="1:4" x14ac:dyDescent="0.2">
      <c r="A3117" s="5">
        <v>40856</v>
      </c>
      <c r="B3117" s="1">
        <v>1.9615</v>
      </c>
      <c r="C3117" s="1">
        <v>2.1800000000000002</v>
      </c>
      <c r="D3117" s="1">
        <v>3.028</v>
      </c>
    </row>
    <row r="3118" spans="1:4" x14ac:dyDescent="0.2">
      <c r="A3118" s="5">
        <v>40857</v>
      </c>
      <c r="B3118" s="1">
        <v>2.0564</v>
      </c>
      <c r="C3118" s="1">
        <v>2.19</v>
      </c>
      <c r="D3118" s="1">
        <v>3.1063000000000001</v>
      </c>
    </row>
    <row r="3119" spans="1:4" x14ac:dyDescent="0.2">
      <c r="A3119" s="5">
        <v>40858</v>
      </c>
      <c r="B3119" s="1">
        <v>2.0564</v>
      </c>
      <c r="C3119" s="1">
        <v>2.19</v>
      </c>
      <c r="D3119" s="1">
        <v>3.13</v>
      </c>
    </row>
    <row r="3120" spans="1:4" x14ac:dyDescent="0.2">
      <c r="A3120" s="5">
        <v>40861</v>
      </c>
      <c r="B3120" s="1">
        <v>2.0556000000000001</v>
      </c>
      <c r="C3120" s="1">
        <v>2.19</v>
      </c>
      <c r="D3120" s="1">
        <v>3.1057000000000001</v>
      </c>
    </row>
    <row r="3121" spans="1:4" x14ac:dyDescent="0.2">
      <c r="A3121" s="5">
        <v>40862</v>
      </c>
      <c r="B3121" s="1">
        <v>2.0451000000000001</v>
      </c>
      <c r="C3121" s="1">
        <v>2.25</v>
      </c>
      <c r="D3121" s="1">
        <v>3.0840999999999998</v>
      </c>
    </row>
    <row r="3122" spans="1:4" x14ac:dyDescent="0.2">
      <c r="A3122" s="5">
        <v>40863</v>
      </c>
      <c r="B3122" s="1">
        <v>2</v>
      </c>
      <c r="C3122" s="1">
        <v>2.27</v>
      </c>
      <c r="D3122" s="1">
        <v>3.0301999999999998</v>
      </c>
    </row>
    <row r="3123" spans="1:4" x14ac:dyDescent="0.2">
      <c r="A3123" s="5">
        <v>40864</v>
      </c>
      <c r="B3123" s="1">
        <v>1.9601999999999999</v>
      </c>
      <c r="C3123" s="1">
        <v>2.3199999999999998</v>
      </c>
      <c r="D3123" s="1">
        <v>2.9809000000000001</v>
      </c>
    </row>
    <row r="3124" spans="1:4" x14ac:dyDescent="0.2">
      <c r="A3124" s="5">
        <v>40865</v>
      </c>
      <c r="B3124" s="1">
        <v>2.0104000000000002</v>
      </c>
      <c r="C3124" s="1">
        <v>2.3199999999999998</v>
      </c>
      <c r="D3124" s="1">
        <v>2.9941</v>
      </c>
    </row>
    <row r="3125" spans="1:4" x14ac:dyDescent="0.2">
      <c r="A3125" s="5">
        <v>40868</v>
      </c>
      <c r="B3125" s="1">
        <v>1.9550000000000001</v>
      </c>
      <c r="C3125" s="1">
        <v>2.37</v>
      </c>
      <c r="D3125" s="1">
        <v>2.9437000000000002</v>
      </c>
    </row>
    <row r="3126" spans="1:4" x14ac:dyDescent="0.2">
      <c r="A3126" s="5">
        <v>40869</v>
      </c>
      <c r="B3126" s="1">
        <v>1.917</v>
      </c>
      <c r="C3126" s="1">
        <v>2.41</v>
      </c>
      <c r="D3126" s="1">
        <v>2.8803000000000001</v>
      </c>
    </row>
    <row r="3127" spans="1:4" x14ac:dyDescent="0.2">
      <c r="A3127" s="5">
        <v>40870</v>
      </c>
      <c r="B3127" s="1">
        <v>1.8835</v>
      </c>
      <c r="C3127" s="1">
        <v>2.46</v>
      </c>
      <c r="D3127" s="1">
        <v>2.8342999999999998</v>
      </c>
    </row>
    <row r="3128" spans="1:4" x14ac:dyDescent="0.2">
      <c r="A3128" s="5">
        <v>40871</v>
      </c>
      <c r="B3128" s="1">
        <v>1.8835</v>
      </c>
      <c r="C3128" s="1">
        <v>2.46</v>
      </c>
      <c r="D3128" s="1">
        <v>2.8342999999999998</v>
      </c>
    </row>
    <row r="3129" spans="1:4" x14ac:dyDescent="0.2">
      <c r="A3129" s="5">
        <v>40872</v>
      </c>
      <c r="B3129" s="1">
        <v>1.9635</v>
      </c>
      <c r="C3129" s="1">
        <v>2.4900000000000002</v>
      </c>
      <c r="D3129" s="1">
        <v>2.9190999999999998</v>
      </c>
    </row>
    <row r="3130" spans="1:4" x14ac:dyDescent="0.2">
      <c r="A3130" s="5">
        <v>40875</v>
      </c>
      <c r="B3130" s="1">
        <v>1.9739</v>
      </c>
      <c r="C3130" s="1">
        <v>2.4500000000000002</v>
      </c>
      <c r="D3130" s="1">
        <v>2.9289999999999998</v>
      </c>
    </row>
    <row r="3131" spans="1:4" x14ac:dyDescent="0.2">
      <c r="A3131" s="5">
        <v>40876</v>
      </c>
      <c r="B3131" s="1">
        <v>1.9913000000000001</v>
      </c>
      <c r="C3131" s="1">
        <v>2.46</v>
      </c>
      <c r="D3131" s="1">
        <v>2.9567000000000001</v>
      </c>
    </row>
    <row r="3132" spans="1:4" x14ac:dyDescent="0.2">
      <c r="A3132" s="5">
        <v>40877</v>
      </c>
      <c r="B3132" s="1">
        <v>2.0680000000000001</v>
      </c>
      <c r="C3132" s="1">
        <v>2.4300000000000002</v>
      </c>
      <c r="D3132" s="1">
        <v>3.0554000000000001</v>
      </c>
    </row>
    <row r="3133" spans="1:4" x14ac:dyDescent="0.2">
      <c r="A3133" s="5">
        <v>40878</v>
      </c>
      <c r="B3133" s="1">
        <v>2.0872999999999999</v>
      </c>
      <c r="C3133" s="1">
        <v>2.4300000000000002</v>
      </c>
      <c r="D3133" s="1">
        <v>3.0912000000000002</v>
      </c>
    </row>
    <row r="3134" spans="1:4" x14ac:dyDescent="0.2">
      <c r="A3134" s="5">
        <v>40879</v>
      </c>
      <c r="B3134" s="1">
        <v>2.0331000000000001</v>
      </c>
      <c r="C3134" s="1">
        <v>2.37</v>
      </c>
      <c r="D3134" s="1">
        <v>3.0236999999999998</v>
      </c>
    </row>
    <row r="3135" spans="1:4" x14ac:dyDescent="0.2">
      <c r="A3135" s="5">
        <v>40882</v>
      </c>
      <c r="B3135" s="1">
        <v>2.0436000000000001</v>
      </c>
      <c r="C3135" s="1">
        <v>2.3199999999999998</v>
      </c>
      <c r="D3135" s="1">
        <v>3.0276999999999998</v>
      </c>
    </row>
    <row r="3136" spans="1:4" x14ac:dyDescent="0.2">
      <c r="A3136" s="5">
        <v>40883</v>
      </c>
      <c r="B3136" s="1">
        <v>2.0891000000000002</v>
      </c>
      <c r="C3136" s="1">
        <v>2.3199999999999998</v>
      </c>
      <c r="D3136" s="1">
        <v>3.0983999999999998</v>
      </c>
    </row>
    <row r="3137" spans="1:4" x14ac:dyDescent="0.2">
      <c r="A3137" s="5">
        <v>40884</v>
      </c>
      <c r="B3137" s="1">
        <v>2.0295999999999998</v>
      </c>
      <c r="C3137" s="1">
        <v>2.3199999999999998</v>
      </c>
      <c r="D3137" s="1">
        <v>3.0617000000000001</v>
      </c>
    </row>
    <row r="3138" spans="1:4" x14ac:dyDescent="0.2">
      <c r="A3138" s="5">
        <v>40885</v>
      </c>
      <c r="B3138" s="1">
        <v>1.9703999999999999</v>
      </c>
      <c r="C3138" s="1">
        <v>2.33</v>
      </c>
      <c r="D3138" s="1">
        <v>2.9969999999999999</v>
      </c>
    </row>
    <row r="3139" spans="1:4" x14ac:dyDescent="0.2">
      <c r="A3139" s="5">
        <v>40886</v>
      </c>
      <c r="B3139" s="1">
        <v>2.0611000000000002</v>
      </c>
      <c r="C3139" s="1">
        <v>2.35</v>
      </c>
      <c r="D3139" s="1">
        <v>3.1072000000000002</v>
      </c>
    </row>
    <row r="3140" spans="1:4" x14ac:dyDescent="0.2">
      <c r="A3140" s="5">
        <v>40889</v>
      </c>
      <c r="B3140" s="1">
        <v>2.0121000000000002</v>
      </c>
      <c r="C3140" s="1">
        <v>2.36</v>
      </c>
      <c r="D3140" s="1">
        <v>3.0505</v>
      </c>
    </row>
    <row r="3141" spans="1:4" x14ac:dyDescent="0.2">
      <c r="A3141" s="5">
        <v>40890</v>
      </c>
      <c r="B3141" s="1">
        <v>1.9651000000000001</v>
      </c>
      <c r="C3141" s="1">
        <v>2.36</v>
      </c>
      <c r="D3141" s="1">
        <v>3.0110999999999999</v>
      </c>
    </row>
    <row r="3142" spans="1:4" x14ac:dyDescent="0.2">
      <c r="A3142" s="5">
        <v>40891</v>
      </c>
      <c r="B3142" s="1">
        <v>1.9027000000000001</v>
      </c>
      <c r="C3142" s="1">
        <v>2.37</v>
      </c>
      <c r="D3142" s="1">
        <v>2.9028</v>
      </c>
    </row>
    <row r="3143" spans="1:4" x14ac:dyDescent="0.2">
      <c r="A3143" s="5">
        <v>40892</v>
      </c>
      <c r="B3143" s="1">
        <v>1.9078999999999999</v>
      </c>
      <c r="C3143" s="1">
        <v>2.39</v>
      </c>
      <c r="D3143" s="1">
        <v>2.9173</v>
      </c>
    </row>
    <row r="3144" spans="1:4" x14ac:dyDescent="0.2">
      <c r="A3144" s="5">
        <v>40893</v>
      </c>
      <c r="B3144" s="1">
        <v>1.8473999999999999</v>
      </c>
      <c r="C3144" s="1">
        <v>2.39</v>
      </c>
      <c r="D3144" s="1">
        <v>2.8511000000000002</v>
      </c>
    </row>
    <row r="3145" spans="1:4" x14ac:dyDescent="0.2">
      <c r="A3145" s="5">
        <v>40896</v>
      </c>
      <c r="B3145" s="1">
        <v>1.8096000000000001</v>
      </c>
      <c r="C3145" s="1">
        <v>2.38</v>
      </c>
      <c r="D3145" s="1">
        <v>2.7860999999999998</v>
      </c>
    </row>
    <row r="3146" spans="1:4" x14ac:dyDescent="0.2">
      <c r="A3146" s="5">
        <v>40897</v>
      </c>
      <c r="B3146" s="1">
        <v>1.9233</v>
      </c>
      <c r="C3146" s="1">
        <v>2.38</v>
      </c>
      <c r="D3146" s="1">
        <v>2.9264000000000001</v>
      </c>
    </row>
    <row r="3147" spans="1:4" x14ac:dyDescent="0.2">
      <c r="A3147" s="5">
        <v>40898</v>
      </c>
      <c r="B3147" s="1">
        <v>1.9668000000000001</v>
      </c>
      <c r="C3147" s="1">
        <v>2.38</v>
      </c>
      <c r="D3147" s="1">
        <v>3.0007999999999999</v>
      </c>
    </row>
    <row r="3148" spans="1:4" x14ac:dyDescent="0.2">
      <c r="A3148" s="5">
        <v>40899</v>
      </c>
      <c r="B3148" s="1">
        <v>1.9476</v>
      </c>
      <c r="C3148" s="1">
        <v>2.37</v>
      </c>
      <c r="D3148" s="1">
        <v>2.9805000000000001</v>
      </c>
    </row>
    <row r="3149" spans="1:4" x14ac:dyDescent="0.2">
      <c r="A3149" s="5">
        <v>40900</v>
      </c>
      <c r="B3149" s="1">
        <v>2.0244</v>
      </c>
      <c r="C3149" s="1">
        <v>2.37</v>
      </c>
      <c r="D3149" s="1">
        <v>3.0568</v>
      </c>
    </row>
    <row r="3150" spans="1:4" x14ac:dyDescent="0.2">
      <c r="A3150" s="5">
        <v>40903</v>
      </c>
      <c r="B3150" s="1">
        <v>2.0244</v>
      </c>
      <c r="C3150" s="1">
        <v>2.37</v>
      </c>
      <c r="D3150" s="1">
        <v>3.0568</v>
      </c>
    </row>
    <row r="3151" spans="1:4" x14ac:dyDescent="0.2">
      <c r="A3151" s="5">
        <v>40904</v>
      </c>
      <c r="B3151" s="1">
        <v>2.0051999999999999</v>
      </c>
      <c r="C3151" s="1">
        <v>2.36</v>
      </c>
      <c r="D3151" s="1">
        <v>3.0314000000000001</v>
      </c>
    </row>
    <row r="3152" spans="1:4" x14ac:dyDescent="0.2">
      <c r="A3152" s="5">
        <v>40905</v>
      </c>
      <c r="B3152" s="1">
        <v>1.9161999999999999</v>
      </c>
      <c r="C3152" s="1">
        <v>2.35</v>
      </c>
      <c r="D3152" s="1">
        <v>2.9201999999999999</v>
      </c>
    </row>
    <row r="3153" spans="1:4" x14ac:dyDescent="0.2">
      <c r="A3153" s="5">
        <v>40906</v>
      </c>
      <c r="B3153" s="1">
        <v>1.8988</v>
      </c>
      <c r="C3153" s="1">
        <v>2.34</v>
      </c>
      <c r="D3153" s="1">
        <v>2.9024999999999999</v>
      </c>
    </row>
    <row r="3154" spans="1:4" x14ac:dyDescent="0.2">
      <c r="A3154" s="5">
        <v>40907</v>
      </c>
      <c r="B3154" s="1">
        <v>1.8762000000000001</v>
      </c>
      <c r="C3154" s="1">
        <v>2.34</v>
      </c>
      <c r="D3154" s="1">
        <v>2.8940999999999999</v>
      </c>
    </row>
    <row r="3155" spans="1:4" x14ac:dyDescent="0.2">
      <c r="A3155" s="5">
        <v>40910</v>
      </c>
      <c r="B3155" s="1">
        <v>1.8762000000000001</v>
      </c>
      <c r="C3155" s="1">
        <v>2.34</v>
      </c>
      <c r="D3155" s="1">
        <v>2.8940999999999999</v>
      </c>
    </row>
    <row r="3156" spans="1:4" x14ac:dyDescent="0.2">
      <c r="A3156" s="5">
        <v>40911</v>
      </c>
      <c r="B3156" s="1">
        <v>1.9474</v>
      </c>
      <c r="C3156" s="1">
        <v>2.33</v>
      </c>
      <c r="D3156" s="1">
        <v>2.9811999999999999</v>
      </c>
    </row>
    <row r="3157" spans="1:4" x14ac:dyDescent="0.2">
      <c r="A3157" s="5">
        <v>40912</v>
      </c>
      <c r="B3157" s="1">
        <v>1.9771000000000001</v>
      </c>
      <c r="C3157" s="1">
        <v>2.31</v>
      </c>
      <c r="D3157" s="1">
        <v>3.0274000000000001</v>
      </c>
    </row>
    <row r="3158" spans="1:4" x14ac:dyDescent="0.2">
      <c r="A3158" s="5">
        <v>40913</v>
      </c>
      <c r="B3158" s="1">
        <v>1.9945999999999999</v>
      </c>
      <c r="C3158" s="1">
        <v>2.31</v>
      </c>
      <c r="D3158" s="1">
        <v>3.0607000000000002</v>
      </c>
    </row>
    <row r="3159" spans="1:4" x14ac:dyDescent="0.2">
      <c r="A3159" s="5">
        <v>40914</v>
      </c>
      <c r="B3159" s="1">
        <v>1.9578</v>
      </c>
      <c r="C3159" s="1">
        <v>2.2999999999999998</v>
      </c>
      <c r="D3159" s="1">
        <v>3.0156000000000001</v>
      </c>
    </row>
    <row r="3160" spans="1:4" x14ac:dyDescent="0.2">
      <c r="A3160" s="5">
        <v>40917</v>
      </c>
      <c r="B3160" s="1">
        <v>1.9578</v>
      </c>
      <c r="C3160" s="1">
        <v>2.2799999999999998</v>
      </c>
      <c r="D3160" s="1">
        <v>3.0266000000000002</v>
      </c>
    </row>
    <row r="3161" spans="1:4" x14ac:dyDescent="0.2">
      <c r="A3161" s="5">
        <v>40918</v>
      </c>
      <c r="B3161" s="1">
        <v>1.9682999999999999</v>
      </c>
      <c r="C3161" s="1">
        <v>2.2599999999999998</v>
      </c>
      <c r="D3161" s="1">
        <v>3.0242</v>
      </c>
    </row>
    <row r="3162" spans="1:4" x14ac:dyDescent="0.2">
      <c r="A3162" s="5">
        <v>40919</v>
      </c>
      <c r="B3162" s="1">
        <v>1.9036999999999999</v>
      </c>
      <c r="C3162" s="1">
        <v>2.27</v>
      </c>
      <c r="D3162" s="1">
        <v>2.9632000000000001</v>
      </c>
    </row>
    <row r="3163" spans="1:4" x14ac:dyDescent="0.2">
      <c r="A3163" s="5">
        <v>40920</v>
      </c>
      <c r="B3163" s="1">
        <v>1.9228000000000001</v>
      </c>
      <c r="C3163" s="1">
        <v>2.2599999999999998</v>
      </c>
      <c r="D3163" s="1">
        <v>2.9710000000000001</v>
      </c>
    </row>
    <row r="3164" spans="1:4" x14ac:dyDescent="0.2">
      <c r="A3164" s="5">
        <v>40921</v>
      </c>
      <c r="B3164" s="1">
        <v>1.8635999999999999</v>
      </c>
      <c r="C3164" s="1">
        <v>2.25</v>
      </c>
      <c r="D3164" s="1">
        <v>2.91</v>
      </c>
    </row>
    <row r="3165" spans="1:4" x14ac:dyDescent="0.2">
      <c r="A3165" s="5">
        <v>40924</v>
      </c>
      <c r="B3165" s="1">
        <v>1.8635999999999999</v>
      </c>
      <c r="C3165" s="1">
        <v>2.25</v>
      </c>
      <c r="D3165" s="1">
        <v>2.91</v>
      </c>
    </row>
    <row r="3166" spans="1:4" x14ac:dyDescent="0.2">
      <c r="A3166" s="5">
        <v>40925</v>
      </c>
      <c r="B3166" s="1">
        <v>1.8566</v>
      </c>
      <c r="C3166" s="1">
        <v>2.2400000000000002</v>
      </c>
      <c r="D3166" s="1">
        <v>2.8984999999999999</v>
      </c>
    </row>
    <row r="3167" spans="1:4" x14ac:dyDescent="0.2">
      <c r="A3167" s="5">
        <v>40926</v>
      </c>
      <c r="B3167" s="1">
        <v>1.8983000000000001</v>
      </c>
      <c r="C3167" s="1">
        <v>2.2200000000000002</v>
      </c>
      <c r="D3167" s="1">
        <v>2.9561999999999999</v>
      </c>
    </row>
    <row r="3168" spans="1:4" x14ac:dyDescent="0.2">
      <c r="A3168" s="5">
        <v>40927</v>
      </c>
      <c r="B3168" s="1">
        <v>1.9770000000000001</v>
      </c>
      <c r="C3168" s="1">
        <v>2.19</v>
      </c>
      <c r="D3168" s="1">
        <v>3.0415999999999999</v>
      </c>
    </row>
    <row r="3169" spans="1:4" x14ac:dyDescent="0.2">
      <c r="A3169" s="5">
        <v>40928</v>
      </c>
      <c r="B3169" s="1">
        <v>2.0246</v>
      </c>
      <c r="C3169" s="1">
        <v>2.17</v>
      </c>
      <c r="D3169" s="1">
        <v>3.0998000000000001</v>
      </c>
    </row>
    <row r="3170" spans="1:4" x14ac:dyDescent="0.2">
      <c r="A3170" s="5">
        <v>40931</v>
      </c>
      <c r="B3170" s="1">
        <v>2.0510999999999999</v>
      </c>
      <c r="C3170" s="1">
        <v>2.14</v>
      </c>
      <c r="D3170" s="1">
        <v>3.1297000000000001</v>
      </c>
    </row>
    <row r="3171" spans="1:4" x14ac:dyDescent="0.2">
      <c r="A3171" s="5">
        <v>40932</v>
      </c>
      <c r="B3171" s="1">
        <v>2.06</v>
      </c>
      <c r="C3171" s="1">
        <v>2.13</v>
      </c>
      <c r="D3171" s="1">
        <v>3.1492</v>
      </c>
    </row>
    <row r="3172" spans="1:4" x14ac:dyDescent="0.2">
      <c r="A3172" s="5">
        <v>40933</v>
      </c>
      <c r="B3172" s="1">
        <v>1.9945999999999999</v>
      </c>
      <c r="C3172" s="1">
        <v>2.12</v>
      </c>
      <c r="D3172" s="1">
        <v>3.1484000000000001</v>
      </c>
    </row>
    <row r="3173" spans="1:4" x14ac:dyDescent="0.2">
      <c r="A3173" s="5">
        <v>40934</v>
      </c>
      <c r="B3173" s="1">
        <v>1.9313</v>
      </c>
      <c r="C3173" s="1">
        <v>2.08</v>
      </c>
      <c r="D3173" s="1">
        <v>3.0901999999999998</v>
      </c>
    </row>
    <row r="3174" spans="1:4" x14ac:dyDescent="0.2">
      <c r="A3174" s="5">
        <v>40935</v>
      </c>
      <c r="B3174" s="1">
        <v>1.891</v>
      </c>
      <c r="C3174" s="1">
        <v>2.0699999999999998</v>
      </c>
      <c r="D3174" s="1">
        <v>3.0573999999999999</v>
      </c>
    </row>
    <row r="3175" spans="1:4" x14ac:dyDescent="0.2">
      <c r="A3175" s="5">
        <v>40938</v>
      </c>
      <c r="B3175" s="1">
        <v>1.8439000000000001</v>
      </c>
      <c r="C3175" s="1">
        <v>2.0699999999999998</v>
      </c>
      <c r="D3175" s="1">
        <v>2.9988999999999999</v>
      </c>
    </row>
    <row r="3176" spans="1:4" x14ac:dyDescent="0.2">
      <c r="A3176" s="5">
        <v>40939</v>
      </c>
      <c r="B3176" s="1">
        <v>1.7970999999999999</v>
      </c>
      <c r="C3176" s="1">
        <v>2.06</v>
      </c>
      <c r="D3176" s="1">
        <v>2.9375</v>
      </c>
    </row>
    <row r="3177" spans="1:4" x14ac:dyDescent="0.2">
      <c r="A3177" s="5">
        <v>40940</v>
      </c>
      <c r="B3177" s="1">
        <v>1.8265</v>
      </c>
      <c r="C3177" s="1">
        <v>2.0499999999999998</v>
      </c>
      <c r="D3177" s="1">
        <v>2.9918999999999998</v>
      </c>
    </row>
    <row r="3178" spans="1:4" x14ac:dyDescent="0.2">
      <c r="A3178" s="5">
        <v>40941</v>
      </c>
      <c r="B3178" s="1">
        <v>1.8211999999999999</v>
      </c>
      <c r="C3178" s="1">
        <v>2.0299999999999998</v>
      </c>
      <c r="D3178" s="1">
        <v>3.0028000000000001</v>
      </c>
    </row>
    <row r="3179" spans="1:4" x14ac:dyDescent="0.2">
      <c r="A3179" s="5">
        <v>40942</v>
      </c>
      <c r="B3179" s="1">
        <v>1.9224000000000001</v>
      </c>
      <c r="C3179" s="1">
        <v>2</v>
      </c>
      <c r="D3179" s="1">
        <v>3.1192000000000002</v>
      </c>
    </row>
    <row r="3180" spans="1:4" x14ac:dyDescent="0.2">
      <c r="A3180" s="5">
        <v>40945</v>
      </c>
      <c r="B3180" s="1">
        <v>1.9066000000000001</v>
      </c>
      <c r="C3180" s="1">
        <v>1.96</v>
      </c>
      <c r="D3180" s="1">
        <v>3.0966</v>
      </c>
    </row>
    <row r="3181" spans="1:4" x14ac:dyDescent="0.2">
      <c r="A3181" s="5">
        <v>40946</v>
      </c>
      <c r="B3181" s="1">
        <v>1.9734</v>
      </c>
      <c r="C3181" s="1">
        <v>1.94</v>
      </c>
      <c r="D3181" s="1">
        <v>3.1435</v>
      </c>
    </row>
    <row r="3182" spans="1:4" x14ac:dyDescent="0.2">
      <c r="A3182" s="5">
        <v>40947</v>
      </c>
      <c r="B3182" s="1">
        <v>1.9822</v>
      </c>
      <c r="C3182" s="1">
        <v>1.92</v>
      </c>
      <c r="D3182" s="1">
        <v>3.1509</v>
      </c>
    </row>
    <row r="3183" spans="1:4" x14ac:dyDescent="0.2">
      <c r="A3183" s="5">
        <v>40948</v>
      </c>
      <c r="B3183" s="1">
        <v>2.0364</v>
      </c>
      <c r="C3183" s="1">
        <v>1.91</v>
      </c>
      <c r="D3183" s="1">
        <v>3.1802999999999999</v>
      </c>
    </row>
    <row r="3184" spans="1:4" x14ac:dyDescent="0.2">
      <c r="A3184" s="5">
        <v>40949</v>
      </c>
      <c r="B3184" s="1">
        <v>1.9862</v>
      </c>
      <c r="C3184" s="1">
        <v>1.93</v>
      </c>
      <c r="D3184" s="1">
        <v>3.1404000000000001</v>
      </c>
    </row>
    <row r="3185" spans="1:4" x14ac:dyDescent="0.2">
      <c r="A3185" s="5">
        <v>40952</v>
      </c>
      <c r="B3185" s="1">
        <v>1.9741</v>
      </c>
      <c r="C3185" s="1">
        <v>1.91</v>
      </c>
      <c r="D3185" s="1">
        <v>3.1202000000000001</v>
      </c>
    </row>
    <row r="3186" spans="1:4" x14ac:dyDescent="0.2">
      <c r="A3186" s="5">
        <v>40953</v>
      </c>
      <c r="B3186" s="1">
        <v>1.9360999999999999</v>
      </c>
      <c r="C3186" s="1">
        <v>1.91</v>
      </c>
      <c r="D3186" s="1">
        <v>3.0872999999999999</v>
      </c>
    </row>
    <row r="3187" spans="1:4" x14ac:dyDescent="0.2">
      <c r="A3187" s="5">
        <v>40954</v>
      </c>
      <c r="B3187" s="1">
        <v>1.9275</v>
      </c>
      <c r="C3187" s="1">
        <v>1.91</v>
      </c>
      <c r="D3187" s="1">
        <v>3.0897000000000001</v>
      </c>
    </row>
    <row r="3188" spans="1:4" x14ac:dyDescent="0.2">
      <c r="A3188" s="5">
        <v>40955</v>
      </c>
      <c r="B3188" s="1">
        <v>1.9826999999999999</v>
      </c>
      <c r="C3188" s="1">
        <v>1.94</v>
      </c>
      <c r="D3188" s="1">
        <v>3.1387</v>
      </c>
    </row>
    <row r="3189" spans="1:4" x14ac:dyDescent="0.2">
      <c r="A3189" s="5">
        <v>40956</v>
      </c>
      <c r="B3189" s="1">
        <v>2.0017</v>
      </c>
      <c r="C3189" s="1">
        <v>1.91</v>
      </c>
      <c r="D3189" s="1">
        <v>3.1476000000000002</v>
      </c>
    </row>
    <row r="3190" spans="1:4" x14ac:dyDescent="0.2">
      <c r="A3190" s="5">
        <v>40959</v>
      </c>
      <c r="B3190" s="1">
        <v>2.0017</v>
      </c>
      <c r="C3190" s="1">
        <v>1.91</v>
      </c>
      <c r="D3190" s="1">
        <v>3.1476000000000002</v>
      </c>
    </row>
    <row r="3191" spans="1:4" x14ac:dyDescent="0.2">
      <c r="A3191" s="5">
        <v>40960</v>
      </c>
      <c r="B3191" s="1">
        <v>2.0590999999999999</v>
      </c>
      <c r="C3191" s="1">
        <v>1.89</v>
      </c>
      <c r="D3191" s="1">
        <v>3.2090000000000001</v>
      </c>
    </row>
    <row r="3192" spans="1:4" x14ac:dyDescent="0.2">
      <c r="A3192" s="5">
        <v>40961</v>
      </c>
      <c r="B3192" s="1">
        <v>2.0034000000000001</v>
      </c>
      <c r="C3192" s="1">
        <v>1.89</v>
      </c>
      <c r="D3192" s="1">
        <v>3.1476000000000002</v>
      </c>
    </row>
    <row r="3193" spans="1:4" x14ac:dyDescent="0.2">
      <c r="A3193" s="5">
        <v>40962</v>
      </c>
      <c r="B3193" s="1">
        <v>1.9964999999999999</v>
      </c>
      <c r="C3193" s="1">
        <v>1.89</v>
      </c>
      <c r="D3193" s="1">
        <v>3.1387</v>
      </c>
    </row>
    <row r="3194" spans="1:4" x14ac:dyDescent="0.2">
      <c r="A3194" s="5">
        <v>40963</v>
      </c>
      <c r="B3194" s="1">
        <v>1.9757</v>
      </c>
      <c r="C3194" s="1">
        <v>1.87</v>
      </c>
      <c r="D3194" s="1">
        <v>3.0992000000000002</v>
      </c>
    </row>
    <row r="3195" spans="1:4" x14ac:dyDescent="0.2">
      <c r="A3195" s="5">
        <v>40966</v>
      </c>
      <c r="B3195" s="1">
        <v>1.9255</v>
      </c>
      <c r="C3195" s="1">
        <v>1.87</v>
      </c>
      <c r="D3195" s="1">
        <v>3.0474999999999999</v>
      </c>
    </row>
    <row r="3196" spans="1:4" x14ac:dyDescent="0.2">
      <c r="A3196" s="5">
        <v>40967</v>
      </c>
      <c r="B3196" s="1">
        <v>1.9428000000000001</v>
      </c>
      <c r="C3196" s="1">
        <v>1.85</v>
      </c>
      <c r="D3196" s="1">
        <v>3.0729000000000002</v>
      </c>
    </row>
    <row r="3197" spans="1:4" x14ac:dyDescent="0.2">
      <c r="A3197" s="5">
        <v>40968</v>
      </c>
      <c r="B3197" s="1">
        <v>1.9704999999999999</v>
      </c>
      <c r="C3197" s="1">
        <v>1.81</v>
      </c>
      <c r="D3197" s="1">
        <v>3.0848</v>
      </c>
    </row>
    <row r="3198" spans="1:4" x14ac:dyDescent="0.2">
      <c r="A3198" s="5">
        <v>40969</v>
      </c>
      <c r="B3198" s="1">
        <v>2.0261</v>
      </c>
      <c r="C3198" s="1">
        <v>1.8</v>
      </c>
      <c r="D3198" s="1">
        <v>3.1476000000000002</v>
      </c>
    </row>
    <row r="3199" spans="1:4" x14ac:dyDescent="0.2">
      <c r="A3199" s="5">
        <v>40970</v>
      </c>
      <c r="B3199" s="1">
        <v>1.9739</v>
      </c>
      <c r="C3199" s="1">
        <v>1.8</v>
      </c>
      <c r="D3199" s="1">
        <v>3.1023999999999998</v>
      </c>
    </row>
    <row r="3200" spans="1:4" x14ac:dyDescent="0.2">
      <c r="A3200" s="5">
        <v>40973</v>
      </c>
      <c r="B3200" s="1">
        <v>2.0104000000000002</v>
      </c>
      <c r="C3200" s="1">
        <v>1.8</v>
      </c>
      <c r="D3200" s="1">
        <v>3.15</v>
      </c>
    </row>
    <row r="3201" spans="1:4" x14ac:dyDescent="0.2">
      <c r="A3201" s="5">
        <v>40974</v>
      </c>
      <c r="B3201" s="1">
        <v>1.9427000000000001</v>
      </c>
      <c r="C3201" s="1">
        <v>1.84</v>
      </c>
      <c r="D3201" s="1">
        <v>3.0735999999999999</v>
      </c>
    </row>
    <row r="3202" spans="1:4" x14ac:dyDescent="0.2">
      <c r="A3202" s="5">
        <v>40975</v>
      </c>
      <c r="B3202" s="1">
        <v>1.9756</v>
      </c>
      <c r="C3202" s="1">
        <v>1.86</v>
      </c>
      <c r="D3202" s="1">
        <v>3.1233</v>
      </c>
    </row>
    <row r="3203" spans="1:4" x14ac:dyDescent="0.2">
      <c r="A3203" s="5">
        <v>40976</v>
      </c>
      <c r="B3203" s="1">
        <v>2.0121000000000002</v>
      </c>
      <c r="C3203" s="1">
        <v>1.84</v>
      </c>
      <c r="D3203" s="1">
        <v>3.1745000000000001</v>
      </c>
    </row>
    <row r="3204" spans="1:4" x14ac:dyDescent="0.2">
      <c r="A3204" s="5">
        <v>40977</v>
      </c>
      <c r="B3204" s="1">
        <v>2.0278999999999998</v>
      </c>
      <c r="C3204" s="1">
        <v>1.84</v>
      </c>
      <c r="D3204" s="1">
        <v>3.1778</v>
      </c>
    </row>
    <row r="3205" spans="1:4" x14ac:dyDescent="0.2">
      <c r="A3205" s="5">
        <v>40980</v>
      </c>
      <c r="B3205" s="1">
        <v>2.0331000000000001</v>
      </c>
      <c r="C3205" s="1">
        <v>1.84</v>
      </c>
      <c r="D3205" s="1">
        <v>3.1711999999999998</v>
      </c>
    </row>
    <row r="3206" spans="1:4" x14ac:dyDescent="0.2">
      <c r="A3206" s="5">
        <v>40981</v>
      </c>
      <c r="B3206" s="1">
        <v>2.1263000000000001</v>
      </c>
      <c r="C3206" s="1">
        <v>1.82</v>
      </c>
      <c r="D3206" s="1">
        <v>3.2663000000000002</v>
      </c>
    </row>
    <row r="3207" spans="1:4" x14ac:dyDescent="0.2">
      <c r="A3207" s="5">
        <v>40982</v>
      </c>
      <c r="B3207" s="1">
        <v>2.2686000000000002</v>
      </c>
      <c r="C3207" s="1">
        <v>1.79</v>
      </c>
      <c r="D3207" s="1">
        <v>3.4009</v>
      </c>
    </row>
    <row r="3208" spans="1:4" x14ac:dyDescent="0.2">
      <c r="A3208" s="5">
        <v>40983</v>
      </c>
      <c r="B3208" s="1">
        <v>2.2793999999999999</v>
      </c>
      <c r="C3208" s="1">
        <v>1.76</v>
      </c>
      <c r="D3208" s="1">
        <v>3.4148000000000001</v>
      </c>
    </row>
    <row r="3209" spans="1:4" x14ac:dyDescent="0.2">
      <c r="A3209" s="5">
        <v>40984</v>
      </c>
      <c r="B3209" s="1">
        <v>2.294</v>
      </c>
      <c r="C3209" s="1">
        <v>1.74</v>
      </c>
      <c r="D3209" s="1">
        <v>3.4060999999999999</v>
      </c>
    </row>
    <row r="3210" spans="1:4" x14ac:dyDescent="0.2">
      <c r="A3210" s="5">
        <v>40987</v>
      </c>
      <c r="B3210" s="1">
        <v>2.3772000000000002</v>
      </c>
      <c r="C3210" s="1">
        <v>1.73</v>
      </c>
      <c r="D3210" s="1">
        <v>3.4779</v>
      </c>
    </row>
    <row r="3211" spans="1:4" x14ac:dyDescent="0.2">
      <c r="A3211" s="5">
        <v>40988</v>
      </c>
      <c r="B3211" s="1">
        <v>2.3591000000000002</v>
      </c>
      <c r="C3211" s="1">
        <v>1.74</v>
      </c>
      <c r="D3211" s="1">
        <v>3.4453999999999998</v>
      </c>
    </row>
    <row r="3212" spans="1:4" x14ac:dyDescent="0.2">
      <c r="A3212" s="5">
        <v>40989</v>
      </c>
      <c r="B3212" s="1">
        <v>2.2959999999999998</v>
      </c>
      <c r="C3212" s="1">
        <v>1.74</v>
      </c>
      <c r="D3212" s="1">
        <v>3.3837000000000002</v>
      </c>
    </row>
    <row r="3213" spans="1:4" x14ac:dyDescent="0.2">
      <c r="A3213" s="5">
        <v>40990</v>
      </c>
      <c r="B3213" s="1">
        <v>2.2780999999999998</v>
      </c>
      <c r="C3213" s="1">
        <v>1.76</v>
      </c>
      <c r="D3213" s="1">
        <v>3.3595999999999999</v>
      </c>
    </row>
    <row r="3214" spans="1:4" x14ac:dyDescent="0.2">
      <c r="A3214" s="5">
        <v>40991</v>
      </c>
      <c r="B3214" s="1">
        <v>2.2317</v>
      </c>
      <c r="C3214" s="1">
        <v>1.77</v>
      </c>
      <c r="D3214" s="1">
        <v>3.3050999999999999</v>
      </c>
    </row>
    <row r="3215" spans="1:4" x14ac:dyDescent="0.2">
      <c r="A3215" s="5">
        <v>40994</v>
      </c>
      <c r="B3215" s="1">
        <v>2.2479</v>
      </c>
      <c r="C3215" s="1">
        <v>1.76</v>
      </c>
      <c r="D3215" s="1">
        <v>3.3391000000000002</v>
      </c>
    </row>
    <row r="3216" spans="1:4" x14ac:dyDescent="0.2">
      <c r="A3216" s="5">
        <v>40995</v>
      </c>
      <c r="B3216" s="1">
        <v>2.1836000000000002</v>
      </c>
      <c r="C3216" s="1">
        <v>1.76</v>
      </c>
      <c r="D3216" s="1">
        <v>3.2974999999999999</v>
      </c>
    </row>
    <row r="3217" spans="1:4" x14ac:dyDescent="0.2">
      <c r="A3217" s="5">
        <v>40996</v>
      </c>
      <c r="B3217" s="1">
        <v>2.1997</v>
      </c>
      <c r="C3217" s="1">
        <v>1.75</v>
      </c>
      <c r="D3217" s="1">
        <v>3.3102</v>
      </c>
    </row>
    <row r="3218" spans="1:4" x14ac:dyDescent="0.2">
      <c r="A3218" s="5">
        <v>40997</v>
      </c>
      <c r="B3218" s="1">
        <v>2.1587000000000001</v>
      </c>
      <c r="C3218" s="1">
        <v>1.77</v>
      </c>
      <c r="D3218" s="1">
        <v>3.2730999999999999</v>
      </c>
    </row>
    <row r="3219" spans="1:4" x14ac:dyDescent="0.2">
      <c r="A3219" s="5">
        <v>40998</v>
      </c>
      <c r="B3219" s="1">
        <v>2.2088000000000001</v>
      </c>
      <c r="C3219" s="1">
        <v>1.76</v>
      </c>
      <c r="D3219" s="1">
        <v>3.3357999999999999</v>
      </c>
    </row>
    <row r="3220" spans="1:4" x14ac:dyDescent="0.2">
      <c r="A3220" s="5">
        <v>41001</v>
      </c>
      <c r="B3220" s="1">
        <v>2.1819999999999999</v>
      </c>
      <c r="C3220" s="1">
        <v>1.77</v>
      </c>
      <c r="D3220" s="1">
        <v>3.3281000000000001</v>
      </c>
    </row>
    <row r="3221" spans="1:4" x14ac:dyDescent="0.2">
      <c r="A3221" s="5">
        <v>41002</v>
      </c>
      <c r="B3221" s="1">
        <v>2.2988</v>
      </c>
      <c r="C3221" s="1">
        <v>1.77</v>
      </c>
      <c r="D3221" s="1">
        <v>3.4403999999999999</v>
      </c>
    </row>
    <row r="3222" spans="1:4" x14ac:dyDescent="0.2">
      <c r="A3222" s="5">
        <v>41003</v>
      </c>
      <c r="B3222" s="1">
        <v>2.2233000000000001</v>
      </c>
      <c r="C3222" s="1">
        <v>1.79</v>
      </c>
      <c r="D3222" s="1">
        <v>3.3572000000000002</v>
      </c>
    </row>
    <row r="3223" spans="1:4" x14ac:dyDescent="0.2">
      <c r="A3223" s="5">
        <v>41004</v>
      </c>
      <c r="B3223" s="1">
        <v>2.1804999999999999</v>
      </c>
      <c r="C3223" s="1">
        <v>1.81</v>
      </c>
      <c r="D3223" s="1">
        <v>3.3264999999999998</v>
      </c>
    </row>
    <row r="3224" spans="1:4" x14ac:dyDescent="0.2">
      <c r="A3224" s="5">
        <v>41005</v>
      </c>
      <c r="B3224" s="1">
        <v>2.0545</v>
      </c>
      <c r="C3224" s="1">
        <v>1.81</v>
      </c>
      <c r="D3224" s="1">
        <v>3.2157</v>
      </c>
    </row>
    <row r="3225" spans="1:4" x14ac:dyDescent="0.2">
      <c r="A3225" s="5">
        <v>41008</v>
      </c>
      <c r="B3225" s="1">
        <v>2.0474000000000001</v>
      </c>
      <c r="C3225" s="1">
        <v>1.85</v>
      </c>
      <c r="D3225" s="1">
        <v>3.1959</v>
      </c>
    </row>
    <row r="3226" spans="1:4" x14ac:dyDescent="0.2">
      <c r="A3226" s="5">
        <v>41009</v>
      </c>
      <c r="B3226" s="1">
        <v>1.9823</v>
      </c>
      <c r="C3226" s="1">
        <v>1.87</v>
      </c>
      <c r="D3226" s="1">
        <v>3.1280999999999999</v>
      </c>
    </row>
    <row r="3227" spans="1:4" x14ac:dyDescent="0.2">
      <c r="A3227" s="5">
        <v>41010</v>
      </c>
      <c r="B3227" s="1">
        <v>2.0350999999999999</v>
      </c>
      <c r="C3227" s="1">
        <v>1.88</v>
      </c>
      <c r="D3227" s="1">
        <v>3.1959</v>
      </c>
    </row>
    <row r="3228" spans="1:4" x14ac:dyDescent="0.2">
      <c r="A3228" s="5">
        <v>41011</v>
      </c>
      <c r="B3228" s="1">
        <v>2.0510000000000002</v>
      </c>
      <c r="C3228" s="1">
        <v>1.86</v>
      </c>
      <c r="D3228" s="1">
        <v>3.2115999999999998</v>
      </c>
    </row>
    <row r="3229" spans="1:4" x14ac:dyDescent="0.2">
      <c r="A3229" s="5">
        <v>41012</v>
      </c>
      <c r="B3229" s="1">
        <v>1.9823</v>
      </c>
      <c r="C3229" s="1">
        <v>1.85</v>
      </c>
      <c r="D3229" s="1">
        <v>3.1273</v>
      </c>
    </row>
    <row r="3230" spans="1:4" x14ac:dyDescent="0.2">
      <c r="A3230" s="5">
        <v>41015</v>
      </c>
      <c r="B3230" s="1">
        <v>1.9804999999999999</v>
      </c>
      <c r="C3230" s="1">
        <v>1.86</v>
      </c>
      <c r="D3230" s="1">
        <v>3.1305000000000001</v>
      </c>
    </row>
    <row r="3231" spans="1:4" x14ac:dyDescent="0.2">
      <c r="A3231" s="5">
        <v>41016</v>
      </c>
      <c r="B3231" s="1">
        <v>1.9981</v>
      </c>
      <c r="C3231" s="1">
        <v>1.85</v>
      </c>
      <c r="D3231" s="1">
        <v>3.1410999999999998</v>
      </c>
    </row>
    <row r="3232" spans="1:4" x14ac:dyDescent="0.2">
      <c r="A3232" s="5">
        <v>41017</v>
      </c>
      <c r="B3232" s="1">
        <v>1.9753000000000001</v>
      </c>
      <c r="C3232" s="1">
        <v>1.86</v>
      </c>
      <c r="D3232" s="1">
        <v>3.1265000000000001</v>
      </c>
    </row>
    <row r="3233" spans="1:4" x14ac:dyDescent="0.2">
      <c r="A3233" s="5">
        <v>41018</v>
      </c>
      <c r="B3233" s="1">
        <v>1.9664999999999999</v>
      </c>
      <c r="C3233" s="1">
        <v>1.86</v>
      </c>
      <c r="D3233" s="1">
        <v>3.1208</v>
      </c>
    </row>
    <row r="3234" spans="1:4" x14ac:dyDescent="0.2">
      <c r="A3234" s="5">
        <v>41019</v>
      </c>
      <c r="B3234" s="1">
        <v>1.9629000000000001</v>
      </c>
      <c r="C3234" s="1">
        <v>1.86</v>
      </c>
      <c r="D3234" s="1">
        <v>3.1240000000000001</v>
      </c>
    </row>
    <row r="3235" spans="1:4" x14ac:dyDescent="0.2">
      <c r="A3235" s="5">
        <v>41022</v>
      </c>
      <c r="B3235" s="1">
        <v>1.9349000000000001</v>
      </c>
      <c r="C3235" s="1">
        <v>1.89</v>
      </c>
      <c r="D3235" s="1">
        <v>3.0846</v>
      </c>
    </row>
    <row r="3236" spans="1:4" x14ac:dyDescent="0.2">
      <c r="A3236" s="5">
        <v>41023</v>
      </c>
      <c r="B3236" s="1">
        <v>1.9735</v>
      </c>
      <c r="C3236" s="1">
        <v>1.88</v>
      </c>
      <c r="D3236" s="1">
        <v>3.1280999999999999</v>
      </c>
    </row>
    <row r="3237" spans="1:4" x14ac:dyDescent="0.2">
      <c r="A3237" s="5">
        <v>41024</v>
      </c>
      <c r="B3237" s="1">
        <v>1.984</v>
      </c>
      <c r="C3237" s="1">
        <v>1.86</v>
      </c>
      <c r="D3237" s="1">
        <v>3.1476000000000002</v>
      </c>
    </row>
    <row r="3238" spans="1:4" x14ac:dyDescent="0.2">
      <c r="A3238" s="5">
        <v>41025</v>
      </c>
      <c r="B3238" s="1">
        <v>1.9382999999999999</v>
      </c>
      <c r="C3238" s="1">
        <v>1.86</v>
      </c>
      <c r="D3238" s="1">
        <v>3.1175999999999999</v>
      </c>
    </row>
    <row r="3239" spans="1:4" x14ac:dyDescent="0.2">
      <c r="A3239" s="5">
        <v>41026</v>
      </c>
      <c r="B3239" s="1">
        <v>1.9348000000000001</v>
      </c>
      <c r="C3239" s="1">
        <v>1.86</v>
      </c>
      <c r="D3239" s="1">
        <v>3.1223999999999998</v>
      </c>
    </row>
    <row r="3240" spans="1:4" x14ac:dyDescent="0.2">
      <c r="A3240" s="5">
        <v>41029</v>
      </c>
      <c r="B3240" s="1">
        <v>1.9137</v>
      </c>
      <c r="C3240" s="1">
        <v>1.85</v>
      </c>
      <c r="D3240" s="1">
        <v>3.1111</v>
      </c>
    </row>
    <row r="3241" spans="1:4" x14ac:dyDescent="0.2">
      <c r="A3241" s="5">
        <v>41030</v>
      </c>
      <c r="B3241" s="1">
        <v>1.9435</v>
      </c>
      <c r="C3241" s="1">
        <v>1.86</v>
      </c>
      <c r="D3241" s="1">
        <v>3.1459999999999999</v>
      </c>
    </row>
    <row r="3242" spans="1:4" x14ac:dyDescent="0.2">
      <c r="A3242" s="5">
        <v>41031</v>
      </c>
      <c r="B3242" s="1">
        <v>1.9277</v>
      </c>
      <c r="C3242" s="1">
        <v>1.85</v>
      </c>
      <c r="D3242" s="1">
        <v>3.1158999999999999</v>
      </c>
    </row>
    <row r="3243" spans="1:4" x14ac:dyDescent="0.2">
      <c r="A3243" s="5">
        <v>41032</v>
      </c>
      <c r="B3243" s="1">
        <v>1.9312</v>
      </c>
      <c r="C3243" s="1">
        <v>1.83</v>
      </c>
      <c r="D3243" s="1">
        <v>3.1183999999999998</v>
      </c>
    </row>
    <row r="3244" spans="1:4" x14ac:dyDescent="0.2">
      <c r="A3244" s="5">
        <v>41033</v>
      </c>
      <c r="B3244" s="1">
        <v>1.8786</v>
      </c>
      <c r="C3244" s="1">
        <v>1.84</v>
      </c>
      <c r="D3244" s="1">
        <v>3.0709</v>
      </c>
    </row>
    <row r="3245" spans="1:4" x14ac:dyDescent="0.2">
      <c r="A3245" s="5">
        <v>41036</v>
      </c>
      <c r="B3245" s="1">
        <v>1.8715999999999999</v>
      </c>
      <c r="C3245" s="1">
        <v>1.86</v>
      </c>
      <c r="D3245" s="1">
        <v>3.0598000000000001</v>
      </c>
    </row>
    <row r="3246" spans="1:4" x14ac:dyDescent="0.2">
      <c r="A3246" s="5">
        <v>41037</v>
      </c>
      <c r="B3246" s="1">
        <v>1.8402000000000001</v>
      </c>
      <c r="C3246" s="1">
        <v>1.86</v>
      </c>
      <c r="D3246" s="1">
        <v>3.0335999999999999</v>
      </c>
    </row>
    <row r="3247" spans="1:4" x14ac:dyDescent="0.2">
      <c r="A3247" s="5">
        <v>41038</v>
      </c>
      <c r="B3247" s="1">
        <v>1.8227</v>
      </c>
      <c r="C3247" s="1">
        <v>1.89</v>
      </c>
      <c r="D3247" s="1">
        <v>3.0249000000000001</v>
      </c>
    </row>
    <row r="3248" spans="1:4" x14ac:dyDescent="0.2">
      <c r="A3248" s="5">
        <v>41039</v>
      </c>
      <c r="B3248" s="1">
        <v>1.867</v>
      </c>
      <c r="C3248" s="1">
        <v>1.88</v>
      </c>
      <c r="D3248" s="1">
        <v>3.0407000000000002</v>
      </c>
    </row>
    <row r="3249" spans="1:4" x14ac:dyDescent="0.2">
      <c r="A3249" s="5">
        <v>41040</v>
      </c>
      <c r="B3249" s="1">
        <v>1.8375999999999999</v>
      </c>
      <c r="C3249" s="1">
        <v>1.9</v>
      </c>
      <c r="D3249" s="1">
        <v>3.0103</v>
      </c>
    </row>
    <row r="3250" spans="1:4" x14ac:dyDescent="0.2">
      <c r="A3250" s="5">
        <v>41043</v>
      </c>
      <c r="B3250" s="1">
        <v>1.7637</v>
      </c>
      <c r="C3250" s="1">
        <v>1.92</v>
      </c>
      <c r="D3250" s="1">
        <v>2.9199000000000002</v>
      </c>
    </row>
    <row r="3251" spans="1:4" x14ac:dyDescent="0.2">
      <c r="A3251" s="5">
        <v>41044</v>
      </c>
      <c r="B3251" s="1">
        <v>1.7670999999999999</v>
      </c>
      <c r="C3251" s="1">
        <v>1.93</v>
      </c>
      <c r="D3251" s="1">
        <v>2.9167999999999998</v>
      </c>
    </row>
    <row r="3252" spans="1:4" x14ac:dyDescent="0.2">
      <c r="A3252" s="5">
        <v>41045</v>
      </c>
      <c r="B3252" s="1">
        <v>1.7603</v>
      </c>
      <c r="C3252" s="1">
        <v>1.97</v>
      </c>
      <c r="D3252" s="1">
        <v>2.8988999999999998</v>
      </c>
    </row>
    <row r="3253" spans="1:4" x14ac:dyDescent="0.2">
      <c r="A3253" s="5">
        <v>41046</v>
      </c>
      <c r="B3253" s="1">
        <v>1.6971000000000001</v>
      </c>
      <c r="C3253" s="1">
        <v>2.02</v>
      </c>
      <c r="D3253" s="1">
        <v>2.7869000000000002</v>
      </c>
    </row>
    <row r="3254" spans="1:4" x14ac:dyDescent="0.2">
      <c r="A3254" s="5">
        <v>41047</v>
      </c>
      <c r="B3254" s="1">
        <v>1.7225999999999999</v>
      </c>
      <c r="C3254" s="1">
        <v>2.06</v>
      </c>
      <c r="D3254" s="1">
        <v>2.8064</v>
      </c>
    </row>
    <row r="3255" spans="1:4" x14ac:dyDescent="0.2">
      <c r="A3255" s="5">
        <v>41050</v>
      </c>
      <c r="B3255" s="1">
        <v>1.7414000000000001</v>
      </c>
      <c r="C3255" s="1">
        <v>2.0699999999999998</v>
      </c>
      <c r="D3255" s="1">
        <v>2.8094000000000001</v>
      </c>
    </row>
    <row r="3256" spans="1:4" x14ac:dyDescent="0.2">
      <c r="A3256" s="5">
        <v>41051</v>
      </c>
      <c r="B3256" s="1">
        <v>1.7687999999999999</v>
      </c>
      <c r="C3256" s="1">
        <v>2.08</v>
      </c>
      <c r="D3256" s="1">
        <v>2.8664999999999998</v>
      </c>
    </row>
    <row r="3257" spans="1:4" x14ac:dyDescent="0.2">
      <c r="A3257" s="5">
        <v>41052</v>
      </c>
      <c r="B3257" s="1">
        <v>1.7345999999999999</v>
      </c>
      <c r="C3257" s="1">
        <v>2.1</v>
      </c>
      <c r="D3257" s="1">
        <v>2.8155000000000001</v>
      </c>
    </row>
    <row r="3258" spans="1:4" x14ac:dyDescent="0.2">
      <c r="A3258" s="5">
        <v>41053</v>
      </c>
      <c r="B3258" s="1">
        <v>1.7774000000000001</v>
      </c>
      <c r="C3258" s="1">
        <v>2.09</v>
      </c>
      <c r="D3258" s="1">
        <v>2.8719000000000001</v>
      </c>
    </row>
    <row r="3259" spans="1:4" x14ac:dyDescent="0.2">
      <c r="A3259" s="5">
        <v>41054</v>
      </c>
      <c r="B3259" s="1">
        <v>1.738</v>
      </c>
      <c r="C3259" s="1">
        <v>2.08</v>
      </c>
      <c r="D3259" s="1">
        <v>2.8412000000000002</v>
      </c>
    </row>
    <row r="3260" spans="1:4" x14ac:dyDescent="0.2">
      <c r="A3260" s="5">
        <v>41057</v>
      </c>
      <c r="B3260" s="1">
        <v>1.738</v>
      </c>
      <c r="C3260" s="1">
        <v>2.08</v>
      </c>
      <c r="D3260" s="1">
        <v>2.8412000000000002</v>
      </c>
    </row>
    <row r="3261" spans="1:4" x14ac:dyDescent="0.2">
      <c r="A3261" s="5">
        <v>41058</v>
      </c>
      <c r="B3261" s="1">
        <v>1.7447999999999999</v>
      </c>
      <c r="C3261" s="1">
        <v>2.06</v>
      </c>
      <c r="D3261" s="1">
        <v>2.8473000000000002</v>
      </c>
    </row>
    <row r="3262" spans="1:4" x14ac:dyDescent="0.2">
      <c r="A3262" s="5">
        <v>41059</v>
      </c>
      <c r="B3262" s="1">
        <v>1.6220000000000001</v>
      </c>
      <c r="C3262" s="1">
        <v>2.08</v>
      </c>
      <c r="D3262" s="1">
        <v>2.7136999999999998</v>
      </c>
    </row>
    <row r="3263" spans="1:4" x14ac:dyDescent="0.2">
      <c r="A3263" s="5">
        <v>41060</v>
      </c>
      <c r="B3263" s="1">
        <v>1.5578000000000001</v>
      </c>
      <c r="C3263" s="1">
        <v>2.09</v>
      </c>
      <c r="D3263" s="1">
        <v>2.6421000000000001</v>
      </c>
    </row>
    <row r="3264" spans="1:4" x14ac:dyDescent="0.2">
      <c r="A3264" s="5">
        <v>41061</v>
      </c>
      <c r="B3264" s="1">
        <v>1.452</v>
      </c>
      <c r="C3264" s="1">
        <v>2.14</v>
      </c>
      <c r="D3264" s="1">
        <v>2.5194000000000001</v>
      </c>
    </row>
    <row r="3265" spans="1:4" x14ac:dyDescent="0.2">
      <c r="A3265" s="5">
        <v>41064</v>
      </c>
      <c r="B3265" s="1">
        <v>1.5239</v>
      </c>
      <c r="C3265" s="1">
        <v>2.15</v>
      </c>
      <c r="D3265" s="1">
        <v>2.5651999999999999</v>
      </c>
    </row>
    <row r="3266" spans="1:4" x14ac:dyDescent="0.2">
      <c r="A3266" s="5">
        <v>41065</v>
      </c>
      <c r="B3266" s="1">
        <v>1.5744</v>
      </c>
      <c r="C3266" s="1">
        <v>2.15</v>
      </c>
      <c r="D3266" s="1">
        <v>2.6419999999999999</v>
      </c>
    </row>
    <row r="3267" spans="1:4" x14ac:dyDescent="0.2">
      <c r="A3267" s="5">
        <v>41066</v>
      </c>
      <c r="B3267" s="1">
        <v>1.6592</v>
      </c>
      <c r="C3267" s="1">
        <v>2.13</v>
      </c>
      <c r="D3267" s="1">
        <v>2.738</v>
      </c>
    </row>
    <row r="3268" spans="1:4" x14ac:dyDescent="0.2">
      <c r="A3268" s="5">
        <v>41067</v>
      </c>
      <c r="B3268" s="1">
        <v>1.6388</v>
      </c>
      <c r="C3268" s="1">
        <v>2.09</v>
      </c>
      <c r="D3268" s="1">
        <v>2.7402000000000002</v>
      </c>
    </row>
    <row r="3269" spans="1:4" x14ac:dyDescent="0.2">
      <c r="A3269" s="5">
        <v>41068</v>
      </c>
      <c r="B3269" s="1">
        <v>1.6353</v>
      </c>
      <c r="C3269" s="1">
        <v>2.1</v>
      </c>
      <c r="D3269" s="1">
        <v>2.7454000000000001</v>
      </c>
    </row>
    <row r="3270" spans="1:4" x14ac:dyDescent="0.2">
      <c r="A3270" s="5">
        <v>41071</v>
      </c>
      <c r="B3270" s="1">
        <v>1.5860000000000001</v>
      </c>
      <c r="C3270" s="1">
        <v>2.08</v>
      </c>
      <c r="D3270" s="1">
        <v>2.7082999999999999</v>
      </c>
    </row>
    <row r="3271" spans="1:4" x14ac:dyDescent="0.2">
      <c r="A3271" s="5">
        <v>41072</v>
      </c>
      <c r="B3271" s="1">
        <v>1.6641999999999999</v>
      </c>
      <c r="C3271" s="1">
        <v>2.1</v>
      </c>
      <c r="D3271" s="1">
        <v>2.7692999999999999</v>
      </c>
    </row>
    <row r="3272" spans="1:4" x14ac:dyDescent="0.2">
      <c r="A3272" s="5">
        <v>41073</v>
      </c>
      <c r="B3272" s="1">
        <v>1.5927</v>
      </c>
      <c r="C3272" s="1">
        <v>2.1</v>
      </c>
      <c r="D3272" s="1">
        <v>2.7082999999999999</v>
      </c>
    </row>
    <row r="3273" spans="1:4" x14ac:dyDescent="0.2">
      <c r="A3273" s="5">
        <v>41074</v>
      </c>
      <c r="B3273" s="1">
        <v>1.6419999999999999</v>
      </c>
      <c r="C3273" s="1">
        <v>2.1</v>
      </c>
      <c r="D3273" s="1">
        <v>2.7408999999999999</v>
      </c>
    </row>
    <row r="3274" spans="1:4" x14ac:dyDescent="0.2">
      <c r="A3274" s="5">
        <v>41075</v>
      </c>
      <c r="B3274" s="1">
        <v>1.5772999999999999</v>
      </c>
      <c r="C3274" s="1">
        <v>2.08</v>
      </c>
      <c r="D3274" s="1">
        <v>2.6840000000000002</v>
      </c>
    </row>
    <row r="3275" spans="1:4" x14ac:dyDescent="0.2">
      <c r="A3275" s="5">
        <v>41078</v>
      </c>
      <c r="B3275" s="1">
        <v>1.5738000000000001</v>
      </c>
      <c r="C3275" s="1">
        <v>2.08</v>
      </c>
      <c r="D3275" s="1">
        <v>2.6606000000000001</v>
      </c>
    </row>
    <row r="3276" spans="1:4" x14ac:dyDescent="0.2">
      <c r="A3276" s="5">
        <v>41079</v>
      </c>
      <c r="B3276" s="1">
        <v>1.6196999999999999</v>
      </c>
      <c r="C3276" s="1">
        <v>2.06</v>
      </c>
      <c r="D3276" s="1">
        <v>2.7332999999999998</v>
      </c>
    </row>
    <row r="3277" spans="1:4" x14ac:dyDescent="0.2">
      <c r="A3277" s="5">
        <v>41080</v>
      </c>
      <c r="B3277" s="1">
        <v>1.6572</v>
      </c>
      <c r="C3277" s="1">
        <v>2.0299999999999998</v>
      </c>
      <c r="D3277" s="1">
        <v>2.7355999999999998</v>
      </c>
    </row>
    <row r="3278" spans="1:4" x14ac:dyDescent="0.2">
      <c r="A3278" s="5">
        <v>41081</v>
      </c>
      <c r="B3278" s="1">
        <v>1.6162000000000001</v>
      </c>
      <c r="C3278" s="1">
        <v>2.02</v>
      </c>
      <c r="D3278" s="1">
        <v>2.6867999999999999</v>
      </c>
    </row>
    <row r="3279" spans="1:4" x14ac:dyDescent="0.2">
      <c r="A3279" s="5">
        <v>41082</v>
      </c>
      <c r="B3279" s="1">
        <v>1.6741999999999999</v>
      </c>
      <c r="C3279" s="1">
        <v>2.0099999999999998</v>
      </c>
      <c r="D3279" s="1">
        <v>2.7616000000000001</v>
      </c>
    </row>
    <row r="3280" spans="1:4" x14ac:dyDescent="0.2">
      <c r="A3280" s="5">
        <v>41085</v>
      </c>
      <c r="B3280" s="1">
        <v>1.6024</v>
      </c>
      <c r="C3280" s="1">
        <v>2.02</v>
      </c>
      <c r="D3280" s="1">
        <v>2.6764999999999999</v>
      </c>
    </row>
    <row r="3281" spans="1:4" x14ac:dyDescent="0.2">
      <c r="A3281" s="5">
        <v>41086</v>
      </c>
      <c r="B3281" s="1">
        <v>1.6262000000000001</v>
      </c>
      <c r="C3281" s="1">
        <v>2.02</v>
      </c>
      <c r="D3281" s="1">
        <v>2.7</v>
      </c>
    </row>
    <row r="3282" spans="1:4" x14ac:dyDescent="0.2">
      <c r="A3282" s="5">
        <v>41087</v>
      </c>
      <c r="B3282" s="1">
        <v>1.6176999999999999</v>
      </c>
      <c r="C3282" s="1">
        <v>2.02</v>
      </c>
      <c r="D3282" s="1">
        <v>2.6918000000000002</v>
      </c>
    </row>
    <row r="3283" spans="1:4" x14ac:dyDescent="0.2">
      <c r="A3283" s="5">
        <v>41088</v>
      </c>
      <c r="B3283" s="1">
        <v>1.5768</v>
      </c>
      <c r="C3283" s="1">
        <v>2.0299999999999998</v>
      </c>
      <c r="D3283" s="1">
        <v>2.6757</v>
      </c>
    </row>
    <row r="3284" spans="1:4" x14ac:dyDescent="0.2">
      <c r="A3284" s="5">
        <v>41089</v>
      </c>
      <c r="B3284" s="1">
        <v>1.6449</v>
      </c>
      <c r="C3284" s="1">
        <v>1.99</v>
      </c>
      <c r="D3284" s="1">
        <v>2.7532999999999999</v>
      </c>
    </row>
    <row r="3285" spans="1:4" x14ac:dyDescent="0.2">
      <c r="A3285" s="5">
        <v>41092</v>
      </c>
      <c r="B3285" s="1">
        <v>1.5885</v>
      </c>
      <c r="C3285" s="1">
        <v>1.99</v>
      </c>
      <c r="D3285" s="1">
        <v>2.6962000000000002</v>
      </c>
    </row>
    <row r="3286" spans="1:4" x14ac:dyDescent="0.2">
      <c r="A3286" s="5">
        <v>41093</v>
      </c>
      <c r="B3286" s="1">
        <v>1.6294</v>
      </c>
      <c r="C3286" s="1">
        <v>1.97</v>
      </c>
      <c r="D3286" s="1">
        <v>2.7427999999999999</v>
      </c>
    </row>
    <row r="3287" spans="1:4" x14ac:dyDescent="0.2">
      <c r="A3287" s="5">
        <v>41094</v>
      </c>
      <c r="B3287" s="1">
        <v>1.6294</v>
      </c>
      <c r="C3287" s="1">
        <v>1.97</v>
      </c>
      <c r="D3287" s="1">
        <v>2.7427999999999999</v>
      </c>
    </row>
    <row r="3288" spans="1:4" x14ac:dyDescent="0.2">
      <c r="A3288" s="5">
        <v>41095</v>
      </c>
      <c r="B3288" s="1">
        <v>1.5969</v>
      </c>
      <c r="C3288" s="1">
        <v>1.96</v>
      </c>
      <c r="D3288" s="1">
        <v>2.7160000000000002</v>
      </c>
    </row>
    <row r="3289" spans="1:4" x14ac:dyDescent="0.2">
      <c r="A3289" s="5">
        <v>41096</v>
      </c>
      <c r="B3289" s="1">
        <v>1.5490999999999999</v>
      </c>
      <c r="C3289" s="1">
        <v>1.97</v>
      </c>
      <c r="D3289" s="1">
        <v>2.6616</v>
      </c>
    </row>
    <row r="3290" spans="1:4" x14ac:dyDescent="0.2">
      <c r="A3290" s="5">
        <v>41099</v>
      </c>
      <c r="B3290" s="1">
        <v>1.5117</v>
      </c>
      <c r="C3290" s="1">
        <v>1.98</v>
      </c>
      <c r="D3290" s="1">
        <v>2.6208999999999998</v>
      </c>
    </row>
    <row r="3291" spans="1:4" x14ac:dyDescent="0.2">
      <c r="A3291" s="5">
        <v>41100</v>
      </c>
      <c r="B3291" s="1">
        <v>1.5015000000000001</v>
      </c>
      <c r="C3291" s="1">
        <v>1.96</v>
      </c>
      <c r="D3291" s="1">
        <v>2.6021999999999998</v>
      </c>
    </row>
    <row r="3292" spans="1:4" x14ac:dyDescent="0.2">
      <c r="A3292" s="5">
        <v>41101</v>
      </c>
      <c r="B3292" s="1">
        <v>1.5166999999999999</v>
      </c>
      <c r="C3292" s="1">
        <v>1.95</v>
      </c>
      <c r="D3292" s="1">
        <v>2.613</v>
      </c>
    </row>
    <row r="3293" spans="1:4" x14ac:dyDescent="0.2">
      <c r="A3293" s="5">
        <v>41102</v>
      </c>
      <c r="B3293" s="1">
        <v>1.4742999999999999</v>
      </c>
      <c r="C3293" s="1">
        <v>1.93</v>
      </c>
      <c r="D3293" s="1">
        <v>2.5613999999999999</v>
      </c>
    </row>
    <row r="3294" spans="1:4" x14ac:dyDescent="0.2">
      <c r="A3294" s="5">
        <v>41103</v>
      </c>
      <c r="B3294" s="1">
        <v>1.4876</v>
      </c>
      <c r="C3294" s="1">
        <v>1.92</v>
      </c>
      <c r="D3294" s="1">
        <v>2.5727000000000002</v>
      </c>
    </row>
    <row r="3295" spans="1:4" x14ac:dyDescent="0.2">
      <c r="A3295" s="5">
        <v>41106</v>
      </c>
      <c r="B3295" s="1">
        <v>1.4723999999999999</v>
      </c>
      <c r="C3295" s="1">
        <v>1.91</v>
      </c>
      <c r="D3295" s="1">
        <v>2.5577000000000001</v>
      </c>
    </row>
    <row r="3296" spans="1:4" x14ac:dyDescent="0.2">
      <c r="A3296" s="5">
        <v>41107</v>
      </c>
      <c r="B3296" s="1">
        <v>1.5078</v>
      </c>
      <c r="C3296" s="1">
        <v>1.88</v>
      </c>
      <c r="D3296" s="1">
        <v>2.6034999999999999</v>
      </c>
    </row>
    <row r="3297" spans="1:4" x14ac:dyDescent="0.2">
      <c r="A3297" s="5">
        <v>41108</v>
      </c>
      <c r="B3297" s="1">
        <v>1.4942</v>
      </c>
      <c r="C3297" s="1">
        <v>1.83</v>
      </c>
      <c r="D3297" s="1">
        <v>2.597</v>
      </c>
    </row>
    <row r="3298" spans="1:4" x14ac:dyDescent="0.2">
      <c r="A3298" s="5">
        <v>41109</v>
      </c>
      <c r="B3298" s="1">
        <v>1.5077</v>
      </c>
      <c r="C3298" s="1">
        <v>1.81</v>
      </c>
      <c r="D3298" s="1">
        <v>2.6128</v>
      </c>
    </row>
    <row r="3299" spans="1:4" x14ac:dyDescent="0.2">
      <c r="A3299" s="5">
        <v>41110</v>
      </c>
      <c r="B3299" s="1">
        <v>1.4567000000000001</v>
      </c>
      <c r="C3299" s="1">
        <v>1.83</v>
      </c>
      <c r="D3299" s="1">
        <v>2.5448</v>
      </c>
    </row>
    <row r="3300" spans="1:4" x14ac:dyDescent="0.2">
      <c r="A3300" s="5">
        <v>41113</v>
      </c>
      <c r="B3300" s="1">
        <v>1.4262999999999999</v>
      </c>
      <c r="C3300" s="1">
        <v>1.87</v>
      </c>
      <c r="D3300" s="1">
        <v>2.4990000000000001</v>
      </c>
    </row>
    <row r="3301" spans="1:4" x14ac:dyDescent="0.2">
      <c r="A3301" s="5">
        <v>41114</v>
      </c>
      <c r="B3301" s="1">
        <v>1.3875</v>
      </c>
      <c r="C3301" s="1">
        <v>1.88</v>
      </c>
      <c r="D3301" s="1">
        <v>2.4537</v>
      </c>
    </row>
    <row r="3302" spans="1:4" x14ac:dyDescent="0.2">
      <c r="A3302" s="5">
        <v>41115</v>
      </c>
      <c r="B3302" s="1">
        <v>1.3975</v>
      </c>
      <c r="C3302" s="1">
        <v>1.87</v>
      </c>
      <c r="D3302" s="1">
        <v>2.4529999999999998</v>
      </c>
    </row>
    <row r="3303" spans="1:4" x14ac:dyDescent="0.2">
      <c r="A3303" s="5">
        <v>41116</v>
      </c>
      <c r="B3303" s="1">
        <v>1.4378</v>
      </c>
      <c r="C3303" s="1">
        <v>1.85</v>
      </c>
      <c r="D3303" s="1">
        <v>2.5030999999999999</v>
      </c>
    </row>
    <row r="3304" spans="1:4" x14ac:dyDescent="0.2">
      <c r="A3304" s="5">
        <v>41117</v>
      </c>
      <c r="B3304" s="1">
        <v>1.5463</v>
      </c>
      <c r="C3304" s="1">
        <v>1.82</v>
      </c>
      <c r="D3304" s="1">
        <v>2.6276999999999999</v>
      </c>
    </row>
    <row r="3305" spans="1:4" x14ac:dyDescent="0.2">
      <c r="A3305" s="5">
        <v>41120</v>
      </c>
      <c r="B3305" s="1">
        <v>1.5019</v>
      </c>
      <c r="C3305" s="1">
        <v>1.8</v>
      </c>
      <c r="D3305" s="1">
        <v>2.5809000000000002</v>
      </c>
    </row>
    <row r="3306" spans="1:4" x14ac:dyDescent="0.2">
      <c r="A3306" s="5">
        <v>41121</v>
      </c>
      <c r="B3306" s="1">
        <v>1.4679</v>
      </c>
      <c r="C3306" s="1">
        <v>1.78</v>
      </c>
      <c r="D3306" s="1">
        <v>2.5467</v>
      </c>
    </row>
    <row r="3307" spans="1:4" x14ac:dyDescent="0.2">
      <c r="A3307" s="5">
        <v>41122</v>
      </c>
      <c r="B3307" s="1">
        <v>1.524</v>
      </c>
      <c r="C3307" s="1">
        <v>1.78</v>
      </c>
      <c r="D3307" s="1">
        <v>2.5973000000000002</v>
      </c>
    </row>
    <row r="3308" spans="1:4" x14ac:dyDescent="0.2">
      <c r="A3308" s="5">
        <v>41123</v>
      </c>
      <c r="B3308" s="1">
        <v>1.4779</v>
      </c>
      <c r="C3308" s="1">
        <v>1.78</v>
      </c>
      <c r="D3308" s="1">
        <v>2.5537000000000001</v>
      </c>
    </row>
    <row r="3309" spans="1:4" x14ac:dyDescent="0.2">
      <c r="A3309" s="5">
        <v>41124</v>
      </c>
      <c r="B3309" s="1">
        <v>1.5630999999999999</v>
      </c>
      <c r="C3309" s="1">
        <v>1.77</v>
      </c>
      <c r="D3309" s="1">
        <v>2.6435</v>
      </c>
    </row>
    <row r="3310" spans="1:4" x14ac:dyDescent="0.2">
      <c r="A3310" s="5">
        <v>41127</v>
      </c>
      <c r="B3310" s="1">
        <v>1.5664</v>
      </c>
      <c r="C3310" s="1">
        <v>1.76</v>
      </c>
      <c r="D3310" s="1">
        <v>2.6537000000000002</v>
      </c>
    </row>
    <row r="3311" spans="1:4" x14ac:dyDescent="0.2">
      <c r="A3311" s="5">
        <v>41128</v>
      </c>
      <c r="B3311" s="1">
        <v>1.6283000000000001</v>
      </c>
      <c r="C3311" s="1">
        <v>1.74</v>
      </c>
      <c r="D3311" s="1">
        <v>2.7206999999999999</v>
      </c>
    </row>
    <row r="3312" spans="1:4" x14ac:dyDescent="0.2">
      <c r="A3312" s="5">
        <v>41129</v>
      </c>
      <c r="B3312" s="1">
        <v>1.6491</v>
      </c>
      <c r="C3312" s="1">
        <v>1.74</v>
      </c>
      <c r="D3312" s="1">
        <v>2.7505000000000002</v>
      </c>
    </row>
    <row r="3313" spans="1:4" x14ac:dyDescent="0.2">
      <c r="A3313" s="5">
        <v>41130</v>
      </c>
      <c r="B3313" s="1">
        <v>1.6880999999999999</v>
      </c>
      <c r="C3313" s="1">
        <v>1.74</v>
      </c>
      <c r="D3313" s="1">
        <v>2.7549000000000001</v>
      </c>
    </row>
    <row r="3314" spans="1:4" x14ac:dyDescent="0.2">
      <c r="A3314" s="5">
        <v>41131</v>
      </c>
      <c r="B3314" s="1">
        <v>1.6573</v>
      </c>
      <c r="C3314" s="1">
        <v>1.74</v>
      </c>
      <c r="D3314" s="1">
        <v>2.7507999999999999</v>
      </c>
    </row>
    <row r="3315" spans="1:4" x14ac:dyDescent="0.2">
      <c r="A3315" s="5">
        <v>41134</v>
      </c>
      <c r="B3315" s="1">
        <v>1.6641999999999999</v>
      </c>
      <c r="C3315" s="1">
        <v>1.73</v>
      </c>
      <c r="D3315" s="1">
        <v>2.7523</v>
      </c>
    </row>
    <row r="3316" spans="1:4" x14ac:dyDescent="0.2">
      <c r="A3316" s="5">
        <v>41135</v>
      </c>
      <c r="B3316" s="1">
        <v>1.7378</v>
      </c>
      <c r="C3316" s="1">
        <v>1.72</v>
      </c>
      <c r="D3316" s="1">
        <v>2.8355000000000001</v>
      </c>
    </row>
    <row r="3317" spans="1:4" x14ac:dyDescent="0.2">
      <c r="A3317" s="5">
        <v>41136</v>
      </c>
      <c r="B3317" s="1">
        <v>1.8154999999999999</v>
      </c>
      <c r="C3317" s="1">
        <v>1.73</v>
      </c>
      <c r="D3317" s="1">
        <v>2.9196</v>
      </c>
    </row>
    <row r="3318" spans="1:4" x14ac:dyDescent="0.2">
      <c r="A3318" s="5">
        <v>41137</v>
      </c>
      <c r="B3318" s="1">
        <v>1.8346</v>
      </c>
      <c r="C3318" s="1">
        <v>1.73</v>
      </c>
      <c r="D3318" s="1">
        <v>2.9527000000000001</v>
      </c>
    </row>
    <row r="3319" spans="1:4" x14ac:dyDescent="0.2">
      <c r="A3319" s="5">
        <v>41138</v>
      </c>
      <c r="B3319" s="1">
        <v>1.8105</v>
      </c>
      <c r="C3319" s="1">
        <v>1.71</v>
      </c>
      <c r="D3319" s="1">
        <v>2.9308999999999998</v>
      </c>
    </row>
    <row r="3320" spans="1:4" x14ac:dyDescent="0.2">
      <c r="A3320" s="5">
        <v>41141</v>
      </c>
      <c r="B3320" s="1">
        <v>1.8052999999999999</v>
      </c>
      <c r="C3320" s="1">
        <v>1.71</v>
      </c>
      <c r="D3320" s="1">
        <v>2.9188999999999998</v>
      </c>
    </row>
    <row r="3321" spans="1:4" x14ac:dyDescent="0.2">
      <c r="A3321" s="5">
        <v>41142</v>
      </c>
      <c r="B3321" s="1">
        <v>1.7984</v>
      </c>
      <c r="C3321" s="1">
        <v>1.71</v>
      </c>
      <c r="D3321" s="1">
        <v>2.8997000000000002</v>
      </c>
    </row>
    <row r="3322" spans="1:4" x14ac:dyDescent="0.2">
      <c r="A3322" s="5">
        <v>41143</v>
      </c>
      <c r="B3322" s="1">
        <v>1.6916</v>
      </c>
      <c r="C3322" s="1">
        <v>1.71</v>
      </c>
      <c r="D3322" s="1">
        <v>2.8041999999999998</v>
      </c>
    </row>
    <row r="3323" spans="1:4" x14ac:dyDescent="0.2">
      <c r="A3323" s="5">
        <v>41144</v>
      </c>
      <c r="B3323" s="1">
        <v>1.6778999999999999</v>
      </c>
      <c r="C3323" s="1">
        <v>1.71</v>
      </c>
      <c r="D3323" s="1">
        <v>2.7917000000000001</v>
      </c>
    </row>
    <row r="3324" spans="1:4" x14ac:dyDescent="0.2">
      <c r="A3324" s="5">
        <v>41145</v>
      </c>
      <c r="B3324" s="1">
        <v>1.6865000000000001</v>
      </c>
      <c r="C3324" s="1">
        <v>1.72</v>
      </c>
      <c r="D3324" s="1">
        <v>2.8010999999999999</v>
      </c>
    </row>
    <row r="3325" spans="1:4" x14ac:dyDescent="0.2">
      <c r="A3325" s="5">
        <v>41148</v>
      </c>
      <c r="B3325" s="1">
        <v>1.6506000000000001</v>
      </c>
      <c r="C3325" s="1">
        <v>1.71</v>
      </c>
      <c r="D3325" s="1">
        <v>2.76</v>
      </c>
    </row>
    <row r="3326" spans="1:4" x14ac:dyDescent="0.2">
      <c r="A3326" s="5">
        <v>41149</v>
      </c>
      <c r="B3326" s="1">
        <v>1.6335</v>
      </c>
      <c r="C3326" s="1">
        <v>1.71</v>
      </c>
      <c r="D3326" s="1">
        <v>2.7469000000000001</v>
      </c>
    </row>
    <row r="3327" spans="1:4" x14ac:dyDescent="0.2">
      <c r="A3327" s="5">
        <v>41150</v>
      </c>
      <c r="B3327" s="1">
        <v>1.6506000000000001</v>
      </c>
      <c r="C3327" s="1">
        <v>1.71</v>
      </c>
      <c r="D3327" s="1">
        <v>2.7646000000000002</v>
      </c>
    </row>
    <row r="3328" spans="1:4" x14ac:dyDescent="0.2">
      <c r="A3328" s="5">
        <v>41151</v>
      </c>
      <c r="B3328" s="1">
        <v>1.6233</v>
      </c>
      <c r="C3328" s="1">
        <v>1.71</v>
      </c>
      <c r="D3328" s="1">
        <v>2.7446000000000002</v>
      </c>
    </row>
    <row r="3329" spans="1:4" x14ac:dyDescent="0.2">
      <c r="A3329" s="5">
        <v>41152</v>
      </c>
      <c r="B3329" s="1">
        <v>1.5484</v>
      </c>
      <c r="C3329" s="1">
        <v>1.72</v>
      </c>
      <c r="D3329" s="1">
        <v>2.6722999999999999</v>
      </c>
    </row>
    <row r="3330" spans="1:4" x14ac:dyDescent="0.2">
      <c r="A3330" s="5">
        <v>41155</v>
      </c>
      <c r="B3330" s="1">
        <v>1.5484</v>
      </c>
      <c r="C3330" s="1">
        <v>1.72</v>
      </c>
      <c r="D3330" s="1">
        <v>2.6722999999999999</v>
      </c>
    </row>
    <row r="3331" spans="1:4" x14ac:dyDescent="0.2">
      <c r="A3331" s="5">
        <v>41156</v>
      </c>
      <c r="B3331" s="1">
        <v>1.5722</v>
      </c>
      <c r="C3331" s="1">
        <v>1.72</v>
      </c>
      <c r="D3331" s="1">
        <v>2.6821000000000002</v>
      </c>
    </row>
    <row r="3332" spans="1:4" x14ac:dyDescent="0.2">
      <c r="A3332" s="5">
        <v>41157</v>
      </c>
      <c r="B3332" s="1">
        <v>1.5960000000000001</v>
      </c>
      <c r="C3332" s="1">
        <v>1.72</v>
      </c>
      <c r="D3332" s="1">
        <v>2.7071000000000001</v>
      </c>
    </row>
    <row r="3333" spans="1:4" x14ac:dyDescent="0.2">
      <c r="A3333" s="5">
        <v>41158</v>
      </c>
      <c r="B3333" s="1">
        <v>1.6780999999999999</v>
      </c>
      <c r="C3333" s="1">
        <v>1.7</v>
      </c>
      <c r="D3333" s="1">
        <v>2.7987000000000002</v>
      </c>
    </row>
    <row r="3334" spans="1:4" x14ac:dyDescent="0.2">
      <c r="A3334" s="5">
        <v>41159</v>
      </c>
      <c r="B3334" s="1">
        <v>1.6677999999999999</v>
      </c>
      <c r="C3334" s="1">
        <v>1.67</v>
      </c>
      <c r="D3334" s="1">
        <v>2.8245</v>
      </c>
    </row>
    <row r="3335" spans="1:4" x14ac:dyDescent="0.2">
      <c r="A3335" s="5">
        <v>41162</v>
      </c>
      <c r="B3335" s="1">
        <v>1.6540999999999999</v>
      </c>
      <c r="C3335" s="1">
        <v>1.66</v>
      </c>
      <c r="D3335" s="1">
        <v>2.8056999999999999</v>
      </c>
    </row>
    <row r="3336" spans="1:4" x14ac:dyDescent="0.2">
      <c r="A3336" s="5">
        <v>41163</v>
      </c>
      <c r="B3336" s="1">
        <v>1.7004999999999999</v>
      </c>
      <c r="C3336" s="1">
        <v>1.65</v>
      </c>
      <c r="D3336" s="1">
        <v>2.8529</v>
      </c>
    </row>
    <row r="3337" spans="1:4" x14ac:dyDescent="0.2">
      <c r="A3337" s="5">
        <v>41164</v>
      </c>
      <c r="B3337" s="1">
        <v>1.7576000000000001</v>
      </c>
      <c r="C3337" s="1">
        <v>1.64</v>
      </c>
      <c r="D3337" s="1">
        <v>2.9215</v>
      </c>
    </row>
    <row r="3338" spans="1:4" x14ac:dyDescent="0.2">
      <c r="A3338" s="5">
        <v>41165</v>
      </c>
      <c r="B3338" s="1">
        <v>1.7230000000000001</v>
      </c>
      <c r="C3338" s="1">
        <v>1.62</v>
      </c>
      <c r="D3338" s="1">
        <v>2.9310999999999998</v>
      </c>
    </row>
    <row r="3339" spans="1:4" x14ac:dyDescent="0.2">
      <c r="A3339" s="5">
        <v>41166</v>
      </c>
      <c r="B3339" s="1">
        <v>1.8660000000000001</v>
      </c>
      <c r="C3339" s="1">
        <v>1.57</v>
      </c>
      <c r="D3339" s="1">
        <v>3.0884</v>
      </c>
    </row>
    <row r="3340" spans="1:4" x14ac:dyDescent="0.2">
      <c r="A3340" s="5">
        <v>41169</v>
      </c>
      <c r="B3340" s="1">
        <v>1.8414999999999999</v>
      </c>
      <c r="C3340" s="1">
        <v>1.56</v>
      </c>
      <c r="D3340" s="1">
        <v>3.0358999999999998</v>
      </c>
    </row>
    <row r="3341" spans="1:4" x14ac:dyDescent="0.2">
      <c r="A3341" s="5">
        <v>41170</v>
      </c>
      <c r="B3341" s="1">
        <v>1.8083</v>
      </c>
      <c r="C3341" s="1">
        <v>1.56</v>
      </c>
      <c r="D3341" s="1">
        <v>3.0053000000000001</v>
      </c>
    </row>
    <row r="3342" spans="1:4" x14ac:dyDescent="0.2">
      <c r="A3342" s="5">
        <v>41171</v>
      </c>
      <c r="B3342" s="1">
        <v>1.7718</v>
      </c>
      <c r="C3342" s="1">
        <v>1.55</v>
      </c>
      <c r="D3342" s="1">
        <v>2.9603999999999999</v>
      </c>
    </row>
    <row r="3343" spans="1:4" x14ac:dyDescent="0.2">
      <c r="A3343" s="5">
        <v>41172</v>
      </c>
      <c r="B3343" s="1">
        <v>1.764</v>
      </c>
      <c r="C3343" s="1">
        <v>1.55</v>
      </c>
      <c r="D3343" s="1">
        <v>2.9441000000000002</v>
      </c>
    </row>
    <row r="3344" spans="1:4" x14ac:dyDescent="0.2">
      <c r="A3344" s="5">
        <v>41173</v>
      </c>
      <c r="B3344" s="1">
        <v>1.7527999999999999</v>
      </c>
      <c r="C3344" s="1">
        <v>1.55</v>
      </c>
      <c r="D3344" s="1">
        <v>2.9434</v>
      </c>
    </row>
    <row r="3345" spans="1:4" x14ac:dyDescent="0.2">
      <c r="A3345" s="5">
        <v>41176</v>
      </c>
      <c r="B3345" s="1">
        <v>1.7094</v>
      </c>
      <c r="C3345" s="1">
        <v>1.56</v>
      </c>
      <c r="D3345" s="1">
        <v>2.8959000000000001</v>
      </c>
    </row>
    <row r="3346" spans="1:4" x14ac:dyDescent="0.2">
      <c r="A3346" s="5">
        <v>41177</v>
      </c>
      <c r="B3346" s="1">
        <v>1.6661999999999999</v>
      </c>
      <c r="C3346" s="1">
        <v>1.56</v>
      </c>
      <c r="D3346" s="1">
        <v>2.8450000000000002</v>
      </c>
    </row>
    <row r="3347" spans="1:4" x14ac:dyDescent="0.2">
      <c r="A3347" s="5">
        <v>41178</v>
      </c>
      <c r="B3347" s="1">
        <v>1.6094999999999999</v>
      </c>
      <c r="C3347" s="1">
        <v>1.59</v>
      </c>
      <c r="D3347" s="1">
        <v>2.7785000000000002</v>
      </c>
    </row>
    <row r="3348" spans="1:4" x14ac:dyDescent="0.2">
      <c r="A3348" s="5">
        <v>41179</v>
      </c>
      <c r="B3348" s="1">
        <v>1.6541999999999999</v>
      </c>
      <c r="C3348" s="1">
        <v>1.57</v>
      </c>
      <c r="D3348" s="1">
        <v>2.8386999999999998</v>
      </c>
    </row>
    <row r="3349" spans="1:4" x14ac:dyDescent="0.2">
      <c r="A3349" s="5">
        <v>41180</v>
      </c>
      <c r="B3349" s="1">
        <v>1.6335</v>
      </c>
      <c r="C3349" s="1">
        <v>1.56</v>
      </c>
      <c r="D3349" s="1">
        <v>2.823</v>
      </c>
    </row>
    <row r="3350" spans="1:4" x14ac:dyDescent="0.2">
      <c r="A3350" s="5">
        <v>41183</v>
      </c>
      <c r="B3350" s="1">
        <v>1.6249</v>
      </c>
      <c r="C3350" s="1">
        <v>1.55</v>
      </c>
      <c r="D3350" s="1">
        <v>2.8199000000000001</v>
      </c>
    </row>
    <row r="3351" spans="1:4" x14ac:dyDescent="0.2">
      <c r="A3351" s="5">
        <v>41184</v>
      </c>
      <c r="B3351" s="1">
        <v>1.6197999999999999</v>
      </c>
      <c r="C3351" s="1">
        <v>1.54</v>
      </c>
      <c r="D3351" s="1">
        <v>2.8159999999999998</v>
      </c>
    </row>
    <row r="3352" spans="1:4" x14ac:dyDescent="0.2">
      <c r="A3352" s="5">
        <v>41185</v>
      </c>
      <c r="B3352" s="1">
        <v>1.6146</v>
      </c>
      <c r="C3352" s="1">
        <v>1.53</v>
      </c>
      <c r="D3352" s="1">
        <v>2.8182999999999998</v>
      </c>
    </row>
    <row r="3353" spans="1:4" x14ac:dyDescent="0.2">
      <c r="A3353" s="5">
        <v>41186</v>
      </c>
      <c r="B3353" s="1">
        <v>1.6732</v>
      </c>
      <c r="C3353" s="1">
        <v>1.51</v>
      </c>
      <c r="D3353" s="1">
        <v>2.8896000000000002</v>
      </c>
    </row>
    <row r="3354" spans="1:4" x14ac:dyDescent="0.2">
      <c r="A3354" s="5">
        <v>41187</v>
      </c>
      <c r="B3354" s="1">
        <v>1.7427999999999999</v>
      </c>
      <c r="C3354" s="1">
        <v>1.48</v>
      </c>
      <c r="D3354" s="1">
        <v>2.9712000000000001</v>
      </c>
    </row>
    <row r="3355" spans="1:4" x14ac:dyDescent="0.2">
      <c r="A3355" s="5">
        <v>41190</v>
      </c>
      <c r="B3355" s="1">
        <v>1.7427999999999999</v>
      </c>
      <c r="C3355" s="1">
        <v>1.48</v>
      </c>
      <c r="D3355" s="1">
        <v>2.9712000000000001</v>
      </c>
    </row>
    <row r="3356" spans="1:4" x14ac:dyDescent="0.2">
      <c r="A3356" s="5">
        <v>41191</v>
      </c>
      <c r="B3356" s="1">
        <v>1.7132000000000001</v>
      </c>
      <c r="C3356" s="1">
        <v>1.46</v>
      </c>
      <c r="D3356" s="1">
        <v>2.9257</v>
      </c>
    </row>
    <row r="3357" spans="1:4" x14ac:dyDescent="0.2">
      <c r="A3357" s="5">
        <v>41192</v>
      </c>
      <c r="B3357" s="1">
        <v>1.6741999999999999</v>
      </c>
      <c r="C3357" s="1">
        <v>1.47</v>
      </c>
      <c r="D3357" s="1">
        <v>2.8784000000000001</v>
      </c>
    </row>
    <row r="3358" spans="1:4" x14ac:dyDescent="0.2">
      <c r="A3358" s="5">
        <v>41193</v>
      </c>
      <c r="B3358" s="1">
        <v>1.6698999999999999</v>
      </c>
      <c r="C3358" s="1">
        <v>1.45</v>
      </c>
      <c r="D3358" s="1">
        <v>2.8506</v>
      </c>
    </row>
    <row r="3359" spans="1:4" x14ac:dyDescent="0.2">
      <c r="A3359" s="5">
        <v>41194</v>
      </c>
      <c r="B3359" s="1">
        <v>1.6559999999999999</v>
      </c>
      <c r="C3359" s="1">
        <v>1.43</v>
      </c>
      <c r="D3359" s="1">
        <v>2.8317000000000001</v>
      </c>
    </row>
    <row r="3360" spans="1:4" x14ac:dyDescent="0.2">
      <c r="A3360" s="5">
        <v>41197</v>
      </c>
      <c r="B3360" s="1">
        <v>1.663</v>
      </c>
      <c r="C3360" s="1">
        <v>1.41</v>
      </c>
      <c r="D3360" s="1">
        <v>2.8451</v>
      </c>
    </row>
    <row r="3361" spans="1:4" x14ac:dyDescent="0.2">
      <c r="A3361" s="5">
        <v>41198</v>
      </c>
      <c r="B3361" s="1">
        <v>1.7185999999999999</v>
      </c>
      <c r="C3361" s="1">
        <v>1.38</v>
      </c>
      <c r="D3361" s="1">
        <v>2.9152999999999998</v>
      </c>
    </row>
    <row r="3362" spans="1:4" x14ac:dyDescent="0.2">
      <c r="A3362" s="5">
        <v>41199</v>
      </c>
      <c r="B3362" s="1">
        <v>1.8185</v>
      </c>
      <c r="C3362" s="1">
        <v>1.33</v>
      </c>
      <c r="D3362" s="1">
        <v>3.0032000000000001</v>
      </c>
    </row>
    <row r="3363" spans="1:4" x14ac:dyDescent="0.2">
      <c r="A3363" s="5">
        <v>41200</v>
      </c>
      <c r="B3363" s="1">
        <v>1.8344</v>
      </c>
      <c r="C3363" s="1">
        <v>1.31</v>
      </c>
      <c r="D3363" s="1">
        <v>3.0188999999999999</v>
      </c>
    </row>
    <row r="3364" spans="1:4" x14ac:dyDescent="0.2">
      <c r="A3364" s="5">
        <v>41201</v>
      </c>
      <c r="B3364" s="1">
        <v>1.7633000000000001</v>
      </c>
      <c r="C3364" s="1">
        <v>1.31</v>
      </c>
      <c r="D3364" s="1">
        <v>2.9339</v>
      </c>
    </row>
    <row r="3365" spans="1:4" x14ac:dyDescent="0.2">
      <c r="A3365" s="5">
        <v>41204</v>
      </c>
      <c r="B3365" s="1">
        <v>1.8133999999999999</v>
      </c>
      <c r="C3365" s="1">
        <v>1.33</v>
      </c>
      <c r="D3365" s="1">
        <v>2.9704999999999999</v>
      </c>
    </row>
    <row r="3366" spans="1:4" x14ac:dyDescent="0.2">
      <c r="A3366" s="5">
        <v>41205</v>
      </c>
      <c r="B3366" s="1">
        <v>1.7572000000000001</v>
      </c>
      <c r="C3366" s="1">
        <v>1.37</v>
      </c>
      <c r="D3366" s="1">
        <v>2.9024999999999999</v>
      </c>
    </row>
    <row r="3367" spans="1:4" x14ac:dyDescent="0.2">
      <c r="A3367" s="5">
        <v>41206</v>
      </c>
      <c r="B3367" s="1">
        <v>1.7888999999999999</v>
      </c>
      <c r="C3367" s="1">
        <v>1.36</v>
      </c>
      <c r="D3367" s="1">
        <v>2.9493999999999998</v>
      </c>
    </row>
    <row r="3368" spans="1:4" x14ac:dyDescent="0.2">
      <c r="A3368" s="5">
        <v>41207</v>
      </c>
      <c r="B3368" s="1">
        <v>1.8232999999999999</v>
      </c>
      <c r="C3368" s="1">
        <v>1.36</v>
      </c>
      <c r="D3368" s="1">
        <v>2.9771000000000001</v>
      </c>
    </row>
    <row r="3369" spans="1:4" x14ac:dyDescent="0.2">
      <c r="A3369" s="5">
        <v>41208</v>
      </c>
      <c r="B3369" s="1">
        <v>1.7451000000000001</v>
      </c>
      <c r="C3369" s="1">
        <v>1.36</v>
      </c>
      <c r="D3369" s="1">
        <v>2.9041999999999999</v>
      </c>
    </row>
    <row r="3370" spans="1:4" x14ac:dyDescent="0.2">
      <c r="A3370" s="5">
        <v>41211</v>
      </c>
      <c r="B3370" s="1">
        <v>1.7189000000000001</v>
      </c>
      <c r="C3370" s="1">
        <v>1.38</v>
      </c>
      <c r="D3370" s="1">
        <v>2.8826000000000001</v>
      </c>
    </row>
    <row r="3371" spans="1:4" x14ac:dyDescent="0.2">
      <c r="A3371" s="5">
        <v>41212</v>
      </c>
      <c r="B3371" s="1">
        <v>1.7189000000000001</v>
      </c>
      <c r="C3371" s="1">
        <v>1.38</v>
      </c>
      <c r="D3371" s="1">
        <v>2.8826000000000001</v>
      </c>
    </row>
    <row r="3372" spans="1:4" x14ac:dyDescent="0.2">
      <c r="A3372" s="5">
        <v>41213</v>
      </c>
      <c r="B3372" s="1">
        <v>1.6900999999999999</v>
      </c>
      <c r="C3372" s="1">
        <v>1.37</v>
      </c>
      <c r="D3372" s="1">
        <v>2.8578999999999999</v>
      </c>
    </row>
    <row r="3373" spans="1:4" x14ac:dyDescent="0.2">
      <c r="A3373" s="5">
        <v>41214</v>
      </c>
      <c r="B3373" s="1">
        <v>1.7242</v>
      </c>
      <c r="C3373" s="1">
        <v>1.37</v>
      </c>
      <c r="D3373" s="1">
        <v>2.9009999999999998</v>
      </c>
    </row>
    <row r="3374" spans="1:4" x14ac:dyDescent="0.2">
      <c r="A3374" s="5">
        <v>41215</v>
      </c>
      <c r="B3374" s="1">
        <v>1.7146999999999999</v>
      </c>
      <c r="C3374" s="1">
        <v>1.37</v>
      </c>
      <c r="D3374" s="1">
        <v>2.9066000000000001</v>
      </c>
    </row>
    <row r="3375" spans="1:4" x14ac:dyDescent="0.2">
      <c r="A3375" s="5">
        <v>41218</v>
      </c>
      <c r="B3375" s="1">
        <v>1.6840999999999999</v>
      </c>
      <c r="C3375" s="1">
        <v>1.39</v>
      </c>
      <c r="D3375" s="1">
        <v>2.8761999999999999</v>
      </c>
    </row>
    <row r="3376" spans="1:4" x14ac:dyDescent="0.2">
      <c r="A3376" s="5">
        <v>41219</v>
      </c>
      <c r="B3376" s="1">
        <v>1.7506999999999999</v>
      </c>
      <c r="C3376" s="1">
        <v>1.4</v>
      </c>
      <c r="D3376" s="1">
        <v>2.9203000000000001</v>
      </c>
    </row>
    <row r="3377" spans="1:4" x14ac:dyDescent="0.2">
      <c r="A3377" s="5">
        <v>41220</v>
      </c>
      <c r="B3377" s="1">
        <v>1.6466000000000001</v>
      </c>
      <c r="C3377" s="1">
        <v>1.4</v>
      </c>
      <c r="D3377" s="1">
        <v>2.8279000000000001</v>
      </c>
    </row>
    <row r="3378" spans="1:4" x14ac:dyDescent="0.2">
      <c r="A3378" s="5">
        <v>41221</v>
      </c>
      <c r="B3378" s="1">
        <v>1.6148</v>
      </c>
      <c r="C3378" s="1">
        <v>1.42</v>
      </c>
      <c r="D3378" s="1">
        <v>2.7507000000000001</v>
      </c>
    </row>
    <row r="3379" spans="1:4" x14ac:dyDescent="0.2">
      <c r="A3379" s="5">
        <v>41222</v>
      </c>
      <c r="B3379" s="1">
        <v>1.6063000000000001</v>
      </c>
      <c r="C3379" s="1">
        <v>1.45</v>
      </c>
      <c r="D3379" s="1">
        <v>2.7408000000000001</v>
      </c>
    </row>
    <row r="3380" spans="1:4" x14ac:dyDescent="0.2">
      <c r="A3380" s="5">
        <v>41225</v>
      </c>
      <c r="B3380" s="1">
        <v>1.6063000000000001</v>
      </c>
      <c r="C3380" s="1">
        <v>1.45</v>
      </c>
      <c r="D3380" s="1">
        <v>2.7408000000000001</v>
      </c>
    </row>
    <row r="3381" spans="1:4" x14ac:dyDescent="0.2">
      <c r="A3381" s="5">
        <v>41226</v>
      </c>
      <c r="B3381" s="1">
        <v>1.5945</v>
      </c>
      <c r="C3381" s="1">
        <v>1.45</v>
      </c>
      <c r="D3381" s="1">
        <v>2.7246999999999999</v>
      </c>
    </row>
    <row r="3382" spans="1:4" x14ac:dyDescent="0.2">
      <c r="A3382" s="5">
        <v>41227</v>
      </c>
      <c r="B3382" s="1">
        <v>1.5911</v>
      </c>
      <c r="C3382" s="1">
        <v>1.45</v>
      </c>
      <c r="D3382" s="1">
        <v>2.7269999999999999</v>
      </c>
    </row>
    <row r="3383" spans="1:4" x14ac:dyDescent="0.2">
      <c r="A3383" s="5">
        <v>41228</v>
      </c>
      <c r="B3383" s="1">
        <v>1.5928</v>
      </c>
      <c r="C3383" s="1">
        <v>1.48</v>
      </c>
      <c r="D3383" s="1">
        <v>2.7307999999999999</v>
      </c>
    </row>
    <row r="3384" spans="1:4" x14ac:dyDescent="0.2">
      <c r="A3384" s="5">
        <v>41229</v>
      </c>
      <c r="B3384" s="1">
        <v>1.58</v>
      </c>
      <c r="C3384" s="1">
        <v>1.5</v>
      </c>
      <c r="D3384" s="1">
        <v>2.7324000000000002</v>
      </c>
    </row>
    <row r="3385" spans="1:4" x14ac:dyDescent="0.2">
      <c r="A3385" s="5">
        <v>41232</v>
      </c>
      <c r="B3385" s="1">
        <v>1.6131</v>
      </c>
      <c r="C3385" s="1">
        <v>1.49</v>
      </c>
      <c r="D3385" s="1">
        <v>2.7631000000000001</v>
      </c>
    </row>
    <row r="3386" spans="1:4" x14ac:dyDescent="0.2">
      <c r="A3386" s="5">
        <v>41233</v>
      </c>
      <c r="B3386" s="1">
        <v>1.6658999999999999</v>
      </c>
      <c r="C3386" s="1">
        <v>1.48</v>
      </c>
      <c r="D3386" s="1">
        <v>2.8206000000000002</v>
      </c>
    </row>
    <row r="3387" spans="1:4" x14ac:dyDescent="0.2">
      <c r="A3387" s="5">
        <v>41234</v>
      </c>
      <c r="B3387" s="1">
        <v>1.6796</v>
      </c>
      <c r="C3387" s="1">
        <v>1.48</v>
      </c>
      <c r="D3387" s="1">
        <v>2.8197999999999999</v>
      </c>
    </row>
    <row r="3388" spans="1:4" x14ac:dyDescent="0.2">
      <c r="A3388" s="5">
        <v>41235</v>
      </c>
      <c r="B3388" s="1">
        <v>1.6796</v>
      </c>
      <c r="C3388" s="1">
        <v>1.48</v>
      </c>
      <c r="D3388" s="1">
        <v>2.8197999999999999</v>
      </c>
    </row>
    <row r="3389" spans="1:4" x14ac:dyDescent="0.2">
      <c r="A3389" s="5">
        <v>41236</v>
      </c>
      <c r="B3389" s="1">
        <v>1.6899</v>
      </c>
      <c r="C3389" s="1">
        <v>1.47</v>
      </c>
      <c r="D3389" s="1">
        <v>2.8283999999999998</v>
      </c>
    </row>
    <row r="3390" spans="1:4" x14ac:dyDescent="0.2">
      <c r="A3390" s="5">
        <v>41239</v>
      </c>
      <c r="B3390" s="1">
        <v>1.6625000000000001</v>
      </c>
      <c r="C3390" s="1">
        <v>1.47</v>
      </c>
      <c r="D3390" s="1">
        <v>2.8018000000000001</v>
      </c>
    </row>
    <row r="3391" spans="1:4" x14ac:dyDescent="0.2">
      <c r="A3391" s="5">
        <v>41240</v>
      </c>
      <c r="B3391" s="1">
        <v>1.6369</v>
      </c>
      <c r="C3391" s="1">
        <v>1.47</v>
      </c>
      <c r="D3391" s="1">
        <v>2.7847</v>
      </c>
    </row>
    <row r="3392" spans="1:4" x14ac:dyDescent="0.2">
      <c r="A3392" s="5">
        <v>41241</v>
      </c>
      <c r="B3392" s="1">
        <v>1.6284000000000001</v>
      </c>
      <c r="C3392" s="1">
        <v>1.48</v>
      </c>
      <c r="D3392" s="1">
        <v>2.7978999999999998</v>
      </c>
    </row>
    <row r="3393" spans="1:4" x14ac:dyDescent="0.2">
      <c r="A3393" s="5">
        <v>41242</v>
      </c>
      <c r="B3393" s="1">
        <v>1.6147</v>
      </c>
      <c r="C3393" s="1">
        <v>1.47</v>
      </c>
      <c r="D3393" s="1">
        <v>2.7955999999999999</v>
      </c>
    </row>
    <row r="3394" spans="1:4" x14ac:dyDescent="0.2">
      <c r="A3394" s="5">
        <v>41243</v>
      </c>
      <c r="B3394" s="1">
        <v>1.6155999999999999</v>
      </c>
      <c r="C3394" s="1">
        <v>1.47</v>
      </c>
      <c r="D3394" s="1">
        <v>2.8089</v>
      </c>
    </row>
    <row r="3395" spans="1:4" x14ac:dyDescent="0.2">
      <c r="A3395" s="5">
        <v>41246</v>
      </c>
      <c r="B3395" s="1">
        <v>1.6207</v>
      </c>
      <c r="C3395" s="1">
        <v>1.47</v>
      </c>
      <c r="D3395" s="1">
        <v>2.7987000000000002</v>
      </c>
    </row>
    <row r="3396" spans="1:4" x14ac:dyDescent="0.2">
      <c r="A3396" s="5">
        <v>41247</v>
      </c>
      <c r="B3396" s="1">
        <v>1.6028</v>
      </c>
      <c r="C3396" s="1">
        <v>1.47</v>
      </c>
      <c r="D3396" s="1">
        <v>2.7770000000000001</v>
      </c>
    </row>
    <row r="3397" spans="1:4" x14ac:dyDescent="0.2">
      <c r="A3397" s="5">
        <v>41248</v>
      </c>
      <c r="B3397" s="1">
        <v>1.5874999999999999</v>
      </c>
      <c r="C3397" s="1">
        <v>1.46</v>
      </c>
      <c r="D3397" s="1">
        <v>2.7770000000000001</v>
      </c>
    </row>
    <row r="3398" spans="1:4" x14ac:dyDescent="0.2">
      <c r="A3398" s="5">
        <v>41249</v>
      </c>
      <c r="B3398" s="1">
        <v>1.5857000000000001</v>
      </c>
      <c r="C3398" s="1">
        <v>1.47</v>
      </c>
      <c r="D3398" s="1">
        <v>2.7738999999999998</v>
      </c>
    </row>
    <row r="3399" spans="1:4" x14ac:dyDescent="0.2">
      <c r="A3399" s="5">
        <v>41250</v>
      </c>
      <c r="B3399" s="1">
        <v>1.6214999999999999</v>
      </c>
      <c r="C3399" s="1">
        <v>1.47</v>
      </c>
      <c r="D3399" s="1">
        <v>2.8104</v>
      </c>
    </row>
    <row r="3400" spans="1:4" x14ac:dyDescent="0.2">
      <c r="A3400" s="5">
        <v>41253</v>
      </c>
      <c r="B3400" s="1">
        <v>1.6164000000000001</v>
      </c>
      <c r="C3400" s="1">
        <v>1.47</v>
      </c>
      <c r="D3400" s="1">
        <v>2.7978999999999998</v>
      </c>
    </row>
    <row r="3401" spans="1:4" x14ac:dyDescent="0.2">
      <c r="A3401" s="5">
        <v>41254</v>
      </c>
      <c r="B3401" s="1">
        <v>1.6540999999999999</v>
      </c>
      <c r="C3401" s="1">
        <v>1.46</v>
      </c>
      <c r="D3401" s="1">
        <v>2.8410000000000002</v>
      </c>
    </row>
    <row r="3402" spans="1:4" x14ac:dyDescent="0.2">
      <c r="A3402" s="5">
        <v>41255</v>
      </c>
      <c r="B3402" s="1">
        <v>1.698</v>
      </c>
      <c r="C3402" s="1">
        <v>1.45</v>
      </c>
      <c r="D3402" s="1">
        <v>2.8894000000000002</v>
      </c>
    </row>
    <row r="3403" spans="1:4" x14ac:dyDescent="0.2">
      <c r="A3403" s="5">
        <v>41256</v>
      </c>
      <c r="B3403" s="1">
        <v>1.7299</v>
      </c>
      <c r="C3403" s="1">
        <v>1.45</v>
      </c>
      <c r="D3403" s="1">
        <v>2.9054000000000002</v>
      </c>
    </row>
    <row r="3404" spans="1:4" x14ac:dyDescent="0.2">
      <c r="A3404" s="5">
        <v>41257</v>
      </c>
      <c r="B3404" s="1">
        <v>1.7015</v>
      </c>
      <c r="C3404" s="1">
        <v>1.45</v>
      </c>
      <c r="D3404" s="1">
        <v>2.8639999999999999</v>
      </c>
    </row>
    <row r="3405" spans="1:4" x14ac:dyDescent="0.2">
      <c r="A3405" s="5">
        <v>41260</v>
      </c>
      <c r="B3405" s="1">
        <v>1.7717000000000001</v>
      </c>
      <c r="C3405" s="1">
        <v>1.44</v>
      </c>
      <c r="D3405" s="1">
        <v>2.9457</v>
      </c>
    </row>
    <row r="3406" spans="1:4" x14ac:dyDescent="0.2">
      <c r="A3406" s="5">
        <v>41261</v>
      </c>
      <c r="B3406" s="1">
        <v>1.8169999999999999</v>
      </c>
      <c r="C3406" s="1">
        <v>1.42</v>
      </c>
      <c r="D3406" s="1">
        <v>2.9979</v>
      </c>
    </row>
    <row r="3407" spans="1:4" x14ac:dyDescent="0.2">
      <c r="A3407" s="5">
        <v>41262</v>
      </c>
      <c r="B3407" s="1">
        <v>1.8013999999999999</v>
      </c>
      <c r="C3407" s="1">
        <v>1.4</v>
      </c>
      <c r="D3407" s="1">
        <v>2.9864999999999999</v>
      </c>
    </row>
    <row r="3408" spans="1:4" x14ac:dyDescent="0.2">
      <c r="A3408" s="5">
        <v>41263</v>
      </c>
      <c r="B3408" s="1">
        <v>1.7962</v>
      </c>
      <c r="C3408" s="1">
        <v>1.39</v>
      </c>
      <c r="D3408" s="1">
        <v>2.9807000000000001</v>
      </c>
    </row>
    <row r="3409" spans="1:4" x14ac:dyDescent="0.2">
      <c r="A3409" s="5">
        <v>41264</v>
      </c>
      <c r="B3409" s="1">
        <v>1.7623</v>
      </c>
      <c r="C3409" s="1">
        <v>1.41</v>
      </c>
      <c r="D3409" s="1">
        <v>2.9312</v>
      </c>
    </row>
    <row r="3410" spans="1:4" x14ac:dyDescent="0.2">
      <c r="A3410" s="5">
        <v>41267</v>
      </c>
      <c r="B3410" s="1">
        <v>1.7737000000000001</v>
      </c>
      <c r="C3410" s="1">
        <v>1.41</v>
      </c>
      <c r="D3410" s="1">
        <v>2.9384999999999999</v>
      </c>
    </row>
    <row r="3411" spans="1:4" x14ac:dyDescent="0.2">
      <c r="A3411" s="5">
        <v>41268</v>
      </c>
      <c r="B3411" s="1">
        <v>1.7737000000000001</v>
      </c>
      <c r="C3411" s="1">
        <v>1.41</v>
      </c>
      <c r="D3411" s="1">
        <v>2.9384999999999999</v>
      </c>
    </row>
    <row r="3412" spans="1:4" x14ac:dyDescent="0.2">
      <c r="A3412" s="5">
        <v>41269</v>
      </c>
      <c r="B3412" s="1">
        <v>1.7511000000000001</v>
      </c>
      <c r="C3412" s="1">
        <v>1.4</v>
      </c>
      <c r="D3412" s="1">
        <v>2.9224000000000001</v>
      </c>
    </row>
    <row r="3413" spans="1:4" x14ac:dyDescent="0.2">
      <c r="A3413" s="5">
        <v>41270</v>
      </c>
      <c r="B3413" s="1">
        <v>1.7363999999999999</v>
      </c>
      <c r="C3413" s="1">
        <v>1.4</v>
      </c>
      <c r="D3413" s="1">
        <v>2.9095</v>
      </c>
    </row>
    <row r="3414" spans="1:4" x14ac:dyDescent="0.2">
      <c r="A3414" s="5">
        <v>41271</v>
      </c>
      <c r="B3414" s="1">
        <v>1.7009000000000001</v>
      </c>
      <c r="C3414" s="1">
        <v>1.41</v>
      </c>
      <c r="D3414" s="1">
        <v>2.8672</v>
      </c>
    </row>
    <row r="3415" spans="1:4" x14ac:dyDescent="0.2">
      <c r="A3415" s="5">
        <v>41274</v>
      </c>
      <c r="B3415" s="1">
        <v>1.7574000000000001</v>
      </c>
      <c r="C3415" s="1">
        <v>1.41</v>
      </c>
      <c r="D3415" s="1">
        <v>2.9499</v>
      </c>
    </row>
    <row r="3416" spans="1:4" x14ac:dyDescent="0.2">
      <c r="A3416" s="5">
        <v>41275</v>
      </c>
      <c r="B3416" s="1">
        <v>1.7574000000000001</v>
      </c>
      <c r="C3416" s="1">
        <v>1.41</v>
      </c>
      <c r="D3416" s="1">
        <v>2.9499</v>
      </c>
    </row>
    <row r="3417" spans="1:4" x14ac:dyDescent="0.2">
      <c r="A3417" s="5">
        <v>41276</v>
      </c>
      <c r="B3417" s="1">
        <v>1.8371</v>
      </c>
      <c r="C3417" s="1">
        <v>1.38</v>
      </c>
      <c r="D3417" s="1">
        <v>3.0419</v>
      </c>
    </row>
    <row r="3418" spans="1:4" x14ac:dyDescent="0.2">
      <c r="A3418" s="5">
        <v>41277</v>
      </c>
      <c r="B3418" s="1">
        <v>1.9120999999999999</v>
      </c>
      <c r="C3418" s="1">
        <v>1.35</v>
      </c>
      <c r="D3418" s="1">
        <v>3.1251000000000002</v>
      </c>
    </row>
    <row r="3419" spans="1:4" x14ac:dyDescent="0.2">
      <c r="A3419" s="5">
        <v>41278</v>
      </c>
      <c r="B3419" s="1">
        <v>1.8991</v>
      </c>
      <c r="C3419" s="1">
        <v>1.34</v>
      </c>
      <c r="D3419" s="1">
        <v>3.0972</v>
      </c>
    </row>
    <row r="3420" spans="1:4" x14ac:dyDescent="0.2">
      <c r="A3420" s="5">
        <v>41281</v>
      </c>
      <c r="B3420" s="1">
        <v>1.8974</v>
      </c>
      <c r="C3420" s="1">
        <v>1.33</v>
      </c>
      <c r="D3420" s="1">
        <v>3.1006</v>
      </c>
    </row>
    <row r="3421" spans="1:4" x14ac:dyDescent="0.2">
      <c r="A3421" s="5">
        <v>41282</v>
      </c>
      <c r="B3421" s="1">
        <v>1.8683000000000001</v>
      </c>
      <c r="C3421" s="1">
        <v>1.34</v>
      </c>
      <c r="D3421" s="1">
        <v>3.0678999999999998</v>
      </c>
    </row>
    <row r="3422" spans="1:4" x14ac:dyDescent="0.2">
      <c r="A3422" s="5">
        <v>41283</v>
      </c>
      <c r="B3422" s="1">
        <v>1.8568</v>
      </c>
      <c r="C3422" s="1">
        <v>1.35</v>
      </c>
      <c r="D3422" s="1">
        <v>3.0604</v>
      </c>
    </row>
    <row r="3423" spans="1:4" x14ac:dyDescent="0.2">
      <c r="A3423" s="5">
        <v>41284</v>
      </c>
      <c r="B3423" s="1">
        <v>1.8957999999999999</v>
      </c>
      <c r="C3423" s="1">
        <v>1.35</v>
      </c>
      <c r="D3423" s="1">
        <v>3.0796000000000001</v>
      </c>
    </row>
    <row r="3424" spans="1:4" x14ac:dyDescent="0.2">
      <c r="A3424" s="5">
        <v>41285</v>
      </c>
      <c r="B3424" s="1">
        <v>1.8676999999999999</v>
      </c>
      <c r="C3424" s="1">
        <v>1.35</v>
      </c>
      <c r="D3424" s="1">
        <v>3.0478999999999998</v>
      </c>
    </row>
    <row r="3425" spans="1:4" x14ac:dyDescent="0.2">
      <c r="A3425" s="5">
        <v>41288</v>
      </c>
      <c r="B3425" s="1">
        <v>1.8448</v>
      </c>
      <c r="C3425" s="1">
        <v>1.35</v>
      </c>
      <c r="D3425" s="1">
        <v>3.0312999999999999</v>
      </c>
    </row>
    <row r="3426" spans="1:4" x14ac:dyDescent="0.2">
      <c r="A3426" s="5">
        <v>41289</v>
      </c>
      <c r="B3426" s="1">
        <v>1.8360000000000001</v>
      </c>
      <c r="C3426" s="1">
        <v>1.37</v>
      </c>
      <c r="D3426" s="1">
        <v>3.0255000000000001</v>
      </c>
    </row>
    <row r="3427" spans="1:4" x14ac:dyDescent="0.2">
      <c r="A3427" s="5">
        <v>41290</v>
      </c>
      <c r="B3427" s="1">
        <v>1.8185</v>
      </c>
      <c r="C3427" s="1">
        <v>1.38</v>
      </c>
      <c r="D3427" s="1">
        <v>3.0131000000000001</v>
      </c>
    </row>
    <row r="3428" spans="1:4" x14ac:dyDescent="0.2">
      <c r="A3428" s="5">
        <v>41291</v>
      </c>
      <c r="B3428" s="1">
        <v>1.8794</v>
      </c>
      <c r="C3428" s="1">
        <v>1.37</v>
      </c>
      <c r="D3428" s="1">
        <v>3.0722</v>
      </c>
    </row>
    <row r="3429" spans="1:4" x14ac:dyDescent="0.2">
      <c r="A3429" s="5">
        <v>41292</v>
      </c>
      <c r="B3429" s="1">
        <v>1.8415999999999999</v>
      </c>
      <c r="C3429" s="1">
        <v>1.38</v>
      </c>
      <c r="D3429" s="1">
        <v>3.0289000000000001</v>
      </c>
    </row>
    <row r="3430" spans="1:4" x14ac:dyDescent="0.2">
      <c r="A3430" s="5">
        <v>41295</v>
      </c>
      <c r="B3430" s="1">
        <v>1.8415999999999999</v>
      </c>
      <c r="C3430" s="1">
        <v>1.38</v>
      </c>
      <c r="D3430" s="1">
        <v>3.0289000000000001</v>
      </c>
    </row>
    <row r="3431" spans="1:4" x14ac:dyDescent="0.2">
      <c r="A3431" s="5">
        <v>41296</v>
      </c>
      <c r="B3431" s="1">
        <v>1.8416999999999999</v>
      </c>
      <c r="C3431" s="1">
        <v>1.38</v>
      </c>
      <c r="D3431" s="1">
        <v>3.0280999999999998</v>
      </c>
    </row>
    <row r="3432" spans="1:4" x14ac:dyDescent="0.2">
      <c r="A3432" s="5">
        <v>41297</v>
      </c>
      <c r="B3432" s="1">
        <v>1.8241000000000001</v>
      </c>
      <c r="C3432" s="1">
        <v>1.38</v>
      </c>
      <c r="D3432" s="1">
        <v>3.0182000000000002</v>
      </c>
    </row>
    <row r="3433" spans="1:4" x14ac:dyDescent="0.2">
      <c r="A3433" s="5">
        <v>41298</v>
      </c>
      <c r="B3433" s="1">
        <v>1.8498000000000001</v>
      </c>
      <c r="C3433" s="1">
        <v>1.38</v>
      </c>
      <c r="D3433" s="1">
        <v>3.0430999999999999</v>
      </c>
    </row>
    <row r="3434" spans="1:4" x14ac:dyDescent="0.2">
      <c r="A3434" s="5">
        <v>41299</v>
      </c>
      <c r="B3434" s="1">
        <v>1.9487000000000001</v>
      </c>
      <c r="C3434" s="1">
        <v>1.37</v>
      </c>
      <c r="D3434" s="1">
        <v>3.1333000000000002</v>
      </c>
    </row>
    <row r="3435" spans="1:4" x14ac:dyDescent="0.2">
      <c r="A3435" s="5">
        <v>41302</v>
      </c>
      <c r="B3435" s="1">
        <v>1.9613</v>
      </c>
      <c r="C3435" s="1">
        <v>1.36</v>
      </c>
      <c r="D3435" s="1">
        <v>3.141</v>
      </c>
    </row>
    <row r="3436" spans="1:4" x14ac:dyDescent="0.2">
      <c r="A3436" s="5">
        <v>41303</v>
      </c>
      <c r="B3436" s="1">
        <v>1.9991000000000001</v>
      </c>
      <c r="C3436" s="1">
        <v>1.37</v>
      </c>
      <c r="D3436" s="1">
        <v>3.1839</v>
      </c>
    </row>
    <row r="3437" spans="1:4" x14ac:dyDescent="0.2">
      <c r="A3437" s="5">
        <v>41304</v>
      </c>
      <c r="B3437" s="1">
        <v>1.992</v>
      </c>
      <c r="C3437" s="1">
        <v>1.36</v>
      </c>
      <c r="D3437" s="1">
        <v>3.1821999999999999</v>
      </c>
    </row>
    <row r="3438" spans="1:4" x14ac:dyDescent="0.2">
      <c r="A3438" s="5">
        <v>41305</v>
      </c>
      <c r="B3438" s="1">
        <v>1.9849000000000001</v>
      </c>
      <c r="C3438" s="1">
        <v>1.38</v>
      </c>
      <c r="D3438" s="1">
        <v>3.1718999999999999</v>
      </c>
    </row>
    <row r="3439" spans="1:4" x14ac:dyDescent="0.2">
      <c r="A3439" s="5">
        <v>41306</v>
      </c>
      <c r="B3439" s="1">
        <v>2.0148999999999999</v>
      </c>
      <c r="C3439" s="1">
        <v>1.38</v>
      </c>
      <c r="D3439" s="1">
        <v>3.2178</v>
      </c>
    </row>
    <row r="3440" spans="1:4" x14ac:dyDescent="0.2">
      <c r="A3440" s="5">
        <v>41309</v>
      </c>
      <c r="B3440" s="1">
        <v>1.9548000000000001</v>
      </c>
      <c r="C3440" s="1">
        <v>1.38</v>
      </c>
      <c r="D3440" s="1">
        <v>3.1598999999999999</v>
      </c>
    </row>
    <row r="3441" spans="1:4" x14ac:dyDescent="0.2">
      <c r="A3441" s="5">
        <v>41310</v>
      </c>
      <c r="B3441" s="1">
        <v>1.998</v>
      </c>
      <c r="C3441" s="1">
        <v>1.38</v>
      </c>
      <c r="D3441" s="1">
        <v>3.2082999999999999</v>
      </c>
    </row>
    <row r="3442" spans="1:4" x14ac:dyDescent="0.2">
      <c r="A3442" s="5">
        <v>41311</v>
      </c>
      <c r="B3442" s="1">
        <v>1.9602999999999999</v>
      </c>
      <c r="C3442" s="1">
        <v>1.38</v>
      </c>
      <c r="D3442" s="1">
        <v>3.1694</v>
      </c>
    </row>
    <row r="3443" spans="1:4" x14ac:dyDescent="0.2">
      <c r="A3443" s="5">
        <v>41312</v>
      </c>
      <c r="B3443" s="1">
        <v>1.9568000000000001</v>
      </c>
      <c r="C3443" s="1">
        <v>1.38</v>
      </c>
      <c r="D3443" s="1">
        <v>3.1703000000000001</v>
      </c>
    </row>
    <row r="3444" spans="1:4" x14ac:dyDescent="0.2">
      <c r="A3444" s="5">
        <v>41313</v>
      </c>
      <c r="B3444" s="1">
        <v>1.9499</v>
      </c>
      <c r="C3444" s="1">
        <v>1.38</v>
      </c>
      <c r="D3444" s="1">
        <v>3.1635</v>
      </c>
    </row>
    <row r="3445" spans="1:4" x14ac:dyDescent="0.2">
      <c r="A3445" s="5">
        <v>41316</v>
      </c>
      <c r="B3445" s="1">
        <v>1.9635</v>
      </c>
      <c r="C3445" s="1">
        <v>1.38</v>
      </c>
      <c r="D3445" s="1">
        <v>3.1703999999999999</v>
      </c>
    </row>
    <row r="3446" spans="1:4" x14ac:dyDescent="0.2">
      <c r="A3446" s="5">
        <v>41317</v>
      </c>
      <c r="B3446" s="1">
        <v>1.9770000000000001</v>
      </c>
      <c r="C3446" s="1">
        <v>1.37</v>
      </c>
      <c r="D3446" s="1">
        <v>3.1886000000000001</v>
      </c>
    </row>
    <row r="3447" spans="1:4" x14ac:dyDescent="0.2">
      <c r="A3447" s="5">
        <v>41318</v>
      </c>
      <c r="B3447" s="1">
        <v>2.0276999999999998</v>
      </c>
      <c r="C3447" s="1">
        <v>1.36</v>
      </c>
      <c r="D3447" s="1">
        <v>3.2338</v>
      </c>
    </row>
    <row r="3448" spans="1:4" x14ac:dyDescent="0.2">
      <c r="A3448" s="5">
        <v>41319</v>
      </c>
      <c r="B3448" s="1">
        <v>1.9974000000000001</v>
      </c>
      <c r="C3448" s="1">
        <v>1.36</v>
      </c>
      <c r="D3448" s="1">
        <v>3.1764999999999999</v>
      </c>
    </row>
    <row r="3449" spans="1:4" x14ac:dyDescent="0.2">
      <c r="A3449" s="5">
        <v>41320</v>
      </c>
      <c r="B3449" s="1">
        <v>2.0017</v>
      </c>
      <c r="C3449" s="1">
        <v>1.37</v>
      </c>
      <c r="D3449" s="1">
        <v>3.1753</v>
      </c>
    </row>
    <row r="3450" spans="1:4" x14ac:dyDescent="0.2">
      <c r="A3450" s="5">
        <v>41323</v>
      </c>
      <c r="B3450" s="1">
        <v>2.0017</v>
      </c>
      <c r="C3450" s="1">
        <v>1.37</v>
      </c>
      <c r="D3450" s="1">
        <v>3.1753</v>
      </c>
    </row>
    <row r="3451" spans="1:4" x14ac:dyDescent="0.2">
      <c r="A3451" s="5">
        <v>41324</v>
      </c>
      <c r="B3451" s="1">
        <v>2.0278</v>
      </c>
      <c r="C3451" s="1">
        <v>1.36</v>
      </c>
      <c r="D3451" s="1">
        <v>3.2098</v>
      </c>
    </row>
    <row r="3452" spans="1:4" x14ac:dyDescent="0.2">
      <c r="A3452" s="5">
        <v>41325</v>
      </c>
      <c r="B3452" s="1">
        <v>2.0087000000000002</v>
      </c>
      <c r="C3452" s="1">
        <v>1.36</v>
      </c>
      <c r="D3452" s="1">
        <v>3.1991000000000001</v>
      </c>
    </row>
    <row r="3453" spans="1:4" x14ac:dyDescent="0.2">
      <c r="A3453" s="5">
        <v>41326</v>
      </c>
      <c r="B3453" s="1">
        <v>1.9765999999999999</v>
      </c>
      <c r="C3453" s="1">
        <v>1.37</v>
      </c>
      <c r="D3453" s="1">
        <v>3.1671</v>
      </c>
    </row>
    <row r="3454" spans="1:4" x14ac:dyDescent="0.2">
      <c r="A3454" s="5">
        <v>41327</v>
      </c>
      <c r="B3454" s="1">
        <v>1.9619</v>
      </c>
      <c r="C3454" s="1">
        <v>1.36</v>
      </c>
      <c r="D3454" s="1">
        <v>3.1524999999999999</v>
      </c>
    </row>
    <row r="3455" spans="1:4" x14ac:dyDescent="0.2">
      <c r="A3455" s="5">
        <v>41330</v>
      </c>
      <c r="B3455" s="1">
        <v>1.8636999999999999</v>
      </c>
      <c r="C3455" s="1">
        <v>1.36</v>
      </c>
      <c r="D3455" s="1">
        <v>3.0617000000000001</v>
      </c>
    </row>
    <row r="3456" spans="1:4" x14ac:dyDescent="0.2">
      <c r="A3456" s="5">
        <v>41331</v>
      </c>
      <c r="B3456" s="1">
        <v>1.8808</v>
      </c>
      <c r="C3456" s="1">
        <v>1.38</v>
      </c>
      <c r="D3456" s="1">
        <v>3.0783999999999998</v>
      </c>
    </row>
    <row r="3457" spans="1:4" x14ac:dyDescent="0.2">
      <c r="A3457" s="5">
        <v>41332</v>
      </c>
      <c r="B3457" s="1">
        <v>1.9014</v>
      </c>
      <c r="C3457" s="1">
        <v>1.37</v>
      </c>
      <c r="D3457" s="1">
        <v>3.0992000000000002</v>
      </c>
    </row>
    <row r="3458" spans="1:4" x14ac:dyDescent="0.2">
      <c r="A3458" s="5">
        <v>41333</v>
      </c>
      <c r="B3458" s="1">
        <v>1.8755999999999999</v>
      </c>
      <c r="C3458" s="1">
        <v>1.37</v>
      </c>
      <c r="D3458" s="1">
        <v>3.0855999999999999</v>
      </c>
    </row>
    <row r="3459" spans="1:4" x14ac:dyDescent="0.2">
      <c r="A3459" s="5">
        <v>41334</v>
      </c>
      <c r="B3459" s="1">
        <v>1.8411999999999999</v>
      </c>
      <c r="C3459" s="1">
        <v>1.39</v>
      </c>
      <c r="D3459" s="1">
        <v>3.0506000000000002</v>
      </c>
    </row>
    <row r="3460" spans="1:4" x14ac:dyDescent="0.2">
      <c r="A3460" s="5">
        <v>41337</v>
      </c>
      <c r="B3460" s="1">
        <v>1.8754999999999999</v>
      </c>
      <c r="C3460" s="1">
        <v>1.38</v>
      </c>
      <c r="D3460" s="1">
        <v>3.0863999999999998</v>
      </c>
    </row>
    <row r="3461" spans="1:4" x14ac:dyDescent="0.2">
      <c r="A3461" s="5">
        <v>41338</v>
      </c>
      <c r="B3461" s="1">
        <v>1.8977999999999999</v>
      </c>
      <c r="C3461" s="1">
        <v>1.37</v>
      </c>
      <c r="D3461" s="1">
        <v>3.1063999999999998</v>
      </c>
    </row>
    <row r="3462" spans="1:4" x14ac:dyDescent="0.2">
      <c r="A3462" s="5">
        <v>41339</v>
      </c>
      <c r="B3462" s="1">
        <v>1.9375</v>
      </c>
      <c r="C3462" s="1">
        <v>1.36</v>
      </c>
      <c r="D3462" s="1">
        <v>3.1516999999999999</v>
      </c>
    </row>
    <row r="3463" spans="1:4" x14ac:dyDescent="0.2">
      <c r="A3463" s="5">
        <v>41340</v>
      </c>
      <c r="B3463" s="1">
        <v>1.9964999999999999</v>
      </c>
      <c r="C3463" s="1">
        <v>1.35</v>
      </c>
      <c r="D3463" s="1">
        <v>3.2031999999999998</v>
      </c>
    </row>
    <row r="3464" spans="1:4" x14ac:dyDescent="0.2">
      <c r="A3464" s="5">
        <v>41341</v>
      </c>
      <c r="B3464" s="1">
        <v>2.0427</v>
      </c>
      <c r="C3464" s="1">
        <v>1.34</v>
      </c>
      <c r="D3464" s="1">
        <v>3.2437999999999998</v>
      </c>
    </row>
    <row r="3465" spans="1:4" x14ac:dyDescent="0.2">
      <c r="A3465" s="5">
        <v>41344</v>
      </c>
      <c r="B3465" s="1">
        <v>2.0575999999999999</v>
      </c>
      <c r="C3465" s="1">
        <v>1.34</v>
      </c>
      <c r="D3465" s="1">
        <v>3.2595999999999998</v>
      </c>
    </row>
    <row r="3466" spans="1:4" x14ac:dyDescent="0.2">
      <c r="A3466" s="5">
        <v>41345</v>
      </c>
      <c r="B3466" s="1">
        <v>2.0156000000000001</v>
      </c>
      <c r="C3466" s="1">
        <v>1.34</v>
      </c>
      <c r="D3466" s="1">
        <v>3.2130999999999998</v>
      </c>
    </row>
    <row r="3467" spans="1:4" x14ac:dyDescent="0.2">
      <c r="A3467" s="5">
        <v>41346</v>
      </c>
      <c r="B3467" s="1">
        <v>2.0209000000000001</v>
      </c>
      <c r="C3467" s="1">
        <v>1.34</v>
      </c>
      <c r="D3467" s="1">
        <v>3.2181000000000002</v>
      </c>
    </row>
    <row r="3468" spans="1:4" x14ac:dyDescent="0.2">
      <c r="A3468" s="5">
        <v>41347</v>
      </c>
      <c r="B3468" s="1">
        <v>2.0295999999999998</v>
      </c>
      <c r="C3468" s="1">
        <v>1.33</v>
      </c>
      <c r="D3468" s="1">
        <v>3.2387999999999999</v>
      </c>
    </row>
    <row r="3469" spans="1:4" x14ac:dyDescent="0.2">
      <c r="A3469" s="5">
        <v>41348</v>
      </c>
      <c r="B3469" s="1">
        <v>1.9895</v>
      </c>
      <c r="C3469" s="1">
        <v>1.35</v>
      </c>
      <c r="D3469" s="1">
        <v>3.2115</v>
      </c>
    </row>
    <row r="3470" spans="1:4" x14ac:dyDescent="0.2">
      <c r="A3470" s="5">
        <v>41351</v>
      </c>
      <c r="B3470" s="1">
        <v>1.9545999999999999</v>
      </c>
      <c r="C3470" s="1">
        <v>1.36</v>
      </c>
      <c r="D3470" s="1">
        <v>3.1842999999999999</v>
      </c>
    </row>
    <row r="3471" spans="1:4" x14ac:dyDescent="0.2">
      <c r="A3471" s="5">
        <v>41352</v>
      </c>
      <c r="B3471" s="1">
        <v>1.9016999999999999</v>
      </c>
      <c r="C3471" s="1">
        <v>1.36</v>
      </c>
      <c r="D3471" s="1">
        <v>3.1280999999999999</v>
      </c>
    </row>
    <row r="3472" spans="1:4" x14ac:dyDescent="0.2">
      <c r="A3472" s="5">
        <v>41353</v>
      </c>
      <c r="B3472" s="1">
        <v>1.9581</v>
      </c>
      <c r="C3472" s="1">
        <v>1.37</v>
      </c>
      <c r="D3472" s="1">
        <v>3.1983000000000001</v>
      </c>
    </row>
    <row r="3473" spans="1:4" x14ac:dyDescent="0.2">
      <c r="A3473" s="5">
        <v>41354</v>
      </c>
      <c r="B3473" s="1">
        <v>1.9112</v>
      </c>
      <c r="C3473" s="1">
        <v>1.37</v>
      </c>
      <c r="D3473" s="1">
        <v>3.1322000000000001</v>
      </c>
    </row>
    <row r="3474" spans="1:4" x14ac:dyDescent="0.2">
      <c r="A3474" s="5">
        <v>41355</v>
      </c>
      <c r="B3474" s="1">
        <v>1.925</v>
      </c>
      <c r="C3474" s="1">
        <v>1.38</v>
      </c>
      <c r="D3474" s="1">
        <v>3.1476000000000002</v>
      </c>
    </row>
    <row r="3475" spans="1:4" x14ac:dyDescent="0.2">
      <c r="A3475" s="5">
        <v>41358</v>
      </c>
      <c r="B3475" s="1">
        <v>1.9198</v>
      </c>
      <c r="C3475" s="1">
        <v>1.37</v>
      </c>
      <c r="D3475" s="1">
        <v>3.1484000000000001</v>
      </c>
    </row>
    <row r="3476" spans="1:4" x14ac:dyDescent="0.2">
      <c r="A3476" s="5">
        <v>41359</v>
      </c>
      <c r="B3476" s="1">
        <v>1.9094</v>
      </c>
      <c r="C3476" s="1">
        <v>1.39</v>
      </c>
      <c r="D3476" s="1">
        <v>3.1427</v>
      </c>
    </row>
    <row r="3477" spans="1:4" x14ac:dyDescent="0.2">
      <c r="A3477" s="5">
        <v>41360</v>
      </c>
      <c r="B3477" s="1">
        <v>1.8453999999999999</v>
      </c>
      <c r="C3477" s="1">
        <v>1.4</v>
      </c>
      <c r="D3477" s="1">
        <v>3.0878999999999999</v>
      </c>
    </row>
    <row r="3478" spans="1:4" x14ac:dyDescent="0.2">
      <c r="A3478" s="5">
        <v>41361</v>
      </c>
      <c r="B3478" s="1">
        <v>1.8487</v>
      </c>
      <c r="C3478" s="1">
        <v>1.39</v>
      </c>
      <c r="D3478" s="1">
        <v>3.1023000000000001</v>
      </c>
    </row>
    <row r="3479" spans="1:4" x14ac:dyDescent="0.2">
      <c r="A3479" s="5">
        <v>41362</v>
      </c>
      <c r="B3479" s="1">
        <v>1.8486</v>
      </c>
      <c r="C3479" s="1">
        <v>1.39</v>
      </c>
      <c r="D3479" s="1">
        <v>3.1023000000000001</v>
      </c>
    </row>
    <row r="3480" spans="1:4" x14ac:dyDescent="0.2">
      <c r="A3480" s="5">
        <v>41365</v>
      </c>
      <c r="B3480" s="1">
        <v>1.8313999999999999</v>
      </c>
      <c r="C3480" s="1">
        <v>1.4</v>
      </c>
      <c r="D3480" s="1">
        <v>3.0743</v>
      </c>
    </row>
    <row r="3481" spans="1:4" x14ac:dyDescent="0.2">
      <c r="A3481" s="5">
        <v>41366</v>
      </c>
      <c r="B3481" s="1">
        <v>1.859</v>
      </c>
      <c r="C3481" s="1">
        <v>1.4</v>
      </c>
      <c r="D3481" s="1">
        <v>3.0998999999999999</v>
      </c>
    </row>
    <row r="3482" spans="1:4" x14ac:dyDescent="0.2">
      <c r="A3482" s="5">
        <v>41367</v>
      </c>
      <c r="B3482" s="1">
        <v>1.8106</v>
      </c>
      <c r="C3482" s="1">
        <v>1.4</v>
      </c>
      <c r="D3482" s="1">
        <v>3.052</v>
      </c>
    </row>
    <row r="3483" spans="1:4" x14ac:dyDescent="0.2">
      <c r="A3483" s="5">
        <v>41368</v>
      </c>
      <c r="B3483" s="1">
        <v>1.7625</v>
      </c>
      <c r="C3483" s="1">
        <v>1.4</v>
      </c>
      <c r="D3483" s="1">
        <v>2.9874000000000001</v>
      </c>
    </row>
    <row r="3484" spans="1:4" x14ac:dyDescent="0.2">
      <c r="A3484" s="5">
        <v>41369</v>
      </c>
      <c r="B3484" s="1">
        <v>1.7128000000000001</v>
      </c>
      <c r="C3484" s="1">
        <v>1.4</v>
      </c>
      <c r="D3484" s="1">
        <v>2.875</v>
      </c>
    </row>
    <row r="3485" spans="1:4" x14ac:dyDescent="0.2">
      <c r="A3485" s="5">
        <v>41372</v>
      </c>
      <c r="B3485" s="1">
        <v>1.746</v>
      </c>
      <c r="C3485" s="1">
        <v>1.38</v>
      </c>
      <c r="D3485" s="1">
        <v>2.9146999999999998</v>
      </c>
    </row>
    <row r="3486" spans="1:4" x14ac:dyDescent="0.2">
      <c r="A3486" s="5">
        <v>41373</v>
      </c>
      <c r="B3486" s="1">
        <v>1.7502</v>
      </c>
      <c r="C3486" s="1">
        <v>1.38</v>
      </c>
      <c r="D3486" s="1">
        <v>2.9377</v>
      </c>
    </row>
    <row r="3487" spans="1:4" x14ac:dyDescent="0.2">
      <c r="A3487" s="5">
        <v>41374</v>
      </c>
      <c r="B3487" s="1">
        <v>1.8033999999999999</v>
      </c>
      <c r="C3487" s="1">
        <v>1.36</v>
      </c>
      <c r="D3487" s="1">
        <v>3.0030000000000001</v>
      </c>
    </row>
    <row r="3488" spans="1:4" x14ac:dyDescent="0.2">
      <c r="A3488" s="5">
        <v>41375</v>
      </c>
      <c r="B3488" s="1">
        <v>1.7887</v>
      </c>
      <c r="C3488" s="1">
        <v>1.35</v>
      </c>
      <c r="D3488" s="1">
        <v>2.9952000000000001</v>
      </c>
    </row>
    <row r="3489" spans="1:4" x14ac:dyDescent="0.2">
      <c r="A3489" s="5">
        <v>41376</v>
      </c>
      <c r="B3489" s="1">
        <v>1.7208000000000001</v>
      </c>
      <c r="C3489" s="1">
        <v>1.36</v>
      </c>
      <c r="D3489" s="1">
        <v>2.9177</v>
      </c>
    </row>
    <row r="3490" spans="1:4" x14ac:dyDescent="0.2">
      <c r="A3490" s="5">
        <v>41379</v>
      </c>
      <c r="B3490" s="1">
        <v>1.6798</v>
      </c>
      <c r="C3490" s="1">
        <v>1.37</v>
      </c>
      <c r="D3490" s="1">
        <v>2.859</v>
      </c>
    </row>
    <row r="3491" spans="1:4" x14ac:dyDescent="0.2">
      <c r="A3491" s="5">
        <v>41380</v>
      </c>
      <c r="B3491" s="1">
        <v>1.7223999999999999</v>
      </c>
      <c r="C3491" s="1">
        <v>1.37</v>
      </c>
      <c r="D3491" s="1">
        <v>2.9091999999999998</v>
      </c>
    </row>
    <row r="3492" spans="1:4" x14ac:dyDescent="0.2">
      <c r="A3492" s="5">
        <v>41381</v>
      </c>
      <c r="B3492" s="1">
        <v>1.6950000000000001</v>
      </c>
      <c r="C3492" s="1">
        <v>1.37</v>
      </c>
      <c r="D3492" s="1">
        <v>2.8778999999999999</v>
      </c>
    </row>
    <row r="3493" spans="1:4" x14ac:dyDescent="0.2">
      <c r="A3493" s="5">
        <v>41382</v>
      </c>
      <c r="B3493" s="1">
        <v>1.6847000000000001</v>
      </c>
      <c r="C3493" s="1">
        <v>1.37</v>
      </c>
      <c r="D3493" s="1">
        <v>2.8597000000000001</v>
      </c>
    </row>
    <row r="3494" spans="1:4" x14ac:dyDescent="0.2">
      <c r="A3494" s="5">
        <v>41383</v>
      </c>
      <c r="B3494" s="1">
        <v>1.7049000000000001</v>
      </c>
      <c r="C3494" s="1">
        <v>1.37</v>
      </c>
      <c r="D3494" s="1">
        <v>2.8847</v>
      </c>
    </row>
    <row r="3495" spans="1:4" x14ac:dyDescent="0.2">
      <c r="A3495" s="5">
        <v>41386</v>
      </c>
      <c r="B3495" s="1">
        <v>1.6929000000000001</v>
      </c>
      <c r="C3495" s="1">
        <v>1.37</v>
      </c>
      <c r="D3495" s="1">
        <v>2.8778000000000001</v>
      </c>
    </row>
    <row r="3496" spans="1:4" x14ac:dyDescent="0.2">
      <c r="A3496" s="5">
        <v>41387</v>
      </c>
      <c r="B3496" s="1">
        <v>1.7064999999999999</v>
      </c>
      <c r="C3496" s="1">
        <v>1.36</v>
      </c>
      <c r="D3496" s="1">
        <v>2.903</v>
      </c>
    </row>
    <row r="3497" spans="1:4" x14ac:dyDescent="0.2">
      <c r="A3497" s="5">
        <v>41388</v>
      </c>
      <c r="B3497" s="1">
        <v>1.7047000000000001</v>
      </c>
      <c r="C3497" s="1">
        <v>1.35</v>
      </c>
      <c r="D3497" s="1">
        <v>2.8953000000000002</v>
      </c>
    </row>
    <row r="3498" spans="1:4" x14ac:dyDescent="0.2">
      <c r="A3498" s="5">
        <v>41389</v>
      </c>
      <c r="B3498" s="1">
        <v>1.708</v>
      </c>
      <c r="C3498" s="1">
        <v>1.35</v>
      </c>
      <c r="D3498" s="1">
        <v>2.9045000000000001</v>
      </c>
    </row>
    <row r="3499" spans="1:4" x14ac:dyDescent="0.2">
      <c r="A3499" s="5">
        <v>41390</v>
      </c>
      <c r="B3499" s="1">
        <v>1.6633</v>
      </c>
      <c r="C3499" s="1">
        <v>1.35</v>
      </c>
      <c r="D3499" s="1">
        <v>2.8611</v>
      </c>
    </row>
    <row r="3500" spans="1:4" x14ac:dyDescent="0.2">
      <c r="A3500" s="5">
        <v>41393</v>
      </c>
      <c r="B3500" s="1">
        <v>1.6700999999999999</v>
      </c>
      <c r="C3500" s="1">
        <v>1.34</v>
      </c>
      <c r="D3500" s="1">
        <v>2.8784999999999998</v>
      </c>
    </row>
    <row r="3501" spans="1:4" x14ac:dyDescent="0.2">
      <c r="A3501" s="5">
        <v>41394</v>
      </c>
      <c r="B3501" s="1">
        <v>1.6717</v>
      </c>
      <c r="C3501" s="1">
        <v>1.35</v>
      </c>
      <c r="D3501" s="1">
        <v>2.8761999999999999</v>
      </c>
    </row>
    <row r="3502" spans="1:4" x14ac:dyDescent="0.2">
      <c r="A3502" s="5">
        <v>41395</v>
      </c>
      <c r="B3502" s="1">
        <v>1.629</v>
      </c>
      <c r="C3502" s="1">
        <v>1.35</v>
      </c>
      <c r="D3502" s="1">
        <v>2.8277999999999999</v>
      </c>
    </row>
    <row r="3503" spans="1:4" x14ac:dyDescent="0.2">
      <c r="A3503" s="5">
        <v>41396</v>
      </c>
      <c r="B3503" s="1">
        <v>1.6254999999999999</v>
      </c>
      <c r="C3503" s="1">
        <v>1.35</v>
      </c>
      <c r="D3503" s="1">
        <v>2.8210999999999999</v>
      </c>
    </row>
    <row r="3504" spans="1:4" x14ac:dyDescent="0.2">
      <c r="A3504" s="5">
        <v>41397</v>
      </c>
      <c r="B3504" s="1">
        <v>1.7382</v>
      </c>
      <c r="C3504" s="1">
        <v>1.34</v>
      </c>
      <c r="D3504" s="1">
        <v>2.9537</v>
      </c>
    </row>
    <row r="3505" spans="1:4" x14ac:dyDescent="0.2">
      <c r="A3505" s="5">
        <v>41400</v>
      </c>
      <c r="B3505" s="1">
        <v>1.7587999999999999</v>
      </c>
      <c r="C3505" s="1">
        <v>1.33</v>
      </c>
      <c r="D3505" s="1">
        <v>2.9762</v>
      </c>
    </row>
    <row r="3506" spans="1:4" x14ac:dyDescent="0.2">
      <c r="A3506" s="5">
        <v>41401</v>
      </c>
      <c r="B3506" s="1">
        <v>1.7778</v>
      </c>
      <c r="C3506" s="1">
        <v>1.32</v>
      </c>
      <c r="D3506" s="1">
        <v>2.9950000000000001</v>
      </c>
    </row>
    <row r="3507" spans="1:4" x14ac:dyDescent="0.2">
      <c r="A3507" s="5">
        <v>41402</v>
      </c>
      <c r="B3507" s="1">
        <v>1.7665</v>
      </c>
      <c r="C3507" s="1">
        <v>1.31</v>
      </c>
      <c r="D3507" s="1">
        <v>2.9870999999999999</v>
      </c>
    </row>
    <row r="3508" spans="1:4" x14ac:dyDescent="0.2">
      <c r="A3508" s="5">
        <v>41403</v>
      </c>
      <c r="B3508" s="1">
        <v>1.8109</v>
      </c>
      <c r="C3508" s="1">
        <v>1.31</v>
      </c>
      <c r="D3508" s="1">
        <v>2.9925999999999999</v>
      </c>
    </row>
    <row r="3509" spans="1:4" x14ac:dyDescent="0.2">
      <c r="A3509" s="5">
        <v>41404</v>
      </c>
      <c r="B3509" s="1">
        <v>1.8973</v>
      </c>
      <c r="C3509" s="1">
        <v>1.31</v>
      </c>
      <c r="D3509" s="1">
        <v>3.0943000000000001</v>
      </c>
    </row>
    <row r="3510" spans="1:4" x14ac:dyDescent="0.2">
      <c r="A3510" s="5">
        <v>41407</v>
      </c>
      <c r="B3510" s="1">
        <v>1.9198999999999999</v>
      </c>
      <c r="C3510" s="1">
        <v>1.31</v>
      </c>
      <c r="D3510" s="1">
        <v>3.1307999999999998</v>
      </c>
    </row>
    <row r="3511" spans="1:4" x14ac:dyDescent="0.2">
      <c r="A3511" s="5">
        <v>41408</v>
      </c>
      <c r="B3511" s="1">
        <v>1.974</v>
      </c>
      <c r="C3511" s="1">
        <v>1.3</v>
      </c>
      <c r="D3511" s="1">
        <v>3.1905000000000001</v>
      </c>
    </row>
    <row r="3512" spans="1:4" x14ac:dyDescent="0.2">
      <c r="A3512" s="5">
        <v>41409</v>
      </c>
      <c r="B3512" s="1">
        <v>1.9347000000000001</v>
      </c>
      <c r="C3512" s="1">
        <v>1.3</v>
      </c>
      <c r="D3512" s="1">
        <v>3.1558999999999999</v>
      </c>
    </row>
    <row r="3513" spans="1:4" x14ac:dyDescent="0.2">
      <c r="A3513" s="5">
        <v>41410</v>
      </c>
      <c r="B3513" s="1">
        <v>1.8809</v>
      </c>
      <c r="C3513" s="1">
        <v>1.31</v>
      </c>
      <c r="D3513" s="1">
        <v>3.0975999999999999</v>
      </c>
    </row>
    <row r="3514" spans="1:4" x14ac:dyDescent="0.2">
      <c r="A3514" s="5">
        <v>41411</v>
      </c>
      <c r="B3514" s="1">
        <v>1.9505999999999999</v>
      </c>
      <c r="C3514" s="1">
        <v>1.3</v>
      </c>
      <c r="D3514" s="1">
        <v>3.1669</v>
      </c>
    </row>
    <row r="3515" spans="1:4" x14ac:dyDescent="0.2">
      <c r="A3515" s="5">
        <v>41414</v>
      </c>
      <c r="B3515" s="1">
        <v>1.9646999999999999</v>
      </c>
      <c r="C3515" s="1">
        <v>1.3</v>
      </c>
      <c r="D3515" s="1">
        <v>3.1762000000000001</v>
      </c>
    </row>
    <row r="3516" spans="1:4" x14ac:dyDescent="0.2">
      <c r="A3516" s="5">
        <v>41415</v>
      </c>
      <c r="B3516" s="1">
        <v>1.9262999999999999</v>
      </c>
      <c r="C3516" s="1">
        <v>1.3</v>
      </c>
      <c r="D3516" s="1">
        <v>3.1309</v>
      </c>
    </row>
    <row r="3517" spans="1:4" x14ac:dyDescent="0.2">
      <c r="A3517" s="5">
        <v>41416</v>
      </c>
      <c r="B3517" s="1">
        <v>2.0394999999999999</v>
      </c>
      <c r="C3517" s="1">
        <v>1.3</v>
      </c>
      <c r="D3517" s="1">
        <v>3.2195</v>
      </c>
    </row>
    <row r="3518" spans="1:4" x14ac:dyDescent="0.2">
      <c r="A3518" s="5">
        <v>41417</v>
      </c>
      <c r="B3518" s="1">
        <v>2.0156999999999998</v>
      </c>
      <c r="C3518" s="1">
        <v>1.31</v>
      </c>
      <c r="D3518" s="1">
        <v>3.1905999999999999</v>
      </c>
    </row>
    <row r="3519" spans="1:4" x14ac:dyDescent="0.2">
      <c r="A3519" s="5">
        <v>41418</v>
      </c>
      <c r="B3519" s="1">
        <v>2.0081000000000002</v>
      </c>
      <c r="C3519" s="1">
        <v>1.31</v>
      </c>
      <c r="D3519" s="1">
        <v>3.1720999999999999</v>
      </c>
    </row>
    <row r="3520" spans="1:4" x14ac:dyDescent="0.2">
      <c r="A3520" s="5">
        <v>41421</v>
      </c>
      <c r="B3520" s="1">
        <v>2.0081000000000002</v>
      </c>
      <c r="C3520" s="1">
        <v>1.31</v>
      </c>
      <c r="D3520" s="1">
        <v>3.1720999999999999</v>
      </c>
    </row>
    <row r="3521" spans="1:4" x14ac:dyDescent="0.2">
      <c r="A3521" s="5">
        <v>41422</v>
      </c>
      <c r="B3521" s="1">
        <v>2.1652</v>
      </c>
      <c r="C3521" s="1">
        <v>1.3</v>
      </c>
      <c r="D3521" s="1">
        <v>3.3216999999999999</v>
      </c>
    </row>
    <row r="3522" spans="1:4" x14ac:dyDescent="0.2">
      <c r="A3522" s="5">
        <v>41423</v>
      </c>
      <c r="B3522" s="1">
        <v>2.1153</v>
      </c>
      <c r="C3522" s="1">
        <v>1.31</v>
      </c>
      <c r="D3522" s="1">
        <v>3.266</v>
      </c>
    </row>
    <row r="3523" spans="1:4" x14ac:dyDescent="0.2">
      <c r="A3523" s="5">
        <v>41424</v>
      </c>
      <c r="B3523" s="1">
        <v>2.1110000000000002</v>
      </c>
      <c r="C3523" s="1">
        <v>1.31</v>
      </c>
      <c r="D3523" s="1">
        <v>3.2711999999999999</v>
      </c>
    </row>
    <row r="3524" spans="1:4" x14ac:dyDescent="0.2">
      <c r="A3524" s="5">
        <v>41425</v>
      </c>
      <c r="B3524" s="1">
        <v>2.1282000000000001</v>
      </c>
      <c r="C3524" s="1">
        <v>1.32</v>
      </c>
      <c r="D3524" s="1">
        <v>3.2791000000000001</v>
      </c>
    </row>
    <row r="3525" spans="1:4" x14ac:dyDescent="0.2">
      <c r="A3525" s="5">
        <v>41428</v>
      </c>
      <c r="B3525" s="1">
        <v>2.1193</v>
      </c>
      <c r="C3525" s="1">
        <v>1.34</v>
      </c>
      <c r="D3525" s="1">
        <v>3.2660999999999998</v>
      </c>
    </row>
    <row r="3526" spans="1:4" x14ac:dyDescent="0.2">
      <c r="A3526" s="5">
        <v>41429</v>
      </c>
      <c r="B3526" s="1">
        <v>2.1461999999999999</v>
      </c>
      <c r="C3526" s="1">
        <v>1.35</v>
      </c>
      <c r="D3526" s="1">
        <v>3.3113999999999999</v>
      </c>
    </row>
    <row r="3527" spans="1:4" x14ac:dyDescent="0.2">
      <c r="A3527" s="5">
        <v>41430</v>
      </c>
      <c r="B3527" s="1">
        <v>2.0891999999999999</v>
      </c>
      <c r="C3527" s="1">
        <v>1.39</v>
      </c>
      <c r="D3527" s="1">
        <v>3.2463000000000002</v>
      </c>
    </row>
    <row r="3528" spans="1:4" x14ac:dyDescent="0.2">
      <c r="A3528" s="5">
        <v>41431</v>
      </c>
      <c r="B3528" s="1">
        <v>2.0769000000000002</v>
      </c>
      <c r="C3528" s="1">
        <v>1.41</v>
      </c>
      <c r="D3528" s="1">
        <v>3.2446000000000002</v>
      </c>
    </row>
    <row r="3529" spans="1:4" x14ac:dyDescent="0.2">
      <c r="A3529" s="5">
        <v>41432</v>
      </c>
      <c r="B3529" s="1">
        <v>2.1718000000000002</v>
      </c>
      <c r="C3529" s="1">
        <v>1.4</v>
      </c>
      <c r="D3529" s="1">
        <v>3.3342999999999998</v>
      </c>
    </row>
    <row r="3530" spans="1:4" x14ac:dyDescent="0.2">
      <c r="A3530" s="5">
        <v>41435</v>
      </c>
      <c r="B3530" s="1">
        <v>2.2097000000000002</v>
      </c>
      <c r="C3530" s="1">
        <v>1.4</v>
      </c>
      <c r="D3530" s="1">
        <v>3.3696999999999999</v>
      </c>
    </row>
    <row r="3531" spans="1:4" x14ac:dyDescent="0.2">
      <c r="A3531" s="5">
        <v>41436</v>
      </c>
      <c r="B3531" s="1">
        <v>2.1846000000000001</v>
      </c>
      <c r="C3531" s="1">
        <v>1.43</v>
      </c>
      <c r="D3531" s="1">
        <v>3.3140999999999998</v>
      </c>
    </row>
    <row r="3532" spans="1:4" x14ac:dyDescent="0.2">
      <c r="A3532" s="5">
        <v>41437</v>
      </c>
      <c r="B3532" s="1">
        <v>2.2280000000000002</v>
      </c>
      <c r="C3532" s="1">
        <v>1.43</v>
      </c>
      <c r="D3532" s="1">
        <v>3.3696999999999999</v>
      </c>
    </row>
    <row r="3533" spans="1:4" x14ac:dyDescent="0.2">
      <c r="A3533" s="5">
        <v>41438</v>
      </c>
      <c r="B3533" s="1">
        <v>2.1488999999999998</v>
      </c>
      <c r="C3533" s="1">
        <v>1.43</v>
      </c>
      <c r="D3533" s="1">
        <v>3.3168000000000002</v>
      </c>
    </row>
    <row r="3534" spans="1:4" x14ac:dyDescent="0.2">
      <c r="A3534" s="5">
        <v>41439</v>
      </c>
      <c r="B3534" s="1">
        <v>2.1295000000000002</v>
      </c>
      <c r="C3534" s="1">
        <v>1.43</v>
      </c>
      <c r="D3534" s="1">
        <v>3.3046000000000002</v>
      </c>
    </row>
    <row r="3535" spans="1:4" x14ac:dyDescent="0.2">
      <c r="A3535" s="5">
        <v>41442</v>
      </c>
      <c r="B3535" s="1">
        <v>2.1817000000000002</v>
      </c>
      <c r="C3535" s="1">
        <v>1.43</v>
      </c>
      <c r="D3535" s="1">
        <v>3.3512</v>
      </c>
    </row>
    <row r="3536" spans="1:4" x14ac:dyDescent="0.2">
      <c r="A3536" s="5">
        <v>41443</v>
      </c>
      <c r="B3536" s="1">
        <v>2.1854</v>
      </c>
      <c r="C3536" s="1">
        <v>1.44</v>
      </c>
      <c r="D3536" s="1">
        <v>3.3414999999999999</v>
      </c>
    </row>
    <row r="3537" spans="1:4" x14ac:dyDescent="0.2">
      <c r="A3537" s="5">
        <v>41444</v>
      </c>
      <c r="B3537" s="1">
        <v>2.3527</v>
      </c>
      <c r="C3537" s="1">
        <v>1.45</v>
      </c>
      <c r="D3537" s="1">
        <v>3.4119000000000002</v>
      </c>
    </row>
    <row r="3538" spans="1:4" x14ac:dyDescent="0.2">
      <c r="A3538" s="5">
        <v>41445</v>
      </c>
      <c r="B3538" s="1">
        <v>2.4144000000000001</v>
      </c>
      <c r="C3538" s="1">
        <v>1.5</v>
      </c>
      <c r="D3538" s="1">
        <v>3.5129000000000001</v>
      </c>
    </row>
    <row r="3539" spans="1:4" x14ac:dyDescent="0.2">
      <c r="A3539" s="5">
        <v>41446</v>
      </c>
      <c r="B3539" s="1">
        <v>2.5310000000000001</v>
      </c>
      <c r="C3539" s="1">
        <v>1.5</v>
      </c>
      <c r="D3539" s="1">
        <v>3.5817999999999999</v>
      </c>
    </row>
    <row r="3540" spans="1:4" x14ac:dyDescent="0.2">
      <c r="A3540" s="5">
        <v>41449</v>
      </c>
      <c r="B3540" s="1">
        <v>2.5367999999999999</v>
      </c>
      <c r="C3540" s="1">
        <v>1.53</v>
      </c>
      <c r="D3540" s="1">
        <v>3.5472999999999999</v>
      </c>
    </row>
    <row r="3541" spans="1:4" x14ac:dyDescent="0.2">
      <c r="A3541" s="5">
        <v>41450</v>
      </c>
      <c r="B3541" s="1">
        <v>2.6082000000000001</v>
      </c>
      <c r="C3541" s="1">
        <v>1.55</v>
      </c>
      <c r="D3541" s="1">
        <v>3.6223999999999998</v>
      </c>
    </row>
    <row r="3542" spans="1:4" x14ac:dyDescent="0.2">
      <c r="A3542" s="5">
        <v>41451</v>
      </c>
      <c r="B3542" s="1">
        <v>2.5352999999999999</v>
      </c>
      <c r="C3542" s="1">
        <v>1.53</v>
      </c>
      <c r="D3542" s="1">
        <v>3.5790999999999999</v>
      </c>
    </row>
    <row r="3543" spans="1:4" x14ac:dyDescent="0.2">
      <c r="A3543" s="5">
        <v>41452</v>
      </c>
      <c r="B3543" s="1">
        <v>2.4721000000000002</v>
      </c>
      <c r="C3543" s="1">
        <v>1.53</v>
      </c>
      <c r="D3543" s="1">
        <v>3.5344000000000002</v>
      </c>
    </row>
    <row r="3544" spans="1:4" x14ac:dyDescent="0.2">
      <c r="A3544" s="5">
        <v>41453</v>
      </c>
      <c r="B3544" s="1">
        <v>2.4857</v>
      </c>
      <c r="C3544" s="1">
        <v>1.52</v>
      </c>
      <c r="D3544" s="1">
        <v>3.4994000000000001</v>
      </c>
    </row>
    <row r="3545" spans="1:4" x14ac:dyDescent="0.2">
      <c r="A3545" s="5">
        <v>41456</v>
      </c>
      <c r="B3545" s="1">
        <v>2.4765000000000001</v>
      </c>
      <c r="C3545" s="1">
        <v>1.52</v>
      </c>
      <c r="D3545" s="1">
        <v>3.4775</v>
      </c>
    </row>
    <row r="3546" spans="1:4" x14ac:dyDescent="0.2">
      <c r="A3546" s="5">
        <v>41457</v>
      </c>
      <c r="B3546" s="1">
        <v>2.4693000000000001</v>
      </c>
      <c r="C3546" s="1">
        <v>1.5</v>
      </c>
      <c r="D3546" s="1">
        <v>3.4729000000000001</v>
      </c>
    </row>
    <row r="3547" spans="1:4" x14ac:dyDescent="0.2">
      <c r="A3547" s="5">
        <v>41458</v>
      </c>
      <c r="B3547" s="1">
        <v>2.5032000000000001</v>
      </c>
      <c r="C3547" s="1">
        <v>1.5</v>
      </c>
      <c r="D3547" s="1">
        <v>3.4931000000000001</v>
      </c>
    </row>
    <row r="3548" spans="1:4" x14ac:dyDescent="0.2">
      <c r="A3548" s="5">
        <v>41459</v>
      </c>
      <c r="B3548" s="1">
        <v>2.5032000000000001</v>
      </c>
      <c r="C3548" s="1">
        <v>1.5</v>
      </c>
      <c r="D3548" s="1">
        <v>3.4931000000000001</v>
      </c>
    </row>
    <row r="3549" spans="1:4" x14ac:dyDescent="0.2">
      <c r="A3549" s="5">
        <v>41460</v>
      </c>
      <c r="B3549" s="1">
        <v>2.7391000000000001</v>
      </c>
      <c r="C3549" s="1">
        <v>1.49</v>
      </c>
      <c r="D3549" s="1">
        <v>3.7130000000000001</v>
      </c>
    </row>
    <row r="3550" spans="1:4" x14ac:dyDescent="0.2">
      <c r="A3550" s="5">
        <v>41463</v>
      </c>
      <c r="B3550" s="1">
        <v>2.6356000000000002</v>
      </c>
      <c r="C3550" s="1">
        <v>1.47</v>
      </c>
      <c r="D3550" s="1">
        <v>3.6334</v>
      </c>
    </row>
    <row r="3551" spans="1:4" x14ac:dyDescent="0.2">
      <c r="A3551" s="5">
        <v>41464</v>
      </c>
      <c r="B3551" s="1">
        <v>2.6339999999999999</v>
      </c>
      <c r="C3551" s="1">
        <v>1.45</v>
      </c>
      <c r="D3551" s="1">
        <v>3.6476999999999999</v>
      </c>
    </row>
    <row r="3552" spans="1:4" x14ac:dyDescent="0.2">
      <c r="A3552" s="5">
        <v>41465</v>
      </c>
      <c r="B3552" s="1">
        <v>2.6238000000000001</v>
      </c>
      <c r="C3552" s="1">
        <v>1.44</v>
      </c>
      <c r="D3552" s="1">
        <v>3.6496</v>
      </c>
    </row>
    <row r="3553" spans="1:4" x14ac:dyDescent="0.2">
      <c r="A3553" s="5">
        <v>41466</v>
      </c>
      <c r="B3553" s="1">
        <v>2.5720999999999998</v>
      </c>
      <c r="C3553" s="1">
        <v>1.42</v>
      </c>
      <c r="D3553" s="1">
        <v>3.6297000000000001</v>
      </c>
    </row>
    <row r="3554" spans="1:4" x14ac:dyDescent="0.2">
      <c r="A3554" s="5">
        <v>41467</v>
      </c>
      <c r="B3554" s="1">
        <v>2.5821000000000001</v>
      </c>
      <c r="C3554" s="1">
        <v>1.42</v>
      </c>
      <c r="D3554" s="1">
        <v>3.625</v>
      </c>
    </row>
    <row r="3555" spans="1:4" x14ac:dyDescent="0.2">
      <c r="A3555" s="5">
        <v>41470</v>
      </c>
      <c r="B3555" s="1">
        <v>2.5371999999999999</v>
      </c>
      <c r="C3555" s="1">
        <v>1.42</v>
      </c>
      <c r="D3555" s="1">
        <v>3.593</v>
      </c>
    </row>
    <row r="3556" spans="1:4" x14ac:dyDescent="0.2">
      <c r="A3556" s="5">
        <v>41471</v>
      </c>
      <c r="B3556" s="1">
        <v>2.5316999999999998</v>
      </c>
      <c r="C3556" s="1">
        <v>1.41</v>
      </c>
      <c r="D3556" s="1">
        <v>3.5855000000000001</v>
      </c>
    </row>
    <row r="3557" spans="1:4" x14ac:dyDescent="0.2">
      <c r="A3557" s="5">
        <v>41472</v>
      </c>
      <c r="B3557" s="1">
        <v>2.4887999999999999</v>
      </c>
      <c r="C3557" s="1">
        <v>1.41</v>
      </c>
      <c r="D3557" s="1">
        <v>3.5752000000000002</v>
      </c>
    </row>
    <row r="3558" spans="1:4" x14ac:dyDescent="0.2">
      <c r="A3558" s="5">
        <v>41473</v>
      </c>
      <c r="B3558" s="1">
        <v>2.5284</v>
      </c>
      <c r="C3558" s="1">
        <v>1.39</v>
      </c>
      <c r="D3558" s="1">
        <v>3.6261999999999999</v>
      </c>
    </row>
    <row r="3559" spans="1:4" x14ac:dyDescent="0.2">
      <c r="A3559" s="5">
        <v>41474</v>
      </c>
      <c r="B3559" s="1">
        <v>2.4839000000000002</v>
      </c>
      <c r="C3559" s="1">
        <v>1.38</v>
      </c>
      <c r="D3559" s="1">
        <v>3.5604</v>
      </c>
    </row>
    <row r="3560" spans="1:4" x14ac:dyDescent="0.2">
      <c r="A3560" s="5">
        <v>41477</v>
      </c>
      <c r="B3560" s="1">
        <v>2.4803999999999999</v>
      </c>
      <c r="C3560" s="1">
        <v>1.37</v>
      </c>
      <c r="D3560" s="1">
        <v>3.5501</v>
      </c>
    </row>
    <row r="3561" spans="1:4" x14ac:dyDescent="0.2">
      <c r="A3561" s="5">
        <v>41478</v>
      </c>
      <c r="B3561" s="1">
        <v>2.5049000000000001</v>
      </c>
      <c r="C3561" s="1">
        <v>1.36</v>
      </c>
      <c r="D3561" s="1">
        <v>3.5773000000000001</v>
      </c>
    </row>
    <row r="3562" spans="1:4" x14ac:dyDescent="0.2">
      <c r="A3562" s="5">
        <v>41479</v>
      </c>
      <c r="B3562" s="1">
        <v>2.5880000000000001</v>
      </c>
      <c r="C3562" s="1">
        <v>1.35</v>
      </c>
      <c r="D3562" s="1">
        <v>3.6463999999999999</v>
      </c>
    </row>
    <row r="3563" spans="1:4" x14ac:dyDescent="0.2">
      <c r="A3563" s="5">
        <v>41480</v>
      </c>
      <c r="B3563" s="1">
        <v>2.5712000000000002</v>
      </c>
      <c r="C3563" s="1">
        <v>1.37</v>
      </c>
      <c r="D3563" s="1">
        <v>3.6406999999999998</v>
      </c>
    </row>
    <row r="3564" spans="1:4" x14ac:dyDescent="0.2">
      <c r="A3564" s="5">
        <v>41481</v>
      </c>
      <c r="B3564" s="1">
        <v>2.5623999999999998</v>
      </c>
      <c r="C3564" s="1">
        <v>1.38</v>
      </c>
      <c r="D3564" s="1">
        <v>3.6208999999999998</v>
      </c>
    </row>
    <row r="3565" spans="1:4" x14ac:dyDescent="0.2">
      <c r="A3565" s="5">
        <v>41484</v>
      </c>
      <c r="B3565" s="1">
        <v>2.6023000000000001</v>
      </c>
      <c r="C3565" s="1">
        <v>1.38</v>
      </c>
      <c r="D3565" s="1">
        <v>3.6743999999999999</v>
      </c>
    </row>
    <row r="3566" spans="1:4" x14ac:dyDescent="0.2">
      <c r="A3566" s="5">
        <v>41485</v>
      </c>
      <c r="B3566" s="1">
        <v>2.6101000000000001</v>
      </c>
      <c r="C3566" s="1">
        <v>1.37</v>
      </c>
      <c r="D3566" s="1">
        <v>3.6821000000000002</v>
      </c>
    </row>
    <row r="3567" spans="1:4" x14ac:dyDescent="0.2">
      <c r="A3567" s="5">
        <v>41486</v>
      </c>
      <c r="B3567" s="1">
        <v>2.5762</v>
      </c>
      <c r="C3567" s="1">
        <v>1.38</v>
      </c>
      <c r="D3567" s="1">
        <v>3.6353</v>
      </c>
    </row>
    <row r="3568" spans="1:4" x14ac:dyDescent="0.2">
      <c r="A3568" s="5">
        <v>41487</v>
      </c>
      <c r="B3568" s="1">
        <v>2.706</v>
      </c>
      <c r="C3568" s="1">
        <v>1.37</v>
      </c>
      <c r="D3568" s="1">
        <v>3.7542</v>
      </c>
    </row>
    <row r="3569" spans="1:4" x14ac:dyDescent="0.2">
      <c r="A3569" s="5">
        <v>41488</v>
      </c>
      <c r="B3569" s="1">
        <v>2.5960000000000001</v>
      </c>
      <c r="C3569" s="1">
        <v>1.37</v>
      </c>
      <c r="D3569" s="1">
        <v>3.6842999999999999</v>
      </c>
    </row>
    <row r="3570" spans="1:4" x14ac:dyDescent="0.2">
      <c r="A3570" s="5">
        <v>41491</v>
      </c>
      <c r="B3570" s="1">
        <v>2.6333000000000002</v>
      </c>
      <c r="C3570" s="1">
        <v>1.37</v>
      </c>
      <c r="D3570" s="1">
        <v>3.726</v>
      </c>
    </row>
    <row r="3571" spans="1:4" x14ac:dyDescent="0.2">
      <c r="A3571" s="5">
        <v>41492</v>
      </c>
      <c r="B3571" s="1">
        <v>2.6421000000000001</v>
      </c>
      <c r="C3571" s="1">
        <v>1.37</v>
      </c>
      <c r="D3571" s="1">
        <v>3.7280000000000002</v>
      </c>
    </row>
    <row r="3572" spans="1:4" x14ac:dyDescent="0.2">
      <c r="A3572" s="5">
        <v>41493</v>
      </c>
      <c r="B3572" s="1">
        <v>2.5985999999999998</v>
      </c>
      <c r="C3572" s="1">
        <v>1.38</v>
      </c>
      <c r="D3572" s="1">
        <v>3.6854</v>
      </c>
    </row>
    <row r="3573" spans="1:4" x14ac:dyDescent="0.2">
      <c r="A3573" s="5">
        <v>41494</v>
      </c>
      <c r="B3573" s="1">
        <v>2.5891999999999999</v>
      </c>
      <c r="C3573" s="1">
        <v>1.37</v>
      </c>
      <c r="D3573" s="1">
        <v>3.6728999999999998</v>
      </c>
    </row>
    <row r="3574" spans="1:4" x14ac:dyDescent="0.2">
      <c r="A3574" s="5">
        <v>41495</v>
      </c>
      <c r="B3574" s="1">
        <v>2.5783999999999998</v>
      </c>
      <c r="C3574" s="1">
        <v>1.38</v>
      </c>
      <c r="D3574" s="1">
        <v>3.6345000000000001</v>
      </c>
    </row>
    <row r="3575" spans="1:4" x14ac:dyDescent="0.2">
      <c r="A3575" s="5">
        <v>41498</v>
      </c>
      <c r="B3575" s="1">
        <v>2.6206</v>
      </c>
      <c r="C3575" s="1">
        <v>1.38</v>
      </c>
      <c r="D3575" s="1">
        <v>3.6838000000000002</v>
      </c>
    </row>
    <row r="3576" spans="1:4" x14ac:dyDescent="0.2">
      <c r="A3576" s="5">
        <v>41499</v>
      </c>
      <c r="B3576" s="1">
        <v>2.7189999999999999</v>
      </c>
      <c r="C3576" s="1">
        <v>1.38</v>
      </c>
      <c r="D3576" s="1">
        <v>3.7593999999999999</v>
      </c>
    </row>
    <row r="3577" spans="1:4" x14ac:dyDescent="0.2">
      <c r="A3577" s="5">
        <v>41500</v>
      </c>
      <c r="B3577" s="1">
        <v>2.7136</v>
      </c>
      <c r="C3577" s="1">
        <v>1.38</v>
      </c>
      <c r="D3577" s="1">
        <v>3.7523</v>
      </c>
    </row>
    <row r="3578" spans="1:4" x14ac:dyDescent="0.2">
      <c r="A3578" s="5">
        <v>41501</v>
      </c>
      <c r="B3578" s="1">
        <v>2.7664</v>
      </c>
      <c r="C3578" s="1">
        <v>1.4</v>
      </c>
      <c r="D3578" s="1">
        <v>3.8086000000000002</v>
      </c>
    </row>
    <row r="3579" spans="1:4" x14ac:dyDescent="0.2">
      <c r="A3579" s="5">
        <v>41502</v>
      </c>
      <c r="B3579" s="1">
        <v>2.8250999999999999</v>
      </c>
      <c r="C3579" s="1">
        <v>1.41</v>
      </c>
      <c r="D3579" s="1">
        <v>3.8483000000000001</v>
      </c>
    </row>
    <row r="3580" spans="1:4" x14ac:dyDescent="0.2">
      <c r="A3580" s="5">
        <v>41505</v>
      </c>
      <c r="B3580" s="1">
        <v>2.8803999999999998</v>
      </c>
      <c r="C3580" s="1">
        <v>1.41</v>
      </c>
      <c r="D3580" s="1">
        <v>3.8995000000000002</v>
      </c>
    </row>
    <row r="3581" spans="1:4" x14ac:dyDescent="0.2">
      <c r="A3581" s="5">
        <v>41506</v>
      </c>
      <c r="B3581" s="1">
        <v>2.8142</v>
      </c>
      <c r="C3581" s="1">
        <v>1.42</v>
      </c>
      <c r="D3581" s="1">
        <v>3.8529</v>
      </c>
    </row>
    <row r="3582" spans="1:4" x14ac:dyDescent="0.2">
      <c r="A3582" s="5">
        <v>41507</v>
      </c>
      <c r="B3582" s="1">
        <v>2.8935</v>
      </c>
      <c r="C3582" s="1">
        <v>1.42</v>
      </c>
      <c r="D3582" s="1">
        <v>3.9197000000000002</v>
      </c>
    </row>
    <row r="3583" spans="1:4" x14ac:dyDescent="0.2">
      <c r="A3583" s="5">
        <v>41508</v>
      </c>
      <c r="B3583" s="1">
        <v>2.8843999999999999</v>
      </c>
      <c r="C3583" s="1">
        <v>1.41</v>
      </c>
      <c r="D3583" s="1">
        <v>3.8702000000000001</v>
      </c>
    </row>
    <row r="3584" spans="1:4" x14ac:dyDescent="0.2">
      <c r="A3584" s="5">
        <v>41509</v>
      </c>
      <c r="B3584" s="1">
        <v>2.8146</v>
      </c>
      <c r="C3584" s="1">
        <v>1.4</v>
      </c>
      <c r="D3584" s="1">
        <v>3.7915999999999999</v>
      </c>
    </row>
    <row r="3585" spans="1:4" x14ac:dyDescent="0.2">
      <c r="A3585" s="5">
        <v>41512</v>
      </c>
      <c r="B3585" s="1">
        <v>2.7852999999999999</v>
      </c>
      <c r="C3585" s="1">
        <v>1.39</v>
      </c>
      <c r="D3585" s="1">
        <v>3.7648000000000001</v>
      </c>
    </row>
    <row r="3586" spans="1:4" x14ac:dyDescent="0.2">
      <c r="A3586" s="5">
        <v>41513</v>
      </c>
      <c r="B3586" s="1">
        <v>2.7086999999999999</v>
      </c>
      <c r="C3586" s="1">
        <v>1.4</v>
      </c>
      <c r="D3586" s="1">
        <v>3.6916000000000002</v>
      </c>
    </row>
    <row r="3587" spans="1:4" x14ac:dyDescent="0.2">
      <c r="A3587" s="5">
        <v>41514</v>
      </c>
      <c r="B3587" s="1">
        <v>2.7652999999999999</v>
      </c>
      <c r="C3587" s="1">
        <v>1.4</v>
      </c>
      <c r="D3587" s="1">
        <v>3.7355999999999998</v>
      </c>
    </row>
    <row r="3588" spans="1:4" x14ac:dyDescent="0.2">
      <c r="A3588" s="5">
        <v>41515</v>
      </c>
      <c r="B3588" s="1">
        <v>2.7616999999999998</v>
      </c>
      <c r="C3588" s="1">
        <v>1.4</v>
      </c>
      <c r="D3588" s="1">
        <v>3.7143999999999999</v>
      </c>
    </row>
    <row r="3589" spans="1:4" x14ac:dyDescent="0.2">
      <c r="A3589" s="5">
        <v>41516</v>
      </c>
      <c r="B3589" s="1">
        <v>2.7839</v>
      </c>
      <c r="C3589" s="1">
        <v>1.4</v>
      </c>
      <c r="D3589" s="1">
        <v>3.6995</v>
      </c>
    </row>
    <row r="3590" spans="1:4" x14ac:dyDescent="0.2">
      <c r="A3590" s="5">
        <v>41519</v>
      </c>
      <c r="B3590" s="1">
        <v>2.7839</v>
      </c>
      <c r="C3590" s="1">
        <v>1.4</v>
      </c>
      <c r="D3590" s="1">
        <v>3.6995</v>
      </c>
    </row>
    <row r="3591" spans="1:4" x14ac:dyDescent="0.2">
      <c r="A3591" s="5">
        <v>41520</v>
      </c>
      <c r="B3591" s="1">
        <v>2.8576000000000001</v>
      </c>
      <c r="C3591" s="1">
        <v>1.39</v>
      </c>
      <c r="D3591" s="1">
        <v>3.7942999999999998</v>
      </c>
    </row>
    <row r="3592" spans="1:4" x14ac:dyDescent="0.2">
      <c r="A3592" s="5">
        <v>41521</v>
      </c>
      <c r="B3592" s="1">
        <v>2.8965999999999998</v>
      </c>
      <c r="C3592" s="1">
        <v>1.38</v>
      </c>
      <c r="D3592" s="1">
        <v>3.7970000000000002</v>
      </c>
    </row>
    <row r="3593" spans="1:4" x14ac:dyDescent="0.2">
      <c r="A3593" s="5">
        <v>41522</v>
      </c>
      <c r="B3593" s="1">
        <v>2.9937</v>
      </c>
      <c r="C3593" s="1">
        <v>1.39</v>
      </c>
      <c r="D3593" s="1">
        <v>3.8849</v>
      </c>
    </row>
    <row r="3594" spans="1:4" x14ac:dyDescent="0.2">
      <c r="A3594" s="5">
        <v>41523</v>
      </c>
      <c r="B3594" s="1">
        <v>2.9342000000000001</v>
      </c>
      <c r="C3594" s="1">
        <v>1.4</v>
      </c>
      <c r="D3594" s="1">
        <v>3.8656999999999999</v>
      </c>
    </row>
    <row r="3595" spans="1:4" x14ac:dyDescent="0.2">
      <c r="A3595" s="5">
        <v>41526</v>
      </c>
      <c r="B3595" s="1">
        <v>2.9119999999999999</v>
      </c>
      <c r="C3595" s="1">
        <v>1.4</v>
      </c>
      <c r="D3595" s="1">
        <v>3.8530000000000002</v>
      </c>
    </row>
    <row r="3596" spans="1:4" x14ac:dyDescent="0.2">
      <c r="A3596" s="5">
        <v>41527</v>
      </c>
      <c r="B3596" s="1">
        <v>2.9643000000000002</v>
      </c>
      <c r="C3596" s="1">
        <v>1.41</v>
      </c>
      <c r="D3596" s="1">
        <v>3.8940999999999999</v>
      </c>
    </row>
    <row r="3597" spans="1:4" x14ac:dyDescent="0.2">
      <c r="A3597" s="5">
        <v>41528</v>
      </c>
      <c r="B3597" s="1">
        <v>2.9121999999999999</v>
      </c>
      <c r="C3597" s="1">
        <v>1.41</v>
      </c>
      <c r="D3597" s="1">
        <v>3.8538999999999999</v>
      </c>
    </row>
    <row r="3598" spans="1:4" x14ac:dyDescent="0.2">
      <c r="A3598" s="5">
        <v>41529</v>
      </c>
      <c r="B3598" s="1">
        <v>2.9095</v>
      </c>
      <c r="C3598" s="1">
        <v>1.41</v>
      </c>
      <c r="D3598" s="1">
        <v>3.8521000000000001</v>
      </c>
    </row>
    <row r="3599" spans="1:4" x14ac:dyDescent="0.2">
      <c r="A3599" s="5">
        <v>41530</v>
      </c>
      <c r="B3599" s="1">
        <v>2.8845999999999998</v>
      </c>
      <c r="C3599" s="1">
        <v>1.42</v>
      </c>
      <c r="D3599" s="1">
        <v>3.8349000000000002</v>
      </c>
    </row>
    <row r="3600" spans="1:4" x14ac:dyDescent="0.2">
      <c r="A3600" s="5">
        <v>41533</v>
      </c>
      <c r="B3600" s="1">
        <v>2.8643000000000001</v>
      </c>
      <c r="C3600" s="1">
        <v>1.41</v>
      </c>
      <c r="D3600" s="1">
        <v>3.8666999999999998</v>
      </c>
    </row>
    <row r="3601" spans="1:4" x14ac:dyDescent="0.2">
      <c r="A3601" s="5">
        <v>41534</v>
      </c>
      <c r="B3601" s="1">
        <v>2.8468</v>
      </c>
      <c r="C3601" s="1">
        <v>1.41</v>
      </c>
      <c r="D3601" s="1">
        <v>3.8321999999999998</v>
      </c>
    </row>
    <row r="3602" spans="1:4" x14ac:dyDescent="0.2">
      <c r="A3602" s="5">
        <v>41535</v>
      </c>
      <c r="B3602" s="1">
        <v>2.6878000000000002</v>
      </c>
      <c r="C3602" s="1">
        <v>1.41</v>
      </c>
      <c r="D3602" s="1">
        <v>3.7471000000000001</v>
      </c>
    </row>
    <row r="3603" spans="1:4" x14ac:dyDescent="0.2">
      <c r="A3603" s="5">
        <v>41536</v>
      </c>
      <c r="B3603" s="1">
        <v>2.7519</v>
      </c>
      <c r="C3603" s="1">
        <v>1.38</v>
      </c>
      <c r="D3603" s="1">
        <v>3.8024</v>
      </c>
    </row>
    <row r="3604" spans="1:4" x14ac:dyDescent="0.2">
      <c r="A3604" s="5">
        <v>41537</v>
      </c>
      <c r="B3604" s="1">
        <v>2.7336999999999998</v>
      </c>
      <c r="C3604" s="1">
        <v>1.38</v>
      </c>
      <c r="D3604" s="1">
        <v>3.7612999999999999</v>
      </c>
    </row>
    <row r="3605" spans="1:4" x14ac:dyDescent="0.2">
      <c r="A3605" s="5">
        <v>41540</v>
      </c>
      <c r="B3605" s="1">
        <v>2.6999</v>
      </c>
      <c r="C3605" s="1">
        <v>1.38</v>
      </c>
      <c r="D3605" s="1">
        <v>3.7250000000000001</v>
      </c>
    </row>
    <row r="3606" spans="1:4" x14ac:dyDescent="0.2">
      <c r="A3606" s="5">
        <v>41541</v>
      </c>
      <c r="B3606" s="1">
        <v>2.6551999999999998</v>
      </c>
      <c r="C3606" s="1">
        <v>1.38</v>
      </c>
      <c r="D3606" s="1">
        <v>3.6698</v>
      </c>
    </row>
    <row r="3607" spans="1:4" x14ac:dyDescent="0.2">
      <c r="A3607" s="5">
        <v>41542</v>
      </c>
      <c r="B3607" s="1">
        <v>2.6280000000000001</v>
      </c>
      <c r="C3607" s="1">
        <v>1.38</v>
      </c>
      <c r="D3607" s="1">
        <v>3.6698</v>
      </c>
    </row>
    <row r="3608" spans="1:4" x14ac:dyDescent="0.2">
      <c r="A3608" s="5">
        <v>41543</v>
      </c>
      <c r="B3608" s="1">
        <v>2.6497999999999999</v>
      </c>
      <c r="C3608" s="1">
        <v>1.38</v>
      </c>
      <c r="D3608" s="1">
        <v>3.6951000000000001</v>
      </c>
    </row>
    <row r="3609" spans="1:4" x14ac:dyDescent="0.2">
      <c r="A3609" s="5">
        <v>41544</v>
      </c>
      <c r="B3609" s="1">
        <v>2.6244999999999998</v>
      </c>
      <c r="C3609" s="1">
        <v>1.4</v>
      </c>
      <c r="D3609" s="1">
        <v>3.6863999999999999</v>
      </c>
    </row>
    <row r="3610" spans="1:4" x14ac:dyDescent="0.2">
      <c r="A3610" s="5">
        <v>41547</v>
      </c>
      <c r="B3610" s="1">
        <v>2.61</v>
      </c>
      <c r="C3610" s="1">
        <v>1.41</v>
      </c>
      <c r="D3610" s="1">
        <v>3.6846999999999999</v>
      </c>
    </row>
    <row r="3611" spans="1:4" x14ac:dyDescent="0.2">
      <c r="A3611" s="5">
        <v>41548</v>
      </c>
      <c r="B3611" s="1">
        <v>2.65</v>
      </c>
      <c r="C3611" s="1">
        <v>1.4</v>
      </c>
      <c r="D3611" s="1">
        <v>3.7170999999999998</v>
      </c>
    </row>
    <row r="3612" spans="1:4" x14ac:dyDescent="0.2">
      <c r="A3612" s="5">
        <v>41549</v>
      </c>
      <c r="B3612" s="1">
        <v>2.6173000000000002</v>
      </c>
      <c r="C3612" s="1">
        <v>1.4</v>
      </c>
      <c r="D3612" s="1">
        <v>3.7012999999999998</v>
      </c>
    </row>
    <row r="3613" spans="1:4" x14ac:dyDescent="0.2">
      <c r="A3613" s="5">
        <v>41550</v>
      </c>
      <c r="B3613" s="1">
        <v>2.6046</v>
      </c>
      <c r="C3613" s="1">
        <v>1.39</v>
      </c>
      <c r="D3613" s="1">
        <v>3.7073999999999998</v>
      </c>
    </row>
    <row r="3614" spans="1:4" x14ac:dyDescent="0.2">
      <c r="A3614" s="5">
        <v>41551</v>
      </c>
      <c r="B3614" s="1">
        <v>2.6446999999999998</v>
      </c>
      <c r="C3614" s="1">
        <v>1.39</v>
      </c>
      <c r="D3614" s="1">
        <v>3.7198000000000002</v>
      </c>
    </row>
    <row r="3615" spans="1:4" x14ac:dyDescent="0.2">
      <c r="A3615" s="5">
        <v>41554</v>
      </c>
      <c r="B3615" s="1">
        <v>2.6265000000000001</v>
      </c>
      <c r="C3615" s="1">
        <v>1.38</v>
      </c>
      <c r="D3615" s="1">
        <v>3.6917</v>
      </c>
    </row>
    <row r="3616" spans="1:4" x14ac:dyDescent="0.2">
      <c r="A3616" s="5">
        <v>41555</v>
      </c>
      <c r="B3616" s="1">
        <v>2.6320000000000001</v>
      </c>
      <c r="C3616" s="1">
        <v>1.38</v>
      </c>
      <c r="D3616" s="1">
        <v>3.6899000000000002</v>
      </c>
    </row>
    <row r="3617" spans="1:4" x14ac:dyDescent="0.2">
      <c r="A3617" s="5">
        <v>41556</v>
      </c>
      <c r="B3617" s="1">
        <v>2.6631</v>
      </c>
      <c r="C3617" s="1">
        <v>1.38</v>
      </c>
      <c r="D3617" s="1">
        <v>3.7374000000000001</v>
      </c>
    </row>
    <row r="3618" spans="1:4" x14ac:dyDescent="0.2">
      <c r="A3618" s="5">
        <v>41557</v>
      </c>
      <c r="B3618" s="1">
        <v>2.6814</v>
      </c>
      <c r="C3618" s="1">
        <v>1.36</v>
      </c>
      <c r="D3618" s="1">
        <v>3.7339000000000002</v>
      </c>
    </row>
    <row r="3619" spans="1:4" x14ac:dyDescent="0.2">
      <c r="A3619" s="5">
        <v>41558</v>
      </c>
      <c r="B3619" s="1">
        <v>2.6871</v>
      </c>
      <c r="C3619" s="1">
        <v>1.36</v>
      </c>
      <c r="D3619" s="1">
        <v>3.7471999999999999</v>
      </c>
    </row>
    <row r="3620" spans="1:4" x14ac:dyDescent="0.2">
      <c r="A3620" s="5">
        <v>41561</v>
      </c>
      <c r="B3620" s="1">
        <v>2.6871</v>
      </c>
      <c r="C3620" s="1">
        <v>1.36</v>
      </c>
      <c r="D3620" s="1">
        <v>3.7471999999999999</v>
      </c>
    </row>
    <row r="3621" spans="1:4" x14ac:dyDescent="0.2">
      <c r="A3621" s="5">
        <v>41562</v>
      </c>
      <c r="B3621" s="1">
        <v>2.7275999999999998</v>
      </c>
      <c r="C3621" s="1">
        <v>1.36</v>
      </c>
      <c r="D3621" s="1">
        <v>3.7890999999999999</v>
      </c>
    </row>
    <row r="3622" spans="1:4" x14ac:dyDescent="0.2">
      <c r="A3622" s="5">
        <v>41563</v>
      </c>
      <c r="B3622" s="1">
        <v>2.6633</v>
      </c>
      <c r="C3622" s="1">
        <v>1.34</v>
      </c>
      <c r="D3622" s="1">
        <v>3.7206999999999999</v>
      </c>
    </row>
    <row r="3623" spans="1:4" x14ac:dyDescent="0.2">
      <c r="A3623" s="5">
        <v>41564</v>
      </c>
      <c r="B3623" s="1">
        <v>2.5893999999999999</v>
      </c>
      <c r="C3623" s="1">
        <v>1.33</v>
      </c>
      <c r="D3623" s="1">
        <v>3.6585000000000001</v>
      </c>
    </row>
    <row r="3624" spans="1:4" x14ac:dyDescent="0.2">
      <c r="A3624" s="5">
        <v>41565</v>
      </c>
      <c r="B3624" s="1">
        <v>2.5777000000000001</v>
      </c>
      <c r="C3624" s="1">
        <v>1.32</v>
      </c>
      <c r="D3624" s="1">
        <v>3.6412</v>
      </c>
    </row>
    <row r="3625" spans="1:4" x14ac:dyDescent="0.2">
      <c r="A3625" s="5">
        <v>41568</v>
      </c>
      <c r="B3625" s="1">
        <v>2.6013999999999999</v>
      </c>
      <c r="C3625" s="1">
        <v>1.32</v>
      </c>
      <c r="D3625" s="1">
        <v>3.6698</v>
      </c>
    </row>
    <row r="3626" spans="1:4" x14ac:dyDescent="0.2">
      <c r="A3626" s="5">
        <v>41569</v>
      </c>
      <c r="B3626" s="1">
        <v>2.5124</v>
      </c>
      <c r="C3626" s="1">
        <v>1.31</v>
      </c>
      <c r="D3626" s="1">
        <v>3.6084999999999998</v>
      </c>
    </row>
    <row r="3627" spans="1:4" x14ac:dyDescent="0.2">
      <c r="A3627" s="5">
        <v>41570</v>
      </c>
      <c r="B3627" s="1">
        <v>2.5015999999999998</v>
      </c>
      <c r="C3627" s="1">
        <v>1.32</v>
      </c>
      <c r="D3627" s="1">
        <v>3.5947</v>
      </c>
    </row>
    <row r="3628" spans="1:4" x14ac:dyDescent="0.2">
      <c r="A3628" s="5">
        <v>41571</v>
      </c>
      <c r="B3628" s="1">
        <v>2.5196999999999998</v>
      </c>
      <c r="C3628" s="1">
        <v>1.32</v>
      </c>
      <c r="D3628" s="1">
        <v>3.6110000000000002</v>
      </c>
    </row>
    <row r="3629" spans="1:4" x14ac:dyDescent="0.2">
      <c r="A3629" s="5">
        <v>41572</v>
      </c>
      <c r="B3629" s="1">
        <v>2.5087999999999999</v>
      </c>
      <c r="C3629" s="1">
        <v>1.32</v>
      </c>
      <c r="D3629" s="1">
        <v>3.5998999999999999</v>
      </c>
    </row>
    <row r="3630" spans="1:4" x14ac:dyDescent="0.2">
      <c r="A3630" s="5">
        <v>41575</v>
      </c>
      <c r="B3630" s="1">
        <v>2.5232999999999999</v>
      </c>
      <c r="C3630" s="1">
        <v>1.32</v>
      </c>
      <c r="D3630" s="1">
        <v>3.6179000000000001</v>
      </c>
    </row>
    <row r="3631" spans="1:4" x14ac:dyDescent="0.2">
      <c r="A3631" s="5">
        <v>41576</v>
      </c>
      <c r="B3631" s="1">
        <v>2.5034000000000001</v>
      </c>
      <c r="C3631" s="1">
        <v>1.31</v>
      </c>
      <c r="D3631" s="1">
        <v>3.6126999999999998</v>
      </c>
    </row>
    <row r="3632" spans="1:4" x14ac:dyDescent="0.2">
      <c r="A3632" s="5">
        <v>41577</v>
      </c>
      <c r="B3632" s="1">
        <v>2.5377999999999998</v>
      </c>
      <c r="C3632" s="1">
        <v>1.3</v>
      </c>
      <c r="D3632" s="1">
        <v>3.6412</v>
      </c>
    </row>
    <row r="3633" spans="1:4" x14ac:dyDescent="0.2">
      <c r="A3633" s="5">
        <v>41578</v>
      </c>
      <c r="B3633" s="1">
        <v>2.5541999999999998</v>
      </c>
      <c r="C3633" s="1">
        <v>1.31</v>
      </c>
      <c r="D3633" s="1">
        <v>3.6385999999999998</v>
      </c>
    </row>
    <row r="3634" spans="1:4" x14ac:dyDescent="0.2">
      <c r="A3634" s="5">
        <v>41579</v>
      </c>
      <c r="B3634" s="1">
        <v>2.6217999999999999</v>
      </c>
      <c r="C3634" s="1">
        <v>1.32</v>
      </c>
      <c r="D3634" s="1">
        <v>3.6960999999999999</v>
      </c>
    </row>
    <row r="3635" spans="1:4" x14ac:dyDescent="0.2">
      <c r="A3635" s="5">
        <v>41582</v>
      </c>
      <c r="B3635" s="1">
        <v>2.6034999999999999</v>
      </c>
      <c r="C3635" s="1">
        <v>1.31</v>
      </c>
      <c r="D3635" s="1">
        <v>3.6926000000000001</v>
      </c>
    </row>
    <row r="3636" spans="1:4" x14ac:dyDescent="0.2">
      <c r="A3636" s="5">
        <v>41583</v>
      </c>
      <c r="B3636" s="1">
        <v>2.6696</v>
      </c>
      <c r="C3636" s="1">
        <v>1.31</v>
      </c>
      <c r="D3636" s="1">
        <v>3.7713999999999999</v>
      </c>
    </row>
    <row r="3637" spans="1:4" x14ac:dyDescent="0.2">
      <c r="A3637" s="5">
        <v>41584</v>
      </c>
      <c r="B3637" s="1">
        <v>2.6421000000000001</v>
      </c>
      <c r="C3637" s="1">
        <v>1.31</v>
      </c>
      <c r="D3637" s="1">
        <v>3.7732000000000001</v>
      </c>
    </row>
    <row r="3638" spans="1:4" x14ac:dyDescent="0.2">
      <c r="A3638" s="5">
        <v>41585</v>
      </c>
      <c r="B3638" s="1">
        <v>2.5998999999999999</v>
      </c>
      <c r="C3638" s="1">
        <v>1.32</v>
      </c>
      <c r="D3638" s="1">
        <v>3.7084000000000001</v>
      </c>
    </row>
    <row r="3639" spans="1:4" x14ac:dyDescent="0.2">
      <c r="A3639" s="5">
        <v>41586</v>
      </c>
      <c r="B3639" s="1">
        <v>2.7477</v>
      </c>
      <c r="C3639" s="1">
        <v>1.32</v>
      </c>
      <c r="D3639" s="1">
        <v>3.8454000000000002</v>
      </c>
    </row>
    <row r="3640" spans="1:4" x14ac:dyDescent="0.2">
      <c r="A3640" s="5">
        <v>41589</v>
      </c>
      <c r="B3640" s="1">
        <v>2.7477</v>
      </c>
      <c r="C3640" s="1">
        <v>1.32</v>
      </c>
      <c r="D3640" s="1">
        <v>3.8454000000000002</v>
      </c>
    </row>
    <row r="3641" spans="1:4" x14ac:dyDescent="0.2">
      <c r="A3641" s="5">
        <v>41590</v>
      </c>
      <c r="B3641" s="1">
        <v>2.7728000000000002</v>
      </c>
      <c r="C3641" s="1">
        <v>1.32</v>
      </c>
      <c r="D3641" s="1">
        <v>3.8573</v>
      </c>
    </row>
    <row r="3642" spans="1:4" x14ac:dyDescent="0.2">
      <c r="A3642" s="5">
        <v>41591</v>
      </c>
      <c r="B3642" s="1">
        <v>2.6996000000000002</v>
      </c>
      <c r="C3642" s="1">
        <v>1.32</v>
      </c>
      <c r="D3642" s="1">
        <v>3.8191000000000002</v>
      </c>
    </row>
    <row r="3643" spans="1:4" x14ac:dyDescent="0.2">
      <c r="A3643" s="5">
        <v>41592</v>
      </c>
      <c r="B3643" s="1">
        <v>2.69</v>
      </c>
      <c r="C3643" s="1">
        <v>1.32</v>
      </c>
      <c r="D3643" s="1">
        <v>3.7867000000000002</v>
      </c>
    </row>
    <row r="3644" spans="1:4" x14ac:dyDescent="0.2">
      <c r="A3644" s="5">
        <v>41593</v>
      </c>
      <c r="B3644" s="1">
        <v>2.7033</v>
      </c>
      <c r="C3644" s="1">
        <v>1.31</v>
      </c>
      <c r="D3644" s="1">
        <v>3.7947000000000002</v>
      </c>
    </row>
    <row r="3645" spans="1:4" x14ac:dyDescent="0.2">
      <c r="A3645" s="5">
        <v>41596</v>
      </c>
      <c r="B3645" s="1">
        <v>2.6657999999999999</v>
      </c>
      <c r="C3645" s="1">
        <v>1.29</v>
      </c>
      <c r="D3645" s="1">
        <v>3.7551999999999999</v>
      </c>
    </row>
    <row r="3646" spans="1:4" x14ac:dyDescent="0.2">
      <c r="A3646" s="5">
        <v>41597</v>
      </c>
      <c r="B3646" s="1">
        <v>2.7069000000000001</v>
      </c>
      <c r="C3646" s="1">
        <v>1.29</v>
      </c>
      <c r="D3646" s="1">
        <v>3.8</v>
      </c>
    </row>
    <row r="3647" spans="1:4" x14ac:dyDescent="0.2">
      <c r="A3647" s="5">
        <v>41598</v>
      </c>
      <c r="B3647" s="1">
        <v>2.7987000000000002</v>
      </c>
      <c r="C3647" s="1">
        <v>1.29</v>
      </c>
      <c r="D3647" s="1">
        <v>3.911</v>
      </c>
    </row>
    <row r="3648" spans="1:4" x14ac:dyDescent="0.2">
      <c r="A3648" s="5">
        <v>41599</v>
      </c>
      <c r="B3648" s="1">
        <v>2.7841999999999998</v>
      </c>
      <c r="C3648" s="1">
        <v>1.28</v>
      </c>
      <c r="D3648" s="1">
        <v>3.8875000000000002</v>
      </c>
    </row>
    <row r="3649" spans="1:4" x14ac:dyDescent="0.2">
      <c r="A3649" s="5">
        <v>41600</v>
      </c>
      <c r="B3649" s="1">
        <v>2.7427000000000001</v>
      </c>
      <c r="C3649" s="1">
        <v>1.27</v>
      </c>
      <c r="D3649" s="1">
        <v>3.8292000000000002</v>
      </c>
    </row>
    <row r="3650" spans="1:4" x14ac:dyDescent="0.2">
      <c r="A3650" s="5">
        <v>41603</v>
      </c>
      <c r="B3650" s="1">
        <v>2.7282999999999999</v>
      </c>
      <c r="C3650" s="1">
        <v>1.26</v>
      </c>
      <c r="D3650" s="1">
        <v>3.8186</v>
      </c>
    </row>
    <row r="3651" spans="1:4" x14ac:dyDescent="0.2">
      <c r="A3651" s="5">
        <v>41604</v>
      </c>
      <c r="B3651" s="1">
        <v>2.7077</v>
      </c>
      <c r="C3651" s="1">
        <v>1.25</v>
      </c>
      <c r="D3651" s="1">
        <v>3.7982</v>
      </c>
    </row>
    <row r="3652" spans="1:4" x14ac:dyDescent="0.2">
      <c r="A3652" s="5">
        <v>41605</v>
      </c>
      <c r="B3652" s="1">
        <v>2.7372999999999998</v>
      </c>
      <c r="C3652" s="1">
        <v>1.25</v>
      </c>
      <c r="D3652" s="1">
        <v>3.8149999999999999</v>
      </c>
    </row>
    <row r="3653" spans="1:4" x14ac:dyDescent="0.2">
      <c r="A3653" s="5">
        <v>41606</v>
      </c>
      <c r="B3653" s="1">
        <v>2.7372999999999998</v>
      </c>
      <c r="C3653" s="1">
        <v>1.25</v>
      </c>
      <c r="D3653" s="1">
        <v>3.8149999999999999</v>
      </c>
    </row>
    <row r="3654" spans="1:4" x14ac:dyDescent="0.2">
      <c r="A3654" s="5">
        <v>41607</v>
      </c>
      <c r="B3654" s="1">
        <v>2.7444999999999999</v>
      </c>
      <c r="C3654" s="1">
        <v>1.25</v>
      </c>
      <c r="D3654" s="1">
        <v>3.8106</v>
      </c>
    </row>
    <row r="3655" spans="1:4" x14ac:dyDescent="0.2">
      <c r="A3655" s="5">
        <v>41610</v>
      </c>
      <c r="B3655" s="1">
        <v>2.7951000000000001</v>
      </c>
      <c r="C3655" s="1">
        <v>1.24</v>
      </c>
      <c r="D3655" s="1">
        <v>3.8559999999999999</v>
      </c>
    </row>
    <row r="3656" spans="1:4" x14ac:dyDescent="0.2">
      <c r="A3656" s="5">
        <v>41611</v>
      </c>
      <c r="B3656" s="1">
        <v>2.7825000000000002</v>
      </c>
      <c r="C3656" s="1">
        <v>1.25</v>
      </c>
      <c r="D3656" s="1">
        <v>3.8443999999999998</v>
      </c>
    </row>
    <row r="3657" spans="1:4" x14ac:dyDescent="0.2">
      <c r="A3657" s="5">
        <v>41612</v>
      </c>
      <c r="B3657" s="1">
        <v>2.8342000000000001</v>
      </c>
      <c r="C3657" s="1">
        <v>1.25</v>
      </c>
      <c r="D3657" s="1">
        <v>3.9011</v>
      </c>
    </row>
    <row r="3658" spans="1:4" x14ac:dyDescent="0.2">
      <c r="A3658" s="5">
        <v>41613</v>
      </c>
      <c r="B3658" s="1">
        <v>2.8717000000000001</v>
      </c>
      <c r="C3658" s="1">
        <v>1.25</v>
      </c>
      <c r="D3658" s="1">
        <v>3.9138000000000002</v>
      </c>
    </row>
    <row r="3659" spans="1:4" x14ac:dyDescent="0.2">
      <c r="A3659" s="5">
        <v>41614</v>
      </c>
      <c r="B3659" s="1">
        <v>2.8553000000000002</v>
      </c>
      <c r="C3659" s="1">
        <v>1.25</v>
      </c>
      <c r="D3659" s="1">
        <v>3.8893</v>
      </c>
    </row>
    <row r="3660" spans="1:4" x14ac:dyDescent="0.2">
      <c r="A3660" s="5">
        <v>41617</v>
      </c>
      <c r="B3660" s="1">
        <v>2.8389000000000002</v>
      </c>
      <c r="C3660" s="1">
        <v>1.24</v>
      </c>
      <c r="D3660" s="1">
        <v>3.8713000000000002</v>
      </c>
    </row>
    <row r="3661" spans="1:4" x14ac:dyDescent="0.2">
      <c r="A3661" s="5">
        <v>41618</v>
      </c>
      <c r="B3661" s="1">
        <v>2.8006000000000002</v>
      </c>
      <c r="C3661" s="1">
        <v>1.22</v>
      </c>
      <c r="D3661" s="1">
        <v>3.8380999999999998</v>
      </c>
    </row>
    <row r="3662" spans="1:4" x14ac:dyDescent="0.2">
      <c r="A3662" s="5">
        <v>41619</v>
      </c>
      <c r="B3662" s="1">
        <v>2.8534999999999999</v>
      </c>
      <c r="C3662" s="1">
        <v>1.22</v>
      </c>
      <c r="D3662" s="1">
        <v>3.8856999999999999</v>
      </c>
    </row>
    <row r="3663" spans="1:4" x14ac:dyDescent="0.2">
      <c r="A3663" s="5">
        <v>41620</v>
      </c>
      <c r="B3663" s="1">
        <v>2.8773</v>
      </c>
      <c r="C3663" s="1">
        <v>1.22</v>
      </c>
      <c r="D3663" s="1">
        <v>3.8938000000000001</v>
      </c>
    </row>
    <row r="3664" spans="1:4" x14ac:dyDescent="0.2">
      <c r="A3664" s="5">
        <v>41621</v>
      </c>
      <c r="B3664" s="1">
        <v>2.8645999999999998</v>
      </c>
      <c r="C3664" s="1">
        <v>1.21</v>
      </c>
      <c r="D3664" s="1">
        <v>3.8731</v>
      </c>
    </row>
    <row r="3665" spans="1:4" x14ac:dyDescent="0.2">
      <c r="A3665" s="5">
        <v>41624</v>
      </c>
      <c r="B3665" s="1">
        <v>2.8784000000000001</v>
      </c>
      <c r="C3665" s="1">
        <v>1.2</v>
      </c>
      <c r="D3665" s="1">
        <v>3.8938000000000001</v>
      </c>
    </row>
    <row r="3666" spans="1:4" x14ac:dyDescent="0.2">
      <c r="A3666" s="5">
        <v>41625</v>
      </c>
      <c r="B3666" s="1">
        <v>2.8353999999999999</v>
      </c>
      <c r="C3666" s="1">
        <v>1.19</v>
      </c>
      <c r="D3666" s="1">
        <v>3.8658999999999999</v>
      </c>
    </row>
    <row r="3667" spans="1:4" x14ac:dyDescent="0.2">
      <c r="A3667" s="5">
        <v>41626</v>
      </c>
      <c r="B3667" s="1">
        <v>2.8931</v>
      </c>
      <c r="C3667" s="1">
        <v>1.18</v>
      </c>
      <c r="D3667" s="1">
        <v>3.9064999999999999</v>
      </c>
    </row>
    <row r="3668" spans="1:4" x14ac:dyDescent="0.2">
      <c r="A3668" s="5">
        <v>41627</v>
      </c>
      <c r="B3668" s="1">
        <v>2.9291</v>
      </c>
      <c r="C3668" s="1">
        <v>1.1599999999999999</v>
      </c>
      <c r="D3668" s="1">
        <v>3.9093</v>
      </c>
    </row>
    <row r="3669" spans="1:4" x14ac:dyDescent="0.2">
      <c r="A3669" s="5">
        <v>41628</v>
      </c>
      <c r="B3669" s="1">
        <v>2.8885999999999998</v>
      </c>
      <c r="C3669" s="1">
        <v>1.1599999999999999</v>
      </c>
      <c r="D3669" s="1">
        <v>3.823</v>
      </c>
    </row>
    <row r="3670" spans="1:4" x14ac:dyDescent="0.2">
      <c r="A3670" s="5">
        <v>41631</v>
      </c>
      <c r="B3670" s="1">
        <v>2.9274</v>
      </c>
      <c r="C3670" s="1">
        <v>1.1599999999999999</v>
      </c>
      <c r="D3670" s="1">
        <v>3.8489</v>
      </c>
    </row>
    <row r="3671" spans="1:4" x14ac:dyDescent="0.2">
      <c r="A3671" s="5">
        <v>41632</v>
      </c>
      <c r="B3671" s="1">
        <v>2.9775</v>
      </c>
      <c r="C3671" s="1">
        <v>1.1499999999999999</v>
      </c>
      <c r="D3671" s="1">
        <v>3.8929999999999998</v>
      </c>
    </row>
    <row r="3672" spans="1:4" x14ac:dyDescent="0.2">
      <c r="A3672" s="5">
        <v>41633</v>
      </c>
      <c r="B3672" s="1">
        <v>2.9775</v>
      </c>
      <c r="C3672" s="1">
        <v>1.1499999999999999</v>
      </c>
      <c r="D3672" s="1">
        <v>3.8929999999999998</v>
      </c>
    </row>
    <row r="3673" spans="1:4" x14ac:dyDescent="0.2">
      <c r="A3673" s="5">
        <v>41634</v>
      </c>
      <c r="B3673" s="1">
        <v>2.9904999999999999</v>
      </c>
      <c r="C3673" s="1">
        <v>1.1499999999999999</v>
      </c>
      <c r="D3673" s="1">
        <v>3.9239000000000002</v>
      </c>
    </row>
    <row r="3674" spans="1:4" x14ac:dyDescent="0.2">
      <c r="A3674" s="5">
        <v>41635</v>
      </c>
      <c r="B3674" s="1">
        <v>3</v>
      </c>
      <c r="C3674" s="1">
        <v>1.1499999999999999</v>
      </c>
      <c r="D3674" s="1">
        <v>3.9367000000000001</v>
      </c>
    </row>
    <row r="3675" spans="1:4" x14ac:dyDescent="0.2">
      <c r="A3675" s="5">
        <v>41638</v>
      </c>
      <c r="B3675" s="1">
        <v>2.9702999999999999</v>
      </c>
      <c r="C3675" s="1">
        <v>1.1399999999999999</v>
      </c>
      <c r="D3675" s="1">
        <v>3.9011999999999998</v>
      </c>
    </row>
    <row r="3676" spans="1:4" x14ac:dyDescent="0.2">
      <c r="A3676" s="5">
        <v>41639</v>
      </c>
      <c r="B3676" s="1">
        <v>3.0282</v>
      </c>
      <c r="C3676" s="1">
        <v>1.1399999999999999</v>
      </c>
      <c r="D3676" s="1">
        <v>3.9679000000000002</v>
      </c>
    </row>
    <row r="3677" spans="1:4" x14ac:dyDescent="0.2">
      <c r="A3677" s="5">
        <v>41640</v>
      </c>
      <c r="B3677" s="1">
        <v>3.0282</v>
      </c>
      <c r="C3677" s="1">
        <v>1.1399999999999999</v>
      </c>
      <c r="D3677" s="1">
        <v>3.9679000000000002</v>
      </c>
    </row>
    <row r="3678" spans="1:4" x14ac:dyDescent="0.2">
      <c r="A3678" s="5">
        <v>41641</v>
      </c>
      <c r="B3678" s="1">
        <v>2.9889999999999999</v>
      </c>
      <c r="C3678" s="1">
        <v>1.1299999999999999</v>
      </c>
      <c r="D3678" s="1">
        <v>3.9220999999999999</v>
      </c>
    </row>
    <row r="3679" spans="1:4" x14ac:dyDescent="0.2">
      <c r="A3679" s="5">
        <v>41642</v>
      </c>
      <c r="B3679" s="1">
        <v>2.9948000000000001</v>
      </c>
      <c r="C3679" s="1">
        <v>1.1200000000000001</v>
      </c>
      <c r="D3679" s="1">
        <v>3.9247999999999998</v>
      </c>
    </row>
    <row r="3680" spans="1:4" x14ac:dyDescent="0.2">
      <c r="A3680" s="5">
        <v>41645</v>
      </c>
      <c r="B3680" s="1">
        <v>2.9575999999999998</v>
      </c>
      <c r="C3680" s="1">
        <v>1.1200000000000001</v>
      </c>
      <c r="D3680" s="1">
        <v>3.9003000000000001</v>
      </c>
    </row>
    <row r="3681" spans="1:4" x14ac:dyDescent="0.2">
      <c r="A3681" s="5">
        <v>41646</v>
      </c>
      <c r="B3681" s="1">
        <v>2.9390999999999998</v>
      </c>
      <c r="C3681" s="1">
        <v>1.1200000000000001</v>
      </c>
      <c r="D3681" s="1">
        <v>3.8849</v>
      </c>
    </row>
    <row r="3682" spans="1:4" x14ac:dyDescent="0.2">
      <c r="A3682" s="5">
        <v>41647</v>
      </c>
      <c r="B3682" s="1">
        <v>2.9893999999999998</v>
      </c>
      <c r="C3682" s="1">
        <v>1.1200000000000001</v>
      </c>
      <c r="D3682" s="1">
        <v>3.8921000000000001</v>
      </c>
    </row>
    <row r="3683" spans="1:4" x14ac:dyDescent="0.2">
      <c r="A3683" s="5">
        <v>41648</v>
      </c>
      <c r="B3683" s="1">
        <v>2.9651999999999998</v>
      </c>
      <c r="C3683" s="1">
        <v>1.1100000000000001</v>
      </c>
      <c r="D3683" s="1">
        <v>3.8795000000000002</v>
      </c>
    </row>
    <row r="3684" spans="1:4" x14ac:dyDescent="0.2">
      <c r="A3684" s="5">
        <v>41649</v>
      </c>
      <c r="B3684" s="1">
        <v>2.8578999999999999</v>
      </c>
      <c r="C3684" s="1">
        <v>1.1200000000000001</v>
      </c>
      <c r="D3684" s="1">
        <v>3.7999000000000001</v>
      </c>
    </row>
    <row r="3685" spans="1:4" x14ac:dyDescent="0.2">
      <c r="A3685" s="5">
        <v>41652</v>
      </c>
      <c r="B3685" s="1">
        <v>2.8256999999999999</v>
      </c>
      <c r="C3685" s="1">
        <v>1.1200000000000001</v>
      </c>
      <c r="D3685" s="1">
        <v>3.7726000000000002</v>
      </c>
    </row>
    <row r="3686" spans="1:4" x14ac:dyDescent="0.2">
      <c r="A3686" s="5">
        <v>41653</v>
      </c>
      <c r="B3686" s="1">
        <v>2.8708999999999998</v>
      </c>
      <c r="C3686" s="1">
        <v>1.1200000000000001</v>
      </c>
      <c r="D3686" s="1">
        <v>3.8016999999999999</v>
      </c>
    </row>
    <row r="3687" spans="1:4" x14ac:dyDescent="0.2">
      <c r="A3687" s="5">
        <v>41654</v>
      </c>
      <c r="B3687" s="1">
        <v>2.8912</v>
      </c>
      <c r="C3687" s="1">
        <v>1.1100000000000001</v>
      </c>
      <c r="D3687" s="1">
        <v>3.823</v>
      </c>
    </row>
    <row r="3688" spans="1:4" x14ac:dyDescent="0.2">
      <c r="A3688" s="5">
        <v>41655</v>
      </c>
      <c r="B3688" s="1">
        <v>2.8414000000000001</v>
      </c>
      <c r="C3688" s="1">
        <v>1.1100000000000001</v>
      </c>
      <c r="D3688" s="1">
        <v>3.7726000000000002</v>
      </c>
    </row>
    <row r="3689" spans="1:4" x14ac:dyDescent="0.2">
      <c r="A3689" s="5">
        <v>41656</v>
      </c>
      <c r="B3689" s="1">
        <v>2.8193999999999999</v>
      </c>
      <c r="C3689" s="1">
        <v>1.1100000000000001</v>
      </c>
      <c r="D3689" s="1">
        <v>3.7480000000000002</v>
      </c>
    </row>
    <row r="3690" spans="1:4" x14ac:dyDescent="0.2">
      <c r="A3690" s="5">
        <v>41659</v>
      </c>
      <c r="B3690" s="1">
        <v>2.8193999999999999</v>
      </c>
      <c r="C3690" s="1">
        <v>1.1100000000000001</v>
      </c>
      <c r="D3690" s="1">
        <v>3.7480000000000002</v>
      </c>
    </row>
    <row r="3691" spans="1:4" x14ac:dyDescent="0.2">
      <c r="A3691" s="5">
        <v>41660</v>
      </c>
      <c r="B3691" s="1">
        <v>2.8285999999999998</v>
      </c>
      <c r="C3691" s="1">
        <v>1.1100000000000001</v>
      </c>
      <c r="D3691" s="1">
        <v>3.7480000000000002</v>
      </c>
    </row>
    <row r="3692" spans="1:4" x14ac:dyDescent="0.2">
      <c r="A3692" s="5">
        <v>41661</v>
      </c>
      <c r="B3692" s="1">
        <v>2.8656000000000001</v>
      </c>
      <c r="C3692" s="1">
        <v>1.1100000000000001</v>
      </c>
      <c r="D3692" s="1">
        <v>3.7593999999999999</v>
      </c>
    </row>
    <row r="3693" spans="1:4" x14ac:dyDescent="0.2">
      <c r="A3693" s="5">
        <v>41662</v>
      </c>
      <c r="B3693" s="1">
        <v>2.7772000000000001</v>
      </c>
      <c r="C3693" s="1">
        <v>1.1299999999999999</v>
      </c>
      <c r="D3693" s="1">
        <v>3.6821000000000002</v>
      </c>
    </row>
    <row r="3694" spans="1:4" x14ac:dyDescent="0.2">
      <c r="A3694" s="5">
        <v>41663</v>
      </c>
      <c r="B3694" s="1">
        <v>2.7149999999999999</v>
      </c>
      <c r="C3694" s="1">
        <v>1.1599999999999999</v>
      </c>
      <c r="D3694" s="1">
        <v>3.6324999999999998</v>
      </c>
    </row>
    <row r="3695" spans="1:4" x14ac:dyDescent="0.2">
      <c r="A3695" s="5">
        <v>41666</v>
      </c>
      <c r="B3695" s="1">
        <v>2.7479</v>
      </c>
      <c r="C3695" s="1">
        <v>1.1599999999999999</v>
      </c>
      <c r="D3695" s="1">
        <v>3.6648999999999998</v>
      </c>
    </row>
    <row r="3696" spans="1:4" x14ac:dyDescent="0.2">
      <c r="A3696" s="5">
        <v>41667</v>
      </c>
      <c r="B3696" s="1">
        <v>2.7488000000000001</v>
      </c>
      <c r="C3696" s="1">
        <v>1.1599999999999999</v>
      </c>
      <c r="D3696" s="1">
        <v>3.6735000000000002</v>
      </c>
    </row>
    <row r="3697" spans="1:4" x14ac:dyDescent="0.2">
      <c r="A3697" s="5">
        <v>41668</v>
      </c>
      <c r="B3697" s="1">
        <v>2.6766999999999999</v>
      </c>
      <c r="C3697" s="1">
        <v>1.1599999999999999</v>
      </c>
      <c r="D3697" s="1">
        <v>3.6162999999999998</v>
      </c>
    </row>
    <row r="3698" spans="1:4" x14ac:dyDescent="0.2">
      <c r="A3698" s="5">
        <v>41669</v>
      </c>
      <c r="B3698" s="1">
        <v>2.6949000000000001</v>
      </c>
      <c r="C3698" s="1">
        <v>1.1599999999999999</v>
      </c>
      <c r="D3698" s="1">
        <v>3.6341000000000001</v>
      </c>
    </row>
    <row r="3699" spans="1:4" x14ac:dyDescent="0.2">
      <c r="A3699" s="5">
        <v>41670</v>
      </c>
      <c r="B3699" s="1">
        <v>2.6440000000000001</v>
      </c>
      <c r="C3699" s="1">
        <v>1.1599999999999999</v>
      </c>
      <c r="D3699" s="1">
        <v>3.5985</v>
      </c>
    </row>
    <row r="3700" spans="1:4" x14ac:dyDescent="0.2">
      <c r="A3700" s="5">
        <v>41673</v>
      </c>
      <c r="B3700" s="1">
        <v>2.5760999999999998</v>
      </c>
      <c r="C3700" s="1">
        <v>1.17</v>
      </c>
      <c r="D3700" s="1">
        <v>3.5306999999999999</v>
      </c>
    </row>
    <row r="3701" spans="1:4" x14ac:dyDescent="0.2">
      <c r="A3701" s="5">
        <v>41674</v>
      </c>
      <c r="B3701" s="1">
        <v>2.6294</v>
      </c>
      <c r="C3701" s="1">
        <v>1.18</v>
      </c>
      <c r="D3701" s="1">
        <v>3.601</v>
      </c>
    </row>
    <row r="3702" spans="1:4" x14ac:dyDescent="0.2">
      <c r="A3702" s="5">
        <v>41675</v>
      </c>
      <c r="B3702" s="1">
        <v>2.6675</v>
      </c>
      <c r="C3702" s="1">
        <v>1.18</v>
      </c>
      <c r="D3702" s="1">
        <v>3.6476999999999999</v>
      </c>
    </row>
    <row r="3703" spans="1:4" x14ac:dyDescent="0.2">
      <c r="A3703" s="5">
        <v>41676</v>
      </c>
      <c r="B3703" s="1">
        <v>2.7002999999999999</v>
      </c>
      <c r="C3703" s="1">
        <v>1.1599999999999999</v>
      </c>
      <c r="D3703" s="1">
        <v>3.6682999999999999</v>
      </c>
    </row>
    <row r="3704" spans="1:4" x14ac:dyDescent="0.2">
      <c r="A3704" s="5">
        <v>41677</v>
      </c>
      <c r="B3704" s="1">
        <v>2.6829000000000001</v>
      </c>
      <c r="C3704" s="1">
        <v>1.1499999999999999</v>
      </c>
      <c r="D3704" s="1">
        <v>3.6726000000000001</v>
      </c>
    </row>
    <row r="3705" spans="1:4" x14ac:dyDescent="0.2">
      <c r="A3705" s="5">
        <v>41680</v>
      </c>
      <c r="B3705" s="1">
        <v>2.6674000000000002</v>
      </c>
      <c r="C3705" s="1">
        <v>1.1499999999999999</v>
      </c>
      <c r="D3705" s="1">
        <v>3.6503000000000001</v>
      </c>
    </row>
    <row r="3706" spans="1:4" x14ac:dyDescent="0.2">
      <c r="A3706" s="5">
        <v>41681</v>
      </c>
      <c r="B3706" s="1">
        <v>2.7250000000000001</v>
      </c>
      <c r="C3706" s="1">
        <v>1.1399999999999999</v>
      </c>
      <c r="D3706" s="1">
        <v>3.6880000000000002</v>
      </c>
    </row>
    <row r="3707" spans="1:4" x14ac:dyDescent="0.2">
      <c r="A3707" s="5">
        <v>41682</v>
      </c>
      <c r="B3707" s="1">
        <v>2.7608000000000001</v>
      </c>
      <c r="C3707" s="1">
        <v>1.1200000000000001</v>
      </c>
      <c r="D3707" s="1">
        <v>3.7201</v>
      </c>
    </row>
    <row r="3708" spans="1:4" x14ac:dyDescent="0.2">
      <c r="A3708" s="5">
        <v>41683</v>
      </c>
      <c r="B3708" s="1">
        <v>2.7320000000000002</v>
      </c>
      <c r="C3708" s="1">
        <v>1.1200000000000001</v>
      </c>
      <c r="D3708" s="1">
        <v>3.6829000000000001</v>
      </c>
    </row>
    <row r="3709" spans="1:4" x14ac:dyDescent="0.2">
      <c r="A3709" s="5">
        <v>41684</v>
      </c>
      <c r="B3709" s="1">
        <v>2.7427999999999999</v>
      </c>
      <c r="C3709" s="1">
        <v>1.1200000000000001</v>
      </c>
      <c r="D3709" s="1">
        <v>3.6968999999999999</v>
      </c>
    </row>
    <row r="3710" spans="1:4" x14ac:dyDescent="0.2">
      <c r="A3710" s="5">
        <v>41687</v>
      </c>
      <c r="B3710" s="1">
        <v>2.7427999999999999</v>
      </c>
      <c r="C3710" s="1">
        <v>1.1200000000000001</v>
      </c>
      <c r="D3710" s="1">
        <v>3.6968999999999999</v>
      </c>
    </row>
    <row r="3711" spans="1:4" x14ac:dyDescent="0.2">
      <c r="A3711" s="5">
        <v>41688</v>
      </c>
      <c r="B3711" s="1">
        <v>2.7069000000000001</v>
      </c>
      <c r="C3711" s="1">
        <v>1.1200000000000001</v>
      </c>
      <c r="D3711" s="1">
        <v>3.6777000000000002</v>
      </c>
    </row>
    <row r="3712" spans="1:4" x14ac:dyDescent="0.2">
      <c r="A3712" s="5">
        <v>41689</v>
      </c>
      <c r="B3712" s="1">
        <v>2.7391999999999999</v>
      </c>
      <c r="C3712" s="1">
        <v>1.1100000000000001</v>
      </c>
      <c r="D3712" s="1">
        <v>3.7126999999999999</v>
      </c>
    </row>
    <row r="3713" spans="1:4" x14ac:dyDescent="0.2">
      <c r="A3713" s="5">
        <v>41690</v>
      </c>
      <c r="B3713" s="1">
        <v>2.7509000000000001</v>
      </c>
      <c r="C3713" s="1">
        <v>1.1100000000000001</v>
      </c>
      <c r="D3713" s="1">
        <v>3.7231999999999998</v>
      </c>
    </row>
    <row r="3714" spans="1:4" x14ac:dyDescent="0.2">
      <c r="A3714" s="5">
        <v>41691</v>
      </c>
      <c r="B3714" s="1">
        <v>2.7309999999999999</v>
      </c>
      <c r="C3714" s="1">
        <v>1.1100000000000001</v>
      </c>
      <c r="D3714" s="1">
        <v>3.6934</v>
      </c>
    </row>
    <row r="3715" spans="1:4" x14ac:dyDescent="0.2">
      <c r="A3715" s="5">
        <v>41694</v>
      </c>
      <c r="B3715" s="1">
        <v>2.7382</v>
      </c>
      <c r="C3715" s="1">
        <v>1.1000000000000001</v>
      </c>
      <c r="D3715" s="1">
        <v>3.6985999999999999</v>
      </c>
    </row>
    <row r="3716" spans="1:4" x14ac:dyDescent="0.2">
      <c r="A3716" s="5">
        <v>41695</v>
      </c>
      <c r="B3716" s="1">
        <v>2.7023000000000001</v>
      </c>
      <c r="C3716" s="1">
        <v>1.1000000000000001</v>
      </c>
      <c r="D3716" s="1">
        <v>3.6585999999999999</v>
      </c>
    </row>
    <row r="3717" spans="1:4" x14ac:dyDescent="0.2">
      <c r="A3717" s="5">
        <v>41696</v>
      </c>
      <c r="B3717" s="1">
        <v>2.6655000000000002</v>
      </c>
      <c r="C3717" s="1">
        <v>1.1000000000000001</v>
      </c>
      <c r="D3717" s="1">
        <v>3.6248999999999998</v>
      </c>
    </row>
    <row r="3718" spans="1:4" x14ac:dyDescent="0.2">
      <c r="A3718" s="5">
        <v>41697</v>
      </c>
      <c r="B3718" s="1">
        <v>2.6387</v>
      </c>
      <c r="C3718" s="1">
        <v>1.1000000000000001</v>
      </c>
      <c r="D3718" s="1">
        <v>3.5916000000000001</v>
      </c>
    </row>
    <row r="3719" spans="1:4" x14ac:dyDescent="0.2">
      <c r="A3719" s="5">
        <v>41698</v>
      </c>
      <c r="B3719" s="1">
        <v>2.6476000000000002</v>
      </c>
      <c r="C3719" s="1">
        <v>1.0900000000000001</v>
      </c>
      <c r="D3719" s="1">
        <v>3.5821999999999998</v>
      </c>
    </row>
    <row r="3720" spans="1:4" x14ac:dyDescent="0.2">
      <c r="A3720" s="5">
        <v>41701</v>
      </c>
      <c r="B3720" s="1">
        <v>2.6012</v>
      </c>
      <c r="C3720" s="1">
        <v>1.1100000000000001</v>
      </c>
      <c r="D3720" s="1">
        <v>3.5541999999999998</v>
      </c>
    </row>
    <row r="3721" spans="1:4" x14ac:dyDescent="0.2">
      <c r="A3721" s="5">
        <v>41702</v>
      </c>
      <c r="B3721" s="1">
        <v>2.6977000000000002</v>
      </c>
      <c r="C3721" s="1">
        <v>1.1000000000000001</v>
      </c>
      <c r="D3721" s="1">
        <v>3.6473</v>
      </c>
    </row>
    <row r="3722" spans="1:4" x14ac:dyDescent="0.2">
      <c r="A3722" s="5">
        <v>41703</v>
      </c>
      <c r="B3722" s="1">
        <v>2.7048000000000001</v>
      </c>
      <c r="C3722" s="1">
        <v>1.1000000000000001</v>
      </c>
      <c r="D3722" s="1">
        <v>3.6473</v>
      </c>
    </row>
    <row r="3723" spans="1:4" x14ac:dyDescent="0.2">
      <c r="A3723" s="5">
        <v>41704</v>
      </c>
      <c r="B3723" s="1">
        <v>2.7372999999999998</v>
      </c>
      <c r="C3723" s="1">
        <v>1.1000000000000001</v>
      </c>
      <c r="D3723" s="1">
        <v>3.6899000000000002</v>
      </c>
    </row>
    <row r="3724" spans="1:4" x14ac:dyDescent="0.2">
      <c r="A3724" s="5">
        <v>41705</v>
      </c>
      <c r="B3724" s="1">
        <v>2.7879</v>
      </c>
      <c r="C3724" s="1">
        <v>1.1000000000000001</v>
      </c>
      <c r="D3724" s="1">
        <v>3.7206000000000001</v>
      </c>
    </row>
    <row r="3725" spans="1:4" x14ac:dyDescent="0.2">
      <c r="A3725" s="5">
        <v>41708</v>
      </c>
      <c r="B3725" s="1">
        <v>2.7770000000000001</v>
      </c>
      <c r="C3725" s="1">
        <v>1.1000000000000001</v>
      </c>
      <c r="D3725" s="1">
        <v>3.7214999999999998</v>
      </c>
    </row>
    <row r="3726" spans="1:4" x14ac:dyDescent="0.2">
      <c r="A3726" s="5">
        <v>41709</v>
      </c>
      <c r="B3726" s="1">
        <v>2.7679999999999998</v>
      </c>
      <c r="C3726" s="1">
        <v>1.1000000000000001</v>
      </c>
      <c r="D3726" s="1">
        <v>3.7092000000000001</v>
      </c>
    </row>
    <row r="3727" spans="1:4" x14ac:dyDescent="0.2">
      <c r="A3727" s="5">
        <v>41710</v>
      </c>
      <c r="B3727" s="1">
        <v>2.73</v>
      </c>
      <c r="C3727" s="1">
        <v>1.1100000000000001</v>
      </c>
      <c r="D3727" s="1">
        <v>3.6732999999999998</v>
      </c>
    </row>
    <row r="3728" spans="1:4" x14ac:dyDescent="0.2">
      <c r="A3728" s="5">
        <v>41711</v>
      </c>
      <c r="B3728" s="1">
        <v>2.6446000000000001</v>
      </c>
      <c r="C3728" s="1">
        <v>1.1200000000000001</v>
      </c>
      <c r="D3728" s="1">
        <v>3.5905999999999998</v>
      </c>
    </row>
    <row r="3729" spans="1:4" x14ac:dyDescent="0.2">
      <c r="A3729" s="5">
        <v>41712</v>
      </c>
      <c r="B3729" s="1">
        <v>2.6543000000000001</v>
      </c>
      <c r="C3729" s="1">
        <v>1.1200000000000001</v>
      </c>
      <c r="D3729" s="1">
        <v>3.5992000000000002</v>
      </c>
    </row>
    <row r="3730" spans="1:4" x14ac:dyDescent="0.2">
      <c r="A3730" s="5">
        <v>41715</v>
      </c>
      <c r="B3730" s="1">
        <v>2.6920999999999999</v>
      </c>
      <c r="C3730" s="1">
        <v>1.1299999999999999</v>
      </c>
      <c r="D3730" s="1">
        <v>3.6282999999999999</v>
      </c>
    </row>
    <row r="3731" spans="1:4" x14ac:dyDescent="0.2">
      <c r="A3731" s="5">
        <v>41716</v>
      </c>
      <c r="B3731" s="1">
        <v>2.6722000000000001</v>
      </c>
      <c r="C3731" s="1">
        <v>1.1200000000000001</v>
      </c>
      <c r="D3731" s="1">
        <v>3.6137000000000001</v>
      </c>
    </row>
    <row r="3732" spans="1:4" x14ac:dyDescent="0.2">
      <c r="A3732" s="5">
        <v>41717</v>
      </c>
      <c r="B3732" s="1">
        <v>2.7725</v>
      </c>
      <c r="C3732" s="1">
        <v>1.1000000000000001</v>
      </c>
      <c r="D3732" s="1">
        <v>3.6568000000000001</v>
      </c>
    </row>
    <row r="3733" spans="1:4" x14ac:dyDescent="0.2">
      <c r="A3733" s="5">
        <v>41718</v>
      </c>
      <c r="B3733" s="1">
        <v>2.7715999999999998</v>
      </c>
      <c r="C3733" s="1">
        <v>1.0900000000000001</v>
      </c>
      <c r="D3733" s="1">
        <v>3.6629</v>
      </c>
    </row>
    <row r="3734" spans="1:4" x14ac:dyDescent="0.2">
      <c r="A3734" s="5">
        <v>41719</v>
      </c>
      <c r="B3734" s="1">
        <v>2.7425999999999999</v>
      </c>
      <c r="C3734" s="1">
        <v>1.08</v>
      </c>
      <c r="D3734" s="1">
        <v>3.6067999999999998</v>
      </c>
    </row>
    <row r="3735" spans="1:4" x14ac:dyDescent="0.2">
      <c r="A3735" s="5">
        <v>41722</v>
      </c>
      <c r="B3735" s="1">
        <v>2.7281</v>
      </c>
      <c r="C3735" s="1">
        <v>1.07</v>
      </c>
      <c r="D3735" s="1">
        <v>3.5617000000000001</v>
      </c>
    </row>
    <row r="3736" spans="1:4" x14ac:dyDescent="0.2">
      <c r="A3736" s="5">
        <v>41723</v>
      </c>
      <c r="B3736" s="1">
        <v>2.7480000000000002</v>
      </c>
      <c r="C3736" s="1">
        <v>1.07</v>
      </c>
      <c r="D3736" s="1">
        <v>3.5914000000000001</v>
      </c>
    </row>
    <row r="3737" spans="1:4" x14ac:dyDescent="0.2">
      <c r="A3737" s="5">
        <v>41724</v>
      </c>
      <c r="B3737" s="1">
        <v>2.6919</v>
      </c>
      <c r="C3737" s="1">
        <v>1.06</v>
      </c>
      <c r="D3737" s="1">
        <v>3.5421999999999998</v>
      </c>
    </row>
    <row r="3738" spans="1:4" x14ac:dyDescent="0.2">
      <c r="A3738" s="5">
        <v>41725</v>
      </c>
      <c r="B3738" s="1">
        <v>2.681</v>
      </c>
      <c r="C3738" s="1">
        <v>1.06</v>
      </c>
      <c r="D3738" s="1">
        <v>3.5270999999999999</v>
      </c>
    </row>
    <row r="3739" spans="1:4" x14ac:dyDescent="0.2">
      <c r="A3739" s="5">
        <v>41726</v>
      </c>
      <c r="B3739" s="1">
        <v>2.7208000000000001</v>
      </c>
      <c r="C3739" s="1">
        <v>1.05</v>
      </c>
      <c r="D3739" s="1">
        <v>3.5472999999999999</v>
      </c>
    </row>
    <row r="3740" spans="1:4" x14ac:dyDescent="0.2">
      <c r="A3740" s="5">
        <v>41729</v>
      </c>
      <c r="B3740" s="1">
        <v>2.718</v>
      </c>
      <c r="C3740" s="1">
        <v>1.06</v>
      </c>
      <c r="D3740" s="1">
        <v>3.5583</v>
      </c>
    </row>
    <row r="3741" spans="1:4" x14ac:dyDescent="0.2">
      <c r="A3741" s="5">
        <v>41730</v>
      </c>
      <c r="B3741" s="1">
        <v>2.7524999999999999</v>
      </c>
      <c r="C3741" s="1">
        <v>1.06</v>
      </c>
      <c r="D3741" s="1">
        <v>3.6059000000000001</v>
      </c>
    </row>
    <row r="3742" spans="1:4" x14ac:dyDescent="0.2">
      <c r="A3742" s="5">
        <v>41731</v>
      </c>
      <c r="B3742" s="1">
        <v>2.8045</v>
      </c>
      <c r="C3742" s="1">
        <v>1.04</v>
      </c>
      <c r="D3742" s="1">
        <v>3.6473</v>
      </c>
    </row>
    <row r="3743" spans="1:4" x14ac:dyDescent="0.2">
      <c r="A3743" s="5">
        <v>41732</v>
      </c>
      <c r="B3743" s="1">
        <v>2.7972000000000001</v>
      </c>
      <c r="C3743" s="1">
        <v>1.03</v>
      </c>
      <c r="D3743" s="1">
        <v>3.6291000000000002</v>
      </c>
    </row>
    <row r="3744" spans="1:4" x14ac:dyDescent="0.2">
      <c r="A3744" s="5">
        <v>41733</v>
      </c>
      <c r="B3744" s="1">
        <v>2.7206999999999999</v>
      </c>
      <c r="C3744" s="1">
        <v>1.03</v>
      </c>
      <c r="D3744" s="1">
        <v>3.5836999999999999</v>
      </c>
    </row>
    <row r="3745" spans="1:4" x14ac:dyDescent="0.2">
      <c r="A3745" s="5">
        <v>41736</v>
      </c>
      <c r="B3745" s="1">
        <v>2.6998000000000002</v>
      </c>
      <c r="C3745" s="1">
        <v>1.03</v>
      </c>
      <c r="D3745" s="1">
        <v>3.5573999999999999</v>
      </c>
    </row>
    <row r="3746" spans="1:4" x14ac:dyDescent="0.2">
      <c r="A3746" s="5">
        <v>41737</v>
      </c>
      <c r="B3746" s="1">
        <v>2.6808000000000001</v>
      </c>
      <c r="C3746" s="1">
        <v>1.03</v>
      </c>
      <c r="D3746" s="1">
        <v>3.5379</v>
      </c>
    </row>
    <row r="3747" spans="1:4" x14ac:dyDescent="0.2">
      <c r="A3747" s="5">
        <v>41738</v>
      </c>
      <c r="B3747" s="1">
        <v>2.6898</v>
      </c>
      <c r="C3747" s="1">
        <v>1.03</v>
      </c>
      <c r="D3747" s="1">
        <v>3.5726</v>
      </c>
    </row>
    <row r="3748" spans="1:4" x14ac:dyDescent="0.2">
      <c r="A3748" s="5">
        <v>41739</v>
      </c>
      <c r="B3748" s="1">
        <v>2.6474000000000002</v>
      </c>
      <c r="C3748" s="1">
        <v>1.03</v>
      </c>
      <c r="D3748" s="1">
        <v>3.5194000000000001</v>
      </c>
    </row>
    <row r="3749" spans="1:4" x14ac:dyDescent="0.2">
      <c r="A3749" s="5">
        <v>41740</v>
      </c>
      <c r="B3749" s="1">
        <v>2.6246999999999998</v>
      </c>
      <c r="C3749" s="1">
        <v>1.04</v>
      </c>
      <c r="D3749" s="1">
        <v>3.4826999999999999</v>
      </c>
    </row>
    <row r="3750" spans="1:4" x14ac:dyDescent="0.2">
      <c r="A3750" s="5">
        <v>41743</v>
      </c>
      <c r="B3750" s="1">
        <v>2.6472000000000002</v>
      </c>
      <c r="C3750" s="1">
        <v>1.03</v>
      </c>
      <c r="D3750" s="1">
        <v>3.4876</v>
      </c>
    </row>
    <row r="3751" spans="1:4" x14ac:dyDescent="0.2">
      <c r="A3751" s="5">
        <v>41744</v>
      </c>
      <c r="B3751" s="1">
        <v>2.6282999999999999</v>
      </c>
      <c r="C3751" s="1">
        <v>1.03</v>
      </c>
      <c r="D3751" s="1">
        <v>3.4611000000000001</v>
      </c>
    </row>
    <row r="3752" spans="1:4" x14ac:dyDescent="0.2">
      <c r="A3752" s="5">
        <v>41745</v>
      </c>
      <c r="B3752" s="1">
        <v>2.6282000000000001</v>
      </c>
      <c r="C3752" s="1">
        <v>1.02</v>
      </c>
      <c r="D3752" s="1">
        <v>3.4437000000000002</v>
      </c>
    </row>
    <row r="3753" spans="1:4" x14ac:dyDescent="0.2">
      <c r="A3753" s="5">
        <v>41746</v>
      </c>
      <c r="B3753" s="1">
        <v>2.7214999999999998</v>
      </c>
      <c r="C3753" s="1">
        <v>1.02</v>
      </c>
      <c r="D3753" s="1">
        <v>3.5219</v>
      </c>
    </row>
    <row r="3754" spans="1:4" x14ac:dyDescent="0.2">
      <c r="A3754" s="5">
        <v>41747</v>
      </c>
      <c r="B3754" s="1">
        <v>2.7214999999999998</v>
      </c>
      <c r="C3754" s="1">
        <v>1.02</v>
      </c>
      <c r="D3754" s="1">
        <v>3.5219</v>
      </c>
    </row>
    <row r="3755" spans="1:4" x14ac:dyDescent="0.2">
      <c r="A3755" s="5">
        <v>41750</v>
      </c>
      <c r="B3755" s="1">
        <v>2.7151000000000001</v>
      </c>
      <c r="C3755" s="1">
        <v>1.01</v>
      </c>
      <c r="D3755" s="1">
        <v>3.5219</v>
      </c>
    </row>
    <row r="3756" spans="1:4" x14ac:dyDescent="0.2">
      <c r="A3756" s="5">
        <v>41751</v>
      </c>
      <c r="B3756" s="1">
        <v>2.7105000000000001</v>
      </c>
      <c r="C3756" s="1">
        <v>1.01</v>
      </c>
      <c r="D3756" s="1">
        <v>3.4942000000000002</v>
      </c>
    </row>
    <row r="3757" spans="1:4" x14ac:dyDescent="0.2">
      <c r="A3757" s="5">
        <v>41752</v>
      </c>
      <c r="B3757" s="1">
        <v>2.6987000000000001</v>
      </c>
      <c r="C3757" s="1">
        <v>1.01</v>
      </c>
      <c r="D3757" s="1">
        <v>3.4784000000000002</v>
      </c>
    </row>
    <row r="3758" spans="1:4" x14ac:dyDescent="0.2">
      <c r="A3758" s="5">
        <v>41753</v>
      </c>
      <c r="B3758" s="1">
        <v>2.6804999999999999</v>
      </c>
      <c r="C3758" s="1">
        <v>1.01</v>
      </c>
      <c r="D3758" s="1">
        <v>3.4527000000000001</v>
      </c>
    </row>
    <row r="3759" spans="1:4" x14ac:dyDescent="0.2">
      <c r="A3759" s="5">
        <v>41754</v>
      </c>
      <c r="B3759" s="1">
        <v>2.6623000000000001</v>
      </c>
      <c r="C3759" s="1">
        <v>1.01</v>
      </c>
      <c r="D3759" s="1">
        <v>3.4428000000000001</v>
      </c>
    </row>
    <row r="3760" spans="1:4" x14ac:dyDescent="0.2">
      <c r="A3760" s="5">
        <v>41757</v>
      </c>
      <c r="B3760" s="1">
        <v>2.7004999999999999</v>
      </c>
      <c r="C3760" s="1">
        <v>1.01</v>
      </c>
      <c r="D3760" s="1">
        <v>3.4859</v>
      </c>
    </row>
    <row r="3761" spans="1:4" x14ac:dyDescent="0.2">
      <c r="A3761" s="5">
        <v>41758</v>
      </c>
      <c r="B3761" s="1">
        <v>2.6913</v>
      </c>
      <c r="C3761" s="1">
        <v>1.01</v>
      </c>
      <c r="D3761" s="1">
        <v>3.4866999999999999</v>
      </c>
    </row>
    <row r="3762" spans="1:4" x14ac:dyDescent="0.2">
      <c r="A3762" s="5">
        <v>41759</v>
      </c>
      <c r="B3762" s="1">
        <v>2.6459000000000001</v>
      </c>
      <c r="C3762" s="1">
        <v>1.01</v>
      </c>
      <c r="D3762" s="1">
        <v>3.4592999999999998</v>
      </c>
    </row>
    <row r="3763" spans="1:4" x14ac:dyDescent="0.2">
      <c r="A3763" s="5">
        <v>41760</v>
      </c>
      <c r="B3763" s="1">
        <v>2.6133000000000002</v>
      </c>
      <c r="C3763" s="1">
        <v>1.01</v>
      </c>
      <c r="D3763" s="1">
        <v>3.4131999999999998</v>
      </c>
    </row>
    <row r="3764" spans="1:4" x14ac:dyDescent="0.2">
      <c r="A3764" s="5">
        <v>41761</v>
      </c>
      <c r="B3764" s="1">
        <v>2.5842999999999998</v>
      </c>
      <c r="C3764" s="1">
        <v>1</v>
      </c>
      <c r="D3764" s="1">
        <v>3.3668</v>
      </c>
    </row>
    <row r="3765" spans="1:4" x14ac:dyDescent="0.2">
      <c r="A3765" s="5">
        <v>41764</v>
      </c>
      <c r="B3765" s="1">
        <v>2.6067999999999998</v>
      </c>
      <c r="C3765" s="1">
        <v>1</v>
      </c>
      <c r="D3765" s="1">
        <v>3.4074</v>
      </c>
    </row>
    <row r="3766" spans="1:4" x14ac:dyDescent="0.2">
      <c r="A3766" s="5">
        <v>41765</v>
      </c>
      <c r="B3766" s="1">
        <v>2.5914000000000001</v>
      </c>
      <c r="C3766" s="1">
        <v>1</v>
      </c>
      <c r="D3766" s="1">
        <v>3.383</v>
      </c>
    </row>
    <row r="3767" spans="1:4" x14ac:dyDescent="0.2">
      <c r="A3767" s="5">
        <v>41766</v>
      </c>
      <c r="B3767" s="1">
        <v>2.5878000000000001</v>
      </c>
      <c r="C3767" s="1">
        <v>1.01</v>
      </c>
      <c r="D3767" s="1">
        <v>3.4024999999999999</v>
      </c>
    </row>
    <row r="3768" spans="1:4" x14ac:dyDescent="0.2">
      <c r="A3768" s="5">
        <v>41767</v>
      </c>
      <c r="B3768" s="1">
        <v>2.6160999999999999</v>
      </c>
      <c r="C3768" s="1">
        <v>1.01</v>
      </c>
      <c r="D3768" s="1">
        <v>3.4344000000000001</v>
      </c>
    </row>
    <row r="3769" spans="1:4" x14ac:dyDescent="0.2">
      <c r="A3769" s="5">
        <v>41768</v>
      </c>
      <c r="B3769" s="1">
        <v>2.6233</v>
      </c>
      <c r="C3769" s="1">
        <v>1.01</v>
      </c>
      <c r="D3769" s="1">
        <v>3.4634</v>
      </c>
    </row>
    <row r="3770" spans="1:4" x14ac:dyDescent="0.2">
      <c r="A3770" s="5">
        <v>41771</v>
      </c>
      <c r="B3770" s="1">
        <v>2.6610999999999998</v>
      </c>
      <c r="C3770" s="1">
        <v>1</v>
      </c>
      <c r="D3770" s="1">
        <v>3.4967000000000001</v>
      </c>
    </row>
    <row r="3771" spans="1:4" x14ac:dyDescent="0.2">
      <c r="A3771" s="5">
        <v>41772</v>
      </c>
      <c r="B3771" s="1">
        <v>2.6089000000000002</v>
      </c>
      <c r="C3771" s="1">
        <v>1.01</v>
      </c>
      <c r="D3771" s="1">
        <v>3.4464000000000001</v>
      </c>
    </row>
    <row r="3772" spans="1:4" x14ac:dyDescent="0.2">
      <c r="A3772" s="5">
        <v>41773</v>
      </c>
      <c r="B3772" s="1">
        <v>2.5427</v>
      </c>
      <c r="C3772" s="1">
        <v>1.01</v>
      </c>
      <c r="D3772" s="1">
        <v>3.3767</v>
      </c>
    </row>
    <row r="3773" spans="1:4" x14ac:dyDescent="0.2">
      <c r="A3773" s="5">
        <v>41774</v>
      </c>
      <c r="B3773" s="1">
        <v>2.4893000000000001</v>
      </c>
      <c r="C3773" s="1">
        <v>1.01</v>
      </c>
      <c r="D3773" s="1">
        <v>3.3245</v>
      </c>
    </row>
    <row r="3774" spans="1:4" x14ac:dyDescent="0.2">
      <c r="A3774" s="5">
        <v>41775</v>
      </c>
      <c r="B3774" s="1">
        <v>2.5230999999999999</v>
      </c>
      <c r="C3774" s="1">
        <v>1.02</v>
      </c>
      <c r="D3774" s="1">
        <v>3.3460000000000001</v>
      </c>
    </row>
    <row r="3775" spans="1:4" x14ac:dyDescent="0.2">
      <c r="A3775" s="5">
        <v>41778</v>
      </c>
      <c r="B3775" s="1">
        <v>2.5445000000000002</v>
      </c>
      <c r="C3775" s="1">
        <v>1.02</v>
      </c>
      <c r="D3775" s="1">
        <v>3.3858000000000001</v>
      </c>
    </row>
    <row r="3776" spans="1:4" x14ac:dyDescent="0.2">
      <c r="A3776" s="5">
        <v>41779</v>
      </c>
      <c r="B3776" s="1">
        <v>2.5106000000000002</v>
      </c>
      <c r="C3776" s="1">
        <v>1.02</v>
      </c>
      <c r="D3776" s="1">
        <v>3.3833000000000002</v>
      </c>
    </row>
    <row r="3777" spans="1:4" x14ac:dyDescent="0.2">
      <c r="A3777" s="5">
        <v>41780</v>
      </c>
      <c r="B3777" s="1">
        <v>2.532</v>
      </c>
      <c r="C3777" s="1">
        <v>1.02</v>
      </c>
      <c r="D3777" s="1">
        <v>3.4117999999999999</v>
      </c>
    </row>
    <row r="3778" spans="1:4" x14ac:dyDescent="0.2">
      <c r="A3778" s="5">
        <v>41781</v>
      </c>
      <c r="B3778" s="1">
        <v>2.5499000000000001</v>
      </c>
      <c r="C3778" s="1">
        <v>1.02</v>
      </c>
      <c r="D3778" s="1">
        <v>3.4260999999999999</v>
      </c>
    </row>
    <row r="3779" spans="1:4" x14ac:dyDescent="0.2">
      <c r="A3779" s="5">
        <v>41782</v>
      </c>
      <c r="B3779" s="1">
        <v>2.5320999999999998</v>
      </c>
      <c r="C3779" s="1">
        <v>1.02</v>
      </c>
      <c r="D3779" s="1">
        <v>3.3933</v>
      </c>
    </row>
    <row r="3780" spans="1:4" x14ac:dyDescent="0.2">
      <c r="A3780" s="5">
        <v>41785</v>
      </c>
      <c r="B3780" s="1">
        <v>2.5320999999999998</v>
      </c>
      <c r="C3780" s="1">
        <v>1.02</v>
      </c>
      <c r="D3780" s="1">
        <v>3.3933</v>
      </c>
    </row>
    <row r="3781" spans="1:4" x14ac:dyDescent="0.2">
      <c r="A3781" s="5">
        <v>41786</v>
      </c>
      <c r="B3781" s="1">
        <v>2.5142000000000002</v>
      </c>
      <c r="C3781" s="1">
        <v>1.02</v>
      </c>
      <c r="D3781" s="1">
        <v>3.3607999999999998</v>
      </c>
    </row>
    <row r="3782" spans="1:4" x14ac:dyDescent="0.2">
      <c r="A3782" s="5">
        <v>41787</v>
      </c>
      <c r="B3782" s="1">
        <v>2.4430999999999998</v>
      </c>
      <c r="C3782" s="1">
        <v>1.02</v>
      </c>
      <c r="D3782" s="1">
        <v>3.2942</v>
      </c>
    </row>
    <row r="3783" spans="1:4" x14ac:dyDescent="0.2">
      <c r="A3783" s="5">
        <v>41788</v>
      </c>
      <c r="B3783" s="1">
        <v>2.4643999999999999</v>
      </c>
      <c r="C3783" s="1">
        <v>1.02</v>
      </c>
      <c r="D3783" s="1">
        <v>3.3228</v>
      </c>
    </row>
    <row r="3784" spans="1:4" x14ac:dyDescent="0.2">
      <c r="A3784" s="5">
        <v>41789</v>
      </c>
      <c r="B3784" s="1">
        <v>2.4759000000000002</v>
      </c>
      <c r="C3784" s="1">
        <v>1.01</v>
      </c>
      <c r="D3784" s="1">
        <v>3.3277000000000001</v>
      </c>
    </row>
    <row r="3785" spans="1:4" x14ac:dyDescent="0.2">
      <c r="A3785" s="5">
        <v>41792</v>
      </c>
      <c r="B3785" s="1">
        <v>2.5266999999999999</v>
      </c>
      <c r="C3785" s="1">
        <v>1.02</v>
      </c>
      <c r="D3785" s="1">
        <v>3.3691</v>
      </c>
    </row>
    <row r="3786" spans="1:4" x14ac:dyDescent="0.2">
      <c r="A3786" s="5">
        <v>41793</v>
      </c>
      <c r="B3786" s="1">
        <v>2.5985</v>
      </c>
      <c r="C3786" s="1">
        <v>1.01</v>
      </c>
      <c r="D3786" s="1">
        <v>3.4379</v>
      </c>
    </row>
    <row r="3787" spans="1:4" x14ac:dyDescent="0.2">
      <c r="A3787" s="5">
        <v>41794</v>
      </c>
      <c r="B3787" s="1">
        <v>2.6021000000000001</v>
      </c>
      <c r="C3787" s="1">
        <v>1.01</v>
      </c>
      <c r="D3787" s="1">
        <v>3.4396</v>
      </c>
    </row>
    <row r="3788" spans="1:4" x14ac:dyDescent="0.2">
      <c r="A3788" s="5">
        <v>41795</v>
      </c>
      <c r="B3788" s="1">
        <v>2.5823999999999998</v>
      </c>
      <c r="C3788" s="1">
        <v>1.01</v>
      </c>
      <c r="D3788" s="1">
        <v>3.4361999999999999</v>
      </c>
    </row>
    <row r="3789" spans="1:4" x14ac:dyDescent="0.2">
      <c r="A3789" s="5">
        <v>41796</v>
      </c>
      <c r="B3789" s="1">
        <v>2.5869</v>
      </c>
      <c r="C3789" s="1">
        <v>1</v>
      </c>
      <c r="D3789" s="1">
        <v>3.4319999999999999</v>
      </c>
    </row>
    <row r="3790" spans="1:4" x14ac:dyDescent="0.2">
      <c r="A3790" s="5">
        <v>41799</v>
      </c>
      <c r="B3790" s="1">
        <v>2.6032000000000002</v>
      </c>
      <c r="C3790" s="1">
        <v>0.99</v>
      </c>
      <c r="D3790" s="1">
        <v>3.4388000000000001</v>
      </c>
    </row>
    <row r="3791" spans="1:4" x14ac:dyDescent="0.2">
      <c r="A3791" s="5">
        <v>41800</v>
      </c>
      <c r="B3791" s="1">
        <v>2.6438999999999999</v>
      </c>
      <c r="C3791" s="1">
        <v>0.98</v>
      </c>
      <c r="D3791" s="1">
        <v>3.4779</v>
      </c>
    </row>
    <row r="3792" spans="1:4" x14ac:dyDescent="0.2">
      <c r="A3792" s="5">
        <v>41801</v>
      </c>
      <c r="B3792" s="1">
        <v>2.6394000000000002</v>
      </c>
      <c r="C3792" s="1">
        <v>0.98</v>
      </c>
      <c r="D3792" s="1">
        <v>3.4659</v>
      </c>
    </row>
    <row r="3793" spans="1:4" x14ac:dyDescent="0.2">
      <c r="A3793" s="5">
        <v>41802</v>
      </c>
      <c r="B3793" s="1">
        <v>2.5951</v>
      </c>
      <c r="C3793" s="1">
        <v>0.98</v>
      </c>
      <c r="D3793" s="1">
        <v>3.4100999999999999</v>
      </c>
    </row>
    <row r="3794" spans="1:4" x14ac:dyDescent="0.2">
      <c r="A3794" s="5">
        <v>41803</v>
      </c>
      <c r="B3794" s="1">
        <v>2.6032999999999999</v>
      </c>
      <c r="C3794" s="1">
        <v>0.99</v>
      </c>
      <c r="D3794" s="1">
        <v>3.4134000000000002</v>
      </c>
    </row>
    <row r="3795" spans="1:4" x14ac:dyDescent="0.2">
      <c r="A3795" s="5">
        <v>41806</v>
      </c>
      <c r="B3795" s="1">
        <v>2.597</v>
      </c>
      <c r="C3795" s="1">
        <v>0.99</v>
      </c>
      <c r="D3795" s="1">
        <v>3.3957999999999999</v>
      </c>
    </row>
    <row r="3796" spans="1:4" x14ac:dyDescent="0.2">
      <c r="A3796" s="5">
        <v>41807</v>
      </c>
      <c r="B3796" s="1">
        <v>2.6522999999999999</v>
      </c>
      <c r="C3796" s="1">
        <v>0.98</v>
      </c>
      <c r="D3796" s="1">
        <v>3.4420999999999999</v>
      </c>
    </row>
    <row r="3797" spans="1:4" x14ac:dyDescent="0.2">
      <c r="A3797" s="5">
        <v>41808</v>
      </c>
      <c r="B3797" s="1">
        <v>2.5844</v>
      </c>
      <c r="C3797" s="1">
        <v>0.98</v>
      </c>
      <c r="D3797" s="1">
        <v>3.4007999999999998</v>
      </c>
    </row>
    <row r="3798" spans="1:4" x14ac:dyDescent="0.2">
      <c r="A3798" s="5">
        <v>41809</v>
      </c>
      <c r="B3798" s="1">
        <v>2.6206</v>
      </c>
      <c r="C3798" s="1">
        <v>0.98</v>
      </c>
      <c r="D3798" s="1">
        <v>3.4660000000000002</v>
      </c>
    </row>
    <row r="3799" spans="1:4" x14ac:dyDescent="0.2">
      <c r="A3799" s="5">
        <v>41810</v>
      </c>
      <c r="B3799" s="1">
        <v>2.6052</v>
      </c>
      <c r="C3799" s="1">
        <v>0.97</v>
      </c>
      <c r="D3799" s="1">
        <v>3.4337</v>
      </c>
    </row>
    <row r="3800" spans="1:4" x14ac:dyDescent="0.2">
      <c r="A3800" s="5">
        <v>41813</v>
      </c>
      <c r="B3800" s="1">
        <v>2.6261000000000001</v>
      </c>
      <c r="C3800" s="1">
        <v>0.97</v>
      </c>
      <c r="D3800" s="1">
        <v>3.4548999999999999</v>
      </c>
    </row>
    <row r="3801" spans="1:4" x14ac:dyDescent="0.2">
      <c r="A3801" s="5">
        <v>41814</v>
      </c>
      <c r="B3801" s="1">
        <v>2.5781000000000001</v>
      </c>
      <c r="C3801" s="1">
        <v>0.97</v>
      </c>
      <c r="D3801" s="1">
        <v>3.3990999999999998</v>
      </c>
    </row>
    <row r="3802" spans="1:4" x14ac:dyDescent="0.2">
      <c r="A3802" s="5">
        <v>41815</v>
      </c>
      <c r="B3802" s="1">
        <v>2.5592000000000001</v>
      </c>
      <c r="C3802" s="1">
        <v>0.97</v>
      </c>
      <c r="D3802" s="1">
        <v>3.3815</v>
      </c>
    </row>
    <row r="3803" spans="1:4" x14ac:dyDescent="0.2">
      <c r="A3803" s="5">
        <v>41816</v>
      </c>
      <c r="B3803" s="1">
        <v>2.5286</v>
      </c>
      <c r="C3803" s="1">
        <v>0.98</v>
      </c>
      <c r="D3803" s="1">
        <v>3.3557000000000001</v>
      </c>
    </row>
    <row r="3804" spans="1:4" x14ac:dyDescent="0.2">
      <c r="A3804" s="5">
        <v>41817</v>
      </c>
      <c r="B3804" s="1">
        <v>2.5339999999999998</v>
      </c>
      <c r="C3804" s="1">
        <v>0.99</v>
      </c>
      <c r="D3804" s="1">
        <v>3.3664999999999998</v>
      </c>
    </row>
    <row r="3805" spans="1:4" x14ac:dyDescent="0.2">
      <c r="A3805" s="5">
        <v>41820</v>
      </c>
      <c r="B3805" s="1">
        <v>2.5304000000000002</v>
      </c>
      <c r="C3805" s="1">
        <v>0.99</v>
      </c>
      <c r="D3805" s="1">
        <v>3.3599000000000001</v>
      </c>
    </row>
    <row r="3806" spans="1:4" x14ac:dyDescent="0.2">
      <c r="A3806" s="5">
        <v>41821</v>
      </c>
      <c r="B3806" s="1">
        <v>2.5647000000000002</v>
      </c>
      <c r="C3806" s="1">
        <v>0.99</v>
      </c>
      <c r="D3806" s="1">
        <v>3.3982999999999999</v>
      </c>
    </row>
    <row r="3807" spans="1:4" x14ac:dyDescent="0.2">
      <c r="A3807" s="5">
        <v>41822</v>
      </c>
      <c r="B3807" s="1">
        <v>2.6263999999999998</v>
      </c>
      <c r="C3807" s="1">
        <v>0.98</v>
      </c>
      <c r="D3807" s="1">
        <v>3.4609000000000001</v>
      </c>
    </row>
    <row r="3808" spans="1:4" x14ac:dyDescent="0.2">
      <c r="A3808" s="5">
        <v>41823</v>
      </c>
      <c r="B3808" s="1">
        <v>2.6383000000000001</v>
      </c>
      <c r="C3808" s="1">
        <v>0.98</v>
      </c>
      <c r="D3808" s="1">
        <v>3.4693999999999998</v>
      </c>
    </row>
    <row r="3809" spans="1:4" x14ac:dyDescent="0.2">
      <c r="A3809" s="5">
        <v>41824</v>
      </c>
      <c r="B3809" s="1">
        <v>2.6383000000000001</v>
      </c>
      <c r="C3809" s="1">
        <v>0.98</v>
      </c>
      <c r="D3809" s="1">
        <v>3.4693999999999998</v>
      </c>
    </row>
    <row r="3810" spans="1:4" x14ac:dyDescent="0.2">
      <c r="A3810" s="5">
        <v>41827</v>
      </c>
      <c r="B3810" s="1">
        <v>2.6110000000000002</v>
      </c>
      <c r="C3810" s="1">
        <v>0.97</v>
      </c>
      <c r="D3810" s="1">
        <v>3.4361999999999999</v>
      </c>
    </row>
    <row r="3811" spans="1:4" x14ac:dyDescent="0.2">
      <c r="A3811" s="5">
        <v>41828</v>
      </c>
      <c r="B3811" s="1">
        <v>2.5556999999999999</v>
      </c>
      <c r="C3811" s="1">
        <v>0.98</v>
      </c>
      <c r="D3811" s="1">
        <v>3.3723000000000001</v>
      </c>
    </row>
    <row r="3812" spans="1:4" x14ac:dyDescent="0.2">
      <c r="A3812" s="5">
        <v>41829</v>
      </c>
      <c r="B3812" s="1">
        <v>2.5503</v>
      </c>
      <c r="C3812" s="1">
        <v>0.98</v>
      </c>
      <c r="D3812" s="1">
        <v>3.3740000000000001</v>
      </c>
    </row>
    <row r="3813" spans="1:4" x14ac:dyDescent="0.2">
      <c r="A3813" s="5">
        <v>41830</v>
      </c>
      <c r="B3813" s="1">
        <v>2.5358999999999998</v>
      </c>
      <c r="C3813" s="1">
        <v>0.99</v>
      </c>
      <c r="D3813" s="1">
        <v>3.3698000000000001</v>
      </c>
    </row>
    <row r="3814" spans="1:4" x14ac:dyDescent="0.2">
      <c r="A3814" s="5">
        <v>41831</v>
      </c>
      <c r="B3814" s="1">
        <v>2.516</v>
      </c>
      <c r="C3814" s="1">
        <v>0.99</v>
      </c>
      <c r="D3814" s="1">
        <v>3.3365999999999998</v>
      </c>
    </row>
    <row r="3815" spans="1:4" x14ac:dyDescent="0.2">
      <c r="A3815" s="5">
        <v>41834</v>
      </c>
      <c r="B3815" s="1">
        <v>2.5468000000000002</v>
      </c>
      <c r="C3815" s="1">
        <v>0.99</v>
      </c>
      <c r="D3815" s="1">
        <v>3.3715000000000002</v>
      </c>
    </row>
    <row r="3816" spans="1:4" x14ac:dyDescent="0.2">
      <c r="A3816" s="5">
        <v>41835</v>
      </c>
      <c r="B3816" s="1">
        <v>2.5468000000000002</v>
      </c>
      <c r="C3816" s="1">
        <v>0.98</v>
      </c>
      <c r="D3816" s="1">
        <v>3.3673000000000002</v>
      </c>
    </row>
    <row r="3817" spans="1:4" x14ac:dyDescent="0.2">
      <c r="A3817" s="5">
        <v>41836</v>
      </c>
      <c r="B3817" s="1">
        <v>2.5259999999999998</v>
      </c>
      <c r="C3817" s="1">
        <v>0.98</v>
      </c>
      <c r="D3817" s="1">
        <v>3.3374000000000001</v>
      </c>
    </row>
    <row r="3818" spans="1:4" x14ac:dyDescent="0.2">
      <c r="A3818" s="5">
        <v>41837</v>
      </c>
      <c r="B3818" s="1">
        <v>2.4458000000000002</v>
      </c>
      <c r="C3818" s="1">
        <v>0.99</v>
      </c>
      <c r="D3818" s="1">
        <v>3.2660999999999998</v>
      </c>
    </row>
    <row r="3819" spans="1:4" x14ac:dyDescent="0.2">
      <c r="A3819" s="5">
        <v>41838</v>
      </c>
      <c r="B3819" s="1">
        <v>2.4809000000000001</v>
      </c>
      <c r="C3819" s="1">
        <v>0.99</v>
      </c>
      <c r="D3819" s="1">
        <v>3.2881</v>
      </c>
    </row>
    <row r="3820" spans="1:4" x14ac:dyDescent="0.2">
      <c r="A3820" s="5">
        <v>41841</v>
      </c>
      <c r="B3820" s="1">
        <v>2.4674</v>
      </c>
      <c r="C3820" s="1">
        <v>0.99</v>
      </c>
      <c r="D3820" s="1">
        <v>3.2563</v>
      </c>
    </row>
    <row r="3821" spans="1:4" x14ac:dyDescent="0.2">
      <c r="A3821" s="5">
        <v>41842</v>
      </c>
      <c r="B3821" s="1">
        <v>2.4601000000000002</v>
      </c>
      <c r="C3821" s="1">
        <v>0.99</v>
      </c>
      <c r="D3821" s="1">
        <v>3.2498</v>
      </c>
    </row>
    <row r="3822" spans="1:4" x14ac:dyDescent="0.2">
      <c r="A3822" s="5">
        <v>41843</v>
      </c>
      <c r="B3822" s="1">
        <v>2.4655</v>
      </c>
      <c r="C3822" s="1">
        <v>0.99</v>
      </c>
      <c r="D3822" s="1">
        <v>3.2635999999999998</v>
      </c>
    </row>
    <row r="3823" spans="1:4" x14ac:dyDescent="0.2">
      <c r="A3823" s="5">
        <v>41844</v>
      </c>
      <c r="B3823" s="1">
        <v>2.5024999999999999</v>
      </c>
      <c r="C3823" s="1">
        <v>0.99</v>
      </c>
      <c r="D3823" s="1">
        <v>3.2953999999999999</v>
      </c>
    </row>
    <row r="3824" spans="1:4" x14ac:dyDescent="0.2">
      <c r="A3824" s="5">
        <v>41845</v>
      </c>
      <c r="B3824" s="1">
        <v>2.4655</v>
      </c>
      <c r="C3824" s="1">
        <v>0.99</v>
      </c>
      <c r="D3824" s="1">
        <v>3.2385000000000002</v>
      </c>
    </row>
    <row r="3825" spans="1:4" x14ac:dyDescent="0.2">
      <c r="A3825" s="5">
        <v>41848</v>
      </c>
      <c r="B3825" s="1">
        <v>2.4853000000000001</v>
      </c>
      <c r="C3825" s="1">
        <v>0.98</v>
      </c>
      <c r="D3825" s="1">
        <v>3.2547000000000001</v>
      </c>
    </row>
    <row r="3826" spans="1:4" x14ac:dyDescent="0.2">
      <c r="A3826" s="5">
        <v>41849</v>
      </c>
      <c r="B3826" s="1">
        <v>2.4601000000000002</v>
      </c>
      <c r="C3826" s="1">
        <v>0.99</v>
      </c>
      <c r="D3826" s="1">
        <v>3.2248000000000001</v>
      </c>
    </row>
    <row r="3827" spans="1:4" x14ac:dyDescent="0.2">
      <c r="A3827" s="5">
        <v>41850</v>
      </c>
      <c r="B3827" s="1">
        <v>2.5569000000000002</v>
      </c>
      <c r="C3827" s="1">
        <v>0.98</v>
      </c>
      <c r="D3827" s="1">
        <v>3.3126000000000002</v>
      </c>
    </row>
    <row r="3828" spans="1:4" x14ac:dyDescent="0.2">
      <c r="A3828" s="5">
        <v>41851</v>
      </c>
      <c r="B3828" s="1">
        <v>2.5577999999999999</v>
      </c>
      <c r="C3828" s="1">
        <v>0.99</v>
      </c>
      <c r="D3828" s="1">
        <v>3.3167</v>
      </c>
    </row>
    <row r="3829" spans="1:4" x14ac:dyDescent="0.2">
      <c r="A3829" s="5">
        <v>41852</v>
      </c>
      <c r="B3829" s="1">
        <v>2.4925000000000002</v>
      </c>
      <c r="C3829" s="1">
        <v>1.01</v>
      </c>
      <c r="D3829" s="1">
        <v>3.2806999999999999</v>
      </c>
    </row>
    <row r="3830" spans="1:4" x14ac:dyDescent="0.2">
      <c r="A3830" s="5">
        <v>41855</v>
      </c>
      <c r="B3830" s="1">
        <v>2.4817</v>
      </c>
      <c r="C3830" s="1">
        <v>1.01</v>
      </c>
      <c r="D3830" s="1">
        <v>3.2879999999999998</v>
      </c>
    </row>
    <row r="3831" spans="1:4" x14ac:dyDescent="0.2">
      <c r="A3831" s="5">
        <v>41856</v>
      </c>
      <c r="B3831" s="1">
        <v>2.4843999999999999</v>
      </c>
      <c r="C3831" s="1">
        <v>1.01</v>
      </c>
      <c r="D3831" s="1">
        <v>3.2831000000000001</v>
      </c>
    </row>
    <row r="3832" spans="1:4" x14ac:dyDescent="0.2">
      <c r="A3832" s="5">
        <v>41857</v>
      </c>
      <c r="B3832" s="1">
        <v>2.4708000000000001</v>
      </c>
      <c r="C3832" s="1">
        <v>1.02</v>
      </c>
      <c r="D3832" s="1">
        <v>3.27</v>
      </c>
    </row>
    <row r="3833" spans="1:4" x14ac:dyDescent="0.2">
      <c r="A3833" s="5">
        <v>41858</v>
      </c>
      <c r="B3833" s="1">
        <v>2.4114</v>
      </c>
      <c r="C3833" s="1">
        <v>1.02</v>
      </c>
      <c r="D3833" s="1">
        <v>3.2239</v>
      </c>
    </row>
    <row r="3834" spans="1:4" x14ac:dyDescent="0.2">
      <c r="A3834" s="5">
        <v>41859</v>
      </c>
      <c r="B3834" s="1">
        <v>2.4203000000000001</v>
      </c>
      <c r="C3834" s="1">
        <v>1.03</v>
      </c>
      <c r="D3834" s="1">
        <v>3.2303000000000002</v>
      </c>
    </row>
    <row r="3835" spans="1:4" x14ac:dyDescent="0.2">
      <c r="A3835" s="5">
        <v>41862</v>
      </c>
      <c r="B3835" s="1">
        <v>2.4275000000000002</v>
      </c>
      <c r="C3835" s="1">
        <v>1.03</v>
      </c>
      <c r="D3835" s="1">
        <v>3.2431999999999999</v>
      </c>
    </row>
    <row r="3836" spans="1:4" x14ac:dyDescent="0.2">
      <c r="A3836" s="5">
        <v>41863</v>
      </c>
      <c r="B3836" s="1">
        <v>2.4491000000000001</v>
      </c>
      <c r="C3836" s="1">
        <v>1.03</v>
      </c>
      <c r="D3836" s="1">
        <v>3.2765</v>
      </c>
    </row>
    <row r="3837" spans="1:4" x14ac:dyDescent="0.2">
      <c r="A3837" s="5">
        <v>41864</v>
      </c>
      <c r="B3837" s="1">
        <v>2.4165999999999999</v>
      </c>
      <c r="C3837" s="1">
        <v>1.03</v>
      </c>
      <c r="D3837" s="1">
        <v>3.2431999999999999</v>
      </c>
    </row>
    <row r="3838" spans="1:4" x14ac:dyDescent="0.2">
      <c r="A3838" s="5">
        <v>41865</v>
      </c>
      <c r="B3838" s="1">
        <v>2.4015</v>
      </c>
      <c r="C3838" s="1">
        <v>1.03</v>
      </c>
      <c r="D3838" s="1">
        <v>3.1917</v>
      </c>
    </row>
    <row r="3839" spans="1:4" x14ac:dyDescent="0.2">
      <c r="A3839" s="5">
        <v>41866</v>
      </c>
      <c r="B3839" s="1">
        <v>2.3397000000000001</v>
      </c>
      <c r="C3839" s="1">
        <v>1.03</v>
      </c>
      <c r="D3839" s="1">
        <v>3.1322999999999999</v>
      </c>
    </row>
    <row r="3840" spans="1:4" x14ac:dyDescent="0.2">
      <c r="A3840" s="5">
        <v>41869</v>
      </c>
      <c r="B3840" s="1">
        <v>2.3927</v>
      </c>
      <c r="C3840" s="1">
        <v>1.03</v>
      </c>
      <c r="D3840" s="1">
        <v>3.1983000000000001</v>
      </c>
    </row>
    <row r="3841" spans="1:4" x14ac:dyDescent="0.2">
      <c r="A3841" s="5">
        <v>41870</v>
      </c>
      <c r="B3841" s="1">
        <v>2.3997000000000002</v>
      </c>
      <c r="C3841" s="1">
        <v>1.03</v>
      </c>
      <c r="D3841" s="1">
        <v>3.2130999999999998</v>
      </c>
    </row>
    <row r="3842" spans="1:4" x14ac:dyDescent="0.2">
      <c r="A3842" s="5">
        <v>41871</v>
      </c>
      <c r="B3842" s="1">
        <v>2.4264000000000001</v>
      </c>
      <c r="C3842" s="1">
        <v>1.02</v>
      </c>
      <c r="D3842" s="1">
        <v>3.2204999999999999</v>
      </c>
    </row>
    <row r="3843" spans="1:4" x14ac:dyDescent="0.2">
      <c r="A3843" s="5">
        <v>41872</v>
      </c>
      <c r="B3843" s="1">
        <v>2.4068000000000001</v>
      </c>
      <c r="C3843" s="1">
        <v>1.02</v>
      </c>
      <c r="D3843" s="1">
        <v>3.1884000000000001</v>
      </c>
    </row>
    <row r="3844" spans="1:4" x14ac:dyDescent="0.2">
      <c r="A3844" s="5">
        <v>41873</v>
      </c>
      <c r="B3844" s="1">
        <v>2.4024000000000001</v>
      </c>
      <c r="C3844" s="1">
        <v>1.02</v>
      </c>
      <c r="D3844" s="1">
        <v>3.1566000000000001</v>
      </c>
    </row>
    <row r="3845" spans="1:4" x14ac:dyDescent="0.2">
      <c r="A3845" s="5">
        <v>41876</v>
      </c>
      <c r="B3845" s="1">
        <v>2.3820000000000001</v>
      </c>
      <c r="C3845" s="1">
        <v>1.01</v>
      </c>
      <c r="D3845" s="1">
        <v>3.1314000000000002</v>
      </c>
    </row>
    <row r="3846" spans="1:4" x14ac:dyDescent="0.2">
      <c r="A3846" s="5">
        <v>41877</v>
      </c>
      <c r="B3846" s="1">
        <v>2.3961999999999999</v>
      </c>
      <c r="C3846" s="1">
        <v>1.01</v>
      </c>
      <c r="D3846" s="1">
        <v>3.1623000000000001</v>
      </c>
    </row>
    <row r="3847" spans="1:4" x14ac:dyDescent="0.2">
      <c r="A3847" s="5">
        <v>41878</v>
      </c>
      <c r="B3847" s="1">
        <v>2.3573</v>
      </c>
      <c r="C3847" s="1">
        <v>1.01</v>
      </c>
      <c r="D3847" s="1">
        <v>3.1023999999999998</v>
      </c>
    </row>
    <row r="3848" spans="1:4" x14ac:dyDescent="0.2">
      <c r="A3848" s="5">
        <v>41879</v>
      </c>
      <c r="B3848" s="1">
        <v>2.3361000000000001</v>
      </c>
      <c r="C3848" s="1">
        <v>1.01</v>
      </c>
      <c r="D3848" s="1">
        <v>3.0743999999999998</v>
      </c>
    </row>
    <row r="3849" spans="1:4" x14ac:dyDescent="0.2">
      <c r="A3849" s="5">
        <v>41880</v>
      </c>
      <c r="B3849" s="1">
        <v>2.3431000000000002</v>
      </c>
      <c r="C3849" s="1">
        <v>1.02</v>
      </c>
      <c r="D3849" s="1">
        <v>3.0792000000000002</v>
      </c>
    </row>
    <row r="3850" spans="1:4" x14ac:dyDescent="0.2">
      <c r="A3850" s="5">
        <v>41883</v>
      </c>
      <c r="B3850" s="1">
        <v>2.3431000000000002</v>
      </c>
      <c r="C3850" s="1">
        <v>1.02</v>
      </c>
      <c r="D3850" s="1">
        <v>3.0792000000000002</v>
      </c>
    </row>
    <row r="3851" spans="1:4" x14ac:dyDescent="0.2">
      <c r="A3851" s="5">
        <v>41884</v>
      </c>
      <c r="B3851" s="1">
        <v>2.4211</v>
      </c>
      <c r="C3851" s="1">
        <v>1.02</v>
      </c>
      <c r="D3851" s="1">
        <v>3.1753</v>
      </c>
    </row>
    <row r="3852" spans="1:4" x14ac:dyDescent="0.2">
      <c r="A3852" s="5">
        <v>41885</v>
      </c>
      <c r="B3852" s="1">
        <v>2.3961999999999999</v>
      </c>
      <c r="C3852" s="1">
        <v>1.02</v>
      </c>
      <c r="D3852" s="1">
        <v>3.1419000000000001</v>
      </c>
    </row>
    <row r="3853" spans="1:4" x14ac:dyDescent="0.2">
      <c r="A3853" s="5">
        <v>41886</v>
      </c>
      <c r="B3853" s="1">
        <v>2.4497</v>
      </c>
      <c r="C3853" s="1">
        <v>1.03</v>
      </c>
      <c r="D3853" s="1">
        <v>3.2090000000000001</v>
      </c>
    </row>
    <row r="3854" spans="1:4" x14ac:dyDescent="0.2">
      <c r="A3854" s="5">
        <v>41887</v>
      </c>
      <c r="B3854" s="1">
        <v>2.4586999999999999</v>
      </c>
      <c r="C3854" s="1">
        <v>1.03</v>
      </c>
      <c r="D3854" s="1">
        <v>3.2263000000000002</v>
      </c>
    </row>
    <row r="3855" spans="1:4" x14ac:dyDescent="0.2">
      <c r="A3855" s="5">
        <v>41890</v>
      </c>
      <c r="B3855" s="1">
        <v>2.4712000000000001</v>
      </c>
      <c r="C3855" s="1">
        <v>1.03</v>
      </c>
      <c r="D3855" s="1">
        <v>3.2246999999999999</v>
      </c>
    </row>
    <row r="3856" spans="1:4" x14ac:dyDescent="0.2">
      <c r="A3856" s="5">
        <v>41891</v>
      </c>
      <c r="B3856" s="1">
        <v>2.5036</v>
      </c>
      <c r="C3856" s="1">
        <v>1.04</v>
      </c>
      <c r="D3856" s="1">
        <v>3.2338</v>
      </c>
    </row>
    <row r="3857" spans="1:4" x14ac:dyDescent="0.2">
      <c r="A3857" s="5">
        <v>41892</v>
      </c>
      <c r="B3857" s="1">
        <v>2.5413999999999999</v>
      </c>
      <c r="C3857" s="1">
        <v>1.05</v>
      </c>
      <c r="D3857" s="1">
        <v>3.2722000000000002</v>
      </c>
    </row>
    <row r="3858" spans="1:4" x14ac:dyDescent="0.2">
      <c r="A3858" s="5">
        <v>41893</v>
      </c>
      <c r="B3858" s="1">
        <v>2.5495999999999999</v>
      </c>
      <c r="C3858" s="1">
        <v>1.05</v>
      </c>
      <c r="D3858" s="1">
        <v>3.2772000000000001</v>
      </c>
    </row>
    <row r="3859" spans="1:4" x14ac:dyDescent="0.2">
      <c r="A3859" s="5">
        <v>41894</v>
      </c>
      <c r="B3859" s="1">
        <v>2.6105</v>
      </c>
      <c r="C3859" s="1">
        <v>1.05</v>
      </c>
      <c r="D3859" s="1">
        <v>3.3441000000000001</v>
      </c>
    </row>
    <row r="3860" spans="1:4" x14ac:dyDescent="0.2">
      <c r="A3860" s="5">
        <v>41897</v>
      </c>
      <c r="B3860" s="1">
        <v>2.5886999999999998</v>
      </c>
      <c r="C3860" s="1">
        <v>1.06</v>
      </c>
      <c r="D3860" s="1">
        <v>3.3433000000000002</v>
      </c>
    </row>
    <row r="3861" spans="1:4" x14ac:dyDescent="0.2">
      <c r="A3861" s="5">
        <v>41898</v>
      </c>
      <c r="B3861" s="1">
        <v>2.5924</v>
      </c>
      <c r="C3861" s="1">
        <v>1.06</v>
      </c>
      <c r="D3861" s="1">
        <v>3.3603999999999998</v>
      </c>
    </row>
    <row r="3862" spans="1:4" x14ac:dyDescent="0.2">
      <c r="A3862" s="5">
        <v>41899</v>
      </c>
      <c r="B3862" s="1">
        <v>2.6198000000000001</v>
      </c>
      <c r="C3862" s="1">
        <v>1.06</v>
      </c>
      <c r="D3862" s="1">
        <v>3.3690000000000002</v>
      </c>
    </row>
    <row r="3863" spans="1:4" x14ac:dyDescent="0.2">
      <c r="A3863" s="5">
        <v>41900</v>
      </c>
      <c r="B3863" s="1">
        <v>2.6143999999999998</v>
      </c>
      <c r="C3863" s="1">
        <v>1.05</v>
      </c>
      <c r="D3863" s="1">
        <v>3.3475999999999999</v>
      </c>
    </row>
    <row r="3864" spans="1:4" x14ac:dyDescent="0.2">
      <c r="A3864" s="5">
        <v>41901</v>
      </c>
      <c r="B3864" s="1">
        <v>2.5745</v>
      </c>
      <c r="C3864" s="1">
        <v>1.05</v>
      </c>
      <c r="D3864" s="1">
        <v>3.2839999999999998</v>
      </c>
    </row>
    <row r="3865" spans="1:4" x14ac:dyDescent="0.2">
      <c r="A3865" s="5">
        <v>41904</v>
      </c>
      <c r="B3865" s="1">
        <v>2.5636000000000001</v>
      </c>
      <c r="C3865" s="1">
        <v>1.05</v>
      </c>
      <c r="D3865" s="1">
        <v>3.2890999999999999</v>
      </c>
    </row>
    <row r="3866" spans="1:4" x14ac:dyDescent="0.2">
      <c r="A3866" s="5">
        <v>41905</v>
      </c>
      <c r="B3866" s="1">
        <v>2.5274999999999999</v>
      </c>
      <c r="C3866" s="1">
        <v>1.06</v>
      </c>
      <c r="D3866" s="1">
        <v>3.2463000000000002</v>
      </c>
    </row>
    <row r="3867" spans="1:4" x14ac:dyDescent="0.2">
      <c r="A3867" s="5">
        <v>41906</v>
      </c>
      <c r="B3867" s="1">
        <v>2.5636999999999999</v>
      </c>
      <c r="C3867" s="1">
        <v>1.07</v>
      </c>
      <c r="D3867" s="1">
        <v>3.2789999999999999</v>
      </c>
    </row>
    <row r="3868" spans="1:4" x14ac:dyDescent="0.2">
      <c r="A3868" s="5">
        <v>41907</v>
      </c>
      <c r="B3868" s="1">
        <v>2.5022000000000002</v>
      </c>
      <c r="C3868" s="1">
        <v>1.08</v>
      </c>
      <c r="D3868" s="1">
        <v>3.2115</v>
      </c>
    </row>
    <row r="3869" spans="1:4" x14ac:dyDescent="0.2">
      <c r="A3869" s="5">
        <v>41908</v>
      </c>
      <c r="B3869" s="1">
        <v>2.5276000000000001</v>
      </c>
      <c r="C3869" s="1">
        <v>1.1000000000000001</v>
      </c>
      <c r="D3869" s="1">
        <v>3.214</v>
      </c>
    </row>
    <row r="3870" spans="1:4" x14ac:dyDescent="0.2">
      <c r="A3870" s="5">
        <v>41911</v>
      </c>
      <c r="B3870" s="1">
        <v>2.4771000000000001</v>
      </c>
      <c r="C3870" s="1">
        <v>1.1200000000000001</v>
      </c>
      <c r="D3870" s="1">
        <v>3.1646999999999998</v>
      </c>
    </row>
    <row r="3871" spans="1:4" x14ac:dyDescent="0.2">
      <c r="A3871" s="5">
        <v>41912</v>
      </c>
      <c r="B3871" s="1">
        <v>2.4887999999999999</v>
      </c>
      <c r="C3871" s="1">
        <v>1.1200000000000001</v>
      </c>
      <c r="D3871" s="1">
        <v>3.1966999999999999</v>
      </c>
    </row>
    <row r="3872" spans="1:4" x14ac:dyDescent="0.2">
      <c r="A3872" s="5">
        <v>41913</v>
      </c>
      <c r="B3872" s="1">
        <v>2.3856000000000002</v>
      </c>
      <c r="C3872" s="1">
        <v>1.1200000000000001</v>
      </c>
      <c r="D3872" s="1">
        <v>3.0918999999999999</v>
      </c>
    </row>
    <row r="3873" spans="1:4" x14ac:dyDescent="0.2">
      <c r="A3873" s="5">
        <v>41914</v>
      </c>
      <c r="B3873" s="1">
        <v>2.4249999999999998</v>
      </c>
      <c r="C3873" s="1">
        <v>1.1200000000000001</v>
      </c>
      <c r="D3873" s="1">
        <v>3.1427</v>
      </c>
    </row>
    <row r="3874" spans="1:4" x14ac:dyDescent="0.2">
      <c r="A3874" s="5">
        <v>41915</v>
      </c>
      <c r="B3874" s="1">
        <v>2.4340000000000002</v>
      </c>
      <c r="C3874" s="1">
        <v>1.1100000000000001</v>
      </c>
      <c r="D3874" s="1">
        <v>3.1233</v>
      </c>
    </row>
    <row r="3875" spans="1:4" x14ac:dyDescent="0.2">
      <c r="A3875" s="5">
        <v>41918</v>
      </c>
      <c r="B3875" s="1">
        <v>2.4196</v>
      </c>
      <c r="C3875" s="1">
        <v>1.1000000000000001</v>
      </c>
      <c r="D3875" s="1">
        <v>3.1273</v>
      </c>
    </row>
    <row r="3876" spans="1:4" x14ac:dyDescent="0.2">
      <c r="A3876" s="5">
        <v>41919</v>
      </c>
      <c r="B3876" s="1">
        <v>2.3391000000000002</v>
      </c>
      <c r="C3876" s="1">
        <v>1.1100000000000001</v>
      </c>
      <c r="D3876" s="1">
        <v>3.0464000000000002</v>
      </c>
    </row>
    <row r="3877" spans="1:4" x14ac:dyDescent="0.2">
      <c r="A3877" s="5">
        <v>41920</v>
      </c>
      <c r="B3877" s="1">
        <v>2.3212999999999999</v>
      </c>
      <c r="C3877" s="1">
        <v>1.1200000000000001</v>
      </c>
      <c r="D3877" s="1">
        <v>3.0598999999999998</v>
      </c>
    </row>
    <row r="3878" spans="1:4" x14ac:dyDescent="0.2">
      <c r="A3878" s="5">
        <v>41921</v>
      </c>
      <c r="B3878" s="1">
        <v>2.3132999999999999</v>
      </c>
      <c r="C3878" s="1">
        <v>1.1200000000000001</v>
      </c>
      <c r="D3878" s="1">
        <v>3.0495999999999999</v>
      </c>
    </row>
    <row r="3879" spans="1:4" x14ac:dyDescent="0.2">
      <c r="A3879" s="5">
        <v>41922</v>
      </c>
      <c r="B3879" s="1">
        <v>2.2804000000000002</v>
      </c>
      <c r="C3879" s="1">
        <v>1.1399999999999999</v>
      </c>
      <c r="D3879" s="1">
        <v>3.0124</v>
      </c>
    </row>
    <row r="3880" spans="1:4" x14ac:dyDescent="0.2">
      <c r="A3880" s="5">
        <v>41925</v>
      </c>
      <c r="B3880" s="1">
        <v>2.2804000000000002</v>
      </c>
      <c r="C3880" s="1">
        <v>1.1399999999999999</v>
      </c>
      <c r="D3880" s="1">
        <v>3.0124</v>
      </c>
    </row>
    <row r="3881" spans="1:4" x14ac:dyDescent="0.2">
      <c r="A3881" s="5">
        <v>41926</v>
      </c>
      <c r="B3881" s="1">
        <v>2.1972999999999998</v>
      </c>
      <c r="C3881" s="1">
        <v>1.1599999999999999</v>
      </c>
      <c r="D3881" s="1">
        <v>2.9531000000000001</v>
      </c>
    </row>
    <row r="3882" spans="1:4" x14ac:dyDescent="0.2">
      <c r="A3882" s="5">
        <v>41927</v>
      </c>
      <c r="B3882" s="1">
        <v>2.1358000000000001</v>
      </c>
      <c r="C3882" s="1">
        <v>1.17</v>
      </c>
      <c r="D3882" s="1">
        <v>2.9176000000000002</v>
      </c>
    </row>
    <row r="3883" spans="1:4" x14ac:dyDescent="0.2">
      <c r="A3883" s="5">
        <v>41928</v>
      </c>
      <c r="B3883" s="1">
        <v>2.1558999999999999</v>
      </c>
      <c r="C3883" s="1">
        <v>1.2</v>
      </c>
      <c r="D3883" s="1">
        <v>2.9352999999999998</v>
      </c>
    </row>
    <row r="3884" spans="1:4" x14ac:dyDescent="0.2">
      <c r="A3884" s="5">
        <v>41929</v>
      </c>
      <c r="B3884" s="1">
        <v>2.1936</v>
      </c>
      <c r="C3884" s="1">
        <v>1.18</v>
      </c>
      <c r="D3884" s="1">
        <v>2.9678</v>
      </c>
    </row>
    <row r="3885" spans="1:4" x14ac:dyDescent="0.2">
      <c r="A3885" s="5">
        <v>41932</v>
      </c>
      <c r="B3885" s="1">
        <v>2.1909000000000001</v>
      </c>
      <c r="C3885" s="1">
        <v>1.18</v>
      </c>
      <c r="D3885" s="1">
        <v>2.9655</v>
      </c>
    </row>
    <row r="3886" spans="1:4" x14ac:dyDescent="0.2">
      <c r="A3886" s="5">
        <v>41933</v>
      </c>
      <c r="B3886" s="1">
        <v>2.2216999999999998</v>
      </c>
      <c r="C3886" s="1">
        <v>1.17</v>
      </c>
      <c r="D3886" s="1">
        <v>2.9904000000000002</v>
      </c>
    </row>
    <row r="3887" spans="1:4" x14ac:dyDescent="0.2">
      <c r="A3887" s="5">
        <v>41934</v>
      </c>
      <c r="B3887" s="1">
        <v>2.2164000000000001</v>
      </c>
      <c r="C3887" s="1">
        <v>1.17</v>
      </c>
      <c r="D3887" s="1">
        <v>2.9904000000000002</v>
      </c>
    </row>
    <row r="3888" spans="1:4" x14ac:dyDescent="0.2">
      <c r="A3888" s="5">
        <v>41935</v>
      </c>
      <c r="B3888" s="1">
        <v>2.2711999999999999</v>
      </c>
      <c r="C3888" s="1">
        <v>1.17</v>
      </c>
      <c r="D3888" s="1">
        <v>3.0430999999999999</v>
      </c>
    </row>
    <row r="3889" spans="1:4" x14ac:dyDescent="0.2">
      <c r="A3889" s="5">
        <v>41936</v>
      </c>
      <c r="B3889" s="1">
        <v>2.2685</v>
      </c>
      <c r="C3889" s="1">
        <v>1.17</v>
      </c>
      <c r="D3889" s="1">
        <v>3.0423</v>
      </c>
    </row>
    <row r="3890" spans="1:4" x14ac:dyDescent="0.2">
      <c r="A3890" s="5">
        <v>41939</v>
      </c>
      <c r="B3890" s="1">
        <v>2.2605</v>
      </c>
      <c r="C3890" s="1">
        <v>1.17</v>
      </c>
      <c r="D3890" s="1">
        <v>3.0367999999999999</v>
      </c>
    </row>
    <row r="3891" spans="1:4" x14ac:dyDescent="0.2">
      <c r="A3891" s="5">
        <v>41940</v>
      </c>
      <c r="B3891" s="1">
        <v>2.2959999999999998</v>
      </c>
      <c r="C3891" s="1">
        <v>1.17</v>
      </c>
      <c r="D3891" s="1">
        <v>3.0678000000000001</v>
      </c>
    </row>
    <row r="3892" spans="1:4" x14ac:dyDescent="0.2">
      <c r="A3892" s="5">
        <v>41941</v>
      </c>
      <c r="B3892" s="1">
        <v>2.3174000000000001</v>
      </c>
      <c r="C3892" s="1">
        <v>1.17</v>
      </c>
      <c r="D3892" s="1">
        <v>3.0495000000000001</v>
      </c>
    </row>
    <row r="3893" spans="1:4" x14ac:dyDescent="0.2">
      <c r="A3893" s="5">
        <v>41942</v>
      </c>
      <c r="B3893" s="1">
        <v>2.3058000000000001</v>
      </c>
      <c r="C3893" s="1">
        <v>1.17</v>
      </c>
      <c r="D3893" s="1">
        <v>3.0463</v>
      </c>
    </row>
    <row r="3894" spans="1:4" x14ac:dyDescent="0.2">
      <c r="A3894" s="5">
        <v>41943</v>
      </c>
      <c r="B3894" s="1">
        <v>2.3353000000000002</v>
      </c>
      <c r="C3894" s="1">
        <v>1.18</v>
      </c>
      <c r="D3894" s="1">
        <v>3.0661999999999998</v>
      </c>
    </row>
    <row r="3895" spans="1:4" x14ac:dyDescent="0.2">
      <c r="A3895" s="5">
        <v>41946</v>
      </c>
      <c r="B3895" s="1">
        <v>2.3424999999999998</v>
      </c>
      <c r="C3895" s="1">
        <v>1.18</v>
      </c>
      <c r="D3895" s="1">
        <v>3.0638000000000001</v>
      </c>
    </row>
    <row r="3896" spans="1:4" x14ac:dyDescent="0.2">
      <c r="A3896" s="5">
        <v>41947</v>
      </c>
      <c r="B3896" s="1">
        <v>2.3334999999999999</v>
      </c>
      <c r="C3896" s="1">
        <v>1.19</v>
      </c>
      <c r="D3896" s="1">
        <v>3.0478000000000001</v>
      </c>
    </row>
    <row r="3897" spans="1:4" x14ac:dyDescent="0.2">
      <c r="A3897" s="5">
        <v>41948</v>
      </c>
      <c r="B3897" s="1">
        <v>2.3424</v>
      </c>
      <c r="C3897" s="1">
        <v>1.2</v>
      </c>
      <c r="D3897" s="1">
        <v>3.0590000000000002</v>
      </c>
    </row>
    <row r="3898" spans="1:4" x14ac:dyDescent="0.2">
      <c r="A3898" s="5">
        <v>41949</v>
      </c>
      <c r="B3898" s="1">
        <v>2.3856000000000002</v>
      </c>
      <c r="C3898" s="1">
        <v>1.19</v>
      </c>
      <c r="D3898" s="1">
        <v>3.1030000000000002</v>
      </c>
    </row>
    <row r="3899" spans="1:4" x14ac:dyDescent="0.2">
      <c r="A3899" s="5">
        <v>41950</v>
      </c>
      <c r="B3899" s="1">
        <v>2.2976000000000001</v>
      </c>
      <c r="C3899" s="1">
        <v>1.2</v>
      </c>
      <c r="D3899" s="1">
        <v>3.028</v>
      </c>
    </row>
    <row r="3900" spans="1:4" x14ac:dyDescent="0.2">
      <c r="A3900" s="5">
        <v>41953</v>
      </c>
      <c r="B3900" s="1">
        <v>2.3603999999999998</v>
      </c>
      <c r="C3900" s="1">
        <v>1.2</v>
      </c>
      <c r="D3900" s="1">
        <v>3.0926</v>
      </c>
    </row>
    <row r="3901" spans="1:4" x14ac:dyDescent="0.2">
      <c r="A3901" s="5">
        <v>41954</v>
      </c>
      <c r="B3901" s="1">
        <v>2.3603999999999998</v>
      </c>
      <c r="C3901" s="1">
        <v>1.2</v>
      </c>
      <c r="D3901" s="1">
        <v>3.0926</v>
      </c>
    </row>
    <row r="3902" spans="1:4" x14ac:dyDescent="0.2">
      <c r="A3902" s="5">
        <v>41955</v>
      </c>
      <c r="B3902" s="1">
        <v>2.3712</v>
      </c>
      <c r="C3902" s="1">
        <v>1.21</v>
      </c>
      <c r="D3902" s="1">
        <v>3.1046</v>
      </c>
    </row>
    <row r="3903" spans="1:4" x14ac:dyDescent="0.2">
      <c r="A3903" s="5">
        <v>41956</v>
      </c>
      <c r="B3903" s="1">
        <v>2.3399000000000001</v>
      </c>
      <c r="C3903" s="1">
        <v>1.21</v>
      </c>
      <c r="D3903" s="1">
        <v>3.0709</v>
      </c>
    </row>
    <row r="3904" spans="1:4" x14ac:dyDescent="0.2">
      <c r="A3904" s="5">
        <v>41957</v>
      </c>
      <c r="B3904" s="1">
        <v>2.3203999999999998</v>
      </c>
      <c r="C3904" s="1">
        <v>1.22</v>
      </c>
      <c r="D3904" s="1">
        <v>3.0487000000000002</v>
      </c>
    </row>
    <row r="3905" spans="1:4" x14ac:dyDescent="0.2">
      <c r="A3905" s="5">
        <v>41960</v>
      </c>
      <c r="B3905" s="1">
        <v>2.3399000000000001</v>
      </c>
      <c r="C3905" s="1">
        <v>1.23</v>
      </c>
      <c r="D3905" s="1">
        <v>3.0623999999999998</v>
      </c>
    </row>
    <row r="3906" spans="1:4" x14ac:dyDescent="0.2">
      <c r="A3906" s="5">
        <v>41961</v>
      </c>
      <c r="B3906" s="1">
        <v>2.3151000000000002</v>
      </c>
      <c r="C3906" s="1">
        <v>1.25</v>
      </c>
      <c r="D3906" s="1">
        <v>3.0383</v>
      </c>
    </row>
    <row r="3907" spans="1:4" x14ac:dyDescent="0.2">
      <c r="A3907" s="5">
        <v>41962</v>
      </c>
      <c r="B3907" s="1">
        <v>2.3593999999999999</v>
      </c>
      <c r="C3907" s="1">
        <v>1.26</v>
      </c>
      <c r="D3907" s="1">
        <v>3.0769000000000002</v>
      </c>
    </row>
    <row r="3908" spans="1:4" x14ac:dyDescent="0.2">
      <c r="A3908" s="5">
        <v>41963</v>
      </c>
      <c r="B3908" s="1">
        <v>2.3372999999999999</v>
      </c>
      <c r="C3908" s="1">
        <v>1.26</v>
      </c>
      <c r="D3908" s="1">
        <v>3.0543</v>
      </c>
    </row>
    <row r="3909" spans="1:4" x14ac:dyDescent="0.2">
      <c r="A3909" s="5">
        <v>41964</v>
      </c>
      <c r="B3909" s="1">
        <v>2.3098999999999998</v>
      </c>
      <c r="C3909" s="1">
        <v>1.24</v>
      </c>
      <c r="D3909" s="1">
        <v>3.0175000000000001</v>
      </c>
    </row>
    <row r="3910" spans="1:4" x14ac:dyDescent="0.2">
      <c r="A3910" s="5">
        <v>41967</v>
      </c>
      <c r="B3910" s="1">
        <v>2.3064</v>
      </c>
      <c r="C3910" s="1">
        <v>1.23</v>
      </c>
      <c r="D3910" s="1">
        <v>3.0198999999999998</v>
      </c>
    </row>
    <row r="3911" spans="1:4" x14ac:dyDescent="0.2">
      <c r="A3911" s="5">
        <v>41968</v>
      </c>
      <c r="B3911" s="1">
        <v>2.2570000000000001</v>
      </c>
      <c r="C3911" s="1">
        <v>1.23</v>
      </c>
      <c r="D3911" s="1">
        <v>2.9605000000000001</v>
      </c>
    </row>
    <row r="3912" spans="1:4" x14ac:dyDescent="0.2">
      <c r="A3912" s="5">
        <v>41969</v>
      </c>
      <c r="B3912" s="1">
        <v>2.2446999999999999</v>
      </c>
      <c r="C3912" s="1">
        <v>1.23</v>
      </c>
      <c r="D3912" s="1">
        <v>2.9542000000000002</v>
      </c>
    </row>
    <row r="3913" spans="1:4" x14ac:dyDescent="0.2">
      <c r="A3913" s="5">
        <v>41970</v>
      </c>
      <c r="B3913" s="1">
        <v>2.2446999999999999</v>
      </c>
      <c r="C3913" s="1">
        <v>1.23</v>
      </c>
      <c r="D3913" s="1">
        <v>2.9542000000000002</v>
      </c>
    </row>
    <row r="3914" spans="1:4" x14ac:dyDescent="0.2">
      <c r="A3914" s="5">
        <v>41971</v>
      </c>
      <c r="B3914" s="1">
        <v>2.1640000000000001</v>
      </c>
      <c r="C3914" s="1">
        <v>1.24</v>
      </c>
      <c r="D3914" s="1">
        <v>2.8887999999999998</v>
      </c>
    </row>
    <row r="3915" spans="1:4" x14ac:dyDescent="0.2">
      <c r="A3915" s="5">
        <v>41974</v>
      </c>
      <c r="B3915" s="1">
        <v>2.2349999999999999</v>
      </c>
      <c r="C3915" s="1">
        <v>1.26</v>
      </c>
      <c r="D3915" s="1">
        <v>2.9628000000000001</v>
      </c>
    </row>
    <row r="3916" spans="1:4" x14ac:dyDescent="0.2">
      <c r="A3916" s="5">
        <v>41975</v>
      </c>
      <c r="B3916" s="1">
        <v>2.2923</v>
      </c>
      <c r="C3916" s="1">
        <v>1.26</v>
      </c>
      <c r="D3916" s="1">
        <v>3.0127000000000002</v>
      </c>
    </row>
    <row r="3917" spans="1:4" x14ac:dyDescent="0.2">
      <c r="A3917" s="5">
        <v>41976</v>
      </c>
      <c r="B3917" s="1">
        <v>2.2799</v>
      </c>
      <c r="C3917" s="1">
        <v>1.26</v>
      </c>
      <c r="D3917" s="1">
        <v>2.9849000000000001</v>
      </c>
    </row>
    <row r="3918" spans="1:4" x14ac:dyDescent="0.2">
      <c r="A3918" s="5">
        <v>41977</v>
      </c>
      <c r="B3918" s="1">
        <v>2.2341000000000002</v>
      </c>
      <c r="C3918" s="1">
        <v>1.26</v>
      </c>
      <c r="D3918" s="1">
        <v>2.9361000000000002</v>
      </c>
    </row>
    <row r="3919" spans="1:4" x14ac:dyDescent="0.2">
      <c r="A3919" s="5">
        <v>41978</v>
      </c>
      <c r="B3919" s="1">
        <v>2.3065000000000002</v>
      </c>
      <c r="C3919" s="1">
        <v>1.26</v>
      </c>
      <c r="D3919" s="1">
        <v>2.9666999999999999</v>
      </c>
    </row>
    <row r="3920" spans="1:4" x14ac:dyDescent="0.2">
      <c r="A3920" s="5">
        <v>41981</v>
      </c>
      <c r="B3920" s="1">
        <v>2.2570000000000001</v>
      </c>
      <c r="C3920" s="1">
        <v>1.26</v>
      </c>
      <c r="D3920" s="1">
        <v>2.9041999999999999</v>
      </c>
    </row>
    <row r="3921" spans="1:4" x14ac:dyDescent="0.2">
      <c r="A3921" s="5">
        <v>41982</v>
      </c>
      <c r="B3921" s="1">
        <v>2.2128999999999999</v>
      </c>
      <c r="C3921" s="1">
        <v>1.28</v>
      </c>
      <c r="D3921" s="1">
        <v>2.8702000000000001</v>
      </c>
    </row>
    <row r="3922" spans="1:4" x14ac:dyDescent="0.2">
      <c r="A3922" s="5">
        <v>41983</v>
      </c>
      <c r="B3922" s="1">
        <v>2.1638000000000002</v>
      </c>
      <c r="C3922" s="1">
        <v>1.29</v>
      </c>
      <c r="D3922" s="1">
        <v>2.8319999999999999</v>
      </c>
    </row>
    <row r="3923" spans="1:4" x14ac:dyDescent="0.2">
      <c r="A3923" s="5">
        <v>41984</v>
      </c>
      <c r="B3923" s="1">
        <v>2.1619999999999999</v>
      </c>
      <c r="C3923" s="1">
        <v>1.3</v>
      </c>
      <c r="D3923" s="1">
        <v>2.8069000000000002</v>
      </c>
    </row>
    <row r="3924" spans="1:4" x14ac:dyDescent="0.2">
      <c r="A3924" s="5">
        <v>41985</v>
      </c>
      <c r="B3924" s="1">
        <v>2.0817000000000001</v>
      </c>
      <c r="C3924" s="1">
        <v>1.32</v>
      </c>
      <c r="D3924" s="1">
        <v>2.7372000000000001</v>
      </c>
    </row>
    <row r="3925" spans="1:4" x14ac:dyDescent="0.2">
      <c r="A3925" s="5">
        <v>41988</v>
      </c>
      <c r="B3925" s="1">
        <v>2.1181999999999999</v>
      </c>
      <c r="C3925" s="1">
        <v>1.33</v>
      </c>
      <c r="D3925" s="1">
        <v>2.7467999999999999</v>
      </c>
    </row>
    <row r="3926" spans="1:4" x14ac:dyDescent="0.2">
      <c r="A3926" s="5">
        <v>41989</v>
      </c>
      <c r="B3926" s="1">
        <v>2.0590999999999999</v>
      </c>
      <c r="C3926" s="1">
        <v>1.37</v>
      </c>
      <c r="D3926" s="1">
        <v>2.6905999999999999</v>
      </c>
    </row>
    <row r="3927" spans="1:4" x14ac:dyDescent="0.2">
      <c r="A3927" s="5">
        <v>41990</v>
      </c>
      <c r="B3927" s="1">
        <v>2.1356000000000002</v>
      </c>
      <c r="C3927" s="1">
        <v>1.36</v>
      </c>
      <c r="D3927" s="1">
        <v>2.7275</v>
      </c>
    </row>
    <row r="3928" spans="1:4" x14ac:dyDescent="0.2">
      <c r="A3928" s="5">
        <v>41991</v>
      </c>
      <c r="B3928" s="1">
        <v>2.2075</v>
      </c>
      <c r="C3928" s="1">
        <v>1.32</v>
      </c>
      <c r="D3928" s="1">
        <v>2.8182</v>
      </c>
    </row>
    <row r="3929" spans="1:4" x14ac:dyDescent="0.2">
      <c r="A3929" s="5">
        <v>41992</v>
      </c>
      <c r="B3929" s="1">
        <v>2.1617999999999999</v>
      </c>
      <c r="C3929" s="1">
        <v>1.31</v>
      </c>
      <c r="D3929" s="1">
        <v>2.7542</v>
      </c>
    </row>
    <row r="3930" spans="1:4" x14ac:dyDescent="0.2">
      <c r="A3930" s="5">
        <v>41995</v>
      </c>
      <c r="B3930" s="1">
        <v>2.1583000000000001</v>
      </c>
      <c r="C3930" s="1">
        <v>1.3</v>
      </c>
      <c r="D3930" s="1">
        <v>2.7429999999999999</v>
      </c>
    </row>
    <row r="3931" spans="1:4" x14ac:dyDescent="0.2">
      <c r="A3931" s="5">
        <v>41996</v>
      </c>
      <c r="B3931" s="1">
        <v>2.2614000000000001</v>
      </c>
      <c r="C3931" s="1">
        <v>1.29</v>
      </c>
      <c r="D3931" s="1">
        <v>2.8517000000000001</v>
      </c>
    </row>
    <row r="3932" spans="1:4" x14ac:dyDescent="0.2">
      <c r="A3932" s="5">
        <v>41997</v>
      </c>
      <c r="B3932" s="1">
        <v>2.2631999999999999</v>
      </c>
      <c r="C3932" s="1">
        <v>1.29</v>
      </c>
      <c r="D3932" s="1">
        <v>2.8340999999999998</v>
      </c>
    </row>
    <row r="3933" spans="1:4" x14ac:dyDescent="0.2">
      <c r="A3933" s="5">
        <v>41998</v>
      </c>
      <c r="B3933" s="1">
        <v>2.2631999999999999</v>
      </c>
      <c r="C3933" s="1">
        <v>1.29</v>
      </c>
      <c r="D3933" s="1">
        <v>2.8340999999999998</v>
      </c>
    </row>
    <row r="3934" spans="1:4" x14ac:dyDescent="0.2">
      <c r="A3934" s="5">
        <v>41999</v>
      </c>
      <c r="B3934" s="1">
        <v>2.2498999999999998</v>
      </c>
      <c r="C3934" s="1">
        <v>1.29</v>
      </c>
      <c r="D3934" s="1">
        <v>2.8165</v>
      </c>
    </row>
    <row r="3935" spans="1:4" x14ac:dyDescent="0.2">
      <c r="A3935" s="5">
        <v>42002</v>
      </c>
      <c r="B3935" s="1">
        <v>2.2021000000000002</v>
      </c>
      <c r="C3935" s="1">
        <v>1.3</v>
      </c>
      <c r="D3935" s="1">
        <v>2.7728000000000002</v>
      </c>
    </row>
    <row r="3936" spans="1:4" x14ac:dyDescent="0.2">
      <c r="A3936" s="5">
        <v>42003</v>
      </c>
      <c r="B3936" s="1">
        <v>2.1871</v>
      </c>
      <c r="C3936" s="1">
        <v>1.3</v>
      </c>
      <c r="D3936" s="1">
        <v>2.7563</v>
      </c>
    </row>
    <row r="3937" spans="1:4" x14ac:dyDescent="0.2">
      <c r="A3937" s="5">
        <v>42004</v>
      </c>
      <c r="B3937" s="1">
        <v>2.1711999999999998</v>
      </c>
      <c r="C3937" s="1">
        <v>1.31</v>
      </c>
      <c r="D3937" s="1">
        <v>2.7517999999999998</v>
      </c>
    </row>
    <row r="3938" spans="1:4" x14ac:dyDescent="0.2">
      <c r="A3938" s="5">
        <v>42005</v>
      </c>
      <c r="B3938" s="1">
        <v>2.1711999999999998</v>
      </c>
      <c r="C3938" s="1">
        <v>1.31</v>
      </c>
      <c r="D3938" s="1">
        <v>2.7517999999999998</v>
      </c>
    </row>
    <row r="3939" spans="1:4" x14ac:dyDescent="0.2">
      <c r="A3939" s="5">
        <v>42006</v>
      </c>
      <c r="B3939" s="1">
        <v>2.1105</v>
      </c>
      <c r="C3939" s="1">
        <v>1.31</v>
      </c>
      <c r="D3939" s="1">
        <v>2.6880000000000002</v>
      </c>
    </row>
    <row r="3940" spans="1:4" x14ac:dyDescent="0.2">
      <c r="A3940" s="5">
        <v>42009</v>
      </c>
      <c r="B3940" s="1">
        <v>2.032</v>
      </c>
      <c r="C3940" s="1">
        <v>1.33</v>
      </c>
      <c r="D3940" s="1">
        <v>2.5987</v>
      </c>
    </row>
    <row r="3941" spans="1:4" x14ac:dyDescent="0.2">
      <c r="A3941" s="5">
        <v>42010</v>
      </c>
      <c r="B3941" s="1">
        <v>1.9401999999999999</v>
      </c>
      <c r="C3941" s="1">
        <v>1.34</v>
      </c>
      <c r="D3941" s="1">
        <v>2.5023</v>
      </c>
    </row>
    <row r="3942" spans="1:4" x14ac:dyDescent="0.2">
      <c r="A3942" s="5">
        <v>42011</v>
      </c>
      <c r="B3942" s="1">
        <v>1.9677</v>
      </c>
      <c r="C3942" s="1">
        <v>1.34</v>
      </c>
      <c r="D3942" s="1">
        <v>2.5289000000000001</v>
      </c>
    </row>
    <row r="3943" spans="1:4" x14ac:dyDescent="0.2">
      <c r="A3943" s="5">
        <v>42012</v>
      </c>
      <c r="B3943" s="1">
        <v>2.0179</v>
      </c>
      <c r="C3943" s="1">
        <v>1.33</v>
      </c>
      <c r="D3943" s="1">
        <v>2.5992999999999999</v>
      </c>
    </row>
    <row r="3944" spans="1:4" x14ac:dyDescent="0.2">
      <c r="A3944" s="5">
        <v>42013</v>
      </c>
      <c r="B3944" s="1">
        <v>1.9449000000000001</v>
      </c>
      <c r="C3944" s="1">
        <v>1.33</v>
      </c>
      <c r="D3944" s="1">
        <v>2.5280999999999998</v>
      </c>
    </row>
    <row r="3945" spans="1:4" x14ac:dyDescent="0.2">
      <c r="A3945" s="5">
        <v>42016</v>
      </c>
      <c r="B3945" s="1">
        <v>1.907</v>
      </c>
      <c r="C3945" s="1">
        <v>1.34</v>
      </c>
      <c r="D3945" s="1">
        <v>2.4965000000000002</v>
      </c>
    </row>
    <row r="3946" spans="1:4" x14ac:dyDescent="0.2">
      <c r="A3946" s="5">
        <v>42017</v>
      </c>
      <c r="B3946" s="1">
        <v>1.9</v>
      </c>
      <c r="C3946" s="1">
        <v>1.35</v>
      </c>
      <c r="D3946" s="1">
        <v>2.4992000000000001</v>
      </c>
    </row>
    <row r="3947" spans="1:4" x14ac:dyDescent="0.2">
      <c r="A3947" s="5">
        <v>42018</v>
      </c>
      <c r="B3947" s="1">
        <v>1.8552999999999999</v>
      </c>
      <c r="C3947" s="1">
        <v>1.38</v>
      </c>
      <c r="D3947" s="1">
        <v>2.4685000000000001</v>
      </c>
    </row>
    <row r="3948" spans="1:4" x14ac:dyDescent="0.2">
      <c r="A3948" s="5">
        <v>42019</v>
      </c>
      <c r="B3948" s="1">
        <v>1.7149000000000001</v>
      </c>
      <c r="C3948" s="1">
        <v>1.38</v>
      </c>
      <c r="D3948" s="1">
        <v>2.3677000000000001</v>
      </c>
    </row>
    <row r="3949" spans="1:4" x14ac:dyDescent="0.2">
      <c r="A3949" s="5">
        <v>42020</v>
      </c>
      <c r="B3949" s="1">
        <v>1.8368</v>
      </c>
      <c r="C3949" s="1">
        <v>1.39</v>
      </c>
      <c r="D3949" s="1">
        <v>2.4531000000000001</v>
      </c>
    </row>
    <row r="3950" spans="1:4" x14ac:dyDescent="0.2">
      <c r="A3950" s="5">
        <v>42023</v>
      </c>
      <c r="B3950" s="1">
        <v>1.8368</v>
      </c>
      <c r="C3950" s="1">
        <v>1.39</v>
      </c>
      <c r="D3950" s="1">
        <v>2.4531000000000001</v>
      </c>
    </row>
    <row r="3951" spans="1:4" x14ac:dyDescent="0.2">
      <c r="A3951" s="5">
        <v>42024</v>
      </c>
      <c r="B3951" s="1">
        <v>1.788</v>
      </c>
      <c r="C3951" s="1">
        <v>1.38</v>
      </c>
      <c r="D3951" s="1">
        <v>2.3776999999999999</v>
      </c>
    </row>
    <row r="3952" spans="1:4" x14ac:dyDescent="0.2">
      <c r="A3952" s="5">
        <v>42025</v>
      </c>
      <c r="B3952" s="1">
        <v>1.8716999999999999</v>
      </c>
      <c r="C3952" s="1">
        <v>1.38</v>
      </c>
      <c r="D3952" s="1">
        <v>2.4613999999999998</v>
      </c>
    </row>
    <row r="3953" spans="1:4" x14ac:dyDescent="0.2">
      <c r="A3953" s="5">
        <v>42026</v>
      </c>
      <c r="B3953" s="1">
        <v>1.8631</v>
      </c>
      <c r="C3953" s="1">
        <v>1.36</v>
      </c>
      <c r="D3953" s="1">
        <v>2.4384999999999999</v>
      </c>
    </row>
    <row r="3954" spans="1:4" x14ac:dyDescent="0.2">
      <c r="A3954" s="5">
        <v>42027</v>
      </c>
      <c r="B3954" s="1">
        <v>1.7968</v>
      </c>
      <c r="C3954" s="1">
        <v>1.36</v>
      </c>
      <c r="D3954" s="1">
        <v>2.3734999999999999</v>
      </c>
    </row>
    <row r="3955" spans="1:4" x14ac:dyDescent="0.2">
      <c r="A3955" s="5">
        <v>42030</v>
      </c>
      <c r="B3955" s="1">
        <v>1.8241000000000001</v>
      </c>
      <c r="C3955" s="1">
        <v>1.35</v>
      </c>
      <c r="D3955" s="1">
        <v>2.3972000000000002</v>
      </c>
    </row>
    <row r="3956" spans="1:4" x14ac:dyDescent="0.2">
      <c r="A3956" s="5">
        <v>42031</v>
      </c>
      <c r="B3956" s="1">
        <v>1.8230999999999999</v>
      </c>
      <c r="C3956" s="1">
        <v>1.35</v>
      </c>
      <c r="D3956" s="1">
        <v>2.3999000000000001</v>
      </c>
    </row>
    <row r="3957" spans="1:4" x14ac:dyDescent="0.2">
      <c r="A3957" s="5">
        <v>42032</v>
      </c>
      <c r="B3957" s="1">
        <v>1.7206999999999999</v>
      </c>
      <c r="C3957" s="1">
        <v>1.35</v>
      </c>
      <c r="D3957" s="1">
        <v>2.2907999999999999</v>
      </c>
    </row>
    <row r="3958" spans="1:4" x14ac:dyDescent="0.2">
      <c r="A3958" s="5">
        <v>42033</v>
      </c>
      <c r="B3958" s="1">
        <v>1.7512000000000001</v>
      </c>
      <c r="C3958" s="1">
        <v>1.36</v>
      </c>
      <c r="D3958" s="1">
        <v>2.3148</v>
      </c>
    </row>
    <row r="3959" spans="1:4" x14ac:dyDescent="0.2">
      <c r="A3959" s="5">
        <v>42034</v>
      </c>
      <c r="B3959" s="1">
        <v>1.6407</v>
      </c>
      <c r="C3959" s="1">
        <v>1.36</v>
      </c>
      <c r="D3959" s="1">
        <v>2.2222</v>
      </c>
    </row>
    <row r="3960" spans="1:4" x14ac:dyDescent="0.2">
      <c r="A3960" s="5">
        <v>42037</v>
      </c>
      <c r="B3960" s="1">
        <v>1.6641999999999999</v>
      </c>
      <c r="C3960" s="1">
        <v>1.37</v>
      </c>
      <c r="D3960" s="1">
        <v>2.2503000000000002</v>
      </c>
    </row>
    <row r="3961" spans="1:4" x14ac:dyDescent="0.2">
      <c r="A3961" s="5">
        <v>42038</v>
      </c>
      <c r="B3961" s="1">
        <v>1.7915000000000001</v>
      </c>
      <c r="C3961" s="1">
        <v>1.35</v>
      </c>
      <c r="D3961" s="1">
        <v>2.3792</v>
      </c>
    </row>
    <row r="3962" spans="1:4" x14ac:dyDescent="0.2">
      <c r="A3962" s="5">
        <v>42039</v>
      </c>
      <c r="B3962" s="1">
        <v>1.7513000000000001</v>
      </c>
      <c r="C3962" s="1">
        <v>1.34</v>
      </c>
      <c r="D3962" s="1">
        <v>2.3481000000000001</v>
      </c>
    </row>
    <row r="3963" spans="1:4" x14ac:dyDescent="0.2">
      <c r="A3963" s="5">
        <v>42040</v>
      </c>
      <c r="B3963" s="1">
        <v>1.8204</v>
      </c>
      <c r="C3963" s="1">
        <v>1.33</v>
      </c>
      <c r="D3963" s="1">
        <v>2.4318</v>
      </c>
    </row>
    <row r="3964" spans="1:4" x14ac:dyDescent="0.2">
      <c r="A3964" s="5">
        <v>42041</v>
      </c>
      <c r="B3964" s="1">
        <v>1.9567000000000001</v>
      </c>
      <c r="C3964" s="1">
        <v>1.31</v>
      </c>
      <c r="D3964" s="1">
        <v>2.5287000000000002</v>
      </c>
    </row>
    <row r="3965" spans="1:4" x14ac:dyDescent="0.2">
      <c r="A3965" s="5">
        <v>42044</v>
      </c>
      <c r="B3965" s="1">
        <v>1.9775</v>
      </c>
      <c r="C3965" s="1">
        <v>1.3</v>
      </c>
      <c r="D3965" s="1">
        <v>2.5528</v>
      </c>
    </row>
    <row r="3966" spans="1:4" x14ac:dyDescent="0.2">
      <c r="A3966" s="5">
        <v>42045</v>
      </c>
      <c r="B3966" s="1">
        <v>1.9966999999999999</v>
      </c>
      <c r="C3966" s="1">
        <v>1.29</v>
      </c>
      <c r="D3966" s="1">
        <v>2.5762999999999998</v>
      </c>
    </row>
    <row r="3967" spans="1:4" x14ac:dyDescent="0.2">
      <c r="A3967" s="5">
        <v>42046</v>
      </c>
      <c r="B3967" s="1">
        <v>2.0175999999999998</v>
      </c>
      <c r="C3967" s="1">
        <v>1.29</v>
      </c>
      <c r="D3967" s="1">
        <v>2.5863</v>
      </c>
    </row>
    <row r="3968" spans="1:4" x14ac:dyDescent="0.2">
      <c r="A3968" s="5">
        <v>42047</v>
      </c>
      <c r="B3968" s="1">
        <v>1.9843999999999999</v>
      </c>
      <c r="C3968" s="1">
        <v>1.28</v>
      </c>
      <c r="D3968" s="1">
        <v>2.5754999999999999</v>
      </c>
    </row>
    <row r="3969" spans="1:4" x14ac:dyDescent="0.2">
      <c r="A3969" s="5">
        <v>42048</v>
      </c>
      <c r="B3969" s="1">
        <v>2.0503999999999998</v>
      </c>
      <c r="C3969" s="1">
        <v>1.28</v>
      </c>
      <c r="D3969" s="1">
        <v>2.6478000000000002</v>
      </c>
    </row>
    <row r="3970" spans="1:4" x14ac:dyDescent="0.2">
      <c r="A3970" s="5">
        <v>42051</v>
      </c>
      <c r="B3970" s="1">
        <v>2.0503999999999998</v>
      </c>
      <c r="C3970" s="1">
        <v>1.28</v>
      </c>
      <c r="D3970" s="1">
        <v>2.6478000000000002</v>
      </c>
    </row>
    <row r="3971" spans="1:4" x14ac:dyDescent="0.2">
      <c r="A3971" s="5">
        <v>42052</v>
      </c>
      <c r="B3971" s="1">
        <v>2.1379000000000001</v>
      </c>
      <c r="C3971" s="1">
        <v>1.27</v>
      </c>
      <c r="D3971" s="1">
        <v>2.7267999999999999</v>
      </c>
    </row>
    <row r="3972" spans="1:4" x14ac:dyDescent="0.2">
      <c r="A3972" s="5">
        <v>42053</v>
      </c>
      <c r="B3972" s="1">
        <v>2.08</v>
      </c>
      <c r="C3972" s="1">
        <v>1.25</v>
      </c>
      <c r="D3972" s="1">
        <v>2.7101999999999999</v>
      </c>
    </row>
    <row r="3973" spans="1:4" x14ac:dyDescent="0.2">
      <c r="A3973" s="5">
        <v>42054</v>
      </c>
      <c r="B3973" s="1">
        <v>2.1141999999999999</v>
      </c>
      <c r="C3973" s="1">
        <v>1.24</v>
      </c>
      <c r="D3973" s="1">
        <v>2.7339000000000002</v>
      </c>
    </row>
    <row r="3974" spans="1:4" x14ac:dyDescent="0.2">
      <c r="A3974" s="5">
        <v>42055</v>
      </c>
      <c r="B3974" s="1">
        <v>2.1116999999999999</v>
      </c>
      <c r="C3974" s="1">
        <v>1.23</v>
      </c>
      <c r="D3974" s="1">
        <v>2.7141999999999999</v>
      </c>
    </row>
    <row r="3975" spans="1:4" x14ac:dyDescent="0.2">
      <c r="A3975" s="5">
        <v>42058</v>
      </c>
      <c r="B3975" s="1">
        <v>2.0573999999999999</v>
      </c>
      <c r="C3975" s="1">
        <v>1.23</v>
      </c>
      <c r="D3975" s="1">
        <v>2.6572</v>
      </c>
    </row>
    <row r="3976" spans="1:4" x14ac:dyDescent="0.2">
      <c r="A3976" s="5">
        <v>42059</v>
      </c>
      <c r="B3976" s="1">
        <v>1.98</v>
      </c>
      <c r="C3976" s="1">
        <v>1.23</v>
      </c>
      <c r="D3976" s="1">
        <v>2.5918000000000001</v>
      </c>
    </row>
    <row r="3977" spans="1:4" x14ac:dyDescent="0.2">
      <c r="A3977" s="5">
        <v>42060</v>
      </c>
      <c r="B3977" s="1">
        <v>1.9688000000000001</v>
      </c>
      <c r="C3977" s="1">
        <v>1.23</v>
      </c>
      <c r="D3977" s="1">
        <v>2.5697999999999999</v>
      </c>
    </row>
    <row r="3978" spans="1:4" x14ac:dyDescent="0.2">
      <c r="A3978" s="5">
        <v>42061</v>
      </c>
      <c r="B3978" s="1">
        <v>2.0295000000000001</v>
      </c>
      <c r="C3978" s="1">
        <v>1.22</v>
      </c>
      <c r="D3978" s="1">
        <v>2.6294</v>
      </c>
    </row>
    <row r="3979" spans="1:4" x14ac:dyDescent="0.2">
      <c r="A3979" s="5">
        <v>42062</v>
      </c>
      <c r="B3979" s="1">
        <v>1.9930000000000001</v>
      </c>
      <c r="C3979" s="1">
        <v>1.23</v>
      </c>
      <c r="D3979" s="1">
        <v>2.5903</v>
      </c>
    </row>
    <row r="3980" spans="1:4" x14ac:dyDescent="0.2">
      <c r="A3980" s="5">
        <v>42065</v>
      </c>
      <c r="B3980" s="1">
        <v>2.0819999999999999</v>
      </c>
      <c r="C3980" s="1">
        <v>1.23</v>
      </c>
      <c r="D3980" s="1">
        <v>2.6814</v>
      </c>
    </row>
    <row r="3981" spans="1:4" x14ac:dyDescent="0.2">
      <c r="A3981" s="5">
        <v>42066</v>
      </c>
      <c r="B3981" s="1">
        <v>2.1189</v>
      </c>
      <c r="C3981" s="1">
        <v>1.23</v>
      </c>
      <c r="D3981" s="1">
        <v>2.7143000000000002</v>
      </c>
    </row>
    <row r="3982" spans="1:4" x14ac:dyDescent="0.2">
      <c r="A3982" s="5">
        <v>42067</v>
      </c>
      <c r="B3982" s="1">
        <v>2.1172</v>
      </c>
      <c r="C3982" s="1">
        <v>1.23</v>
      </c>
      <c r="D3982" s="1">
        <v>2.7198000000000002</v>
      </c>
    </row>
    <row r="3983" spans="1:4" x14ac:dyDescent="0.2">
      <c r="A3983" s="5">
        <v>42068</v>
      </c>
      <c r="B3983" s="1">
        <v>2.1154000000000002</v>
      </c>
      <c r="C3983" s="1">
        <v>1.23</v>
      </c>
      <c r="D3983" s="1">
        <v>2.7284999999999999</v>
      </c>
    </row>
    <row r="3984" spans="1:4" x14ac:dyDescent="0.2">
      <c r="A3984" s="5">
        <v>42069</v>
      </c>
      <c r="B3984" s="1">
        <v>2.2414000000000001</v>
      </c>
      <c r="C3984" s="1">
        <v>1.22</v>
      </c>
      <c r="D3984" s="1">
        <v>2.8409</v>
      </c>
    </row>
    <row r="3985" spans="1:4" x14ac:dyDescent="0.2">
      <c r="A3985" s="5">
        <v>42072</v>
      </c>
      <c r="B3985" s="1">
        <v>2.1907000000000001</v>
      </c>
      <c r="C3985" s="1">
        <v>1.22</v>
      </c>
      <c r="D3985" s="1">
        <v>2.798</v>
      </c>
    </row>
    <row r="3986" spans="1:4" x14ac:dyDescent="0.2">
      <c r="A3986" s="5">
        <v>42073</v>
      </c>
      <c r="B3986" s="1">
        <v>2.1297000000000001</v>
      </c>
      <c r="C3986" s="1">
        <v>1.24</v>
      </c>
      <c r="D3986" s="1">
        <v>2.7231000000000001</v>
      </c>
    </row>
    <row r="3987" spans="1:4" x14ac:dyDescent="0.2">
      <c r="A3987" s="5">
        <v>42074</v>
      </c>
      <c r="B3987" s="1">
        <v>2.1086</v>
      </c>
      <c r="C3987" s="1">
        <v>1.25</v>
      </c>
      <c r="D3987" s="1">
        <v>2.6852999999999998</v>
      </c>
    </row>
    <row r="3988" spans="1:4" x14ac:dyDescent="0.2">
      <c r="A3988" s="5">
        <v>42075</v>
      </c>
      <c r="B3988" s="1">
        <v>2.1156000000000001</v>
      </c>
      <c r="C3988" s="1">
        <v>1.25</v>
      </c>
      <c r="D3988" s="1">
        <v>2.6995</v>
      </c>
    </row>
    <row r="3989" spans="1:4" x14ac:dyDescent="0.2">
      <c r="A3989" s="5">
        <v>42076</v>
      </c>
      <c r="B3989" s="1">
        <v>2.1139999999999999</v>
      </c>
      <c r="C3989" s="1">
        <v>1.26</v>
      </c>
      <c r="D3989" s="1">
        <v>2.6987000000000001</v>
      </c>
    </row>
    <row r="3990" spans="1:4" x14ac:dyDescent="0.2">
      <c r="A3990" s="5">
        <v>42079</v>
      </c>
      <c r="B3990" s="1">
        <v>2.0716999999999999</v>
      </c>
      <c r="C3990" s="1">
        <v>1.28</v>
      </c>
      <c r="D3990" s="1">
        <v>2.6448999999999998</v>
      </c>
    </row>
    <row r="3991" spans="1:4" x14ac:dyDescent="0.2">
      <c r="A3991" s="5">
        <v>42080</v>
      </c>
      <c r="B3991" s="1">
        <v>2.0507</v>
      </c>
      <c r="C3991" s="1">
        <v>1.3</v>
      </c>
      <c r="D3991" s="1">
        <v>2.6025999999999998</v>
      </c>
    </row>
    <row r="3992" spans="1:4" x14ac:dyDescent="0.2">
      <c r="A3992" s="5">
        <v>42081</v>
      </c>
      <c r="B3992" s="1">
        <v>1.9198999999999999</v>
      </c>
      <c r="C3992" s="1">
        <v>1.31</v>
      </c>
      <c r="D3992" s="1">
        <v>2.5104000000000002</v>
      </c>
    </row>
    <row r="3993" spans="1:4" x14ac:dyDescent="0.2">
      <c r="A3993" s="5">
        <v>42082</v>
      </c>
      <c r="B3993" s="1">
        <v>1.9684999999999999</v>
      </c>
      <c r="C3993" s="1">
        <v>1.3</v>
      </c>
      <c r="D3993" s="1">
        <v>2.5291000000000001</v>
      </c>
    </row>
    <row r="3994" spans="1:4" x14ac:dyDescent="0.2">
      <c r="A3994" s="5">
        <v>42083</v>
      </c>
      <c r="B3994" s="1">
        <v>1.9302999999999999</v>
      </c>
      <c r="C3994" s="1">
        <v>1.3</v>
      </c>
      <c r="D3994" s="1">
        <v>2.5059</v>
      </c>
    </row>
    <row r="3995" spans="1:4" x14ac:dyDescent="0.2">
      <c r="A3995" s="5">
        <v>42086</v>
      </c>
      <c r="B3995" s="1">
        <v>1.9119999999999999</v>
      </c>
      <c r="C3995" s="1">
        <v>1.3</v>
      </c>
      <c r="D3995" s="1">
        <v>2.5141</v>
      </c>
    </row>
    <row r="3996" spans="1:4" x14ac:dyDescent="0.2">
      <c r="A3996" s="5">
        <v>42087</v>
      </c>
      <c r="B3996" s="1">
        <v>1.8731</v>
      </c>
      <c r="C3996" s="1">
        <v>1.3</v>
      </c>
      <c r="D3996" s="1">
        <v>2.4643000000000002</v>
      </c>
    </row>
    <row r="3997" spans="1:4" x14ac:dyDescent="0.2">
      <c r="A3997" s="5">
        <v>42088</v>
      </c>
      <c r="B3997" s="1">
        <v>1.925</v>
      </c>
      <c r="C3997" s="1">
        <v>1.3</v>
      </c>
      <c r="D3997" s="1">
        <v>2.5074000000000001</v>
      </c>
    </row>
    <row r="3998" spans="1:4" x14ac:dyDescent="0.2">
      <c r="A3998" s="5">
        <v>42089</v>
      </c>
      <c r="B3998" s="1">
        <v>1.9894000000000001</v>
      </c>
      <c r="C3998" s="1">
        <v>1.3</v>
      </c>
      <c r="D3998" s="1">
        <v>2.5798000000000001</v>
      </c>
    </row>
    <row r="3999" spans="1:4" x14ac:dyDescent="0.2">
      <c r="A3999" s="5">
        <v>42090</v>
      </c>
      <c r="B3999" s="1">
        <v>1.9615</v>
      </c>
      <c r="C3999" s="1">
        <v>1.3</v>
      </c>
      <c r="D3999" s="1">
        <v>2.5404</v>
      </c>
    </row>
    <row r="4000" spans="1:4" x14ac:dyDescent="0.2">
      <c r="A4000" s="5">
        <v>42093</v>
      </c>
      <c r="B4000" s="1">
        <v>1.9475</v>
      </c>
      <c r="C4000" s="1">
        <v>1.3</v>
      </c>
      <c r="D4000" s="1">
        <v>2.5478999999999998</v>
      </c>
    </row>
    <row r="4001" spans="1:4" x14ac:dyDescent="0.2">
      <c r="A4001" s="5">
        <v>42094</v>
      </c>
      <c r="B4001" s="1">
        <v>1.9231</v>
      </c>
      <c r="C4001" s="1">
        <v>1.29</v>
      </c>
      <c r="D4001" s="1">
        <v>2.5358999999999998</v>
      </c>
    </row>
    <row r="4002" spans="1:4" x14ac:dyDescent="0.2">
      <c r="A4002" s="5">
        <v>42095</v>
      </c>
      <c r="B4002" s="1">
        <v>1.8573</v>
      </c>
      <c r="C4002" s="1">
        <v>1.3</v>
      </c>
      <c r="D4002" s="1">
        <v>2.4651000000000001</v>
      </c>
    </row>
    <row r="4003" spans="1:4" x14ac:dyDescent="0.2">
      <c r="A4003" s="5">
        <v>42096</v>
      </c>
      <c r="B4003" s="1">
        <v>1.9117</v>
      </c>
      <c r="C4003" s="1">
        <v>1.29</v>
      </c>
      <c r="D4003" s="1">
        <v>2.5320999999999998</v>
      </c>
    </row>
    <row r="4004" spans="1:4" x14ac:dyDescent="0.2">
      <c r="A4004" s="5">
        <v>42097</v>
      </c>
      <c r="B4004" s="1">
        <v>1.8389</v>
      </c>
      <c r="C4004" s="1">
        <v>1.3</v>
      </c>
      <c r="D4004" s="1">
        <v>2.4857999999999998</v>
      </c>
    </row>
    <row r="4005" spans="1:4" x14ac:dyDescent="0.2">
      <c r="A4005" s="5">
        <v>42100</v>
      </c>
      <c r="B4005" s="1">
        <v>1.8952</v>
      </c>
      <c r="C4005" s="1">
        <v>1.29</v>
      </c>
      <c r="D4005" s="1">
        <v>2.5531999999999999</v>
      </c>
    </row>
    <row r="4006" spans="1:4" x14ac:dyDescent="0.2">
      <c r="A4006" s="5">
        <v>42101</v>
      </c>
      <c r="B4006" s="1">
        <v>1.8848</v>
      </c>
      <c r="C4006" s="1">
        <v>1.27</v>
      </c>
      <c r="D4006" s="1">
        <v>2.5179</v>
      </c>
    </row>
    <row r="4007" spans="1:4" x14ac:dyDescent="0.2">
      <c r="A4007" s="5">
        <v>42102</v>
      </c>
      <c r="B4007" s="1">
        <v>1.9047000000000001</v>
      </c>
      <c r="C4007" s="1">
        <v>1.27</v>
      </c>
      <c r="D4007" s="1">
        <v>2.5291000000000001</v>
      </c>
    </row>
    <row r="4008" spans="1:4" x14ac:dyDescent="0.2">
      <c r="A4008" s="5">
        <v>42103</v>
      </c>
      <c r="B4008" s="1">
        <v>1.9596</v>
      </c>
      <c r="C4008" s="1">
        <v>1.26</v>
      </c>
      <c r="D4008" s="1">
        <v>2.5981000000000001</v>
      </c>
    </row>
    <row r="4009" spans="1:4" x14ac:dyDescent="0.2">
      <c r="A4009" s="5">
        <v>42104</v>
      </c>
      <c r="B4009" s="1">
        <v>1.9473</v>
      </c>
      <c r="C4009" s="1">
        <v>1.26</v>
      </c>
      <c r="D4009" s="1">
        <v>2.5790999999999999</v>
      </c>
    </row>
    <row r="4010" spans="1:4" x14ac:dyDescent="0.2">
      <c r="A4010" s="5">
        <v>42107</v>
      </c>
      <c r="B4010" s="1">
        <v>1.9272</v>
      </c>
      <c r="C4010" s="1">
        <v>1.26</v>
      </c>
      <c r="D4010" s="1">
        <v>2.573</v>
      </c>
    </row>
    <row r="4011" spans="1:4" x14ac:dyDescent="0.2">
      <c r="A4011" s="5">
        <v>42108</v>
      </c>
      <c r="B4011" s="1">
        <v>1.8985000000000001</v>
      </c>
      <c r="C4011" s="1">
        <v>1.27</v>
      </c>
      <c r="D4011" s="1">
        <v>2.5427</v>
      </c>
    </row>
    <row r="4012" spans="1:4" x14ac:dyDescent="0.2">
      <c r="A4012" s="5">
        <v>42109</v>
      </c>
      <c r="B4012" s="1">
        <v>1.8879999999999999</v>
      </c>
      <c r="C4012" s="1">
        <v>1.27</v>
      </c>
      <c r="D4012" s="1">
        <v>2.5396999999999998</v>
      </c>
    </row>
    <row r="4013" spans="1:4" x14ac:dyDescent="0.2">
      <c r="A4013" s="5">
        <v>42110</v>
      </c>
      <c r="B4013" s="1">
        <v>1.8896999999999999</v>
      </c>
      <c r="C4013" s="1">
        <v>1.27</v>
      </c>
      <c r="D4013" s="1">
        <v>2.5752999999999999</v>
      </c>
    </row>
    <row r="4014" spans="1:4" x14ac:dyDescent="0.2">
      <c r="A4014" s="5">
        <v>42111</v>
      </c>
      <c r="B4014" s="1">
        <v>1.8653</v>
      </c>
      <c r="C4014" s="1">
        <v>1.28</v>
      </c>
      <c r="D4014" s="1">
        <v>2.5194000000000001</v>
      </c>
    </row>
    <row r="4015" spans="1:4" x14ac:dyDescent="0.2">
      <c r="A4015" s="5">
        <v>42114</v>
      </c>
      <c r="B4015" s="1">
        <v>1.8895999999999999</v>
      </c>
      <c r="C4015" s="1">
        <v>1.27</v>
      </c>
      <c r="D4015" s="1">
        <v>2.5623999999999998</v>
      </c>
    </row>
    <row r="4016" spans="1:4" x14ac:dyDescent="0.2">
      <c r="A4016" s="5">
        <v>42115</v>
      </c>
      <c r="B4016" s="1">
        <v>1.9087000000000001</v>
      </c>
      <c r="C4016" s="1">
        <v>1.27</v>
      </c>
      <c r="D4016" s="1">
        <v>2.5806</v>
      </c>
    </row>
    <row r="4017" spans="1:4" x14ac:dyDescent="0.2">
      <c r="A4017" s="5">
        <v>42116</v>
      </c>
      <c r="B4017" s="1">
        <v>1.9787999999999999</v>
      </c>
      <c r="C4017" s="1">
        <v>1.26</v>
      </c>
      <c r="D4017" s="1">
        <v>2.6616</v>
      </c>
    </row>
    <row r="4018" spans="1:4" x14ac:dyDescent="0.2">
      <c r="A4018" s="5">
        <v>42117</v>
      </c>
      <c r="B4018" s="1">
        <v>1.9577</v>
      </c>
      <c r="C4018" s="1">
        <v>1.26</v>
      </c>
      <c r="D4018" s="1">
        <v>2.653</v>
      </c>
    </row>
    <row r="4019" spans="1:4" x14ac:dyDescent="0.2">
      <c r="A4019" s="5">
        <v>42118</v>
      </c>
      <c r="B4019" s="1">
        <v>1.9086000000000001</v>
      </c>
      <c r="C4019" s="1">
        <v>1.26</v>
      </c>
      <c r="D4019" s="1">
        <v>2.6097999999999999</v>
      </c>
    </row>
    <row r="4020" spans="1:4" x14ac:dyDescent="0.2">
      <c r="A4020" s="5">
        <v>42121</v>
      </c>
      <c r="B4020" s="1">
        <v>1.9208000000000001</v>
      </c>
      <c r="C4020" s="1">
        <v>1.26</v>
      </c>
      <c r="D4020" s="1">
        <v>2.6120999999999999</v>
      </c>
    </row>
    <row r="4021" spans="1:4" x14ac:dyDescent="0.2">
      <c r="A4021" s="5">
        <v>42122</v>
      </c>
      <c r="B4021" s="1">
        <v>2.0034000000000001</v>
      </c>
      <c r="C4021" s="1">
        <v>1.27</v>
      </c>
      <c r="D4021" s="1">
        <v>2.7031000000000001</v>
      </c>
    </row>
    <row r="4022" spans="1:4" x14ac:dyDescent="0.2">
      <c r="A4022" s="5">
        <v>42123</v>
      </c>
      <c r="B4022" s="1">
        <v>2.0388000000000002</v>
      </c>
      <c r="C4022" s="1">
        <v>1.28</v>
      </c>
      <c r="D4022" s="1">
        <v>2.7523</v>
      </c>
    </row>
    <row r="4023" spans="1:4" x14ac:dyDescent="0.2">
      <c r="A4023" s="5">
        <v>42124</v>
      </c>
      <c r="B4023" s="1">
        <v>2.0316999999999998</v>
      </c>
      <c r="C4023" s="1">
        <v>1.28</v>
      </c>
      <c r="D4023" s="1">
        <v>2.7404000000000002</v>
      </c>
    </row>
    <row r="4024" spans="1:4" x14ac:dyDescent="0.2">
      <c r="A4024" s="5">
        <v>42125</v>
      </c>
      <c r="B4024" s="1">
        <v>2.1135000000000002</v>
      </c>
      <c r="C4024" s="1">
        <v>1.28</v>
      </c>
      <c r="D4024" s="1">
        <v>2.8273000000000001</v>
      </c>
    </row>
    <row r="4025" spans="1:4" x14ac:dyDescent="0.2">
      <c r="A4025" s="5">
        <v>42128</v>
      </c>
      <c r="B4025" s="1">
        <v>2.1440000000000001</v>
      </c>
      <c r="C4025" s="1">
        <v>1.29</v>
      </c>
      <c r="D4025" s="1">
        <v>2.8765000000000001</v>
      </c>
    </row>
    <row r="4026" spans="1:4" x14ac:dyDescent="0.2">
      <c r="A4026" s="5">
        <v>42129</v>
      </c>
      <c r="B4026" s="1">
        <v>2.1852999999999998</v>
      </c>
      <c r="C4026" s="1">
        <v>1.28</v>
      </c>
      <c r="D4026" s="1">
        <v>2.9121999999999999</v>
      </c>
    </row>
    <row r="4027" spans="1:4" x14ac:dyDescent="0.2">
      <c r="A4027" s="5">
        <v>42130</v>
      </c>
      <c r="B4027" s="1">
        <v>2.2431000000000001</v>
      </c>
      <c r="C4027" s="1">
        <v>1.28</v>
      </c>
      <c r="D4027" s="1">
        <v>2.9929000000000001</v>
      </c>
    </row>
    <row r="4028" spans="1:4" x14ac:dyDescent="0.2">
      <c r="A4028" s="5">
        <v>42131</v>
      </c>
      <c r="B4028" s="1">
        <v>2.1800000000000002</v>
      </c>
      <c r="C4028" s="1">
        <v>1.29</v>
      </c>
      <c r="D4028" s="1">
        <v>2.9104999999999999</v>
      </c>
    </row>
    <row r="4029" spans="1:4" x14ac:dyDescent="0.2">
      <c r="A4029" s="5">
        <v>42132</v>
      </c>
      <c r="B4029" s="1">
        <v>2.1478000000000002</v>
      </c>
      <c r="C4029" s="1">
        <v>1.29</v>
      </c>
      <c r="D4029" s="1">
        <v>2.9005999999999998</v>
      </c>
    </row>
    <row r="4030" spans="1:4" x14ac:dyDescent="0.2">
      <c r="A4030" s="5">
        <v>42135</v>
      </c>
      <c r="B4030" s="1">
        <v>2.2797000000000001</v>
      </c>
      <c r="C4030" s="1">
        <v>1.29</v>
      </c>
      <c r="D4030" s="1">
        <v>3.0409999999999999</v>
      </c>
    </row>
    <row r="4031" spans="1:4" x14ac:dyDescent="0.2">
      <c r="A4031" s="5">
        <v>42136</v>
      </c>
      <c r="B4031" s="1">
        <v>2.2488999999999999</v>
      </c>
      <c r="C4031" s="1">
        <v>1.29</v>
      </c>
      <c r="D4031" s="1">
        <v>3.0127000000000002</v>
      </c>
    </row>
    <row r="4032" spans="1:4" x14ac:dyDescent="0.2">
      <c r="A4032" s="5">
        <v>42137</v>
      </c>
      <c r="B4032" s="1">
        <v>2.2926000000000002</v>
      </c>
      <c r="C4032" s="1">
        <v>1.29</v>
      </c>
      <c r="D4032" s="1">
        <v>3.0870000000000002</v>
      </c>
    </row>
    <row r="4033" spans="1:4" x14ac:dyDescent="0.2">
      <c r="A4033" s="5">
        <v>42138</v>
      </c>
      <c r="B4033" s="1">
        <v>2.2301000000000002</v>
      </c>
      <c r="C4033" s="1">
        <v>1.28</v>
      </c>
      <c r="D4033" s="1">
        <v>3.0497000000000001</v>
      </c>
    </row>
    <row r="4034" spans="1:4" x14ac:dyDescent="0.2">
      <c r="A4034" s="5">
        <v>42139</v>
      </c>
      <c r="B4034" s="1">
        <v>2.1423999999999999</v>
      </c>
      <c r="C4034" s="1">
        <v>1.28</v>
      </c>
      <c r="D4034" s="1">
        <v>2.9291999999999998</v>
      </c>
    </row>
    <row r="4035" spans="1:4" x14ac:dyDescent="0.2">
      <c r="A4035" s="5">
        <v>42142</v>
      </c>
      <c r="B4035" s="1">
        <v>2.2336999999999998</v>
      </c>
      <c r="C4035" s="1">
        <v>1.28</v>
      </c>
      <c r="D4035" s="1">
        <v>3.0295000000000001</v>
      </c>
    </row>
    <row r="4036" spans="1:4" x14ac:dyDescent="0.2">
      <c r="A4036" s="5">
        <v>42143</v>
      </c>
      <c r="B4036" s="1">
        <v>2.2886000000000002</v>
      </c>
      <c r="C4036" s="1">
        <v>1.28</v>
      </c>
      <c r="D4036" s="1">
        <v>3.0752999999999999</v>
      </c>
    </row>
    <row r="4037" spans="1:4" x14ac:dyDescent="0.2">
      <c r="A4037" s="5">
        <v>42144</v>
      </c>
      <c r="B4037" s="1">
        <v>2.2479</v>
      </c>
      <c r="C4037" s="1">
        <v>1.3</v>
      </c>
      <c r="D4037" s="1">
        <v>3.0470999999999999</v>
      </c>
    </row>
    <row r="4038" spans="1:4" x14ac:dyDescent="0.2">
      <c r="A4038" s="5">
        <v>42145</v>
      </c>
      <c r="B4038" s="1">
        <v>2.1898</v>
      </c>
      <c r="C4038" s="1">
        <v>1.31</v>
      </c>
      <c r="D4038" s="1">
        <v>2.9881000000000002</v>
      </c>
    </row>
    <row r="4039" spans="1:4" x14ac:dyDescent="0.2">
      <c r="A4039" s="5">
        <v>42146</v>
      </c>
      <c r="B4039" s="1">
        <v>2.2092000000000001</v>
      </c>
      <c r="C4039" s="1">
        <v>1.31</v>
      </c>
      <c r="D4039" s="1">
        <v>2.9841000000000002</v>
      </c>
    </row>
    <row r="4040" spans="1:4" x14ac:dyDescent="0.2">
      <c r="A4040" s="5">
        <v>42149</v>
      </c>
      <c r="B4040" s="1">
        <v>2.2092000000000001</v>
      </c>
      <c r="C4040" s="1">
        <v>1.31</v>
      </c>
      <c r="D4040" s="1">
        <v>2.9841000000000002</v>
      </c>
    </row>
    <row r="4041" spans="1:4" x14ac:dyDescent="0.2">
      <c r="A4041" s="5">
        <v>42150</v>
      </c>
      <c r="B4041" s="1">
        <v>2.1389999999999998</v>
      </c>
      <c r="C4041" s="1">
        <v>1.31</v>
      </c>
      <c r="D4041" s="1">
        <v>2.8980999999999999</v>
      </c>
    </row>
    <row r="4042" spans="1:4" x14ac:dyDescent="0.2">
      <c r="A4042" s="5">
        <v>42151</v>
      </c>
      <c r="B4042" s="1">
        <v>2.1284999999999998</v>
      </c>
      <c r="C4042" s="1">
        <v>1.32</v>
      </c>
      <c r="D4042" s="1">
        <v>2.8673000000000002</v>
      </c>
    </row>
    <row r="4043" spans="1:4" x14ac:dyDescent="0.2">
      <c r="A4043" s="5">
        <v>42152</v>
      </c>
      <c r="B4043" s="1">
        <v>2.1355</v>
      </c>
      <c r="C4043" s="1">
        <v>1.32</v>
      </c>
      <c r="D4043" s="1">
        <v>2.8873000000000002</v>
      </c>
    </row>
    <row r="4044" spans="1:4" x14ac:dyDescent="0.2">
      <c r="A4044" s="5">
        <v>42153</v>
      </c>
      <c r="B4044" s="1">
        <v>2.1214</v>
      </c>
      <c r="C4044" s="1">
        <v>1.33</v>
      </c>
      <c r="D4044" s="1">
        <v>2.8818000000000001</v>
      </c>
    </row>
    <row r="4045" spans="1:4" x14ac:dyDescent="0.2">
      <c r="A4045" s="5">
        <v>42156</v>
      </c>
      <c r="B4045" s="1">
        <v>2.1793999999999998</v>
      </c>
      <c r="C4045" s="1">
        <v>1.35</v>
      </c>
      <c r="D4045" s="1">
        <v>2.9338000000000002</v>
      </c>
    </row>
    <row r="4046" spans="1:4" x14ac:dyDescent="0.2">
      <c r="A4046" s="5">
        <v>42157</v>
      </c>
      <c r="B4046" s="1">
        <v>2.2624</v>
      </c>
      <c r="C4046" s="1">
        <v>1.35</v>
      </c>
      <c r="D4046" s="1">
        <v>3.0143</v>
      </c>
    </row>
    <row r="4047" spans="1:4" x14ac:dyDescent="0.2">
      <c r="A4047" s="5">
        <v>42158</v>
      </c>
      <c r="B4047" s="1">
        <v>2.3641999999999999</v>
      </c>
      <c r="C4047" s="1">
        <v>1.34</v>
      </c>
      <c r="D4047" s="1">
        <v>3.1021999999999998</v>
      </c>
    </row>
    <row r="4048" spans="1:4" x14ac:dyDescent="0.2">
      <c r="A4048" s="5">
        <v>42159</v>
      </c>
      <c r="B4048" s="1">
        <v>2.3069999999999999</v>
      </c>
      <c r="C4048" s="1">
        <v>1.34</v>
      </c>
      <c r="D4048" s="1">
        <v>3.0407000000000002</v>
      </c>
    </row>
    <row r="4049" spans="1:4" x14ac:dyDescent="0.2">
      <c r="A4049" s="5">
        <v>42160</v>
      </c>
      <c r="B4049" s="1">
        <v>2.4076</v>
      </c>
      <c r="C4049" s="1">
        <v>1.34</v>
      </c>
      <c r="D4049" s="1">
        <v>3.1135999999999999</v>
      </c>
    </row>
    <row r="4050" spans="1:4" x14ac:dyDescent="0.2">
      <c r="A4050" s="5">
        <v>42163</v>
      </c>
      <c r="B4050" s="1">
        <v>2.3824000000000001</v>
      </c>
      <c r="C4050" s="1">
        <v>1.34</v>
      </c>
      <c r="D4050" s="1">
        <v>3.1143999999999998</v>
      </c>
    </row>
    <row r="4051" spans="1:4" x14ac:dyDescent="0.2">
      <c r="A4051" s="5">
        <v>42164</v>
      </c>
      <c r="B4051" s="1">
        <v>2.4384000000000001</v>
      </c>
      <c r="C4051" s="1">
        <v>1.35</v>
      </c>
      <c r="D4051" s="1">
        <v>3.1663000000000001</v>
      </c>
    </row>
    <row r="4052" spans="1:4" x14ac:dyDescent="0.2">
      <c r="A4052" s="5">
        <v>42165</v>
      </c>
      <c r="B4052" s="1">
        <v>2.4838</v>
      </c>
      <c r="C4052" s="1">
        <v>1.36</v>
      </c>
      <c r="D4052" s="1">
        <v>3.2155999999999998</v>
      </c>
    </row>
    <row r="4053" spans="1:4" x14ac:dyDescent="0.2">
      <c r="A4053" s="5">
        <v>42166</v>
      </c>
      <c r="B4053" s="1">
        <v>2.3772000000000002</v>
      </c>
      <c r="C4053" s="1">
        <v>1.36</v>
      </c>
      <c r="D4053" s="1">
        <v>3.0956999999999999</v>
      </c>
    </row>
    <row r="4054" spans="1:4" x14ac:dyDescent="0.2">
      <c r="A4054" s="5">
        <v>42167</v>
      </c>
      <c r="B4054" s="1">
        <v>2.3917999999999999</v>
      </c>
      <c r="C4054" s="1">
        <v>1.37</v>
      </c>
      <c r="D4054" s="1">
        <v>3.1030000000000002</v>
      </c>
    </row>
    <row r="4055" spans="1:4" x14ac:dyDescent="0.2">
      <c r="A4055" s="5">
        <v>42170</v>
      </c>
      <c r="B4055" s="1">
        <v>2.3559000000000001</v>
      </c>
      <c r="C4055" s="1">
        <v>1.38</v>
      </c>
      <c r="D4055" s="1">
        <v>3.0851000000000002</v>
      </c>
    </row>
    <row r="4056" spans="1:4" x14ac:dyDescent="0.2">
      <c r="A4056" s="5">
        <v>42171</v>
      </c>
      <c r="B4056" s="1">
        <v>2.3092999999999999</v>
      </c>
      <c r="C4056" s="1">
        <v>1.39</v>
      </c>
      <c r="D4056" s="1">
        <v>3.0407000000000002</v>
      </c>
    </row>
    <row r="4057" spans="1:4" x14ac:dyDescent="0.2">
      <c r="A4057" s="5">
        <v>42172</v>
      </c>
      <c r="B4057" s="1">
        <v>2.3165</v>
      </c>
      <c r="C4057" s="1">
        <v>1.4</v>
      </c>
      <c r="D4057" s="1">
        <v>3.0931999999999999</v>
      </c>
    </row>
    <row r="4058" spans="1:4" x14ac:dyDescent="0.2">
      <c r="A4058" s="5">
        <v>42173</v>
      </c>
      <c r="B4058" s="1">
        <v>2.3344999999999998</v>
      </c>
      <c r="C4058" s="1">
        <v>1.4</v>
      </c>
      <c r="D4058" s="1">
        <v>3.1292</v>
      </c>
    </row>
    <row r="4059" spans="1:4" x14ac:dyDescent="0.2">
      <c r="A4059" s="5">
        <v>42174</v>
      </c>
      <c r="B4059" s="1">
        <v>2.2576999999999998</v>
      </c>
      <c r="C4059" s="1">
        <v>1.41</v>
      </c>
      <c r="D4059" s="1">
        <v>3.0470999999999999</v>
      </c>
    </row>
    <row r="4060" spans="1:4" x14ac:dyDescent="0.2">
      <c r="A4060" s="5">
        <v>42177</v>
      </c>
      <c r="B4060" s="1">
        <v>2.3725000000000001</v>
      </c>
      <c r="C4060" s="1">
        <v>1.4</v>
      </c>
      <c r="D4060" s="1">
        <v>3.1606000000000001</v>
      </c>
    </row>
    <row r="4061" spans="1:4" x14ac:dyDescent="0.2">
      <c r="A4061" s="5">
        <v>42178</v>
      </c>
      <c r="B4061" s="1">
        <v>2.4087000000000001</v>
      </c>
      <c r="C4061" s="1">
        <v>1.4</v>
      </c>
      <c r="D4061" s="1">
        <v>3.1964000000000001</v>
      </c>
    </row>
    <row r="4062" spans="1:4" x14ac:dyDescent="0.2">
      <c r="A4062" s="5">
        <v>42179</v>
      </c>
      <c r="B4062" s="1">
        <v>2.3672</v>
      </c>
      <c r="C4062" s="1">
        <v>1.4</v>
      </c>
      <c r="D4062" s="1">
        <v>3.1457999999999999</v>
      </c>
    </row>
    <row r="4063" spans="1:4" x14ac:dyDescent="0.2">
      <c r="A4063" s="5">
        <v>42180</v>
      </c>
      <c r="B4063" s="1">
        <v>2.4087999999999998</v>
      </c>
      <c r="C4063" s="1">
        <v>1.41</v>
      </c>
      <c r="D4063" s="1">
        <v>3.1756000000000002</v>
      </c>
    </row>
    <row r="4064" spans="1:4" x14ac:dyDescent="0.2">
      <c r="A4064" s="5">
        <v>42181</v>
      </c>
      <c r="B4064" s="1">
        <v>2.4725999999999999</v>
      </c>
      <c r="C4064" s="1">
        <v>1.41</v>
      </c>
      <c r="D4064" s="1">
        <v>3.2402000000000002</v>
      </c>
    </row>
    <row r="4065" spans="1:4" x14ac:dyDescent="0.2">
      <c r="A4065" s="5">
        <v>42184</v>
      </c>
      <c r="B4065" s="1">
        <v>2.3241999999999998</v>
      </c>
      <c r="C4065" s="1">
        <v>1.46</v>
      </c>
      <c r="D4065" s="1">
        <v>3.0998000000000001</v>
      </c>
    </row>
    <row r="4066" spans="1:4" x14ac:dyDescent="0.2">
      <c r="A4066" s="5">
        <v>42185</v>
      </c>
      <c r="B4066" s="1">
        <v>2.3531</v>
      </c>
      <c r="C4066" s="1">
        <v>1.45</v>
      </c>
      <c r="D4066" s="1">
        <v>3.1236000000000002</v>
      </c>
    </row>
    <row r="4067" spans="1:4" x14ac:dyDescent="0.2">
      <c r="A4067" s="5">
        <v>42186</v>
      </c>
      <c r="B4067" s="1">
        <v>2.4218999999999999</v>
      </c>
      <c r="C4067" s="1">
        <v>1.43</v>
      </c>
      <c r="D4067" s="1">
        <v>3.2014999999999998</v>
      </c>
    </row>
    <row r="4068" spans="1:4" x14ac:dyDescent="0.2">
      <c r="A4068" s="5">
        <v>42187</v>
      </c>
      <c r="B4068" s="1">
        <v>2.3822999999999999</v>
      </c>
      <c r="C4068" s="1">
        <v>1.43</v>
      </c>
      <c r="D4068" s="1">
        <v>3.1865000000000001</v>
      </c>
    </row>
    <row r="4069" spans="1:4" x14ac:dyDescent="0.2">
      <c r="A4069" s="5">
        <v>42188</v>
      </c>
      <c r="B4069" s="1">
        <v>2.3822999999999999</v>
      </c>
      <c r="C4069" s="1">
        <v>1.43</v>
      </c>
      <c r="D4069" s="1">
        <v>3.1865000000000001</v>
      </c>
    </row>
    <row r="4070" spans="1:4" x14ac:dyDescent="0.2">
      <c r="A4070" s="5">
        <v>42191</v>
      </c>
      <c r="B4070" s="1">
        <v>2.2850000000000001</v>
      </c>
      <c r="C4070" s="1">
        <v>1.45</v>
      </c>
      <c r="D4070" s="1">
        <v>3.0827</v>
      </c>
    </row>
    <row r="4071" spans="1:4" x14ac:dyDescent="0.2">
      <c r="A4071" s="5">
        <v>42192</v>
      </c>
      <c r="B4071" s="1">
        <v>2.2582</v>
      </c>
      <c r="C4071" s="1">
        <v>1.45</v>
      </c>
      <c r="D4071" s="1">
        <v>3.0398999999999998</v>
      </c>
    </row>
    <row r="4072" spans="1:4" x14ac:dyDescent="0.2">
      <c r="A4072" s="5">
        <v>42193</v>
      </c>
      <c r="B4072" s="1">
        <v>2.1922000000000001</v>
      </c>
      <c r="C4072" s="1">
        <v>1.46</v>
      </c>
      <c r="D4072" s="1">
        <v>2.9744999999999999</v>
      </c>
    </row>
    <row r="4073" spans="1:4" x14ac:dyDescent="0.2">
      <c r="A4073" s="5">
        <v>42194</v>
      </c>
      <c r="B4073" s="1">
        <v>2.3210999999999999</v>
      </c>
      <c r="C4073" s="1">
        <v>1.46</v>
      </c>
      <c r="D4073" s="1">
        <v>3.1202999999999999</v>
      </c>
    </row>
    <row r="4074" spans="1:4" x14ac:dyDescent="0.2">
      <c r="A4074" s="5">
        <v>42195</v>
      </c>
      <c r="B4074" s="1">
        <v>2.3972000000000002</v>
      </c>
      <c r="C4074" s="1">
        <v>1.46</v>
      </c>
      <c r="D4074" s="1">
        <v>3.1899000000000002</v>
      </c>
    </row>
    <row r="4075" spans="1:4" x14ac:dyDescent="0.2">
      <c r="A4075" s="5">
        <v>42198</v>
      </c>
      <c r="B4075" s="1">
        <v>2.4538000000000002</v>
      </c>
      <c r="C4075" s="1">
        <v>1.45</v>
      </c>
      <c r="D4075" s="1">
        <v>3.2362000000000002</v>
      </c>
    </row>
    <row r="4076" spans="1:4" x14ac:dyDescent="0.2">
      <c r="A4076" s="5">
        <v>42199</v>
      </c>
      <c r="B4076" s="1">
        <v>2.4009999999999998</v>
      </c>
      <c r="C4076" s="1">
        <v>1.47</v>
      </c>
      <c r="D4076" s="1">
        <v>3.1958000000000002</v>
      </c>
    </row>
    <row r="4077" spans="1:4" x14ac:dyDescent="0.2">
      <c r="A4077" s="5">
        <v>42200</v>
      </c>
      <c r="B4077" s="1">
        <v>2.3521000000000001</v>
      </c>
      <c r="C4077" s="1">
        <v>1.48</v>
      </c>
      <c r="D4077" s="1">
        <v>3.1385000000000001</v>
      </c>
    </row>
    <row r="4078" spans="1:4" x14ac:dyDescent="0.2">
      <c r="A4078" s="5">
        <v>42201</v>
      </c>
      <c r="B4078" s="1">
        <v>2.3502999999999998</v>
      </c>
      <c r="C4078" s="1">
        <v>1.48</v>
      </c>
      <c r="D4078" s="1">
        <v>3.1089000000000002</v>
      </c>
    </row>
    <row r="4079" spans="1:4" x14ac:dyDescent="0.2">
      <c r="A4079" s="5">
        <v>42202</v>
      </c>
      <c r="B4079" s="1">
        <v>2.3469000000000002</v>
      </c>
      <c r="C4079" s="1">
        <v>1.48</v>
      </c>
      <c r="D4079" s="1">
        <v>3.0828000000000002</v>
      </c>
    </row>
    <row r="4080" spans="1:4" x14ac:dyDescent="0.2">
      <c r="A4080" s="5">
        <v>42205</v>
      </c>
      <c r="B4080" s="1">
        <v>2.3723000000000001</v>
      </c>
      <c r="C4080" s="1">
        <v>1.48</v>
      </c>
      <c r="D4080" s="1">
        <v>3.0941999999999998</v>
      </c>
    </row>
    <row r="4081" spans="1:4" x14ac:dyDescent="0.2">
      <c r="A4081" s="5">
        <v>42206</v>
      </c>
      <c r="B4081" s="1">
        <v>2.3252999999999999</v>
      </c>
      <c r="C4081" s="1">
        <v>1.49</v>
      </c>
      <c r="D4081" s="1">
        <v>3.0617000000000001</v>
      </c>
    </row>
    <row r="4082" spans="1:4" x14ac:dyDescent="0.2">
      <c r="A4082" s="5">
        <v>42207</v>
      </c>
      <c r="B4082" s="1">
        <v>2.3235000000000001</v>
      </c>
      <c r="C4082" s="1">
        <v>1.49</v>
      </c>
      <c r="D4082" s="1">
        <v>3.0367000000000002</v>
      </c>
    </row>
    <row r="4083" spans="1:4" x14ac:dyDescent="0.2">
      <c r="A4083" s="5">
        <v>42208</v>
      </c>
      <c r="B4083" s="1">
        <v>2.2677</v>
      </c>
      <c r="C4083" s="1">
        <v>1.5</v>
      </c>
      <c r="D4083" s="1">
        <v>2.9672999999999998</v>
      </c>
    </row>
    <row r="4084" spans="1:4" x14ac:dyDescent="0.2">
      <c r="A4084" s="5">
        <v>42209</v>
      </c>
      <c r="B4084" s="1">
        <v>2.2624</v>
      </c>
      <c r="C4084" s="1">
        <v>1.52</v>
      </c>
      <c r="D4084" s="1">
        <v>2.9618000000000002</v>
      </c>
    </row>
    <row r="4085" spans="1:4" x14ac:dyDescent="0.2">
      <c r="A4085" s="5">
        <v>42212</v>
      </c>
      <c r="B4085" s="1">
        <v>2.2174999999999998</v>
      </c>
      <c r="C4085" s="1">
        <v>1.53</v>
      </c>
      <c r="D4085" s="1">
        <v>2.9327000000000001</v>
      </c>
    </row>
    <row r="4086" spans="1:4" x14ac:dyDescent="0.2">
      <c r="A4086" s="5">
        <v>42213</v>
      </c>
      <c r="B4086" s="1">
        <v>2.2498999999999998</v>
      </c>
      <c r="C4086" s="1">
        <v>1.53</v>
      </c>
      <c r="D4086" s="1">
        <v>2.9649999999999999</v>
      </c>
    </row>
    <row r="4087" spans="1:4" x14ac:dyDescent="0.2">
      <c r="A4087" s="5">
        <v>42214</v>
      </c>
      <c r="B4087" s="1">
        <v>2.2858999999999998</v>
      </c>
      <c r="C4087" s="1">
        <v>1.53</v>
      </c>
      <c r="D4087" s="1">
        <v>2.9975000000000001</v>
      </c>
    </row>
    <row r="4088" spans="1:4" x14ac:dyDescent="0.2">
      <c r="A4088" s="5">
        <v>42215</v>
      </c>
      <c r="B4088" s="1">
        <v>2.2589000000000001</v>
      </c>
      <c r="C4088" s="1">
        <v>1.53</v>
      </c>
      <c r="D4088" s="1">
        <v>2.9428999999999998</v>
      </c>
    </row>
    <row r="4089" spans="1:4" x14ac:dyDescent="0.2">
      <c r="A4089" s="5">
        <v>42216</v>
      </c>
      <c r="B4089" s="1">
        <v>2.1800999999999999</v>
      </c>
      <c r="C4089" s="1">
        <v>1.54</v>
      </c>
      <c r="D4089" s="1">
        <v>2.9060999999999999</v>
      </c>
    </row>
    <row r="4090" spans="1:4" x14ac:dyDescent="0.2">
      <c r="A4090" s="5">
        <v>42219</v>
      </c>
      <c r="B4090" s="1">
        <v>2.1480000000000001</v>
      </c>
      <c r="C4090" s="1">
        <v>1.55</v>
      </c>
      <c r="D4090" s="1">
        <v>2.8519999999999999</v>
      </c>
    </row>
    <row r="4091" spans="1:4" x14ac:dyDescent="0.2">
      <c r="A4091" s="5">
        <v>42220</v>
      </c>
      <c r="B4091" s="1">
        <v>2.2212999999999998</v>
      </c>
      <c r="C4091" s="1">
        <v>1.55</v>
      </c>
      <c r="D4091" s="1">
        <v>2.8967999999999998</v>
      </c>
    </row>
    <row r="4092" spans="1:4" x14ac:dyDescent="0.2">
      <c r="A4092" s="5">
        <v>42221</v>
      </c>
      <c r="B4092" s="1">
        <v>2.2698999999999998</v>
      </c>
      <c r="C4092" s="1">
        <v>1.55</v>
      </c>
      <c r="D4092" s="1">
        <v>2.9437000000000002</v>
      </c>
    </row>
    <row r="4093" spans="1:4" x14ac:dyDescent="0.2">
      <c r="A4093" s="5">
        <v>42222</v>
      </c>
      <c r="B4093" s="1">
        <v>2.2214</v>
      </c>
      <c r="C4093" s="1">
        <v>1.56</v>
      </c>
      <c r="D4093" s="1">
        <v>2.8914</v>
      </c>
    </row>
    <row r="4094" spans="1:4" x14ac:dyDescent="0.2">
      <c r="A4094" s="5">
        <v>42223</v>
      </c>
      <c r="B4094" s="1">
        <v>2.1623000000000001</v>
      </c>
      <c r="C4094" s="1">
        <v>1.58</v>
      </c>
      <c r="D4094" s="1">
        <v>2.8191000000000002</v>
      </c>
    </row>
    <row r="4095" spans="1:4" x14ac:dyDescent="0.2">
      <c r="A4095" s="5">
        <v>42226</v>
      </c>
      <c r="B4095" s="1">
        <v>2.2269000000000001</v>
      </c>
      <c r="C4095" s="1">
        <v>1.58</v>
      </c>
      <c r="D4095" s="1">
        <v>2.8959999999999999</v>
      </c>
    </row>
    <row r="4096" spans="1:4" x14ac:dyDescent="0.2">
      <c r="A4096" s="5">
        <v>42227</v>
      </c>
      <c r="B4096" s="1">
        <v>2.1408999999999998</v>
      </c>
      <c r="C4096" s="1">
        <v>1.59</v>
      </c>
      <c r="D4096" s="1">
        <v>2.8092000000000001</v>
      </c>
    </row>
    <row r="4097" spans="1:4" x14ac:dyDescent="0.2">
      <c r="A4097" s="5">
        <v>42228</v>
      </c>
      <c r="B4097" s="1">
        <v>2.1480000000000001</v>
      </c>
      <c r="C4097" s="1">
        <v>1.61</v>
      </c>
      <c r="D4097" s="1">
        <v>2.8397000000000001</v>
      </c>
    </row>
    <row r="4098" spans="1:4" x14ac:dyDescent="0.2">
      <c r="A4098" s="5">
        <v>42229</v>
      </c>
      <c r="B4098" s="1">
        <v>2.1854</v>
      </c>
      <c r="C4098" s="1">
        <v>1.61</v>
      </c>
      <c r="D4098" s="1">
        <v>2.855</v>
      </c>
    </row>
    <row r="4099" spans="1:4" x14ac:dyDescent="0.2">
      <c r="A4099" s="5">
        <v>42230</v>
      </c>
      <c r="B4099" s="1">
        <v>2.1977000000000002</v>
      </c>
      <c r="C4099" s="1">
        <v>1.61</v>
      </c>
      <c r="D4099" s="1">
        <v>2.8416000000000001</v>
      </c>
    </row>
    <row r="4100" spans="1:4" x14ac:dyDescent="0.2">
      <c r="A4100" s="5">
        <v>42233</v>
      </c>
      <c r="B4100" s="1">
        <v>2.1678000000000002</v>
      </c>
      <c r="C4100" s="1">
        <v>1.61</v>
      </c>
      <c r="D4100" s="1">
        <v>2.8176000000000001</v>
      </c>
    </row>
    <row r="4101" spans="1:4" x14ac:dyDescent="0.2">
      <c r="A4101" s="5">
        <v>42234</v>
      </c>
      <c r="B4101" s="1">
        <v>2.1924999999999999</v>
      </c>
      <c r="C4101" s="1">
        <v>1.61</v>
      </c>
      <c r="D4101" s="1">
        <v>2.8555000000000001</v>
      </c>
    </row>
    <row r="4102" spans="1:4" x14ac:dyDescent="0.2">
      <c r="A4102" s="5">
        <v>42235</v>
      </c>
      <c r="B4102" s="1">
        <v>2.1255999999999999</v>
      </c>
      <c r="C4102" s="1">
        <v>1.62</v>
      </c>
      <c r="D4102" s="1">
        <v>2.8153000000000001</v>
      </c>
    </row>
    <row r="4103" spans="1:4" x14ac:dyDescent="0.2">
      <c r="A4103" s="5">
        <v>42236</v>
      </c>
      <c r="B4103" s="1">
        <v>2.0678999999999998</v>
      </c>
      <c r="C4103" s="1">
        <v>1.63</v>
      </c>
      <c r="D4103" s="1">
        <v>2.7429000000000001</v>
      </c>
    </row>
    <row r="4104" spans="1:4" x14ac:dyDescent="0.2">
      <c r="A4104" s="5">
        <v>42237</v>
      </c>
      <c r="B4104" s="1">
        <v>2.0365000000000002</v>
      </c>
      <c r="C4104" s="1">
        <v>1.64</v>
      </c>
      <c r="D4104" s="1">
        <v>2.7233000000000001</v>
      </c>
    </row>
    <row r="4105" spans="1:4" x14ac:dyDescent="0.2">
      <c r="A4105" s="5">
        <v>42240</v>
      </c>
      <c r="B4105" s="1">
        <v>2.0034000000000001</v>
      </c>
      <c r="C4105" s="1">
        <v>1.68</v>
      </c>
      <c r="D4105" s="1">
        <v>2.7292999999999998</v>
      </c>
    </row>
    <row r="4106" spans="1:4" x14ac:dyDescent="0.2">
      <c r="A4106" s="5">
        <v>42241</v>
      </c>
      <c r="B4106" s="1">
        <v>2.0714000000000001</v>
      </c>
      <c r="C4106" s="1">
        <v>1.67</v>
      </c>
      <c r="D4106" s="1">
        <v>2.7991999999999999</v>
      </c>
    </row>
    <row r="4107" spans="1:4" x14ac:dyDescent="0.2">
      <c r="A4107" s="5">
        <v>42242</v>
      </c>
      <c r="B4107" s="1">
        <v>2.1751999999999998</v>
      </c>
      <c r="C4107" s="1">
        <v>1.67</v>
      </c>
      <c r="D4107" s="1">
        <v>2.9316</v>
      </c>
    </row>
    <row r="4108" spans="1:4" x14ac:dyDescent="0.2">
      <c r="A4108" s="5">
        <v>42243</v>
      </c>
      <c r="B4108" s="1">
        <v>2.1840999999999999</v>
      </c>
      <c r="C4108" s="1">
        <v>1.65</v>
      </c>
      <c r="D4108" s="1">
        <v>2.9237000000000002</v>
      </c>
    </row>
    <row r="4109" spans="1:4" x14ac:dyDescent="0.2">
      <c r="A4109" s="5">
        <v>42244</v>
      </c>
      <c r="B4109" s="1">
        <v>2.1806999999999999</v>
      </c>
      <c r="C4109" s="1">
        <v>1.65</v>
      </c>
      <c r="D4109" s="1">
        <v>2.9119000000000002</v>
      </c>
    </row>
    <row r="4110" spans="1:4" x14ac:dyDescent="0.2">
      <c r="A4110" s="5">
        <v>42247</v>
      </c>
      <c r="B4110" s="1">
        <v>2.2179000000000002</v>
      </c>
      <c r="C4110" s="1">
        <v>1.63</v>
      </c>
      <c r="D4110" s="1">
        <v>2.9619</v>
      </c>
    </row>
    <row r="4111" spans="1:4" x14ac:dyDescent="0.2">
      <c r="A4111" s="5">
        <v>42248</v>
      </c>
      <c r="B4111" s="1">
        <v>2.1524000000000001</v>
      </c>
      <c r="C4111" s="1">
        <v>1.65</v>
      </c>
      <c r="D4111" s="1">
        <v>2.915</v>
      </c>
    </row>
    <row r="4112" spans="1:4" x14ac:dyDescent="0.2">
      <c r="A4112" s="5">
        <v>42249</v>
      </c>
      <c r="B4112" s="1">
        <v>2.1842999999999999</v>
      </c>
      <c r="C4112" s="1">
        <v>1.64</v>
      </c>
      <c r="D4112" s="1">
        <v>2.9539</v>
      </c>
    </row>
    <row r="4113" spans="1:4" x14ac:dyDescent="0.2">
      <c r="A4113" s="5">
        <v>42250</v>
      </c>
      <c r="B4113" s="1">
        <v>2.1596000000000002</v>
      </c>
      <c r="C4113" s="1">
        <v>1.63</v>
      </c>
      <c r="D4113" s="1">
        <v>2.9348000000000001</v>
      </c>
    </row>
    <row r="4114" spans="1:4" x14ac:dyDescent="0.2">
      <c r="A4114" s="5">
        <v>42251</v>
      </c>
      <c r="B4114" s="1">
        <v>2.1244000000000001</v>
      </c>
      <c r="C4114" s="1">
        <v>1.63</v>
      </c>
      <c r="D4114" s="1">
        <v>2.8835999999999999</v>
      </c>
    </row>
    <row r="4115" spans="1:4" x14ac:dyDescent="0.2">
      <c r="A4115" s="5">
        <v>42254</v>
      </c>
      <c r="B4115" s="1">
        <v>2.1244000000000001</v>
      </c>
      <c r="C4115" s="1">
        <v>1.63</v>
      </c>
      <c r="D4115" s="1">
        <v>2.8835999999999999</v>
      </c>
    </row>
    <row r="4116" spans="1:4" x14ac:dyDescent="0.2">
      <c r="A4116" s="5">
        <v>42255</v>
      </c>
      <c r="B4116" s="1">
        <v>2.1827999999999999</v>
      </c>
      <c r="C4116" s="1">
        <v>1.62</v>
      </c>
      <c r="D4116" s="1">
        <v>2.9554999999999998</v>
      </c>
    </row>
    <row r="4117" spans="1:4" x14ac:dyDescent="0.2">
      <c r="A4117" s="5">
        <v>42256</v>
      </c>
      <c r="B4117" s="1">
        <v>2.2006000000000001</v>
      </c>
      <c r="C4117" s="1">
        <v>1.6</v>
      </c>
      <c r="D4117" s="1">
        <v>2.9611000000000001</v>
      </c>
    </row>
    <row r="4118" spans="1:4" x14ac:dyDescent="0.2">
      <c r="A4118" s="5">
        <v>42257</v>
      </c>
      <c r="B4118" s="1">
        <v>2.222</v>
      </c>
      <c r="C4118" s="1">
        <v>1.61</v>
      </c>
      <c r="D4118" s="1">
        <v>2.9851999999999999</v>
      </c>
    </row>
    <row r="4119" spans="1:4" x14ac:dyDescent="0.2">
      <c r="A4119" s="5">
        <v>42258</v>
      </c>
      <c r="B4119" s="1">
        <v>2.1882999999999999</v>
      </c>
      <c r="C4119" s="1">
        <v>1.62</v>
      </c>
      <c r="D4119" s="1">
        <v>2.9523999999999999</v>
      </c>
    </row>
    <row r="4120" spans="1:4" x14ac:dyDescent="0.2">
      <c r="A4120" s="5">
        <v>42261</v>
      </c>
      <c r="B4120" s="1">
        <v>2.1831</v>
      </c>
      <c r="C4120" s="1">
        <v>1.62</v>
      </c>
      <c r="D4120" s="1">
        <v>2.9554999999999998</v>
      </c>
    </row>
    <row r="4121" spans="1:4" x14ac:dyDescent="0.2">
      <c r="A4121" s="5">
        <v>42262</v>
      </c>
      <c r="B4121" s="1">
        <v>2.2867000000000002</v>
      </c>
      <c r="C4121" s="1">
        <v>1.61</v>
      </c>
      <c r="D4121" s="1">
        <v>3.0674000000000001</v>
      </c>
    </row>
    <row r="4122" spans="1:4" x14ac:dyDescent="0.2">
      <c r="A4122" s="5">
        <v>42263</v>
      </c>
      <c r="B4122" s="1">
        <v>2.294</v>
      </c>
      <c r="C4122" s="1">
        <v>1.6</v>
      </c>
      <c r="D4122" s="1">
        <v>3.0821999999999998</v>
      </c>
    </row>
    <row r="4123" spans="1:4" x14ac:dyDescent="0.2">
      <c r="A4123" s="5">
        <v>42264</v>
      </c>
      <c r="B4123" s="1">
        <v>2.1903000000000001</v>
      </c>
      <c r="C4123" s="1">
        <v>1.59</v>
      </c>
      <c r="D4123" s="1">
        <v>3.0053999999999998</v>
      </c>
    </row>
    <row r="4124" spans="1:4" x14ac:dyDescent="0.2">
      <c r="A4124" s="5">
        <v>42265</v>
      </c>
      <c r="B4124" s="1">
        <v>2.1335999999999999</v>
      </c>
      <c r="C4124" s="1">
        <v>1.6</v>
      </c>
      <c r="D4124" s="1">
        <v>2.9356</v>
      </c>
    </row>
    <row r="4125" spans="1:4" x14ac:dyDescent="0.2">
      <c r="A4125" s="5">
        <v>42268</v>
      </c>
      <c r="B4125" s="1">
        <v>2.2012</v>
      </c>
      <c r="C4125" s="1">
        <v>1.59</v>
      </c>
      <c r="D4125" s="1">
        <v>3.0215999999999998</v>
      </c>
    </row>
    <row r="4126" spans="1:4" x14ac:dyDescent="0.2">
      <c r="A4126" s="5">
        <v>42269</v>
      </c>
      <c r="B4126" s="1">
        <v>2.1337000000000002</v>
      </c>
      <c r="C4126" s="1">
        <v>1.6</v>
      </c>
      <c r="D4126" s="1">
        <v>2.9428000000000001</v>
      </c>
    </row>
    <row r="4127" spans="1:4" x14ac:dyDescent="0.2">
      <c r="A4127" s="5">
        <v>42270</v>
      </c>
      <c r="B4127" s="1">
        <v>2.1497000000000002</v>
      </c>
      <c r="C4127" s="1">
        <v>1.61</v>
      </c>
      <c r="D4127" s="1">
        <v>2.9451999999999998</v>
      </c>
    </row>
    <row r="4128" spans="1:4" x14ac:dyDescent="0.2">
      <c r="A4128" s="5">
        <v>42271</v>
      </c>
      <c r="B4128" s="1">
        <v>2.1265999999999998</v>
      </c>
      <c r="C4128" s="1">
        <v>1.62</v>
      </c>
      <c r="D4128" s="1">
        <v>2.9165999999999999</v>
      </c>
    </row>
    <row r="4129" spans="1:4" x14ac:dyDescent="0.2">
      <c r="A4129" s="5">
        <v>42272</v>
      </c>
      <c r="B4129" s="1">
        <v>2.1623000000000001</v>
      </c>
      <c r="C4129" s="1">
        <v>1.63</v>
      </c>
      <c r="D4129" s="1">
        <v>2.9556</v>
      </c>
    </row>
    <row r="4130" spans="1:4" x14ac:dyDescent="0.2">
      <c r="A4130" s="5">
        <v>42275</v>
      </c>
      <c r="B4130" s="1">
        <v>2.0949</v>
      </c>
      <c r="C4130" s="1">
        <v>1.65</v>
      </c>
      <c r="D4130" s="1">
        <v>2.8757000000000001</v>
      </c>
    </row>
    <row r="4131" spans="1:4" x14ac:dyDescent="0.2">
      <c r="A4131" s="5">
        <v>42276</v>
      </c>
      <c r="B4131" s="1">
        <v>2.0508000000000002</v>
      </c>
      <c r="C4131" s="1">
        <v>1.69</v>
      </c>
      <c r="D4131" s="1">
        <v>2.8530000000000002</v>
      </c>
    </row>
    <row r="4132" spans="1:4" x14ac:dyDescent="0.2">
      <c r="A4132" s="5">
        <v>42277</v>
      </c>
      <c r="B4132" s="1">
        <v>2.0367999999999999</v>
      </c>
      <c r="C4132" s="1">
        <v>1.69</v>
      </c>
      <c r="D4132" s="1">
        <v>2.8538000000000001</v>
      </c>
    </row>
    <row r="4133" spans="1:4" x14ac:dyDescent="0.2">
      <c r="A4133" s="5">
        <v>42278</v>
      </c>
      <c r="B4133" s="1">
        <v>2.0367999999999999</v>
      </c>
      <c r="C4133" s="1">
        <v>1.71</v>
      </c>
      <c r="D4133" s="1">
        <v>2.8498999999999999</v>
      </c>
    </row>
    <row r="4134" spans="1:4" x14ac:dyDescent="0.2">
      <c r="A4134" s="5">
        <v>42279</v>
      </c>
      <c r="B4134" s="1">
        <v>1.9928999999999999</v>
      </c>
      <c r="C4134" s="1">
        <v>1.71</v>
      </c>
      <c r="D4134" s="1">
        <v>2.8273999999999999</v>
      </c>
    </row>
    <row r="4135" spans="1:4" x14ac:dyDescent="0.2">
      <c r="A4135" s="5">
        <v>42282</v>
      </c>
      <c r="B4135" s="1">
        <v>2.0562</v>
      </c>
      <c r="C4135" s="1">
        <v>1.7</v>
      </c>
      <c r="D4135" s="1">
        <v>2.8969</v>
      </c>
    </row>
    <row r="4136" spans="1:4" x14ac:dyDescent="0.2">
      <c r="A4136" s="5">
        <v>42283</v>
      </c>
      <c r="B4136" s="1">
        <v>2.0314999999999999</v>
      </c>
      <c r="C4136" s="1">
        <v>1.68</v>
      </c>
      <c r="D4136" s="1">
        <v>2.8685999999999998</v>
      </c>
    </row>
    <row r="4137" spans="1:4" x14ac:dyDescent="0.2">
      <c r="A4137" s="5">
        <v>42284</v>
      </c>
      <c r="B4137" s="1">
        <v>2.0668000000000002</v>
      </c>
      <c r="C4137" s="1">
        <v>1.66</v>
      </c>
      <c r="D4137" s="1">
        <v>2.8944999999999999</v>
      </c>
    </row>
    <row r="4138" spans="1:4" x14ac:dyDescent="0.2">
      <c r="A4138" s="5">
        <v>42285</v>
      </c>
      <c r="B4138" s="1">
        <v>2.1040000000000001</v>
      </c>
      <c r="C4138" s="1">
        <v>1.66</v>
      </c>
      <c r="D4138" s="1">
        <v>2.9397000000000002</v>
      </c>
    </row>
    <row r="4139" spans="1:4" x14ac:dyDescent="0.2">
      <c r="A4139" s="5">
        <v>42286</v>
      </c>
      <c r="B4139" s="1">
        <v>2.0880999999999998</v>
      </c>
      <c r="C4139" s="1">
        <v>1.64</v>
      </c>
      <c r="D4139" s="1">
        <v>2.9174000000000002</v>
      </c>
    </row>
    <row r="4140" spans="1:4" x14ac:dyDescent="0.2">
      <c r="A4140" s="5">
        <v>42289</v>
      </c>
      <c r="B4140" s="1">
        <v>2.0880999999999998</v>
      </c>
      <c r="C4140" s="1">
        <v>1.64</v>
      </c>
      <c r="D4140" s="1">
        <v>2.9174000000000002</v>
      </c>
    </row>
    <row r="4141" spans="1:4" x14ac:dyDescent="0.2">
      <c r="A4141" s="5">
        <v>42290</v>
      </c>
      <c r="B4141" s="1">
        <v>2.0438999999999998</v>
      </c>
      <c r="C4141" s="1">
        <v>1.65</v>
      </c>
      <c r="D4141" s="1">
        <v>2.8843000000000001</v>
      </c>
    </row>
    <row r="4142" spans="1:4" x14ac:dyDescent="0.2">
      <c r="A4142" s="5">
        <v>42291</v>
      </c>
      <c r="B4142" s="1">
        <v>1.9718</v>
      </c>
      <c r="C4142" s="1">
        <v>1.66</v>
      </c>
      <c r="D4142" s="1">
        <v>2.8344</v>
      </c>
    </row>
    <row r="4143" spans="1:4" x14ac:dyDescent="0.2">
      <c r="A4143" s="5">
        <v>42292</v>
      </c>
      <c r="B4143" s="1">
        <v>2.0175000000000001</v>
      </c>
      <c r="C4143" s="1">
        <v>1.66</v>
      </c>
      <c r="D4143" s="1">
        <v>2.8624000000000001</v>
      </c>
    </row>
    <row r="4144" spans="1:4" x14ac:dyDescent="0.2">
      <c r="A4144" s="5">
        <v>42293</v>
      </c>
      <c r="B4144" s="1">
        <v>2.0333999999999999</v>
      </c>
      <c r="C4144" s="1">
        <v>1.65</v>
      </c>
      <c r="D4144" s="1">
        <v>2.8812000000000002</v>
      </c>
    </row>
    <row r="4145" spans="1:4" x14ac:dyDescent="0.2">
      <c r="A4145" s="5">
        <v>42296</v>
      </c>
      <c r="B4145" s="1">
        <v>2.0228000000000002</v>
      </c>
      <c r="C4145" s="1">
        <v>1.64</v>
      </c>
      <c r="D4145" s="1">
        <v>2.8795999999999999</v>
      </c>
    </row>
    <row r="4146" spans="1:4" x14ac:dyDescent="0.2">
      <c r="A4146" s="5">
        <v>42297</v>
      </c>
      <c r="B4146" s="1">
        <v>2.0670000000000002</v>
      </c>
      <c r="C4146" s="1">
        <v>1.63</v>
      </c>
      <c r="D4146" s="1">
        <v>2.9165999999999999</v>
      </c>
    </row>
    <row r="4147" spans="1:4" x14ac:dyDescent="0.2">
      <c r="A4147" s="5">
        <v>42298</v>
      </c>
      <c r="B4147" s="1">
        <v>2.0228000000000002</v>
      </c>
      <c r="C4147" s="1">
        <v>1.62</v>
      </c>
      <c r="D4147" s="1">
        <v>2.8647</v>
      </c>
    </row>
    <row r="4148" spans="1:4" x14ac:dyDescent="0.2">
      <c r="A4148" s="5">
        <v>42299</v>
      </c>
      <c r="B4148" s="1">
        <v>2.0263</v>
      </c>
      <c r="C4148" s="1">
        <v>1.61</v>
      </c>
      <c r="D4148" s="1">
        <v>2.8607999999999998</v>
      </c>
    </row>
    <row r="4149" spans="1:4" x14ac:dyDescent="0.2">
      <c r="A4149" s="5">
        <v>42300</v>
      </c>
      <c r="B4149" s="1">
        <v>2.0865999999999998</v>
      </c>
      <c r="C4149" s="1">
        <v>1.59</v>
      </c>
      <c r="D4149" s="1">
        <v>2.9007999999999998</v>
      </c>
    </row>
    <row r="4150" spans="1:4" x14ac:dyDescent="0.2">
      <c r="A4150" s="5">
        <v>42303</v>
      </c>
      <c r="B4150" s="1">
        <v>2.0564</v>
      </c>
      <c r="C4150" s="1">
        <v>1.58</v>
      </c>
      <c r="D4150" s="1">
        <v>2.8685999999999998</v>
      </c>
    </row>
    <row r="4151" spans="1:4" x14ac:dyDescent="0.2">
      <c r="A4151" s="5">
        <v>42304</v>
      </c>
      <c r="B4151" s="1">
        <v>2.0369999999999999</v>
      </c>
      <c r="C4151" s="1">
        <v>1.59</v>
      </c>
      <c r="D4151" s="1">
        <v>2.8592</v>
      </c>
    </row>
    <row r="4152" spans="1:4" x14ac:dyDescent="0.2">
      <c r="A4152" s="5">
        <v>42305</v>
      </c>
      <c r="B4152" s="1">
        <v>2.1009000000000002</v>
      </c>
      <c r="C4152" s="1">
        <v>1.59</v>
      </c>
      <c r="D4152" s="1">
        <v>2.8788</v>
      </c>
    </row>
    <row r="4153" spans="1:4" x14ac:dyDescent="0.2">
      <c r="A4153" s="5">
        <v>42306</v>
      </c>
      <c r="B4153" s="1">
        <v>2.1724999999999999</v>
      </c>
      <c r="C4153" s="1">
        <v>1.59</v>
      </c>
      <c r="D4153" s="1">
        <v>2.9588999999999999</v>
      </c>
    </row>
    <row r="4154" spans="1:4" x14ac:dyDescent="0.2">
      <c r="A4154" s="5">
        <v>42307</v>
      </c>
      <c r="B4154" s="1">
        <v>2.1421000000000001</v>
      </c>
      <c r="C4154" s="1">
        <v>1.59</v>
      </c>
      <c r="D4154" s="1">
        <v>2.9222000000000001</v>
      </c>
    </row>
    <row r="4155" spans="1:4" x14ac:dyDescent="0.2">
      <c r="A4155" s="5">
        <v>42310</v>
      </c>
      <c r="B4155" s="1">
        <v>2.1709000000000001</v>
      </c>
      <c r="C4155" s="1">
        <v>1.59</v>
      </c>
      <c r="D4155" s="1">
        <v>2.9437000000000002</v>
      </c>
    </row>
    <row r="4156" spans="1:4" x14ac:dyDescent="0.2">
      <c r="A4156" s="5">
        <v>42311</v>
      </c>
      <c r="B4156" s="1">
        <v>2.2105000000000001</v>
      </c>
      <c r="C4156" s="1">
        <v>1.58</v>
      </c>
      <c r="D4156" s="1">
        <v>2.9918999999999998</v>
      </c>
    </row>
    <row r="4157" spans="1:4" x14ac:dyDescent="0.2">
      <c r="A4157" s="5">
        <v>42312</v>
      </c>
      <c r="B4157" s="1">
        <v>2.2250000000000001</v>
      </c>
      <c r="C4157" s="1">
        <v>1.56</v>
      </c>
      <c r="D4157" s="1">
        <v>2.9903</v>
      </c>
    </row>
    <row r="4158" spans="1:4" x14ac:dyDescent="0.2">
      <c r="A4158" s="5">
        <v>42313</v>
      </c>
      <c r="B4158" s="1">
        <v>2.2323</v>
      </c>
      <c r="C4158" s="1">
        <v>1.55</v>
      </c>
      <c r="D4158" s="1">
        <v>3</v>
      </c>
    </row>
    <row r="4159" spans="1:4" x14ac:dyDescent="0.2">
      <c r="A4159" s="5">
        <v>42314</v>
      </c>
      <c r="B4159" s="1">
        <v>2.3252000000000002</v>
      </c>
      <c r="C4159" s="1">
        <v>1.55</v>
      </c>
      <c r="D4159" s="1">
        <v>3.0853000000000002</v>
      </c>
    </row>
    <row r="4160" spans="1:4" x14ac:dyDescent="0.2">
      <c r="A4160" s="5">
        <v>42317</v>
      </c>
      <c r="B4160" s="1">
        <v>2.3435999999999999</v>
      </c>
      <c r="C4160" s="1">
        <v>1.54</v>
      </c>
      <c r="D4160" s="1">
        <v>3.1076999999999999</v>
      </c>
    </row>
    <row r="4161" spans="1:4" x14ac:dyDescent="0.2">
      <c r="A4161" s="5">
        <v>42318</v>
      </c>
      <c r="B4161" s="1">
        <v>2.3418999999999999</v>
      </c>
      <c r="C4161" s="1">
        <v>1.54</v>
      </c>
      <c r="D4161" s="1">
        <v>3.1152000000000002</v>
      </c>
    </row>
    <row r="4162" spans="1:4" x14ac:dyDescent="0.2">
      <c r="A4162" s="5">
        <v>42319</v>
      </c>
      <c r="B4162" s="1">
        <v>2.3300999999999998</v>
      </c>
      <c r="C4162" s="1">
        <v>1.54</v>
      </c>
      <c r="D4162" s="1">
        <v>3.1152000000000002</v>
      </c>
    </row>
    <row r="4163" spans="1:4" x14ac:dyDescent="0.2">
      <c r="A4163" s="5">
        <v>42320</v>
      </c>
      <c r="B4163" s="1">
        <v>2.3115999999999999</v>
      </c>
      <c r="C4163" s="1">
        <v>1.55</v>
      </c>
      <c r="D4163" s="1">
        <v>3.0893999999999999</v>
      </c>
    </row>
    <row r="4164" spans="1:4" x14ac:dyDescent="0.2">
      <c r="A4164" s="5">
        <v>42321</v>
      </c>
      <c r="B4164" s="1">
        <v>2.2658</v>
      </c>
      <c r="C4164" s="1">
        <v>1.55</v>
      </c>
      <c r="D4164" s="1">
        <v>3.0518999999999998</v>
      </c>
    </row>
    <row r="4165" spans="1:4" x14ac:dyDescent="0.2">
      <c r="A4165" s="5">
        <v>42324</v>
      </c>
      <c r="B4165" s="1">
        <v>2.2675999999999998</v>
      </c>
      <c r="C4165" s="1">
        <v>1.56</v>
      </c>
      <c r="D4165" s="1">
        <v>3.0615999999999999</v>
      </c>
    </row>
    <row r="4166" spans="1:4" x14ac:dyDescent="0.2">
      <c r="A4166" s="5">
        <v>42325</v>
      </c>
      <c r="B4166" s="1">
        <v>2.2658</v>
      </c>
      <c r="C4166" s="1">
        <v>1.55</v>
      </c>
      <c r="D4166" s="1">
        <v>3.0543</v>
      </c>
    </row>
    <row r="4167" spans="1:4" x14ac:dyDescent="0.2">
      <c r="A4167" s="5">
        <v>42326</v>
      </c>
      <c r="B4167" s="1">
        <v>2.2728000000000002</v>
      </c>
      <c r="C4167" s="1">
        <v>1.55</v>
      </c>
      <c r="D4167" s="1">
        <v>3.0423</v>
      </c>
    </row>
    <row r="4168" spans="1:4" x14ac:dyDescent="0.2">
      <c r="A4168" s="5">
        <v>42327</v>
      </c>
      <c r="B4168" s="1">
        <v>2.2482000000000002</v>
      </c>
      <c r="C4168" s="1">
        <v>1.55</v>
      </c>
      <c r="D4168" s="1">
        <v>3.0103</v>
      </c>
    </row>
    <row r="4169" spans="1:4" x14ac:dyDescent="0.2">
      <c r="A4169" s="5">
        <v>42328</v>
      </c>
      <c r="B4169" s="1">
        <v>2.2623000000000002</v>
      </c>
      <c r="C4169" s="1">
        <v>1.55</v>
      </c>
      <c r="D4169" s="1">
        <v>3.0198999999999998</v>
      </c>
    </row>
    <row r="4170" spans="1:4" x14ac:dyDescent="0.2">
      <c r="A4170" s="5">
        <v>42331</v>
      </c>
      <c r="B4170" s="1">
        <v>2.2376999999999998</v>
      </c>
      <c r="C4170" s="1">
        <v>1.55</v>
      </c>
      <c r="D4170" s="1">
        <v>2.992</v>
      </c>
    </row>
    <row r="4171" spans="1:4" x14ac:dyDescent="0.2">
      <c r="A4171" s="5">
        <v>42332</v>
      </c>
      <c r="B4171" s="1">
        <v>2.2376999999999998</v>
      </c>
      <c r="C4171" s="1">
        <v>1.55</v>
      </c>
      <c r="D4171" s="1">
        <v>3.0024000000000002</v>
      </c>
    </row>
    <row r="4172" spans="1:4" x14ac:dyDescent="0.2">
      <c r="A4172" s="5">
        <v>42333</v>
      </c>
      <c r="B4172" s="1">
        <v>2.2341000000000002</v>
      </c>
      <c r="C4172" s="1">
        <v>1.55</v>
      </c>
      <c r="D4172" s="1">
        <v>2.9944000000000002</v>
      </c>
    </row>
    <row r="4173" spans="1:4" x14ac:dyDescent="0.2">
      <c r="A4173" s="5">
        <v>42334</v>
      </c>
      <c r="B4173" s="1">
        <v>2.2341000000000002</v>
      </c>
      <c r="C4173" s="1">
        <v>1.55</v>
      </c>
      <c r="D4173" s="1">
        <v>2.9944000000000002</v>
      </c>
    </row>
    <row r="4174" spans="1:4" x14ac:dyDescent="0.2">
      <c r="A4174" s="5">
        <v>42335</v>
      </c>
      <c r="B4174" s="1">
        <v>2.2201</v>
      </c>
      <c r="C4174" s="1">
        <v>1.55</v>
      </c>
      <c r="D4174" s="1">
        <v>2.9967999999999999</v>
      </c>
    </row>
    <row r="4175" spans="1:4" x14ac:dyDescent="0.2">
      <c r="A4175" s="5">
        <v>42338</v>
      </c>
      <c r="B4175" s="1">
        <v>2.206</v>
      </c>
      <c r="C4175" s="1">
        <v>1.55</v>
      </c>
      <c r="D4175" s="1">
        <v>2.9723000000000002</v>
      </c>
    </row>
    <row r="4176" spans="1:4" x14ac:dyDescent="0.2">
      <c r="A4176" s="5">
        <v>42339</v>
      </c>
      <c r="B4176" s="1">
        <v>2.1431</v>
      </c>
      <c r="C4176" s="1">
        <v>1.55</v>
      </c>
      <c r="D4176" s="1">
        <v>2.9018999999999999</v>
      </c>
    </row>
    <row r="4177" spans="1:4" x14ac:dyDescent="0.2">
      <c r="A4177" s="5">
        <v>42340</v>
      </c>
      <c r="B4177" s="1">
        <v>2.1797</v>
      </c>
      <c r="C4177" s="1">
        <v>1.55</v>
      </c>
      <c r="D4177" s="1">
        <v>2.9081000000000001</v>
      </c>
    </row>
    <row r="4178" spans="1:4" x14ac:dyDescent="0.2">
      <c r="A4178" s="5">
        <v>42341</v>
      </c>
      <c r="B4178" s="1">
        <v>2.3136000000000001</v>
      </c>
      <c r="C4178" s="1">
        <v>1.55</v>
      </c>
      <c r="D4178" s="1">
        <v>3.0543</v>
      </c>
    </row>
    <row r="4179" spans="1:4" x14ac:dyDescent="0.2">
      <c r="A4179" s="5">
        <v>42342</v>
      </c>
      <c r="B4179" s="1">
        <v>2.2692999999999999</v>
      </c>
      <c r="C4179" s="1">
        <v>1.55</v>
      </c>
      <c r="D4179" s="1">
        <v>3.0095000000000001</v>
      </c>
    </row>
    <row r="4180" spans="1:4" x14ac:dyDescent="0.2">
      <c r="A4180" s="5">
        <v>42345</v>
      </c>
      <c r="B4180" s="1">
        <v>2.2288000000000001</v>
      </c>
      <c r="C4180" s="1">
        <v>1.55</v>
      </c>
      <c r="D4180" s="1">
        <v>2.9611999999999998</v>
      </c>
    </row>
    <row r="4181" spans="1:4" x14ac:dyDescent="0.2">
      <c r="A4181" s="5">
        <v>42346</v>
      </c>
      <c r="B4181" s="1">
        <v>2.2181999999999999</v>
      </c>
      <c r="C4181" s="1">
        <v>1.57</v>
      </c>
      <c r="D4181" s="1">
        <v>2.9548999999999999</v>
      </c>
    </row>
    <row r="4182" spans="1:4" x14ac:dyDescent="0.2">
      <c r="A4182" s="5">
        <v>42347</v>
      </c>
      <c r="B4182" s="1">
        <v>2.2164000000000001</v>
      </c>
      <c r="C4182" s="1">
        <v>1.57</v>
      </c>
      <c r="D4182" s="1">
        <v>2.9738000000000002</v>
      </c>
    </row>
    <row r="4183" spans="1:4" x14ac:dyDescent="0.2">
      <c r="A4183" s="5">
        <v>42348</v>
      </c>
      <c r="B4183" s="1">
        <v>2.2305000000000001</v>
      </c>
      <c r="C4183" s="1">
        <v>1.58</v>
      </c>
      <c r="D4183" s="1">
        <v>2.9674999999999998</v>
      </c>
    </row>
    <row r="4184" spans="1:4" x14ac:dyDescent="0.2">
      <c r="A4184" s="5">
        <v>42349</v>
      </c>
      <c r="B4184" s="1">
        <v>2.1269999999999998</v>
      </c>
      <c r="C4184" s="1">
        <v>1.61</v>
      </c>
      <c r="D4184" s="1">
        <v>2.8708999999999998</v>
      </c>
    </row>
    <row r="4185" spans="1:4" x14ac:dyDescent="0.2">
      <c r="A4185" s="5">
        <v>42352</v>
      </c>
      <c r="B4185" s="1">
        <v>2.2216999999999998</v>
      </c>
      <c r="C4185" s="1">
        <v>1.65</v>
      </c>
      <c r="D4185" s="1">
        <v>2.9517000000000002</v>
      </c>
    </row>
    <row r="4186" spans="1:4" x14ac:dyDescent="0.2">
      <c r="A4186" s="5">
        <v>42353</v>
      </c>
      <c r="B4186" s="1">
        <v>2.2658</v>
      </c>
      <c r="C4186" s="1">
        <v>1.66</v>
      </c>
      <c r="D4186" s="1">
        <v>2.9855999999999998</v>
      </c>
    </row>
    <row r="4187" spans="1:4" x14ac:dyDescent="0.2">
      <c r="A4187" s="5">
        <v>42354</v>
      </c>
      <c r="B4187" s="1">
        <v>2.2959999999999998</v>
      </c>
      <c r="C4187" s="1">
        <v>1.65</v>
      </c>
      <c r="D4187" s="1">
        <v>3.0038999999999998</v>
      </c>
    </row>
    <row r="4188" spans="1:4" x14ac:dyDescent="0.2">
      <c r="A4188" s="5">
        <v>42355</v>
      </c>
      <c r="B4188" s="1">
        <v>2.2233999999999998</v>
      </c>
      <c r="C4188" s="1">
        <v>1.65</v>
      </c>
      <c r="D4188" s="1">
        <v>2.9275000000000002</v>
      </c>
    </row>
    <row r="4189" spans="1:4" x14ac:dyDescent="0.2">
      <c r="A4189" s="5">
        <v>42356</v>
      </c>
      <c r="B4189" s="1">
        <v>2.2040000000000002</v>
      </c>
      <c r="C4189" s="1">
        <v>1.66</v>
      </c>
      <c r="D4189" s="1">
        <v>2.9220000000000002</v>
      </c>
    </row>
    <row r="4190" spans="1:4" x14ac:dyDescent="0.2">
      <c r="A4190" s="5">
        <v>42359</v>
      </c>
      <c r="B4190" s="1">
        <v>2.1917</v>
      </c>
      <c r="C4190" s="1">
        <v>1.67</v>
      </c>
      <c r="D4190" s="1">
        <v>2.9102999999999999</v>
      </c>
    </row>
    <row r="4191" spans="1:4" x14ac:dyDescent="0.2">
      <c r="A4191" s="5">
        <v>42360</v>
      </c>
      <c r="B4191" s="1">
        <v>2.2357</v>
      </c>
      <c r="C4191" s="1">
        <v>1.67</v>
      </c>
      <c r="D4191" s="1">
        <v>2.9556</v>
      </c>
    </row>
    <row r="4192" spans="1:4" x14ac:dyDescent="0.2">
      <c r="A4192" s="5">
        <v>42361</v>
      </c>
      <c r="B4192" s="1">
        <v>2.2534000000000001</v>
      </c>
      <c r="C4192" s="1">
        <v>1.66</v>
      </c>
      <c r="D4192" s="1">
        <v>2.988</v>
      </c>
    </row>
    <row r="4193" spans="1:4" x14ac:dyDescent="0.2">
      <c r="A4193" s="5">
        <v>42362</v>
      </c>
      <c r="B4193" s="1">
        <v>2.2410000000000001</v>
      </c>
      <c r="C4193" s="1">
        <v>1.67</v>
      </c>
      <c r="D4193" s="1">
        <v>2.9603000000000002</v>
      </c>
    </row>
    <row r="4194" spans="1:4" x14ac:dyDescent="0.2">
      <c r="A4194" s="5">
        <v>42363</v>
      </c>
      <c r="B4194" s="1">
        <v>2.2410000000000001</v>
      </c>
      <c r="C4194" s="1">
        <v>1.67</v>
      </c>
      <c r="D4194" s="1">
        <v>2.9603000000000002</v>
      </c>
    </row>
    <row r="4195" spans="1:4" x14ac:dyDescent="0.2">
      <c r="A4195" s="5">
        <v>42366</v>
      </c>
      <c r="B4195" s="1">
        <v>2.2303999999999999</v>
      </c>
      <c r="C4195" s="1">
        <v>1.66</v>
      </c>
      <c r="D4195" s="1">
        <v>2.9430000000000001</v>
      </c>
    </row>
    <row r="4196" spans="1:4" x14ac:dyDescent="0.2">
      <c r="A4196" s="5">
        <v>42367</v>
      </c>
      <c r="B4196" s="1">
        <v>2.3050000000000002</v>
      </c>
      <c r="C4196" s="1">
        <v>1.66</v>
      </c>
      <c r="D4196" s="1">
        <v>3.0358999999999998</v>
      </c>
    </row>
    <row r="4197" spans="1:4" x14ac:dyDescent="0.2">
      <c r="A4197" s="5">
        <v>42368</v>
      </c>
      <c r="B4197" s="1">
        <v>2.2942999999999998</v>
      </c>
      <c r="C4197" s="1">
        <v>1.65</v>
      </c>
      <c r="D4197" s="1">
        <v>3.0335000000000001</v>
      </c>
    </row>
    <row r="4198" spans="1:4" x14ac:dyDescent="0.2">
      <c r="A4198" s="5">
        <v>42369</v>
      </c>
      <c r="B4198" s="1">
        <v>2.2694000000000001</v>
      </c>
      <c r="C4198" s="1">
        <v>1.65</v>
      </c>
      <c r="D4198" s="1">
        <v>3.0158</v>
      </c>
    </row>
    <row r="4199" spans="1:4" x14ac:dyDescent="0.2">
      <c r="A4199" s="5">
        <v>42370</v>
      </c>
      <c r="B4199" s="1">
        <v>2.2694000000000001</v>
      </c>
      <c r="C4199" s="1">
        <v>1.65</v>
      </c>
      <c r="D4199" s="1">
        <v>3.0158</v>
      </c>
    </row>
    <row r="4200" spans="1:4" x14ac:dyDescent="0.2">
      <c r="A4200" s="5">
        <v>42373</v>
      </c>
      <c r="B4200" s="1">
        <v>2.2427999999999999</v>
      </c>
      <c r="C4200" s="1">
        <v>1.67</v>
      </c>
      <c r="D4200" s="1">
        <v>2.9872000000000001</v>
      </c>
    </row>
    <row r="4201" spans="1:4" x14ac:dyDescent="0.2">
      <c r="A4201" s="5">
        <v>42374</v>
      </c>
      <c r="B4201" s="1">
        <v>2.2357</v>
      </c>
      <c r="C4201" s="1">
        <v>1.66</v>
      </c>
      <c r="D4201" s="1">
        <v>2.9950999999999999</v>
      </c>
    </row>
    <row r="4202" spans="1:4" x14ac:dyDescent="0.2">
      <c r="A4202" s="5">
        <v>42375</v>
      </c>
      <c r="B4202" s="1">
        <v>2.1701999999999999</v>
      </c>
      <c r="C4202" s="1">
        <v>1.67</v>
      </c>
      <c r="D4202" s="1">
        <v>2.9375</v>
      </c>
    </row>
    <row r="4203" spans="1:4" x14ac:dyDescent="0.2">
      <c r="A4203" s="5">
        <v>42376</v>
      </c>
      <c r="B4203" s="1">
        <v>2.1455000000000002</v>
      </c>
      <c r="C4203" s="1">
        <v>1.7</v>
      </c>
      <c r="D4203" s="1">
        <v>2.9258000000000002</v>
      </c>
    </row>
    <row r="4204" spans="1:4" x14ac:dyDescent="0.2">
      <c r="A4204" s="5">
        <v>42377</v>
      </c>
      <c r="B4204" s="1">
        <v>2.1156000000000001</v>
      </c>
      <c r="C4204" s="1">
        <v>1.7</v>
      </c>
      <c r="D4204" s="1">
        <v>2.9094000000000002</v>
      </c>
    </row>
    <row r="4205" spans="1:4" x14ac:dyDescent="0.2">
      <c r="A4205" s="5">
        <v>42380</v>
      </c>
      <c r="B4205" s="1">
        <v>2.1753999999999998</v>
      </c>
      <c r="C4205" s="1">
        <v>1.71</v>
      </c>
      <c r="D4205" s="1">
        <v>2.9681999999999999</v>
      </c>
    </row>
    <row r="4206" spans="1:4" x14ac:dyDescent="0.2">
      <c r="A4206" s="5">
        <v>42381</v>
      </c>
      <c r="B4206" s="1">
        <v>2.1032000000000002</v>
      </c>
      <c r="C4206" s="1">
        <v>1.72</v>
      </c>
      <c r="D4206" s="1">
        <v>2.8815</v>
      </c>
    </row>
    <row r="4207" spans="1:4" x14ac:dyDescent="0.2">
      <c r="A4207" s="5">
        <v>42382</v>
      </c>
      <c r="B4207" s="1">
        <v>2.0926999999999998</v>
      </c>
      <c r="C4207" s="1">
        <v>1.74</v>
      </c>
      <c r="D4207" s="1">
        <v>2.8822000000000001</v>
      </c>
    </row>
    <row r="4208" spans="1:4" x14ac:dyDescent="0.2">
      <c r="A4208" s="5">
        <v>42383</v>
      </c>
      <c r="B4208" s="1">
        <v>2.0874000000000001</v>
      </c>
      <c r="C4208" s="1">
        <v>1.77</v>
      </c>
      <c r="D4208" s="1">
        <v>2.8868999999999998</v>
      </c>
    </row>
    <row r="4209" spans="1:4" x14ac:dyDescent="0.2">
      <c r="A4209" s="5">
        <v>42384</v>
      </c>
      <c r="B4209" s="1">
        <v>2.0347</v>
      </c>
      <c r="C4209" s="1">
        <v>1.81</v>
      </c>
      <c r="D4209" s="1">
        <v>2.8140000000000001</v>
      </c>
    </row>
    <row r="4210" spans="1:4" x14ac:dyDescent="0.2">
      <c r="A4210" s="5">
        <v>42387</v>
      </c>
      <c r="B4210" s="1">
        <v>2.0347</v>
      </c>
      <c r="C4210" s="1">
        <v>1.81</v>
      </c>
      <c r="D4210" s="1">
        <v>2.8140000000000001</v>
      </c>
    </row>
    <row r="4211" spans="1:4" x14ac:dyDescent="0.2">
      <c r="A4211" s="5">
        <v>42388</v>
      </c>
      <c r="B4211" s="1">
        <v>2.0556000000000001</v>
      </c>
      <c r="C4211" s="1">
        <v>1.83</v>
      </c>
      <c r="D4211" s="1">
        <v>2.8262</v>
      </c>
    </row>
    <row r="4212" spans="1:4" x14ac:dyDescent="0.2">
      <c r="A4212" s="5">
        <v>42389</v>
      </c>
      <c r="B4212" s="1">
        <v>1.9823999999999999</v>
      </c>
      <c r="C4212" s="1">
        <v>1.9</v>
      </c>
      <c r="D4212" s="1">
        <v>2.7530000000000001</v>
      </c>
    </row>
    <row r="4213" spans="1:4" x14ac:dyDescent="0.2">
      <c r="A4213" s="5">
        <v>42390</v>
      </c>
      <c r="B4213" s="1">
        <v>2.0310999999999999</v>
      </c>
      <c r="C4213" s="1">
        <v>1.92</v>
      </c>
      <c r="D4213" s="1">
        <v>2.8109000000000002</v>
      </c>
    </row>
    <row r="4214" spans="1:4" x14ac:dyDescent="0.2">
      <c r="A4214" s="5">
        <v>42391</v>
      </c>
      <c r="B4214" s="1">
        <v>2.0518999999999998</v>
      </c>
      <c r="C4214" s="1">
        <v>1.89</v>
      </c>
      <c r="D4214" s="1">
        <v>2.8237999999999999</v>
      </c>
    </row>
    <row r="4215" spans="1:4" x14ac:dyDescent="0.2">
      <c r="A4215" s="5">
        <v>42394</v>
      </c>
      <c r="B4215" s="1">
        <v>2.0011999999999999</v>
      </c>
      <c r="C4215" s="1">
        <v>1.9</v>
      </c>
      <c r="D4215" s="1">
        <v>2.7844000000000002</v>
      </c>
    </row>
    <row r="4216" spans="1:4" x14ac:dyDescent="0.2">
      <c r="A4216" s="5">
        <v>42395</v>
      </c>
      <c r="B4216" s="1">
        <v>1.9942</v>
      </c>
      <c r="C4216" s="1">
        <v>1.92</v>
      </c>
      <c r="D4216" s="1">
        <v>2.7844000000000002</v>
      </c>
    </row>
    <row r="4217" spans="1:4" x14ac:dyDescent="0.2">
      <c r="A4217" s="5">
        <v>42396</v>
      </c>
      <c r="B4217" s="1">
        <v>1.9993000000000001</v>
      </c>
      <c r="C4217" s="1">
        <v>1.93</v>
      </c>
      <c r="D4217" s="1">
        <v>2.8010000000000002</v>
      </c>
    </row>
    <row r="4218" spans="1:4" x14ac:dyDescent="0.2">
      <c r="A4218" s="5">
        <v>42397</v>
      </c>
      <c r="B4218" s="1">
        <v>1.9783999999999999</v>
      </c>
      <c r="C4218" s="1">
        <v>1.94</v>
      </c>
      <c r="D4218" s="1">
        <v>2.7850999999999999</v>
      </c>
    </row>
    <row r="4219" spans="1:4" x14ac:dyDescent="0.2">
      <c r="A4219" s="5">
        <v>42398</v>
      </c>
      <c r="B4219" s="1">
        <v>1.9209000000000001</v>
      </c>
      <c r="C4219" s="1">
        <v>1.93</v>
      </c>
      <c r="D4219" s="1">
        <v>2.7437999999999998</v>
      </c>
    </row>
    <row r="4220" spans="1:4" x14ac:dyDescent="0.2">
      <c r="A4220" s="5">
        <v>42401</v>
      </c>
      <c r="B4220" s="1">
        <v>1.9486000000000001</v>
      </c>
      <c r="C4220" s="1">
        <v>1.96</v>
      </c>
      <c r="D4220" s="1">
        <v>2.7618</v>
      </c>
    </row>
    <row r="4221" spans="1:4" x14ac:dyDescent="0.2">
      <c r="A4221" s="5">
        <v>42402</v>
      </c>
      <c r="B4221" s="1">
        <v>1.8448</v>
      </c>
      <c r="C4221" s="1">
        <v>1.98</v>
      </c>
      <c r="D4221" s="1">
        <v>2.6560000000000001</v>
      </c>
    </row>
    <row r="4222" spans="1:4" x14ac:dyDescent="0.2">
      <c r="A4222" s="5">
        <v>42403</v>
      </c>
      <c r="B4222" s="1">
        <v>1.8861000000000001</v>
      </c>
      <c r="C4222" s="1">
        <v>2</v>
      </c>
      <c r="D4222" s="1">
        <v>2.7126000000000001</v>
      </c>
    </row>
    <row r="4223" spans="1:4" x14ac:dyDescent="0.2">
      <c r="A4223" s="5">
        <v>42404</v>
      </c>
      <c r="B4223" s="1">
        <v>1.8394999999999999</v>
      </c>
      <c r="C4223" s="1">
        <v>2.0099999999999998</v>
      </c>
      <c r="D4223" s="1">
        <v>2.6757</v>
      </c>
    </row>
    <row r="4224" spans="1:4" x14ac:dyDescent="0.2">
      <c r="A4224" s="5">
        <v>42405</v>
      </c>
      <c r="B4224" s="1">
        <v>1.8357000000000001</v>
      </c>
      <c r="C4224" s="1">
        <v>2.0099999999999998</v>
      </c>
      <c r="D4224" s="1">
        <v>2.6682999999999999</v>
      </c>
    </row>
    <row r="4225" spans="1:4" x14ac:dyDescent="0.2">
      <c r="A4225" s="5">
        <v>42408</v>
      </c>
      <c r="B4225" s="1">
        <v>1.7483</v>
      </c>
      <c r="C4225" s="1">
        <v>2.0499999999999998</v>
      </c>
      <c r="D4225" s="1">
        <v>2.5764</v>
      </c>
    </row>
    <row r="4226" spans="1:4" x14ac:dyDescent="0.2">
      <c r="A4226" s="5">
        <v>42409</v>
      </c>
      <c r="B4226" s="1">
        <v>1.726</v>
      </c>
      <c r="C4226" s="1">
        <v>2.09</v>
      </c>
      <c r="D4226" s="1">
        <v>2.5493000000000001</v>
      </c>
    </row>
    <row r="4227" spans="1:4" x14ac:dyDescent="0.2">
      <c r="A4227" s="5">
        <v>42410</v>
      </c>
      <c r="B4227" s="1">
        <v>1.6680999999999999</v>
      </c>
      <c r="C4227" s="1">
        <v>2.09</v>
      </c>
      <c r="D4227" s="1">
        <v>2.4872000000000001</v>
      </c>
    </row>
    <row r="4228" spans="1:4" x14ac:dyDescent="0.2">
      <c r="A4228" s="5">
        <v>42411</v>
      </c>
      <c r="B4228" s="1">
        <v>1.6591</v>
      </c>
      <c r="C4228" s="1">
        <v>2.14</v>
      </c>
      <c r="D4228" s="1">
        <v>2.4977</v>
      </c>
    </row>
    <row r="4229" spans="1:4" x14ac:dyDescent="0.2">
      <c r="A4229" s="5">
        <v>42412</v>
      </c>
      <c r="B4229" s="1">
        <v>1.7481</v>
      </c>
      <c r="C4229" s="1">
        <v>2.15</v>
      </c>
      <c r="D4229" s="1">
        <v>2.6040000000000001</v>
      </c>
    </row>
    <row r="4230" spans="1:4" x14ac:dyDescent="0.2">
      <c r="A4230" s="5">
        <v>42415</v>
      </c>
      <c r="B4230" s="1">
        <v>1.7481</v>
      </c>
      <c r="C4230" s="1">
        <v>2.15</v>
      </c>
      <c r="D4230" s="1">
        <v>2.6040000000000001</v>
      </c>
    </row>
    <row r="4231" spans="1:4" x14ac:dyDescent="0.2">
      <c r="A4231" s="5">
        <v>42416</v>
      </c>
      <c r="B4231" s="1">
        <v>1.7723</v>
      </c>
      <c r="C4231" s="1">
        <v>2.1</v>
      </c>
      <c r="D4231" s="1">
        <v>2.6393</v>
      </c>
    </row>
    <row r="4232" spans="1:4" x14ac:dyDescent="0.2">
      <c r="A4232" s="5">
        <v>42417</v>
      </c>
      <c r="B4232" s="1">
        <v>1.819</v>
      </c>
      <c r="C4232" s="1">
        <v>2.09</v>
      </c>
      <c r="D4232" s="1">
        <v>2.6875</v>
      </c>
    </row>
    <row r="4233" spans="1:4" x14ac:dyDescent="0.2">
      <c r="A4233" s="5">
        <v>42418</v>
      </c>
      <c r="B4233" s="1">
        <v>1.7396</v>
      </c>
      <c r="C4233" s="1">
        <v>2.06</v>
      </c>
      <c r="D4233" s="1">
        <v>2.6086</v>
      </c>
    </row>
    <row r="4234" spans="1:4" x14ac:dyDescent="0.2">
      <c r="A4234" s="5">
        <v>42419</v>
      </c>
      <c r="B4234" s="1">
        <v>1.7448999999999999</v>
      </c>
      <c r="C4234" s="1">
        <v>2.0699999999999998</v>
      </c>
      <c r="D4234" s="1">
        <v>2.6048</v>
      </c>
    </row>
    <row r="4235" spans="1:4" x14ac:dyDescent="0.2">
      <c r="A4235" s="5">
        <v>42422</v>
      </c>
      <c r="B4235" s="1">
        <v>1.7518</v>
      </c>
      <c r="C4235" s="1">
        <v>2.0299999999999998</v>
      </c>
      <c r="D4235" s="1">
        <v>2.6040000000000001</v>
      </c>
    </row>
    <row r="4236" spans="1:4" x14ac:dyDescent="0.2">
      <c r="A4236" s="5">
        <v>42423</v>
      </c>
      <c r="B4236" s="1">
        <v>1.7224999999999999</v>
      </c>
      <c r="C4236" s="1">
        <v>2.02</v>
      </c>
      <c r="D4236" s="1">
        <v>2.5789</v>
      </c>
    </row>
    <row r="4237" spans="1:4" x14ac:dyDescent="0.2">
      <c r="A4237" s="5">
        <v>42424</v>
      </c>
      <c r="B4237" s="1">
        <v>1.7484</v>
      </c>
      <c r="C4237" s="1">
        <v>2.0299999999999998</v>
      </c>
      <c r="D4237" s="1">
        <v>2.6055999999999999</v>
      </c>
    </row>
    <row r="4238" spans="1:4" x14ac:dyDescent="0.2">
      <c r="A4238" s="5">
        <v>42425</v>
      </c>
      <c r="B4238" s="1">
        <v>1.7157</v>
      </c>
      <c r="C4238" s="1">
        <v>2.0099999999999998</v>
      </c>
      <c r="D4238" s="1">
        <v>2.5941000000000001</v>
      </c>
    </row>
    <row r="4239" spans="1:4" x14ac:dyDescent="0.2">
      <c r="A4239" s="5">
        <v>42426</v>
      </c>
      <c r="B4239" s="1">
        <v>1.7623</v>
      </c>
      <c r="C4239" s="1">
        <v>1.98</v>
      </c>
      <c r="D4239" s="1">
        <v>2.6362999999999999</v>
      </c>
    </row>
    <row r="4240" spans="1:4" x14ac:dyDescent="0.2">
      <c r="A4240" s="5">
        <v>42429</v>
      </c>
      <c r="B4240" s="1">
        <v>1.7346999999999999</v>
      </c>
      <c r="C4240" s="1">
        <v>1.97</v>
      </c>
      <c r="D4240" s="1">
        <v>2.6156000000000001</v>
      </c>
    </row>
    <row r="4241" spans="1:4" x14ac:dyDescent="0.2">
      <c r="A4241" s="5">
        <v>42430</v>
      </c>
      <c r="B4241" s="1">
        <v>1.8249</v>
      </c>
      <c r="C4241" s="1">
        <v>1.93</v>
      </c>
      <c r="D4241" s="1">
        <v>2.6978</v>
      </c>
    </row>
    <row r="4242" spans="1:4" x14ac:dyDescent="0.2">
      <c r="A4242" s="5">
        <v>42431</v>
      </c>
      <c r="B4242" s="1">
        <v>1.8406</v>
      </c>
      <c r="C4242" s="1">
        <v>1.9</v>
      </c>
      <c r="D4242" s="1">
        <v>2.6844999999999999</v>
      </c>
    </row>
    <row r="4243" spans="1:4" x14ac:dyDescent="0.2">
      <c r="A4243" s="5">
        <v>42432</v>
      </c>
      <c r="B4243" s="1">
        <v>1.8337000000000001</v>
      </c>
      <c r="C4243" s="1">
        <v>1.89</v>
      </c>
      <c r="D4243" s="1">
        <v>2.6579999999999999</v>
      </c>
    </row>
    <row r="4244" spans="1:4" x14ac:dyDescent="0.2">
      <c r="A4244" s="5">
        <v>42433</v>
      </c>
      <c r="B4244" s="1">
        <v>1.8741000000000001</v>
      </c>
      <c r="C4244" s="1">
        <v>1.86</v>
      </c>
      <c r="D4244" s="1">
        <v>2.6947000000000001</v>
      </c>
    </row>
    <row r="4245" spans="1:4" x14ac:dyDescent="0.2">
      <c r="A4245" s="5">
        <v>42436</v>
      </c>
      <c r="B4245" s="1">
        <v>1.9056999999999999</v>
      </c>
      <c r="C4245" s="1">
        <v>1.84</v>
      </c>
      <c r="D4245" s="1">
        <v>2.7057000000000002</v>
      </c>
    </row>
    <row r="4246" spans="1:4" x14ac:dyDescent="0.2">
      <c r="A4246" s="5">
        <v>42437</v>
      </c>
      <c r="B4246" s="1">
        <v>1.8287</v>
      </c>
      <c r="C4246" s="1">
        <v>1.83</v>
      </c>
      <c r="D4246" s="1">
        <v>2.6347999999999998</v>
      </c>
    </row>
    <row r="4247" spans="1:4" x14ac:dyDescent="0.2">
      <c r="A4247" s="5">
        <v>42438</v>
      </c>
      <c r="B4247" s="1">
        <v>1.8759999999999999</v>
      </c>
      <c r="C4247" s="1">
        <v>1.82</v>
      </c>
      <c r="D4247" s="1">
        <v>2.6619999999999999</v>
      </c>
    </row>
    <row r="4248" spans="1:4" x14ac:dyDescent="0.2">
      <c r="A4248" s="5">
        <v>42439</v>
      </c>
      <c r="B4248" s="1">
        <v>1.9322999999999999</v>
      </c>
      <c r="C4248" s="1">
        <v>1.8</v>
      </c>
      <c r="D4248" s="1">
        <v>2.6947000000000001</v>
      </c>
    </row>
    <row r="4249" spans="1:4" x14ac:dyDescent="0.2">
      <c r="A4249" s="5">
        <v>42440</v>
      </c>
      <c r="B4249" s="1">
        <v>1.9839</v>
      </c>
      <c r="C4249" s="1">
        <v>1.75</v>
      </c>
      <c r="D4249" s="1">
        <v>2.7532000000000001</v>
      </c>
    </row>
    <row r="4250" spans="1:4" x14ac:dyDescent="0.2">
      <c r="A4250" s="5">
        <v>42443</v>
      </c>
      <c r="B4250" s="1">
        <v>1.9592000000000001</v>
      </c>
      <c r="C4250" s="1">
        <v>1.7</v>
      </c>
      <c r="D4250" s="1">
        <v>2.7317999999999998</v>
      </c>
    </row>
    <row r="4251" spans="1:4" x14ac:dyDescent="0.2">
      <c r="A4251" s="5">
        <v>42444</v>
      </c>
      <c r="B4251" s="1">
        <v>1.9699</v>
      </c>
      <c r="C4251" s="1">
        <v>1.7</v>
      </c>
      <c r="D4251" s="1">
        <v>2.7309999999999999</v>
      </c>
    </row>
    <row r="4252" spans="1:4" x14ac:dyDescent="0.2">
      <c r="A4252" s="5">
        <v>42445</v>
      </c>
      <c r="B4252" s="1">
        <v>1.9080999999999999</v>
      </c>
      <c r="C4252" s="1">
        <v>1.7</v>
      </c>
      <c r="D4252" s="1">
        <v>2.7105000000000001</v>
      </c>
    </row>
    <row r="4253" spans="1:4" x14ac:dyDescent="0.2">
      <c r="A4253" s="5">
        <v>42446</v>
      </c>
      <c r="B4253" s="1">
        <v>1.8957999999999999</v>
      </c>
      <c r="C4253" s="1">
        <v>1.69</v>
      </c>
      <c r="D4253" s="1">
        <v>2.6854</v>
      </c>
    </row>
    <row r="4254" spans="1:4" x14ac:dyDescent="0.2">
      <c r="A4254" s="5">
        <v>42447</v>
      </c>
      <c r="B4254" s="1">
        <v>1.8732</v>
      </c>
      <c r="C4254" s="1">
        <v>1.68</v>
      </c>
      <c r="D4254" s="1">
        <v>2.6753</v>
      </c>
    </row>
    <row r="4255" spans="1:4" x14ac:dyDescent="0.2">
      <c r="A4255" s="5">
        <v>42450</v>
      </c>
      <c r="B4255" s="1">
        <v>1.9155</v>
      </c>
      <c r="C4255" s="1">
        <v>1.66</v>
      </c>
      <c r="D4255" s="1">
        <v>2.7168999999999999</v>
      </c>
    </row>
    <row r="4256" spans="1:4" x14ac:dyDescent="0.2">
      <c r="A4256" s="5">
        <v>42451</v>
      </c>
      <c r="B4256" s="1">
        <v>1.9402999999999999</v>
      </c>
      <c r="C4256" s="1">
        <v>1.63</v>
      </c>
      <c r="D4256" s="1">
        <v>2.7223999999999999</v>
      </c>
    </row>
    <row r="4257" spans="1:4" x14ac:dyDescent="0.2">
      <c r="A4257" s="5">
        <v>42452</v>
      </c>
      <c r="B4257" s="1">
        <v>1.8786</v>
      </c>
      <c r="C4257" s="1">
        <v>1.63</v>
      </c>
      <c r="D4257" s="1">
        <v>2.6581999999999999</v>
      </c>
    </row>
    <row r="4258" spans="1:4" x14ac:dyDescent="0.2">
      <c r="A4258" s="5">
        <v>42453</v>
      </c>
      <c r="B4258" s="1">
        <v>1.9</v>
      </c>
      <c r="C4258" s="1">
        <v>1.64</v>
      </c>
      <c r="D4258" s="1">
        <v>2.673</v>
      </c>
    </row>
    <row r="4259" spans="1:4" x14ac:dyDescent="0.2">
      <c r="A4259" s="5">
        <v>42454</v>
      </c>
      <c r="B4259" s="1">
        <v>1.9</v>
      </c>
      <c r="C4259" s="1">
        <v>1.64</v>
      </c>
      <c r="D4259" s="1">
        <v>2.673</v>
      </c>
    </row>
    <row r="4260" spans="1:4" x14ac:dyDescent="0.2">
      <c r="A4260" s="5">
        <v>42457</v>
      </c>
      <c r="B4260" s="1">
        <v>1.8859999999999999</v>
      </c>
      <c r="C4260" s="1">
        <v>1.64</v>
      </c>
      <c r="D4260" s="1">
        <v>2.6566999999999998</v>
      </c>
    </row>
    <row r="4261" spans="1:4" x14ac:dyDescent="0.2">
      <c r="A4261" s="5">
        <v>42458</v>
      </c>
      <c r="B4261" s="1">
        <v>1.8035000000000001</v>
      </c>
      <c r="C4261" s="1">
        <v>1.65</v>
      </c>
      <c r="D4261" s="1">
        <v>2.5996000000000001</v>
      </c>
    </row>
    <row r="4262" spans="1:4" x14ac:dyDescent="0.2">
      <c r="A4262" s="5">
        <v>42459</v>
      </c>
      <c r="B4262" s="1">
        <v>1.8228</v>
      </c>
      <c r="C4262" s="1">
        <v>1.64</v>
      </c>
      <c r="D4262" s="1">
        <v>2.6528</v>
      </c>
    </row>
    <row r="4263" spans="1:4" x14ac:dyDescent="0.2">
      <c r="A4263" s="5">
        <v>42460</v>
      </c>
      <c r="B4263" s="1">
        <v>1.7686999999999999</v>
      </c>
      <c r="C4263" s="1">
        <v>1.63</v>
      </c>
      <c r="D4263" s="1">
        <v>2.6118999999999999</v>
      </c>
    </row>
    <row r="4264" spans="1:4" x14ac:dyDescent="0.2">
      <c r="A4264" s="5">
        <v>42461</v>
      </c>
      <c r="B4264" s="1">
        <v>1.7705</v>
      </c>
      <c r="C4264" s="1">
        <v>1.63</v>
      </c>
      <c r="D4264" s="1">
        <v>2.5996999999999999</v>
      </c>
    </row>
    <row r="4265" spans="1:4" x14ac:dyDescent="0.2">
      <c r="A4265" s="5">
        <v>42464</v>
      </c>
      <c r="B4265" s="1">
        <v>1.7618</v>
      </c>
      <c r="C4265" s="1">
        <v>1.62</v>
      </c>
      <c r="D4265" s="1">
        <v>2.5966</v>
      </c>
    </row>
    <row r="4266" spans="1:4" x14ac:dyDescent="0.2">
      <c r="A4266" s="5">
        <v>42465</v>
      </c>
      <c r="B4266" s="1">
        <v>1.7201</v>
      </c>
      <c r="C4266" s="1">
        <v>1.63</v>
      </c>
      <c r="D4266" s="1">
        <v>2.5442</v>
      </c>
    </row>
    <row r="4267" spans="1:4" x14ac:dyDescent="0.2">
      <c r="A4267" s="5">
        <v>42466</v>
      </c>
      <c r="B4267" s="1">
        <v>1.7548999999999999</v>
      </c>
      <c r="C4267" s="1">
        <v>1.62</v>
      </c>
      <c r="D4267" s="1">
        <v>2.5844</v>
      </c>
    </row>
    <row r="4268" spans="1:4" x14ac:dyDescent="0.2">
      <c r="A4268" s="5">
        <v>42467</v>
      </c>
      <c r="B4268" s="1">
        <v>1.6889000000000001</v>
      </c>
      <c r="C4268" s="1">
        <v>1.63</v>
      </c>
      <c r="D4268" s="1">
        <v>2.5148999999999999</v>
      </c>
    </row>
    <row r="4269" spans="1:4" x14ac:dyDescent="0.2">
      <c r="A4269" s="5">
        <v>42468</v>
      </c>
      <c r="B4269" s="1">
        <v>1.7166999999999999</v>
      </c>
      <c r="C4269" s="1">
        <v>1.63</v>
      </c>
      <c r="D4269" s="1">
        <v>2.5525000000000002</v>
      </c>
    </row>
    <row r="4270" spans="1:4" x14ac:dyDescent="0.2">
      <c r="A4270" s="5">
        <v>42471</v>
      </c>
      <c r="B4270" s="1">
        <v>1.7254</v>
      </c>
      <c r="C4270" s="1">
        <v>1.62</v>
      </c>
      <c r="D4270" s="1">
        <v>2.5615999999999999</v>
      </c>
    </row>
    <row r="4271" spans="1:4" x14ac:dyDescent="0.2">
      <c r="A4271" s="5">
        <v>42472</v>
      </c>
      <c r="B4271" s="1">
        <v>1.7761</v>
      </c>
      <c r="C4271" s="1">
        <v>1.61</v>
      </c>
      <c r="D4271" s="1">
        <v>2.5989</v>
      </c>
    </row>
    <row r="4272" spans="1:4" x14ac:dyDescent="0.2">
      <c r="A4272" s="5">
        <v>42473</v>
      </c>
      <c r="B4272" s="1">
        <v>1.7639</v>
      </c>
      <c r="C4272" s="1">
        <v>1.59</v>
      </c>
      <c r="D4272" s="1">
        <v>2.5836999999999999</v>
      </c>
    </row>
    <row r="4273" spans="1:4" x14ac:dyDescent="0.2">
      <c r="A4273" s="5">
        <v>42474</v>
      </c>
      <c r="B4273" s="1">
        <v>1.7919</v>
      </c>
      <c r="C4273" s="1">
        <v>1.58</v>
      </c>
      <c r="D4273" s="1">
        <v>2.6004999999999998</v>
      </c>
    </row>
    <row r="4274" spans="1:4" x14ac:dyDescent="0.2">
      <c r="A4274" s="5">
        <v>42475</v>
      </c>
      <c r="B4274" s="1">
        <v>1.7518</v>
      </c>
      <c r="C4274" s="1">
        <v>1.57</v>
      </c>
      <c r="D4274" s="1">
        <v>2.5592999999999999</v>
      </c>
    </row>
    <row r="4275" spans="1:4" x14ac:dyDescent="0.2">
      <c r="A4275" s="5">
        <v>42478</v>
      </c>
      <c r="B4275" s="1">
        <v>1.7710999999999999</v>
      </c>
      <c r="C4275" s="1">
        <v>1.57</v>
      </c>
      <c r="D4275" s="1">
        <v>2.5798999999999999</v>
      </c>
    </row>
    <row r="4276" spans="1:4" x14ac:dyDescent="0.2">
      <c r="A4276" s="5">
        <v>42479</v>
      </c>
      <c r="B4276" s="1">
        <v>1.7850999999999999</v>
      </c>
      <c r="C4276" s="1">
        <v>1.54</v>
      </c>
      <c r="D4276" s="1">
        <v>2.5935999999999999</v>
      </c>
    </row>
    <row r="4277" spans="1:4" x14ac:dyDescent="0.2">
      <c r="A4277" s="5">
        <v>42480</v>
      </c>
      <c r="B4277" s="1">
        <v>1.845</v>
      </c>
      <c r="C4277" s="1">
        <v>1.51</v>
      </c>
      <c r="D4277" s="1">
        <v>2.6537999999999999</v>
      </c>
    </row>
    <row r="4278" spans="1:4" x14ac:dyDescent="0.2">
      <c r="A4278" s="5">
        <v>42481</v>
      </c>
      <c r="B4278" s="1">
        <v>1.861</v>
      </c>
      <c r="C4278" s="1">
        <v>1.48</v>
      </c>
      <c r="D4278" s="1">
        <v>2.6842000000000001</v>
      </c>
    </row>
    <row r="4279" spans="1:4" x14ac:dyDescent="0.2">
      <c r="A4279" s="5">
        <v>42482</v>
      </c>
      <c r="B4279" s="1">
        <v>1.8877999999999999</v>
      </c>
      <c r="C4279" s="1">
        <v>1.47</v>
      </c>
      <c r="D4279" s="1">
        <v>2.7069999999999999</v>
      </c>
    </row>
    <row r="4280" spans="1:4" x14ac:dyDescent="0.2">
      <c r="A4280" s="5">
        <v>42485</v>
      </c>
      <c r="B4280" s="1">
        <v>1.9128000000000001</v>
      </c>
      <c r="C4280" s="1">
        <v>1.47</v>
      </c>
      <c r="D4280" s="1">
        <v>2.7332000000000001</v>
      </c>
    </row>
    <row r="4281" spans="1:4" x14ac:dyDescent="0.2">
      <c r="A4281" s="5">
        <v>42486</v>
      </c>
      <c r="B4281" s="1">
        <v>1.9271</v>
      </c>
      <c r="C4281" s="1">
        <v>1.46</v>
      </c>
      <c r="D4281" s="1">
        <v>2.7538999999999998</v>
      </c>
    </row>
    <row r="4282" spans="1:4" x14ac:dyDescent="0.2">
      <c r="A4282" s="5">
        <v>42487</v>
      </c>
      <c r="B4282" s="1">
        <v>1.8508</v>
      </c>
      <c r="C4282" s="1">
        <v>1.45</v>
      </c>
      <c r="D4282" s="1">
        <v>2.7008000000000001</v>
      </c>
    </row>
    <row r="4283" spans="1:4" x14ac:dyDescent="0.2">
      <c r="A4283" s="5">
        <v>42488</v>
      </c>
      <c r="B4283" s="1">
        <v>1.8243</v>
      </c>
      <c r="C4283" s="1">
        <v>1.46</v>
      </c>
      <c r="D4283" s="1">
        <v>2.6796000000000002</v>
      </c>
    </row>
    <row r="4284" spans="1:4" x14ac:dyDescent="0.2">
      <c r="A4284" s="5">
        <v>42489</v>
      </c>
      <c r="B4284" s="1">
        <v>1.8332999999999999</v>
      </c>
      <c r="C4284" s="1">
        <v>1.46</v>
      </c>
      <c r="D4284" s="1">
        <v>2.6781000000000001</v>
      </c>
    </row>
    <row r="4285" spans="1:4" x14ac:dyDescent="0.2">
      <c r="A4285" s="5">
        <v>42492</v>
      </c>
      <c r="B4285" s="1">
        <v>1.8723000000000001</v>
      </c>
      <c r="C4285" s="1">
        <v>1.46</v>
      </c>
      <c r="D4285" s="1">
        <v>2.7244999999999999</v>
      </c>
    </row>
    <row r="4286" spans="1:4" x14ac:dyDescent="0.2">
      <c r="A4286" s="5">
        <v>42493</v>
      </c>
      <c r="B4286" s="1">
        <v>1.7963</v>
      </c>
      <c r="C4286" s="1">
        <v>1.47</v>
      </c>
      <c r="D4286" s="1">
        <v>2.6577999999999999</v>
      </c>
    </row>
    <row r="4287" spans="1:4" x14ac:dyDescent="0.2">
      <c r="A4287" s="5">
        <v>42494</v>
      </c>
      <c r="B4287" s="1">
        <v>1.7751999999999999</v>
      </c>
      <c r="C4287" s="1">
        <v>1.49</v>
      </c>
      <c r="D4287" s="1">
        <v>2.6322000000000001</v>
      </c>
    </row>
    <row r="4288" spans="1:4" x14ac:dyDescent="0.2">
      <c r="A4288" s="5">
        <v>42495</v>
      </c>
      <c r="B4288" s="1">
        <v>1.7453000000000001</v>
      </c>
      <c r="C4288" s="1">
        <v>1.5</v>
      </c>
      <c r="D4288" s="1">
        <v>2.6029</v>
      </c>
    </row>
    <row r="4289" spans="1:4" x14ac:dyDescent="0.2">
      <c r="A4289" s="5">
        <v>42496</v>
      </c>
      <c r="B4289" s="1">
        <v>1.7788999999999999</v>
      </c>
      <c r="C4289" s="1">
        <v>1.51</v>
      </c>
      <c r="D4289" s="1">
        <v>2.6276000000000002</v>
      </c>
    </row>
    <row r="4290" spans="1:4" x14ac:dyDescent="0.2">
      <c r="A4290" s="5">
        <v>42499</v>
      </c>
      <c r="B4290" s="1">
        <v>1.7506999999999999</v>
      </c>
      <c r="C4290" s="1">
        <v>1.52</v>
      </c>
      <c r="D4290" s="1">
        <v>2.6082999999999998</v>
      </c>
    </row>
    <row r="4291" spans="1:4" x14ac:dyDescent="0.2">
      <c r="A4291" s="5">
        <v>42500</v>
      </c>
      <c r="B4291" s="1">
        <v>1.7613000000000001</v>
      </c>
      <c r="C4291" s="1">
        <v>1.52</v>
      </c>
      <c r="D4291" s="1">
        <v>2.6122000000000001</v>
      </c>
    </row>
    <row r="4292" spans="1:4" x14ac:dyDescent="0.2">
      <c r="A4292" s="5">
        <v>42501</v>
      </c>
      <c r="B4292" s="1">
        <v>1.7366999999999999</v>
      </c>
      <c r="C4292" s="1">
        <v>1.51</v>
      </c>
      <c r="D4292" s="1">
        <v>2.5807000000000002</v>
      </c>
    </row>
    <row r="4293" spans="1:4" x14ac:dyDescent="0.2">
      <c r="A4293" s="5">
        <v>42502</v>
      </c>
      <c r="B4293" s="1">
        <v>1.7516</v>
      </c>
      <c r="C4293" s="1">
        <v>1.52</v>
      </c>
      <c r="D4293" s="1">
        <v>2.5983000000000001</v>
      </c>
    </row>
    <row r="4294" spans="1:4" x14ac:dyDescent="0.2">
      <c r="A4294" s="5">
        <v>42503</v>
      </c>
      <c r="B4294" s="1">
        <v>1.7000999999999999</v>
      </c>
      <c r="C4294" s="1">
        <v>1.51</v>
      </c>
      <c r="D4294" s="1">
        <v>2.5486</v>
      </c>
    </row>
    <row r="4295" spans="1:4" x14ac:dyDescent="0.2">
      <c r="A4295" s="5">
        <v>42506</v>
      </c>
      <c r="B4295" s="1">
        <v>1.7533000000000001</v>
      </c>
      <c r="C4295" s="1">
        <v>1.51</v>
      </c>
      <c r="D4295" s="1">
        <v>2.5956000000000001</v>
      </c>
    </row>
    <row r="4296" spans="1:4" x14ac:dyDescent="0.2">
      <c r="A4296" s="5">
        <v>42507</v>
      </c>
      <c r="B4296" s="1">
        <v>1.7723</v>
      </c>
      <c r="C4296" s="1">
        <v>1.51</v>
      </c>
      <c r="D4296" s="1">
        <v>2.5994000000000002</v>
      </c>
    </row>
    <row r="4297" spans="1:4" x14ac:dyDescent="0.2">
      <c r="A4297" s="5">
        <v>42508</v>
      </c>
      <c r="B4297" s="1">
        <v>1.8537999999999999</v>
      </c>
      <c r="C4297" s="1">
        <v>1.51</v>
      </c>
      <c r="D4297" s="1">
        <v>2.6595</v>
      </c>
    </row>
    <row r="4298" spans="1:4" x14ac:dyDescent="0.2">
      <c r="A4298" s="5">
        <v>42509</v>
      </c>
      <c r="B4298" s="1">
        <v>1.8487</v>
      </c>
      <c r="C4298" s="1">
        <v>1.52</v>
      </c>
      <c r="D4298" s="1">
        <v>2.6417000000000002</v>
      </c>
    </row>
    <row r="4299" spans="1:4" x14ac:dyDescent="0.2">
      <c r="A4299" s="5">
        <v>42510</v>
      </c>
      <c r="B4299" s="1">
        <v>1.8384</v>
      </c>
      <c r="C4299" s="1">
        <v>1.52</v>
      </c>
      <c r="D4299" s="1">
        <v>2.6286</v>
      </c>
    </row>
    <row r="4300" spans="1:4" x14ac:dyDescent="0.2">
      <c r="A4300" s="5">
        <v>42513</v>
      </c>
      <c r="B4300" s="1">
        <v>1.835</v>
      </c>
      <c r="C4300" s="1">
        <v>1.52</v>
      </c>
      <c r="D4300" s="1">
        <v>2.6232000000000002</v>
      </c>
    </row>
    <row r="4301" spans="1:4" x14ac:dyDescent="0.2">
      <c r="A4301" s="5">
        <v>42514</v>
      </c>
      <c r="B4301" s="1">
        <v>1.8629</v>
      </c>
      <c r="C4301" s="1">
        <v>1.52</v>
      </c>
      <c r="D4301" s="1">
        <v>2.6440000000000001</v>
      </c>
    </row>
    <row r="4302" spans="1:4" x14ac:dyDescent="0.2">
      <c r="A4302" s="5">
        <v>42515</v>
      </c>
      <c r="B4302" s="1">
        <v>1.8664000000000001</v>
      </c>
      <c r="C4302" s="1">
        <v>1.5</v>
      </c>
      <c r="D4302" s="1">
        <v>2.6634000000000002</v>
      </c>
    </row>
    <row r="4303" spans="1:4" x14ac:dyDescent="0.2">
      <c r="A4303" s="5">
        <v>42516</v>
      </c>
      <c r="B4303" s="1">
        <v>1.8282</v>
      </c>
      <c r="C4303" s="1">
        <v>1.49</v>
      </c>
      <c r="D4303" s="1">
        <v>2.6408999999999998</v>
      </c>
    </row>
    <row r="4304" spans="1:4" x14ac:dyDescent="0.2">
      <c r="A4304" s="5">
        <v>42517</v>
      </c>
      <c r="B4304" s="1">
        <v>1.851</v>
      </c>
      <c r="C4304" s="1">
        <v>1.49</v>
      </c>
      <c r="D4304" s="1">
        <v>2.6463999999999999</v>
      </c>
    </row>
    <row r="4305" spans="1:4" x14ac:dyDescent="0.2">
      <c r="A4305" s="5">
        <v>42520</v>
      </c>
      <c r="B4305" s="1">
        <v>1.851</v>
      </c>
      <c r="C4305" s="1">
        <v>1.49</v>
      </c>
      <c r="D4305" s="1">
        <v>2.6463999999999999</v>
      </c>
    </row>
    <row r="4306" spans="1:4" x14ac:dyDescent="0.2">
      <c r="A4306" s="5">
        <v>42521</v>
      </c>
      <c r="B4306" s="1">
        <v>1.8458000000000001</v>
      </c>
      <c r="C4306" s="1">
        <v>1.49</v>
      </c>
      <c r="D4306" s="1">
        <v>2.6478999999999999</v>
      </c>
    </row>
    <row r="4307" spans="1:4" x14ac:dyDescent="0.2">
      <c r="A4307" s="5">
        <v>42522</v>
      </c>
      <c r="B4307" s="1">
        <v>1.8353999999999999</v>
      </c>
      <c r="C4307" s="1">
        <v>1.5</v>
      </c>
      <c r="D4307" s="1">
        <v>2.6164000000000001</v>
      </c>
    </row>
    <row r="4308" spans="1:4" x14ac:dyDescent="0.2">
      <c r="A4308" s="5">
        <v>42523</v>
      </c>
      <c r="B4308" s="1">
        <v>1.7988999999999999</v>
      </c>
      <c r="C4308" s="1">
        <v>1.5</v>
      </c>
      <c r="D4308" s="1">
        <v>2.5804999999999998</v>
      </c>
    </row>
    <row r="4309" spans="1:4" x14ac:dyDescent="0.2">
      <c r="A4309" s="5">
        <v>42524</v>
      </c>
      <c r="B4309" s="1">
        <v>1.7003999999999999</v>
      </c>
      <c r="C4309" s="1">
        <v>1.51</v>
      </c>
      <c r="D4309" s="1">
        <v>2.5097</v>
      </c>
    </row>
    <row r="4310" spans="1:4" x14ac:dyDescent="0.2">
      <c r="A4310" s="5">
        <v>42527</v>
      </c>
      <c r="B4310" s="1">
        <v>1.7366999999999999</v>
      </c>
      <c r="C4310" s="1">
        <v>1.51</v>
      </c>
      <c r="D4310" s="1">
        <v>2.5569999999999999</v>
      </c>
    </row>
    <row r="4311" spans="1:4" x14ac:dyDescent="0.2">
      <c r="A4311" s="5">
        <v>42528</v>
      </c>
      <c r="B4311" s="1">
        <v>1.7177</v>
      </c>
      <c r="C4311" s="1">
        <v>1.5</v>
      </c>
      <c r="D4311" s="1">
        <v>2.5419</v>
      </c>
    </row>
    <row r="4312" spans="1:4" x14ac:dyDescent="0.2">
      <c r="A4312" s="5">
        <v>42529</v>
      </c>
      <c r="B4312" s="1">
        <v>1.7021999999999999</v>
      </c>
      <c r="C4312" s="1">
        <v>1.49</v>
      </c>
      <c r="D4312" s="1">
        <v>2.5082</v>
      </c>
    </row>
    <row r="4313" spans="1:4" x14ac:dyDescent="0.2">
      <c r="A4313" s="5">
        <v>42530</v>
      </c>
      <c r="B4313" s="1">
        <v>1.6867000000000001</v>
      </c>
      <c r="C4313" s="1">
        <v>1.49</v>
      </c>
      <c r="D4313" s="1">
        <v>2.4872999999999998</v>
      </c>
    </row>
    <row r="4314" spans="1:4" x14ac:dyDescent="0.2">
      <c r="A4314" s="5">
        <v>42531</v>
      </c>
      <c r="B4314" s="1">
        <v>1.6404000000000001</v>
      </c>
      <c r="C4314" s="1">
        <v>1.51</v>
      </c>
      <c r="D4314" s="1">
        <v>2.4510999999999998</v>
      </c>
    </row>
    <row r="4315" spans="1:4" x14ac:dyDescent="0.2">
      <c r="A4315" s="5">
        <v>42534</v>
      </c>
      <c r="B4315" s="1">
        <v>1.6095999999999999</v>
      </c>
      <c r="C4315" s="1">
        <v>1.53</v>
      </c>
      <c r="D4315" s="1">
        <v>2.4262000000000001</v>
      </c>
    </row>
    <row r="4316" spans="1:4" x14ac:dyDescent="0.2">
      <c r="A4316" s="5">
        <v>42535</v>
      </c>
      <c r="B4316" s="1">
        <v>1.613</v>
      </c>
      <c r="C4316" s="1">
        <v>1.56</v>
      </c>
      <c r="D4316" s="1">
        <v>2.4232999999999998</v>
      </c>
    </row>
    <row r="4317" spans="1:4" x14ac:dyDescent="0.2">
      <c r="A4317" s="5">
        <v>42536</v>
      </c>
      <c r="B4317" s="1">
        <v>1.5720000000000001</v>
      </c>
      <c r="C4317" s="1">
        <v>1.55</v>
      </c>
      <c r="D4317" s="1">
        <v>2.4064999999999999</v>
      </c>
    </row>
    <row r="4318" spans="1:4" x14ac:dyDescent="0.2">
      <c r="A4318" s="5">
        <v>42537</v>
      </c>
      <c r="B4318" s="1">
        <v>1.5788</v>
      </c>
      <c r="C4318" s="1">
        <v>1.56</v>
      </c>
      <c r="D4318" s="1">
        <v>2.3963000000000001</v>
      </c>
    </row>
    <row r="4319" spans="1:4" x14ac:dyDescent="0.2">
      <c r="A4319" s="5">
        <v>42538</v>
      </c>
      <c r="B4319" s="1">
        <v>1.6077999999999999</v>
      </c>
      <c r="C4319" s="1">
        <v>1.56</v>
      </c>
      <c r="D4319" s="1">
        <v>2.4196</v>
      </c>
    </row>
    <row r="4320" spans="1:4" x14ac:dyDescent="0.2">
      <c r="A4320" s="5">
        <v>42541</v>
      </c>
      <c r="B4320" s="1">
        <v>1.6886000000000001</v>
      </c>
      <c r="C4320" s="1">
        <v>1.52</v>
      </c>
      <c r="D4320" s="1">
        <v>2.4954999999999998</v>
      </c>
    </row>
    <row r="4321" spans="1:4" x14ac:dyDescent="0.2">
      <c r="A4321" s="5">
        <v>42542</v>
      </c>
      <c r="B4321" s="1">
        <v>1.7059</v>
      </c>
      <c r="C4321" s="1">
        <v>1.51</v>
      </c>
      <c r="D4321" s="1">
        <v>2.5118999999999998</v>
      </c>
    </row>
    <row r="4322" spans="1:4" x14ac:dyDescent="0.2">
      <c r="A4322" s="5">
        <v>42543</v>
      </c>
      <c r="B4322" s="1">
        <v>1.6852</v>
      </c>
      <c r="C4322" s="1">
        <v>1.51</v>
      </c>
      <c r="D4322" s="1">
        <v>2.4998999999999998</v>
      </c>
    </row>
    <row r="4323" spans="1:4" x14ac:dyDescent="0.2">
      <c r="A4323" s="5">
        <v>42544</v>
      </c>
      <c r="B4323" s="1">
        <v>1.7458</v>
      </c>
      <c r="C4323" s="1">
        <v>1.48</v>
      </c>
      <c r="D4323" s="1">
        <v>2.5547</v>
      </c>
    </row>
    <row r="4324" spans="1:4" x14ac:dyDescent="0.2">
      <c r="A4324" s="5">
        <v>42545</v>
      </c>
      <c r="B4324" s="1">
        <v>1.5599000000000001</v>
      </c>
      <c r="C4324" s="1">
        <v>1.58</v>
      </c>
      <c r="D4324" s="1">
        <v>2.4100999999999999</v>
      </c>
    </row>
    <row r="4325" spans="1:4" x14ac:dyDescent="0.2">
      <c r="A4325" s="5">
        <v>42548</v>
      </c>
      <c r="B4325" s="1">
        <v>1.4377</v>
      </c>
      <c r="C4325" s="1">
        <v>1.59</v>
      </c>
      <c r="D4325" s="1">
        <v>2.2644000000000002</v>
      </c>
    </row>
    <row r="4326" spans="1:4" x14ac:dyDescent="0.2">
      <c r="A4326" s="5">
        <v>42549</v>
      </c>
      <c r="B4326" s="1">
        <v>1.4663999999999999</v>
      </c>
      <c r="C4326" s="1">
        <v>1.59</v>
      </c>
      <c r="D4326" s="1">
        <v>2.2749000000000001</v>
      </c>
    </row>
    <row r="4327" spans="1:4" x14ac:dyDescent="0.2">
      <c r="A4327" s="5">
        <v>42550</v>
      </c>
      <c r="B4327" s="1">
        <v>1.5155000000000001</v>
      </c>
      <c r="C4327" s="1">
        <v>1.56</v>
      </c>
      <c r="D4327" s="1">
        <v>2.3187000000000002</v>
      </c>
    </row>
    <row r="4328" spans="1:4" x14ac:dyDescent="0.2">
      <c r="A4328" s="5">
        <v>42551</v>
      </c>
      <c r="B4328" s="1">
        <v>1.4697</v>
      </c>
      <c r="C4328" s="1">
        <v>1.56</v>
      </c>
      <c r="D4328" s="1">
        <v>2.2847</v>
      </c>
    </row>
    <row r="4329" spans="1:4" x14ac:dyDescent="0.2">
      <c r="A4329" s="5">
        <v>42552</v>
      </c>
      <c r="B4329" s="1">
        <v>1.4440999999999999</v>
      </c>
      <c r="C4329" s="1">
        <v>1.55</v>
      </c>
      <c r="D4329" s="1">
        <v>2.2252999999999998</v>
      </c>
    </row>
    <row r="4330" spans="1:4" x14ac:dyDescent="0.2">
      <c r="A4330" s="5">
        <v>42555</v>
      </c>
      <c r="B4330" s="1">
        <v>1.4440999999999999</v>
      </c>
      <c r="C4330" s="1">
        <v>1.55</v>
      </c>
      <c r="D4330" s="1">
        <v>2.2252999999999998</v>
      </c>
    </row>
    <row r="4331" spans="1:4" x14ac:dyDescent="0.2">
      <c r="A4331" s="5">
        <v>42556</v>
      </c>
      <c r="B4331" s="1">
        <v>1.375</v>
      </c>
      <c r="C4331" s="1">
        <v>1.55</v>
      </c>
      <c r="D4331" s="1">
        <v>2.1545000000000001</v>
      </c>
    </row>
    <row r="4332" spans="1:4" x14ac:dyDescent="0.2">
      <c r="A4332" s="5">
        <v>42557</v>
      </c>
      <c r="B4332" s="1">
        <v>1.3682000000000001</v>
      </c>
      <c r="C4332" s="1">
        <v>1.55</v>
      </c>
      <c r="D4332" s="1">
        <v>2.1375000000000002</v>
      </c>
    </row>
    <row r="4333" spans="1:4" x14ac:dyDescent="0.2">
      <c r="A4333" s="5">
        <v>42558</v>
      </c>
      <c r="B4333" s="1">
        <v>1.385</v>
      </c>
      <c r="C4333" s="1">
        <v>1.53</v>
      </c>
      <c r="D4333" s="1">
        <v>2.1347999999999998</v>
      </c>
    </row>
    <row r="4334" spans="1:4" x14ac:dyDescent="0.2">
      <c r="A4334" s="5">
        <v>42559</v>
      </c>
      <c r="B4334" s="1">
        <v>1.3579000000000001</v>
      </c>
      <c r="C4334" s="1">
        <v>1.51</v>
      </c>
      <c r="D4334" s="1">
        <v>2.0983000000000001</v>
      </c>
    </row>
    <row r="4335" spans="1:4" x14ac:dyDescent="0.2">
      <c r="A4335" s="5">
        <v>42562</v>
      </c>
      <c r="B4335" s="1">
        <v>1.4302999999999999</v>
      </c>
      <c r="C4335" s="1">
        <v>1.49</v>
      </c>
      <c r="D4335" s="1">
        <v>2.1394000000000002</v>
      </c>
    </row>
    <row r="4336" spans="1:4" x14ac:dyDescent="0.2">
      <c r="A4336" s="5">
        <v>42563</v>
      </c>
      <c r="B4336" s="1">
        <v>1.51</v>
      </c>
      <c r="C4336" s="1">
        <v>1.46</v>
      </c>
      <c r="D4336" s="1">
        <v>2.2237</v>
      </c>
    </row>
    <row r="4337" spans="1:4" x14ac:dyDescent="0.2">
      <c r="A4337" s="5">
        <v>42564</v>
      </c>
      <c r="B4337" s="1">
        <v>1.4742999999999999</v>
      </c>
      <c r="C4337" s="1">
        <v>1.45</v>
      </c>
      <c r="D4337" s="1">
        <v>2.1720999999999999</v>
      </c>
    </row>
    <row r="4338" spans="1:4" x14ac:dyDescent="0.2">
      <c r="A4338" s="5">
        <v>42565</v>
      </c>
      <c r="B4338" s="1">
        <v>1.5356000000000001</v>
      </c>
      <c r="C4338" s="1">
        <v>1.44</v>
      </c>
      <c r="D4338" s="1">
        <v>2.2523</v>
      </c>
    </row>
    <row r="4339" spans="1:4" x14ac:dyDescent="0.2">
      <c r="A4339" s="5">
        <v>42566</v>
      </c>
      <c r="B4339" s="1">
        <v>1.5508999999999999</v>
      </c>
      <c r="C4339" s="1">
        <v>1.44</v>
      </c>
      <c r="D4339" s="1">
        <v>2.2654999999999998</v>
      </c>
    </row>
    <row r="4340" spans="1:4" x14ac:dyDescent="0.2">
      <c r="A4340" s="5">
        <v>42569</v>
      </c>
      <c r="B4340" s="1">
        <v>1.5818000000000001</v>
      </c>
      <c r="C4340" s="1">
        <v>1.43</v>
      </c>
      <c r="D4340" s="1">
        <v>2.2944</v>
      </c>
    </row>
    <row r="4341" spans="1:4" x14ac:dyDescent="0.2">
      <c r="A4341" s="5">
        <v>42570</v>
      </c>
      <c r="B4341" s="1">
        <v>1.5526</v>
      </c>
      <c r="C4341" s="1">
        <v>1.43</v>
      </c>
      <c r="D4341" s="1">
        <v>2.2669000000000001</v>
      </c>
    </row>
    <row r="4342" spans="1:4" x14ac:dyDescent="0.2">
      <c r="A4342" s="5">
        <v>42571</v>
      </c>
      <c r="B4342" s="1">
        <v>1.5801000000000001</v>
      </c>
      <c r="C4342" s="1">
        <v>1.42</v>
      </c>
      <c r="D4342" s="1">
        <v>2.2978999999999998</v>
      </c>
    </row>
    <row r="4343" spans="1:4" x14ac:dyDescent="0.2">
      <c r="A4343" s="5">
        <v>42572</v>
      </c>
      <c r="B4343" s="1">
        <v>1.556</v>
      </c>
      <c r="C4343" s="1">
        <v>1.41</v>
      </c>
      <c r="D4343" s="1">
        <v>2.2907999999999999</v>
      </c>
    </row>
    <row r="4344" spans="1:4" x14ac:dyDescent="0.2">
      <c r="A4344" s="5">
        <v>42573</v>
      </c>
      <c r="B4344" s="1">
        <v>1.5663</v>
      </c>
      <c r="C4344" s="1">
        <v>1.41</v>
      </c>
      <c r="D4344" s="1">
        <v>2.2829999999999999</v>
      </c>
    </row>
    <row r="4345" spans="1:4" x14ac:dyDescent="0.2">
      <c r="A4345" s="5">
        <v>42576</v>
      </c>
      <c r="B4345" s="1">
        <v>1.5730999999999999</v>
      </c>
      <c r="C4345" s="1">
        <v>1.41</v>
      </c>
      <c r="D4345" s="1">
        <v>2.2871999999999999</v>
      </c>
    </row>
    <row r="4346" spans="1:4" x14ac:dyDescent="0.2">
      <c r="A4346" s="5">
        <v>42577</v>
      </c>
      <c r="B4346" s="1">
        <v>1.5610999999999999</v>
      </c>
      <c r="C4346" s="1">
        <v>1.42</v>
      </c>
      <c r="D4346" s="1">
        <v>2.2829999999999999</v>
      </c>
    </row>
    <row r="4347" spans="1:4" x14ac:dyDescent="0.2">
      <c r="A4347" s="5">
        <v>42578</v>
      </c>
      <c r="B4347" s="1">
        <v>1.4976</v>
      </c>
      <c r="C4347" s="1">
        <v>1.43</v>
      </c>
      <c r="D4347" s="1">
        <v>2.2109999999999999</v>
      </c>
    </row>
    <row r="4348" spans="1:4" x14ac:dyDescent="0.2">
      <c r="A4348" s="5">
        <v>42579</v>
      </c>
      <c r="B4348" s="1">
        <v>1.5044</v>
      </c>
      <c r="C4348" s="1">
        <v>1.44</v>
      </c>
      <c r="D4348" s="1">
        <v>2.2317999999999998</v>
      </c>
    </row>
    <row r="4349" spans="1:4" x14ac:dyDescent="0.2">
      <c r="A4349" s="5">
        <v>42580</v>
      </c>
      <c r="B4349" s="1">
        <v>1.4531000000000001</v>
      </c>
      <c r="C4349" s="1">
        <v>1.45</v>
      </c>
      <c r="D4349" s="1">
        <v>2.1827000000000001</v>
      </c>
    </row>
    <row r="4350" spans="1:4" x14ac:dyDescent="0.2">
      <c r="A4350" s="5">
        <v>42583</v>
      </c>
      <c r="B4350" s="1">
        <v>1.5214000000000001</v>
      </c>
      <c r="C4350" s="1">
        <v>1.46</v>
      </c>
      <c r="D4350" s="1">
        <v>2.2694999999999999</v>
      </c>
    </row>
    <row r="4351" spans="1:4" x14ac:dyDescent="0.2">
      <c r="A4351" s="5">
        <v>42584</v>
      </c>
      <c r="B4351" s="1">
        <v>1.5558000000000001</v>
      </c>
      <c r="C4351" s="1">
        <v>1.47</v>
      </c>
      <c r="D4351" s="1">
        <v>2.3069000000000002</v>
      </c>
    </row>
    <row r="4352" spans="1:4" x14ac:dyDescent="0.2">
      <c r="A4352" s="5">
        <v>42585</v>
      </c>
      <c r="B4352" s="1">
        <v>1.542</v>
      </c>
      <c r="C4352" s="1">
        <v>1.47</v>
      </c>
      <c r="D4352" s="1">
        <v>2.2963</v>
      </c>
    </row>
    <row r="4353" spans="1:4" x14ac:dyDescent="0.2">
      <c r="A4353" s="5">
        <v>42586</v>
      </c>
      <c r="B4353" s="1">
        <v>1.5007999999999999</v>
      </c>
      <c r="C4353" s="1">
        <v>1.46</v>
      </c>
      <c r="D4353" s="1">
        <v>2.254</v>
      </c>
    </row>
    <row r="4354" spans="1:4" x14ac:dyDescent="0.2">
      <c r="A4354" s="5">
        <v>42587</v>
      </c>
      <c r="B4354" s="1">
        <v>1.5885</v>
      </c>
      <c r="C4354" s="1">
        <v>1.45</v>
      </c>
      <c r="D4354" s="1">
        <v>2.3140000000000001</v>
      </c>
    </row>
    <row r="4355" spans="1:4" x14ac:dyDescent="0.2">
      <c r="A4355" s="5">
        <v>42590</v>
      </c>
      <c r="B4355" s="1">
        <v>1.5920000000000001</v>
      </c>
      <c r="C4355" s="1">
        <v>1.43</v>
      </c>
      <c r="D4355" s="1">
        <v>2.3090000000000002</v>
      </c>
    </row>
    <row r="4356" spans="1:4" x14ac:dyDescent="0.2">
      <c r="A4356" s="5">
        <v>42591</v>
      </c>
      <c r="B4356" s="1">
        <v>1.5469999999999999</v>
      </c>
      <c r="C4356" s="1">
        <v>1.42</v>
      </c>
      <c r="D4356" s="1">
        <v>2.2616999999999998</v>
      </c>
    </row>
    <row r="4357" spans="1:4" x14ac:dyDescent="0.2">
      <c r="A4357" s="5">
        <v>42592</v>
      </c>
      <c r="B4357" s="1">
        <v>1.5074000000000001</v>
      </c>
      <c r="C4357" s="1">
        <v>1.42</v>
      </c>
      <c r="D4357" s="1">
        <v>2.2273999999999998</v>
      </c>
    </row>
    <row r="4358" spans="1:4" x14ac:dyDescent="0.2">
      <c r="A4358" s="5">
        <v>42593</v>
      </c>
      <c r="B4358" s="1">
        <v>1.5592999999999999</v>
      </c>
      <c r="C4358" s="1">
        <v>1.41</v>
      </c>
      <c r="D4358" s="1">
        <v>2.2722000000000002</v>
      </c>
    </row>
    <row r="4359" spans="1:4" x14ac:dyDescent="0.2">
      <c r="A4359" s="5">
        <v>42594</v>
      </c>
      <c r="B4359" s="1">
        <v>1.5135000000000001</v>
      </c>
      <c r="C4359" s="1">
        <v>1.41</v>
      </c>
      <c r="D4359" s="1">
        <v>2.2305999999999999</v>
      </c>
    </row>
    <row r="4360" spans="1:4" x14ac:dyDescent="0.2">
      <c r="A4360" s="5">
        <v>42597</v>
      </c>
      <c r="B4360" s="1">
        <v>1.5576000000000001</v>
      </c>
      <c r="C4360" s="1">
        <v>1.4</v>
      </c>
      <c r="D4360" s="1">
        <v>2.2825000000000002</v>
      </c>
    </row>
    <row r="4361" spans="1:4" x14ac:dyDescent="0.2">
      <c r="A4361" s="5">
        <v>42598</v>
      </c>
      <c r="B4361" s="1">
        <v>1.5746</v>
      </c>
      <c r="C4361" s="1">
        <v>1.39</v>
      </c>
      <c r="D4361" s="1">
        <v>2.2978000000000001</v>
      </c>
    </row>
    <row r="4362" spans="1:4" x14ac:dyDescent="0.2">
      <c r="A4362" s="5">
        <v>42599</v>
      </c>
      <c r="B4362" s="1">
        <v>1.5490999999999999</v>
      </c>
      <c r="C4362" s="1">
        <v>1.38</v>
      </c>
      <c r="D4362" s="1">
        <v>2.2593999999999999</v>
      </c>
    </row>
    <row r="4363" spans="1:4" x14ac:dyDescent="0.2">
      <c r="A4363" s="5">
        <v>42600</v>
      </c>
      <c r="B4363" s="1">
        <v>1.5356000000000001</v>
      </c>
      <c r="C4363" s="1">
        <v>1.38</v>
      </c>
      <c r="D4363" s="1">
        <v>2.2601</v>
      </c>
    </row>
    <row r="4364" spans="1:4" x14ac:dyDescent="0.2">
      <c r="A4364" s="5">
        <v>42601</v>
      </c>
      <c r="B4364" s="1">
        <v>1.5781000000000001</v>
      </c>
      <c r="C4364" s="1">
        <v>1.37</v>
      </c>
      <c r="D4364" s="1">
        <v>2.2869000000000002</v>
      </c>
    </row>
    <row r="4365" spans="1:4" x14ac:dyDescent="0.2">
      <c r="A4365" s="5">
        <v>42604</v>
      </c>
      <c r="B4365" s="1">
        <v>1.5424</v>
      </c>
      <c r="C4365" s="1">
        <v>1.37</v>
      </c>
      <c r="D4365" s="1">
        <v>2.2370999999999999</v>
      </c>
    </row>
    <row r="4366" spans="1:4" x14ac:dyDescent="0.2">
      <c r="A4366" s="5">
        <v>42605</v>
      </c>
      <c r="B4366" s="1">
        <v>1.5458000000000001</v>
      </c>
      <c r="C4366" s="1">
        <v>1.36</v>
      </c>
      <c r="D4366" s="1">
        <v>2.2292000000000001</v>
      </c>
    </row>
    <row r="4367" spans="1:4" x14ac:dyDescent="0.2">
      <c r="A4367" s="5">
        <v>42606</v>
      </c>
      <c r="B4367" s="1">
        <v>1.5610999999999999</v>
      </c>
      <c r="C4367" s="1">
        <v>1.36</v>
      </c>
      <c r="D4367" s="1">
        <v>2.2471000000000001</v>
      </c>
    </row>
    <row r="4368" spans="1:4" x14ac:dyDescent="0.2">
      <c r="A4368" s="5">
        <v>42607</v>
      </c>
      <c r="B4368" s="1">
        <v>1.5730999999999999</v>
      </c>
      <c r="C4368" s="1">
        <v>1.36</v>
      </c>
      <c r="D4368" s="1">
        <v>2.2629999999999999</v>
      </c>
    </row>
    <row r="4369" spans="1:4" x14ac:dyDescent="0.2">
      <c r="A4369" s="5">
        <v>42608</v>
      </c>
      <c r="B4369" s="1">
        <v>1.6295999999999999</v>
      </c>
      <c r="C4369" s="1">
        <v>1.35</v>
      </c>
      <c r="D4369" s="1">
        <v>2.2869000000000002</v>
      </c>
    </row>
    <row r="4370" spans="1:4" x14ac:dyDescent="0.2">
      <c r="A4370" s="5">
        <v>42611</v>
      </c>
      <c r="B4370" s="1">
        <v>1.5595000000000001</v>
      </c>
      <c r="C4370" s="1">
        <v>1.35</v>
      </c>
      <c r="D4370" s="1">
        <v>2.2141999999999999</v>
      </c>
    </row>
    <row r="4371" spans="1:4" x14ac:dyDescent="0.2">
      <c r="A4371" s="5">
        <v>42612</v>
      </c>
      <c r="B4371" s="1">
        <v>1.5663</v>
      </c>
      <c r="C4371" s="1">
        <v>1.35</v>
      </c>
      <c r="D4371" s="1">
        <v>2.2292000000000001</v>
      </c>
    </row>
    <row r="4372" spans="1:4" x14ac:dyDescent="0.2">
      <c r="A4372" s="5">
        <v>42613</v>
      </c>
      <c r="B4372" s="1">
        <v>1.58</v>
      </c>
      <c r="C4372" s="1">
        <v>1.35</v>
      </c>
      <c r="D4372" s="1">
        <v>2.2320000000000002</v>
      </c>
    </row>
    <row r="4373" spans="1:4" x14ac:dyDescent="0.2">
      <c r="A4373" s="5">
        <v>42614</v>
      </c>
      <c r="B4373" s="1">
        <v>1.5681</v>
      </c>
      <c r="C4373" s="1">
        <v>1.36</v>
      </c>
      <c r="D4373" s="1">
        <v>2.2299000000000002</v>
      </c>
    </row>
    <row r="4374" spans="1:4" x14ac:dyDescent="0.2">
      <c r="A4374" s="5">
        <v>42615</v>
      </c>
      <c r="B4374" s="1">
        <v>1.6024</v>
      </c>
      <c r="C4374" s="1">
        <v>1.37</v>
      </c>
      <c r="D4374" s="1">
        <v>2.2782</v>
      </c>
    </row>
    <row r="4375" spans="1:4" x14ac:dyDescent="0.2">
      <c r="A4375" s="5">
        <v>42618</v>
      </c>
      <c r="B4375" s="1">
        <v>1.6024</v>
      </c>
      <c r="C4375" s="1">
        <v>1.37</v>
      </c>
      <c r="D4375" s="1">
        <v>2.2782</v>
      </c>
    </row>
    <row r="4376" spans="1:4" x14ac:dyDescent="0.2">
      <c r="A4376" s="5">
        <v>42619</v>
      </c>
      <c r="B4376" s="1">
        <v>1.534</v>
      </c>
      <c r="C4376" s="1">
        <v>1.37</v>
      </c>
      <c r="D4376" s="1">
        <v>2.2241</v>
      </c>
    </row>
    <row r="4377" spans="1:4" x14ac:dyDescent="0.2">
      <c r="A4377" s="5">
        <v>42620</v>
      </c>
      <c r="B4377" s="1">
        <v>1.5390999999999999</v>
      </c>
      <c r="C4377" s="1">
        <v>1.37</v>
      </c>
      <c r="D4377" s="1">
        <v>2.2349000000000001</v>
      </c>
    </row>
    <row r="4378" spans="1:4" x14ac:dyDescent="0.2">
      <c r="A4378" s="5">
        <v>42621</v>
      </c>
      <c r="B4378" s="1">
        <v>1.599</v>
      </c>
      <c r="C4378" s="1">
        <v>1.38</v>
      </c>
      <c r="D4378" s="1">
        <v>2.3035999999999999</v>
      </c>
    </row>
    <row r="4379" spans="1:4" x14ac:dyDescent="0.2">
      <c r="A4379" s="5">
        <v>42622</v>
      </c>
      <c r="B4379" s="1">
        <v>1.6749000000000001</v>
      </c>
      <c r="C4379" s="1">
        <v>1.38</v>
      </c>
      <c r="D4379" s="1">
        <v>2.3946000000000001</v>
      </c>
    </row>
    <row r="4380" spans="1:4" x14ac:dyDescent="0.2">
      <c r="A4380" s="5">
        <v>42625</v>
      </c>
      <c r="B4380" s="1">
        <v>1.6629</v>
      </c>
      <c r="C4380" s="1">
        <v>1.4</v>
      </c>
      <c r="D4380" s="1">
        <v>2.3908999999999998</v>
      </c>
    </row>
    <row r="4381" spans="1:4" x14ac:dyDescent="0.2">
      <c r="A4381" s="5">
        <v>42626</v>
      </c>
      <c r="B4381" s="1">
        <v>1.7271000000000001</v>
      </c>
      <c r="C4381" s="1">
        <v>1.4</v>
      </c>
      <c r="D4381" s="1">
        <v>2.4634</v>
      </c>
    </row>
    <row r="4382" spans="1:4" x14ac:dyDescent="0.2">
      <c r="A4382" s="5">
        <v>42627</v>
      </c>
      <c r="B4382" s="1">
        <v>1.6976</v>
      </c>
      <c r="C4382" s="1">
        <v>1.41</v>
      </c>
      <c r="D4382" s="1">
        <v>2.4497</v>
      </c>
    </row>
    <row r="4383" spans="1:4" x14ac:dyDescent="0.2">
      <c r="A4383" s="5">
        <v>42628</v>
      </c>
      <c r="B4383" s="1">
        <v>1.6907000000000001</v>
      </c>
      <c r="C4383" s="1">
        <v>1.4</v>
      </c>
      <c r="D4383" s="1">
        <v>2.4626999999999999</v>
      </c>
    </row>
    <row r="4384" spans="1:4" x14ac:dyDescent="0.2">
      <c r="A4384" s="5">
        <v>42629</v>
      </c>
      <c r="B4384" s="1">
        <v>1.6926000000000001</v>
      </c>
      <c r="C4384" s="1">
        <v>1.4</v>
      </c>
      <c r="D4384" s="1">
        <v>2.4451999999999998</v>
      </c>
    </row>
    <row r="4385" spans="1:4" x14ac:dyDescent="0.2">
      <c r="A4385" s="5">
        <v>42632</v>
      </c>
      <c r="B4385" s="1">
        <v>1.7118</v>
      </c>
      <c r="C4385" s="1">
        <v>1.39</v>
      </c>
      <c r="D4385" s="1">
        <v>2.4550999999999998</v>
      </c>
    </row>
    <row r="4386" spans="1:4" x14ac:dyDescent="0.2">
      <c r="A4386" s="5">
        <v>42633</v>
      </c>
      <c r="B4386" s="1">
        <v>1.6892</v>
      </c>
      <c r="C4386" s="1">
        <v>1.39</v>
      </c>
      <c r="D4386" s="1">
        <v>2.4316</v>
      </c>
    </row>
    <row r="4387" spans="1:4" x14ac:dyDescent="0.2">
      <c r="A4387" s="5">
        <v>42634</v>
      </c>
      <c r="B4387" s="1">
        <v>1.6511</v>
      </c>
      <c r="C4387" s="1">
        <v>1.38</v>
      </c>
      <c r="D4387" s="1">
        <v>2.3738000000000001</v>
      </c>
    </row>
    <row r="4388" spans="1:4" x14ac:dyDescent="0.2">
      <c r="A4388" s="5">
        <v>42635</v>
      </c>
      <c r="B4388" s="1">
        <v>1.6183000000000001</v>
      </c>
      <c r="C4388" s="1">
        <v>1.37</v>
      </c>
      <c r="D4388" s="1">
        <v>2.3353000000000002</v>
      </c>
    </row>
    <row r="4389" spans="1:4" x14ac:dyDescent="0.2">
      <c r="A4389" s="5">
        <v>42636</v>
      </c>
      <c r="B4389" s="1">
        <v>1.6184000000000001</v>
      </c>
      <c r="C4389" s="1">
        <v>1.37</v>
      </c>
      <c r="D4389" s="1">
        <v>2.3471000000000002</v>
      </c>
    </row>
    <row r="4390" spans="1:4" x14ac:dyDescent="0.2">
      <c r="A4390" s="5">
        <v>42639</v>
      </c>
      <c r="B4390" s="1">
        <v>1.5839000000000001</v>
      </c>
      <c r="C4390" s="1">
        <v>1.38</v>
      </c>
      <c r="D4390" s="1">
        <v>2.3205</v>
      </c>
    </row>
    <row r="4391" spans="1:4" x14ac:dyDescent="0.2">
      <c r="A4391" s="5">
        <v>42640</v>
      </c>
      <c r="B4391" s="1">
        <v>1.5564</v>
      </c>
      <c r="C4391" s="1">
        <v>1.38</v>
      </c>
      <c r="D4391" s="1">
        <v>2.2774000000000001</v>
      </c>
    </row>
    <row r="4392" spans="1:4" x14ac:dyDescent="0.2">
      <c r="A4392" s="5">
        <v>42641</v>
      </c>
      <c r="B4392" s="1">
        <v>1.5719000000000001</v>
      </c>
      <c r="C4392" s="1">
        <v>1.38</v>
      </c>
      <c r="D4392" s="1">
        <v>2.2913000000000001</v>
      </c>
    </row>
    <row r="4393" spans="1:4" x14ac:dyDescent="0.2">
      <c r="A4393" s="5">
        <v>42642</v>
      </c>
      <c r="B4393" s="1">
        <v>1.5599000000000001</v>
      </c>
      <c r="C4393" s="1">
        <v>1.38</v>
      </c>
      <c r="D4393" s="1">
        <v>2.2766999999999999</v>
      </c>
    </row>
    <row r="4394" spans="1:4" x14ac:dyDescent="0.2">
      <c r="A4394" s="5">
        <v>42643</v>
      </c>
      <c r="B4394" s="1">
        <v>1.5944</v>
      </c>
      <c r="C4394" s="1">
        <v>1.38</v>
      </c>
      <c r="D4394" s="1">
        <v>2.3153999999999999</v>
      </c>
    </row>
    <row r="4395" spans="1:4" x14ac:dyDescent="0.2">
      <c r="A4395" s="5">
        <v>42646</v>
      </c>
      <c r="B4395" s="1">
        <v>1.6221000000000001</v>
      </c>
      <c r="C4395" s="1">
        <v>1.38</v>
      </c>
      <c r="D4395" s="1">
        <v>2.3397000000000001</v>
      </c>
    </row>
    <row r="4396" spans="1:4" x14ac:dyDescent="0.2">
      <c r="A4396" s="5">
        <v>42647</v>
      </c>
      <c r="B4396" s="1">
        <v>1.6863999999999999</v>
      </c>
      <c r="C4396" s="1">
        <v>1.38</v>
      </c>
      <c r="D4396" s="1">
        <v>2.4098000000000002</v>
      </c>
    </row>
    <row r="4397" spans="1:4" x14ac:dyDescent="0.2">
      <c r="A4397" s="5">
        <v>42648</v>
      </c>
      <c r="B4397" s="1">
        <v>1.7020999999999999</v>
      </c>
      <c r="C4397" s="1">
        <v>1.36</v>
      </c>
      <c r="D4397" s="1">
        <v>2.4234</v>
      </c>
    </row>
    <row r="4398" spans="1:4" x14ac:dyDescent="0.2">
      <c r="A4398" s="5">
        <v>42649</v>
      </c>
      <c r="B4398" s="1">
        <v>1.7372000000000001</v>
      </c>
      <c r="C4398" s="1">
        <v>1.35</v>
      </c>
      <c r="D4398" s="1">
        <v>2.4538000000000002</v>
      </c>
    </row>
    <row r="4399" spans="1:4" x14ac:dyDescent="0.2">
      <c r="A4399" s="5">
        <v>42650</v>
      </c>
      <c r="B4399" s="1">
        <v>1.7181</v>
      </c>
      <c r="C4399" s="1">
        <v>1.34</v>
      </c>
      <c r="D4399" s="1">
        <v>2.4508000000000001</v>
      </c>
    </row>
    <row r="4400" spans="1:4" x14ac:dyDescent="0.2">
      <c r="A4400" s="5">
        <v>42653</v>
      </c>
      <c r="B4400" s="1">
        <v>1.7181</v>
      </c>
      <c r="C4400" s="1">
        <v>1.34</v>
      </c>
      <c r="D4400" s="1">
        <v>2.4508000000000001</v>
      </c>
    </row>
    <row r="4401" spans="1:4" x14ac:dyDescent="0.2">
      <c r="A4401" s="5">
        <v>42654</v>
      </c>
      <c r="B4401" s="1">
        <v>1.7638</v>
      </c>
      <c r="C4401" s="1">
        <v>1.33</v>
      </c>
      <c r="D4401" s="1">
        <v>2.5013999999999998</v>
      </c>
    </row>
    <row r="4402" spans="1:4" x14ac:dyDescent="0.2">
      <c r="A4402" s="5">
        <v>42655</v>
      </c>
      <c r="B4402" s="1">
        <v>1.7692000000000001</v>
      </c>
      <c r="C4402" s="1">
        <v>1.32</v>
      </c>
      <c r="D4402" s="1">
        <v>2.4990999999999999</v>
      </c>
    </row>
    <row r="4403" spans="1:4" x14ac:dyDescent="0.2">
      <c r="A4403" s="5">
        <v>42656</v>
      </c>
      <c r="B4403" s="1">
        <v>1.7411000000000001</v>
      </c>
      <c r="C4403" s="1">
        <v>1.32</v>
      </c>
      <c r="D4403" s="1">
        <v>2.4767999999999999</v>
      </c>
    </row>
    <row r="4404" spans="1:4" x14ac:dyDescent="0.2">
      <c r="A4404" s="5">
        <v>42657</v>
      </c>
      <c r="B4404" s="1">
        <v>1.7977000000000001</v>
      </c>
      <c r="C4404" s="1">
        <v>1.31</v>
      </c>
      <c r="D4404" s="1">
        <v>2.5583</v>
      </c>
    </row>
    <row r="4405" spans="1:4" x14ac:dyDescent="0.2">
      <c r="A4405" s="5">
        <v>42660</v>
      </c>
      <c r="B4405" s="1">
        <v>1.766</v>
      </c>
      <c r="C4405" s="1">
        <v>1.3</v>
      </c>
      <c r="D4405" s="1">
        <v>2.5215999999999998</v>
      </c>
    </row>
    <row r="4406" spans="1:4" x14ac:dyDescent="0.2">
      <c r="A4406" s="5">
        <v>42661</v>
      </c>
      <c r="B4406" s="1">
        <v>1.7379</v>
      </c>
      <c r="C4406" s="1">
        <v>1.3</v>
      </c>
      <c r="D4406" s="1">
        <v>2.5053999999999998</v>
      </c>
    </row>
    <row r="4407" spans="1:4" x14ac:dyDescent="0.2">
      <c r="A4407" s="5">
        <v>42662</v>
      </c>
      <c r="B4407" s="1">
        <v>1.7432000000000001</v>
      </c>
      <c r="C4407" s="1">
        <v>1.29</v>
      </c>
      <c r="D4407" s="1">
        <v>2.5068999999999999</v>
      </c>
    </row>
    <row r="4408" spans="1:4" x14ac:dyDescent="0.2">
      <c r="A4408" s="5">
        <v>42663</v>
      </c>
      <c r="B4408" s="1">
        <v>1.7556</v>
      </c>
      <c r="C4408" s="1">
        <v>1.29</v>
      </c>
      <c r="D4408" s="1">
        <v>2.5038999999999998</v>
      </c>
    </row>
    <row r="4409" spans="1:4" x14ac:dyDescent="0.2">
      <c r="A4409" s="5">
        <v>42664</v>
      </c>
      <c r="B4409" s="1">
        <v>1.7346999999999999</v>
      </c>
      <c r="C4409" s="1">
        <v>1.3</v>
      </c>
      <c r="D4409" s="1">
        <v>2.4845999999999999</v>
      </c>
    </row>
    <row r="4410" spans="1:4" x14ac:dyDescent="0.2">
      <c r="A4410" s="5">
        <v>42667</v>
      </c>
      <c r="B4410" s="1">
        <v>1.7646999999999999</v>
      </c>
      <c r="C4410" s="1">
        <v>1.3</v>
      </c>
      <c r="D4410" s="1">
        <v>2.5171000000000001</v>
      </c>
    </row>
    <row r="4411" spans="1:4" x14ac:dyDescent="0.2">
      <c r="A4411" s="5">
        <v>42668</v>
      </c>
      <c r="B4411" s="1">
        <v>1.756</v>
      </c>
      <c r="C4411" s="1">
        <v>1.3</v>
      </c>
      <c r="D4411" s="1">
        <v>2.4984999999999999</v>
      </c>
    </row>
    <row r="4412" spans="1:4" x14ac:dyDescent="0.2">
      <c r="A4412" s="5">
        <v>42669</v>
      </c>
      <c r="B4412" s="1">
        <v>1.7930999999999999</v>
      </c>
      <c r="C4412" s="1">
        <v>1.31</v>
      </c>
      <c r="D4412" s="1">
        <v>2.5411999999999999</v>
      </c>
    </row>
    <row r="4413" spans="1:4" x14ac:dyDescent="0.2">
      <c r="A4413" s="5">
        <v>42670</v>
      </c>
      <c r="B4413" s="1">
        <v>1.8535999999999999</v>
      </c>
      <c r="C4413" s="1">
        <v>1.31</v>
      </c>
      <c r="D4413" s="1">
        <v>2.6137999999999999</v>
      </c>
    </row>
    <row r="4414" spans="1:4" x14ac:dyDescent="0.2">
      <c r="A4414" s="5">
        <v>42671</v>
      </c>
      <c r="B4414" s="1">
        <v>1.8468</v>
      </c>
      <c r="C4414" s="1">
        <v>1.32</v>
      </c>
      <c r="D4414" s="1">
        <v>2.6154000000000002</v>
      </c>
    </row>
    <row r="4415" spans="1:4" x14ac:dyDescent="0.2">
      <c r="A4415" s="5">
        <v>42674</v>
      </c>
      <c r="B4415" s="1">
        <v>1.8254999999999999</v>
      </c>
      <c r="C4415" s="1">
        <v>1.32</v>
      </c>
      <c r="D4415" s="1">
        <v>2.5798000000000001</v>
      </c>
    </row>
    <row r="4416" spans="1:4" x14ac:dyDescent="0.2">
      <c r="A4416" s="5">
        <v>42675</v>
      </c>
      <c r="B4416" s="1">
        <v>1.8273999999999999</v>
      </c>
      <c r="C4416" s="1">
        <v>1.34</v>
      </c>
      <c r="D4416" s="1">
        <v>2.5773999999999999</v>
      </c>
    </row>
    <row r="4417" spans="1:4" x14ac:dyDescent="0.2">
      <c r="A4417" s="5">
        <v>42676</v>
      </c>
      <c r="B4417" s="1">
        <v>1.8025</v>
      </c>
      <c r="C4417" s="1">
        <v>1.35</v>
      </c>
      <c r="D4417" s="1">
        <v>2.5672000000000001</v>
      </c>
    </row>
    <row r="4418" spans="1:4" x14ac:dyDescent="0.2">
      <c r="A4418" s="5">
        <v>42677</v>
      </c>
      <c r="B4418" s="1">
        <v>1.8115000000000001</v>
      </c>
      <c r="C4418" s="1">
        <v>1.35</v>
      </c>
      <c r="D4418" s="1">
        <v>2.6004</v>
      </c>
    </row>
    <row r="4419" spans="1:4" x14ac:dyDescent="0.2">
      <c r="A4419" s="5">
        <v>42678</v>
      </c>
      <c r="B4419" s="1">
        <v>1.7762</v>
      </c>
      <c r="C4419" s="1">
        <v>1.36</v>
      </c>
      <c r="D4419" s="1">
        <v>2.5609999999999999</v>
      </c>
    </row>
    <row r="4420" spans="1:4" x14ac:dyDescent="0.2">
      <c r="A4420" s="5">
        <v>42681</v>
      </c>
      <c r="B4420" s="1">
        <v>1.8261000000000001</v>
      </c>
      <c r="C4420" s="1">
        <v>1.35</v>
      </c>
      <c r="D4420" s="1">
        <v>2.6021000000000001</v>
      </c>
    </row>
    <row r="4421" spans="1:4" x14ac:dyDescent="0.2">
      <c r="A4421" s="5">
        <v>42682</v>
      </c>
      <c r="B4421" s="1">
        <v>1.8547</v>
      </c>
      <c r="C4421" s="1">
        <v>1.34</v>
      </c>
      <c r="D4421" s="1">
        <v>2.6156000000000001</v>
      </c>
    </row>
    <row r="4422" spans="1:4" x14ac:dyDescent="0.2">
      <c r="A4422" s="5">
        <v>42683</v>
      </c>
      <c r="B4422" s="1">
        <v>2.0571000000000002</v>
      </c>
      <c r="C4422" s="1">
        <v>1.32</v>
      </c>
      <c r="D4422" s="1">
        <v>2.8456000000000001</v>
      </c>
    </row>
    <row r="4423" spans="1:4" x14ac:dyDescent="0.2">
      <c r="A4423" s="5">
        <v>42684</v>
      </c>
      <c r="B4423" s="1">
        <v>2.1501000000000001</v>
      </c>
      <c r="C4423" s="1">
        <v>1.3</v>
      </c>
      <c r="D4423" s="1">
        <v>2.9548999999999999</v>
      </c>
    </row>
    <row r="4424" spans="1:4" x14ac:dyDescent="0.2">
      <c r="A4424" s="5">
        <v>42685</v>
      </c>
      <c r="B4424" s="1">
        <v>2.1501000000000001</v>
      </c>
      <c r="C4424" s="1">
        <v>1.3</v>
      </c>
      <c r="D4424" s="1">
        <v>2.9350000000000001</v>
      </c>
    </row>
    <row r="4425" spans="1:4" x14ac:dyDescent="0.2">
      <c r="A4425" s="5">
        <v>42688</v>
      </c>
      <c r="B4425" s="1">
        <v>2.2614000000000001</v>
      </c>
      <c r="C4425" s="1">
        <v>1.3</v>
      </c>
      <c r="D4425" s="1">
        <v>3.0116999999999998</v>
      </c>
    </row>
    <row r="4426" spans="1:4" x14ac:dyDescent="0.2">
      <c r="A4426" s="5">
        <v>42689</v>
      </c>
      <c r="B4426" s="1">
        <v>2.2189000000000001</v>
      </c>
      <c r="C4426" s="1">
        <v>1.28</v>
      </c>
      <c r="D4426" s="1">
        <v>2.9554999999999998</v>
      </c>
    </row>
    <row r="4427" spans="1:4" x14ac:dyDescent="0.2">
      <c r="A4427" s="5">
        <v>42690</v>
      </c>
      <c r="B4427" s="1">
        <v>2.2225000000000001</v>
      </c>
      <c r="C4427" s="1">
        <v>1.29</v>
      </c>
      <c r="D4427" s="1">
        <v>2.9220999999999999</v>
      </c>
    </row>
    <row r="4428" spans="1:4" x14ac:dyDescent="0.2">
      <c r="A4428" s="5">
        <v>42691</v>
      </c>
      <c r="B4428" s="1">
        <v>2.3026</v>
      </c>
      <c r="C4428" s="1">
        <v>1.29</v>
      </c>
      <c r="D4428" s="1">
        <v>3.0116999999999998</v>
      </c>
    </row>
    <row r="4429" spans="1:4" x14ac:dyDescent="0.2">
      <c r="A4429" s="5">
        <v>42692</v>
      </c>
      <c r="B4429" s="1">
        <v>2.3548</v>
      </c>
      <c r="C4429" s="1">
        <v>1.3</v>
      </c>
      <c r="D4429" s="1">
        <v>3.0295999999999998</v>
      </c>
    </row>
    <row r="4430" spans="1:4" x14ac:dyDescent="0.2">
      <c r="A4430" s="5">
        <v>42695</v>
      </c>
      <c r="B4430" s="1">
        <v>2.3153999999999999</v>
      </c>
      <c r="C4430" s="1">
        <v>1.3</v>
      </c>
      <c r="D4430" s="1">
        <v>2.9923999999999999</v>
      </c>
    </row>
    <row r="4431" spans="1:4" x14ac:dyDescent="0.2">
      <c r="A4431" s="5">
        <v>42696</v>
      </c>
      <c r="B4431" s="1">
        <v>2.3119000000000001</v>
      </c>
      <c r="C4431" s="1">
        <v>1.3</v>
      </c>
      <c r="D4431" s="1">
        <v>2.9996</v>
      </c>
    </row>
    <row r="4432" spans="1:4" x14ac:dyDescent="0.2">
      <c r="A4432" s="5">
        <v>42697</v>
      </c>
      <c r="B4432" s="1">
        <v>2.3498000000000001</v>
      </c>
      <c r="C4432" s="1">
        <v>1.3</v>
      </c>
      <c r="D4432" s="1">
        <v>3.0207000000000002</v>
      </c>
    </row>
    <row r="4433" spans="1:4" x14ac:dyDescent="0.2">
      <c r="A4433" s="5">
        <v>42698</v>
      </c>
      <c r="B4433" s="1">
        <v>2.3498000000000001</v>
      </c>
      <c r="C4433" s="1">
        <v>1.3</v>
      </c>
      <c r="D4433" s="1">
        <v>3.0207000000000002</v>
      </c>
    </row>
    <row r="4434" spans="1:4" x14ac:dyDescent="0.2">
      <c r="A4434" s="5">
        <v>42699</v>
      </c>
      <c r="B4434" s="1">
        <v>2.3572000000000002</v>
      </c>
      <c r="C4434" s="1">
        <v>1.3</v>
      </c>
      <c r="D4434" s="1">
        <v>3.0045000000000002</v>
      </c>
    </row>
    <row r="4435" spans="1:4" x14ac:dyDescent="0.2">
      <c r="A4435" s="5">
        <v>42702</v>
      </c>
      <c r="B4435" s="1">
        <v>2.3123999999999998</v>
      </c>
      <c r="C4435" s="1">
        <v>1.3</v>
      </c>
      <c r="D4435" s="1">
        <v>2.9754999999999998</v>
      </c>
    </row>
    <row r="4436" spans="1:4" x14ac:dyDescent="0.2">
      <c r="A4436" s="5">
        <v>42703</v>
      </c>
      <c r="B4436" s="1">
        <v>2.2909999999999999</v>
      </c>
      <c r="C4436" s="1">
        <v>1.3</v>
      </c>
      <c r="D4436" s="1">
        <v>2.9459</v>
      </c>
    </row>
    <row r="4437" spans="1:4" x14ac:dyDescent="0.2">
      <c r="A4437" s="5">
        <v>42704</v>
      </c>
      <c r="B4437" s="1">
        <v>2.3809</v>
      </c>
      <c r="C4437" s="1">
        <v>1.29</v>
      </c>
      <c r="D4437" s="1">
        <v>3.0337000000000001</v>
      </c>
    </row>
    <row r="4438" spans="1:4" x14ac:dyDescent="0.2">
      <c r="A4438" s="5">
        <v>42705</v>
      </c>
      <c r="B4438" s="1">
        <v>2.4481000000000002</v>
      </c>
      <c r="C4438" s="1">
        <v>1.28</v>
      </c>
      <c r="D4438" s="1">
        <v>3.1084999999999998</v>
      </c>
    </row>
    <row r="4439" spans="1:4" x14ac:dyDescent="0.2">
      <c r="A4439" s="5">
        <v>42706</v>
      </c>
      <c r="B4439" s="1">
        <v>2.3831000000000002</v>
      </c>
      <c r="C4439" s="1">
        <v>1.29</v>
      </c>
      <c r="D4439" s="1">
        <v>3.0615000000000001</v>
      </c>
    </row>
    <row r="4440" spans="1:4" x14ac:dyDescent="0.2">
      <c r="A4440" s="5">
        <v>42709</v>
      </c>
      <c r="B4440" s="1">
        <v>2.3940999999999999</v>
      </c>
      <c r="C4440" s="1">
        <v>1.28</v>
      </c>
      <c r="D4440" s="1">
        <v>3.0640000000000001</v>
      </c>
    </row>
    <row r="4441" spans="1:4" x14ac:dyDescent="0.2">
      <c r="A4441" s="5">
        <v>42710</v>
      </c>
      <c r="B4441" s="1">
        <v>2.3887</v>
      </c>
      <c r="C4441" s="1">
        <v>1.28</v>
      </c>
      <c r="D4441" s="1">
        <v>3.0788000000000002</v>
      </c>
    </row>
    <row r="4442" spans="1:4" x14ac:dyDescent="0.2">
      <c r="A4442" s="5">
        <v>42711</v>
      </c>
      <c r="B4442" s="1">
        <v>2.3401000000000001</v>
      </c>
      <c r="C4442" s="1">
        <v>1.27</v>
      </c>
      <c r="D4442" s="1">
        <v>3.0224000000000002</v>
      </c>
    </row>
    <row r="4443" spans="1:4" x14ac:dyDescent="0.2">
      <c r="A4443" s="5">
        <v>42712</v>
      </c>
      <c r="B4443" s="1">
        <v>2.4070999999999998</v>
      </c>
      <c r="C4443" s="1">
        <v>1.27</v>
      </c>
      <c r="D4443" s="1">
        <v>3.1053000000000002</v>
      </c>
    </row>
    <row r="4444" spans="1:4" x14ac:dyDescent="0.2">
      <c r="A4444" s="5">
        <v>42713</v>
      </c>
      <c r="B4444" s="1">
        <v>2.4674999999999998</v>
      </c>
      <c r="C4444" s="1">
        <v>1.27</v>
      </c>
      <c r="D4444" s="1">
        <v>3.1528999999999998</v>
      </c>
    </row>
    <row r="4445" spans="1:4" x14ac:dyDescent="0.2">
      <c r="A4445" s="5">
        <v>42716</v>
      </c>
      <c r="B4445" s="1">
        <v>2.4712000000000001</v>
      </c>
      <c r="C4445" s="1">
        <v>1.26</v>
      </c>
      <c r="D4445" s="1">
        <v>3.1537999999999999</v>
      </c>
    </row>
    <row r="4446" spans="1:4" x14ac:dyDescent="0.2">
      <c r="A4446" s="5">
        <v>42717</v>
      </c>
      <c r="B4446" s="1">
        <v>2.4712999999999998</v>
      </c>
      <c r="C4446" s="1">
        <v>1.25</v>
      </c>
      <c r="D4446" s="1">
        <v>3.1312000000000002</v>
      </c>
    </row>
    <row r="4447" spans="1:4" x14ac:dyDescent="0.2">
      <c r="A4447" s="5">
        <v>42718</v>
      </c>
      <c r="B4447" s="1">
        <v>2.5707</v>
      </c>
      <c r="C4447" s="1">
        <v>1.24</v>
      </c>
      <c r="D4447" s="1">
        <v>3.1798999999999999</v>
      </c>
    </row>
    <row r="4448" spans="1:4" x14ac:dyDescent="0.2">
      <c r="A4448" s="5">
        <v>42719</v>
      </c>
      <c r="B4448" s="1">
        <v>2.5966999999999998</v>
      </c>
      <c r="C4448" s="1">
        <v>1.25</v>
      </c>
      <c r="D4448" s="1">
        <v>3.1621999999999999</v>
      </c>
    </row>
    <row r="4449" spans="1:4" x14ac:dyDescent="0.2">
      <c r="A4449" s="5">
        <v>42720</v>
      </c>
      <c r="B4449" s="1">
        <v>2.5916000000000001</v>
      </c>
      <c r="C4449" s="1">
        <v>1.24</v>
      </c>
      <c r="D4449" s="1">
        <v>3.1741000000000001</v>
      </c>
    </row>
    <row r="4450" spans="1:4" x14ac:dyDescent="0.2">
      <c r="A4450" s="5">
        <v>42723</v>
      </c>
      <c r="B4450" s="1">
        <v>2.5381999999999998</v>
      </c>
      <c r="C4450" s="1">
        <v>1.24</v>
      </c>
      <c r="D4450" s="1">
        <v>3.1204000000000001</v>
      </c>
    </row>
    <row r="4451" spans="1:4" x14ac:dyDescent="0.2">
      <c r="A4451" s="5">
        <v>42724</v>
      </c>
      <c r="B4451" s="1">
        <v>2.5586000000000002</v>
      </c>
      <c r="C4451" s="1">
        <v>1.23</v>
      </c>
      <c r="D4451" s="1">
        <v>3.1396000000000002</v>
      </c>
    </row>
    <row r="4452" spans="1:4" x14ac:dyDescent="0.2">
      <c r="A4452" s="5">
        <v>42725</v>
      </c>
      <c r="B4452" s="1">
        <v>2.5348000000000002</v>
      </c>
      <c r="C4452" s="1">
        <v>1.23</v>
      </c>
      <c r="D4452" s="1">
        <v>3.1078999999999999</v>
      </c>
    </row>
    <row r="4453" spans="1:4" x14ac:dyDescent="0.2">
      <c r="A4453" s="5">
        <v>42726</v>
      </c>
      <c r="B4453" s="1">
        <v>2.5514999999999999</v>
      </c>
      <c r="C4453" s="1">
        <v>1.23</v>
      </c>
      <c r="D4453" s="1">
        <v>3.1271</v>
      </c>
    </row>
    <row r="4454" spans="1:4" x14ac:dyDescent="0.2">
      <c r="A4454" s="5">
        <v>42727</v>
      </c>
      <c r="B4454" s="1">
        <v>2.5373000000000001</v>
      </c>
      <c r="C4454" s="1">
        <v>1.23</v>
      </c>
      <c r="D4454" s="1">
        <v>3.1137999999999999</v>
      </c>
    </row>
    <row r="4455" spans="1:4" x14ac:dyDescent="0.2">
      <c r="A4455" s="5">
        <v>42730</v>
      </c>
      <c r="B4455" s="1">
        <v>2.5373000000000001</v>
      </c>
      <c r="C4455" s="1">
        <v>1.23</v>
      </c>
      <c r="D4455" s="1">
        <v>3.1137999999999999</v>
      </c>
    </row>
    <row r="4456" spans="1:4" x14ac:dyDescent="0.2">
      <c r="A4456" s="5">
        <v>42731</v>
      </c>
      <c r="B4456" s="1">
        <v>2.5596000000000001</v>
      </c>
      <c r="C4456" s="1">
        <v>1.22</v>
      </c>
      <c r="D4456" s="1">
        <v>3.133</v>
      </c>
    </row>
    <row r="4457" spans="1:4" x14ac:dyDescent="0.2">
      <c r="A4457" s="5">
        <v>42732</v>
      </c>
      <c r="B4457" s="1">
        <v>2.508</v>
      </c>
      <c r="C4457" s="1">
        <v>1.22</v>
      </c>
      <c r="D4457" s="1">
        <v>3.0931000000000002</v>
      </c>
    </row>
    <row r="4458" spans="1:4" x14ac:dyDescent="0.2">
      <c r="A4458" s="5">
        <v>42733</v>
      </c>
      <c r="B4458" s="1">
        <v>2.4750000000000001</v>
      </c>
      <c r="C4458" s="1">
        <v>1.22</v>
      </c>
      <c r="D4458" s="1">
        <v>3.0790000000000002</v>
      </c>
    </row>
    <row r="4459" spans="1:4" x14ac:dyDescent="0.2">
      <c r="A4459" s="5">
        <v>42734</v>
      </c>
      <c r="B4459" s="1">
        <v>2.4443000000000001</v>
      </c>
      <c r="C4459" s="1">
        <v>1.23</v>
      </c>
      <c r="D4459" s="1">
        <v>3.0651000000000002</v>
      </c>
    </row>
    <row r="4460" spans="1:4" x14ac:dyDescent="0.2">
      <c r="A4460" s="5">
        <v>42737</v>
      </c>
      <c r="B4460" s="1">
        <v>2.4443000000000001</v>
      </c>
      <c r="C4460" s="1">
        <v>1.23</v>
      </c>
      <c r="D4460" s="1">
        <v>3.0651000000000002</v>
      </c>
    </row>
    <row r="4461" spans="1:4" x14ac:dyDescent="0.2">
      <c r="A4461" s="5">
        <v>42738</v>
      </c>
      <c r="B4461" s="1">
        <v>2.4443999999999999</v>
      </c>
      <c r="C4461" s="1">
        <v>1.22</v>
      </c>
      <c r="D4461" s="1">
        <v>3.0461999999999998</v>
      </c>
    </row>
    <row r="4462" spans="1:4" x14ac:dyDescent="0.2">
      <c r="A4462" s="5">
        <v>42739</v>
      </c>
      <c r="B4462" s="1">
        <v>2.4390000000000001</v>
      </c>
      <c r="C4462" s="1">
        <v>1.21</v>
      </c>
      <c r="D4462" s="1">
        <v>3.0396999999999998</v>
      </c>
    </row>
    <row r="4463" spans="1:4" x14ac:dyDescent="0.2">
      <c r="A4463" s="5">
        <v>42740</v>
      </c>
      <c r="B4463" s="1">
        <v>2.3443000000000001</v>
      </c>
      <c r="C4463" s="1">
        <v>1.22</v>
      </c>
      <c r="D4463" s="1">
        <v>2.9443999999999999</v>
      </c>
    </row>
    <row r="4464" spans="1:4" x14ac:dyDescent="0.2">
      <c r="A4464" s="5">
        <v>42741</v>
      </c>
      <c r="B4464" s="1">
        <v>2.4192999999999998</v>
      </c>
      <c r="C4464" s="1">
        <v>1.22</v>
      </c>
      <c r="D4464" s="1">
        <v>3.0087999999999999</v>
      </c>
    </row>
    <row r="4465" spans="1:4" x14ac:dyDescent="0.2">
      <c r="A4465" s="5">
        <v>42744</v>
      </c>
      <c r="B4465" s="1">
        <v>2.3647</v>
      </c>
      <c r="C4465" s="1">
        <v>1.22</v>
      </c>
      <c r="D4465" s="1">
        <v>2.9580000000000002</v>
      </c>
    </row>
    <row r="4466" spans="1:4" x14ac:dyDescent="0.2">
      <c r="A4466" s="5">
        <v>42745</v>
      </c>
      <c r="B4466" s="1">
        <v>2.3757000000000001</v>
      </c>
      <c r="C4466" s="1">
        <v>1.22</v>
      </c>
      <c r="D4466" s="1">
        <v>2.9676</v>
      </c>
    </row>
    <row r="4467" spans="1:4" x14ac:dyDescent="0.2">
      <c r="A4467" s="5">
        <v>42746</v>
      </c>
      <c r="B4467" s="1">
        <v>2.3721000000000001</v>
      </c>
      <c r="C4467" s="1">
        <v>1.22</v>
      </c>
      <c r="D4467" s="1">
        <v>2.9556</v>
      </c>
    </row>
    <row r="4468" spans="1:4" x14ac:dyDescent="0.2">
      <c r="A4468" s="5">
        <v>42747</v>
      </c>
      <c r="B4468" s="1">
        <v>2.3631000000000002</v>
      </c>
      <c r="C4468" s="1">
        <v>1.22</v>
      </c>
      <c r="D4468" s="1">
        <v>2.9603999999999999</v>
      </c>
    </row>
    <row r="4469" spans="1:4" x14ac:dyDescent="0.2">
      <c r="A4469" s="5">
        <v>42748</v>
      </c>
      <c r="B4469" s="1">
        <v>2.3963999999999999</v>
      </c>
      <c r="C4469" s="1">
        <v>1.22</v>
      </c>
      <c r="D4469" s="1">
        <v>2.9885999999999999</v>
      </c>
    </row>
    <row r="4470" spans="1:4" x14ac:dyDescent="0.2">
      <c r="A4470" s="5">
        <v>42751</v>
      </c>
      <c r="B4470" s="1">
        <v>2.3963999999999999</v>
      </c>
      <c r="C4470" s="1">
        <v>1.22</v>
      </c>
      <c r="D4470" s="1">
        <v>2.9885999999999999</v>
      </c>
    </row>
    <row r="4471" spans="1:4" x14ac:dyDescent="0.2">
      <c r="A4471" s="5">
        <v>42752</v>
      </c>
      <c r="B4471" s="1">
        <v>2.3252999999999999</v>
      </c>
      <c r="C4471" s="1">
        <v>1.22</v>
      </c>
      <c r="D4471" s="1">
        <v>2.9317000000000002</v>
      </c>
    </row>
    <row r="4472" spans="1:4" x14ac:dyDescent="0.2">
      <c r="A4472" s="5">
        <v>42753</v>
      </c>
      <c r="B4472" s="1">
        <v>2.4296000000000002</v>
      </c>
      <c r="C4472" s="1">
        <v>1.22</v>
      </c>
      <c r="D4472" s="1">
        <v>3.0129000000000001</v>
      </c>
    </row>
    <row r="4473" spans="1:4" x14ac:dyDescent="0.2">
      <c r="A4473" s="5">
        <v>42754</v>
      </c>
      <c r="B4473" s="1">
        <v>2.4739</v>
      </c>
      <c r="C4473" s="1">
        <v>1.22</v>
      </c>
      <c r="D4473" s="1">
        <v>3.0463</v>
      </c>
    </row>
    <row r="4474" spans="1:4" x14ac:dyDescent="0.2">
      <c r="A4474" s="5">
        <v>42755</v>
      </c>
      <c r="B4474" s="1">
        <v>2.4668000000000001</v>
      </c>
      <c r="C4474" s="1">
        <v>1.22</v>
      </c>
      <c r="D4474" s="1">
        <v>3.0488</v>
      </c>
    </row>
    <row r="4475" spans="1:4" x14ac:dyDescent="0.2">
      <c r="A4475" s="5">
        <v>42758</v>
      </c>
      <c r="B4475" s="1">
        <v>2.3971</v>
      </c>
      <c r="C4475" s="1">
        <v>1.22</v>
      </c>
      <c r="D4475" s="1">
        <v>2.9862000000000002</v>
      </c>
    </row>
    <row r="4476" spans="1:4" x14ac:dyDescent="0.2">
      <c r="A4476" s="5">
        <v>42759</v>
      </c>
      <c r="B4476" s="1">
        <v>2.4651999999999998</v>
      </c>
      <c r="C4476" s="1">
        <v>1.21</v>
      </c>
      <c r="D4476" s="1">
        <v>3.0489000000000002</v>
      </c>
    </row>
    <row r="4477" spans="1:4" x14ac:dyDescent="0.2">
      <c r="A4477" s="5">
        <v>42760</v>
      </c>
      <c r="B4477" s="1">
        <v>2.5116000000000001</v>
      </c>
      <c r="C4477" s="1">
        <v>1.2</v>
      </c>
      <c r="D4477" s="1">
        <v>3.0966999999999998</v>
      </c>
    </row>
    <row r="4478" spans="1:4" x14ac:dyDescent="0.2">
      <c r="A4478" s="5">
        <v>42761</v>
      </c>
      <c r="B4478" s="1">
        <v>2.5043000000000002</v>
      </c>
      <c r="C4478" s="1">
        <v>1.2</v>
      </c>
      <c r="D4478" s="1">
        <v>3.0851000000000002</v>
      </c>
    </row>
    <row r="4479" spans="1:4" x14ac:dyDescent="0.2">
      <c r="A4479" s="5">
        <v>42762</v>
      </c>
      <c r="B4479" s="1">
        <v>2.4843000000000002</v>
      </c>
      <c r="C4479" s="1">
        <v>1.2</v>
      </c>
      <c r="D4479" s="1">
        <v>3.0588000000000002</v>
      </c>
    </row>
    <row r="4480" spans="1:4" x14ac:dyDescent="0.2">
      <c r="A4480" s="5">
        <v>42765</v>
      </c>
      <c r="B4480" s="1">
        <v>2.4881000000000002</v>
      </c>
      <c r="C4480" s="1">
        <v>1.2</v>
      </c>
      <c r="D4480" s="1">
        <v>3.0785</v>
      </c>
    </row>
    <row r="4481" spans="1:4" x14ac:dyDescent="0.2">
      <c r="A4481" s="5">
        <v>42766</v>
      </c>
      <c r="B4481" s="1">
        <v>2.4531000000000001</v>
      </c>
      <c r="C4481" s="1">
        <v>1.21</v>
      </c>
      <c r="D4481" s="1">
        <v>3.0611999999999999</v>
      </c>
    </row>
    <row r="4482" spans="1:4" x14ac:dyDescent="0.2">
      <c r="A4482" s="5">
        <v>42767</v>
      </c>
      <c r="B4482" s="1">
        <v>2.4699</v>
      </c>
      <c r="C4482" s="1">
        <v>1.21</v>
      </c>
      <c r="D4482" s="1">
        <v>3.0752999999999999</v>
      </c>
    </row>
    <row r="4483" spans="1:4" x14ac:dyDescent="0.2">
      <c r="A4483" s="5">
        <v>42768</v>
      </c>
      <c r="B4483" s="1">
        <v>2.4737</v>
      </c>
      <c r="C4483" s="1">
        <v>1.21</v>
      </c>
      <c r="D4483" s="1">
        <v>3.0876999999999999</v>
      </c>
    </row>
    <row r="4484" spans="1:4" x14ac:dyDescent="0.2">
      <c r="A4484" s="5">
        <v>42769</v>
      </c>
      <c r="B4484" s="1">
        <v>2.4647999999999999</v>
      </c>
      <c r="C4484" s="1">
        <v>1.21</v>
      </c>
      <c r="D4484" s="1">
        <v>3.0901999999999998</v>
      </c>
    </row>
    <row r="4485" spans="1:4" x14ac:dyDescent="0.2">
      <c r="A4485" s="5">
        <v>42772</v>
      </c>
      <c r="B4485" s="1">
        <v>2.4077000000000002</v>
      </c>
      <c r="C4485" s="1">
        <v>1.22</v>
      </c>
      <c r="D4485" s="1">
        <v>3.0472999999999999</v>
      </c>
    </row>
    <row r="4486" spans="1:4" x14ac:dyDescent="0.2">
      <c r="A4486" s="5">
        <v>42773</v>
      </c>
      <c r="B4486" s="1">
        <v>2.3931</v>
      </c>
      <c r="C4486" s="1">
        <v>1.21</v>
      </c>
      <c r="D4486" s="1">
        <v>3.0179</v>
      </c>
    </row>
    <row r="4487" spans="1:4" x14ac:dyDescent="0.2">
      <c r="A4487" s="5">
        <v>42774</v>
      </c>
      <c r="B4487" s="1">
        <v>2.3363</v>
      </c>
      <c r="C4487" s="1">
        <v>1.22</v>
      </c>
      <c r="D4487" s="1">
        <v>2.9485000000000001</v>
      </c>
    </row>
    <row r="4488" spans="1:4" x14ac:dyDescent="0.2">
      <c r="A4488" s="5">
        <v>42775</v>
      </c>
      <c r="B4488" s="1">
        <v>2.3948</v>
      </c>
      <c r="C4488" s="1">
        <v>1.21</v>
      </c>
      <c r="D4488" s="1">
        <v>3.0041000000000002</v>
      </c>
    </row>
    <row r="4489" spans="1:4" x14ac:dyDescent="0.2">
      <c r="A4489" s="5">
        <v>42776</v>
      </c>
      <c r="B4489" s="1">
        <v>2.4073000000000002</v>
      </c>
      <c r="C4489" s="1">
        <v>1.21</v>
      </c>
      <c r="D4489" s="1">
        <v>3.0055999999999998</v>
      </c>
    </row>
    <row r="4490" spans="1:4" x14ac:dyDescent="0.2">
      <c r="A4490" s="5">
        <v>42779</v>
      </c>
      <c r="B4490" s="1">
        <v>2.4358</v>
      </c>
      <c r="C4490" s="1">
        <v>1.2</v>
      </c>
      <c r="D4490" s="1">
        <v>3.0318999999999998</v>
      </c>
    </row>
    <row r="4491" spans="1:4" x14ac:dyDescent="0.2">
      <c r="A4491" s="5">
        <v>42780</v>
      </c>
      <c r="B4491" s="1">
        <v>2.4698000000000002</v>
      </c>
      <c r="C4491" s="1">
        <v>1.19</v>
      </c>
      <c r="D4491" s="1">
        <v>3.0583999999999998</v>
      </c>
    </row>
    <row r="4492" spans="1:4" x14ac:dyDescent="0.2">
      <c r="A4492" s="5">
        <v>42781</v>
      </c>
      <c r="B4492" s="1">
        <v>2.4931999999999999</v>
      </c>
      <c r="C4492" s="1">
        <v>1.18</v>
      </c>
      <c r="D4492" s="1">
        <v>3.0777000000000001</v>
      </c>
    </row>
    <row r="4493" spans="1:4" x14ac:dyDescent="0.2">
      <c r="A4493" s="5">
        <v>42782</v>
      </c>
      <c r="B4493" s="1">
        <v>2.4466999999999999</v>
      </c>
      <c r="C4493" s="1">
        <v>1.18</v>
      </c>
      <c r="D4493" s="1">
        <v>3.0487000000000002</v>
      </c>
    </row>
    <row r="4494" spans="1:4" x14ac:dyDescent="0.2">
      <c r="A4494" s="5">
        <v>42783</v>
      </c>
      <c r="B4494" s="1">
        <v>2.4146999999999998</v>
      </c>
      <c r="C4494" s="1">
        <v>1.19</v>
      </c>
      <c r="D4494" s="1">
        <v>3.0230999999999999</v>
      </c>
    </row>
    <row r="4495" spans="1:4" x14ac:dyDescent="0.2">
      <c r="A4495" s="5">
        <v>42786</v>
      </c>
      <c r="B4495" s="1">
        <v>2.4146999999999998</v>
      </c>
      <c r="C4495" s="1">
        <v>1.19</v>
      </c>
      <c r="D4495" s="1">
        <v>3.0230999999999999</v>
      </c>
    </row>
    <row r="4496" spans="1:4" x14ac:dyDescent="0.2">
      <c r="A4496" s="5">
        <v>42787</v>
      </c>
      <c r="B4496" s="1">
        <v>2.4289999999999998</v>
      </c>
      <c r="C4496" s="1">
        <v>1.19</v>
      </c>
      <c r="D4496" s="1">
        <v>3.0407000000000002</v>
      </c>
    </row>
    <row r="4497" spans="1:4" x14ac:dyDescent="0.2">
      <c r="A4497" s="5">
        <v>42788</v>
      </c>
      <c r="B4497" s="1">
        <v>2.4129</v>
      </c>
      <c r="C4497" s="1">
        <v>1.18</v>
      </c>
      <c r="D4497" s="1">
        <v>3.0327000000000002</v>
      </c>
    </row>
    <row r="4498" spans="1:4" x14ac:dyDescent="0.2">
      <c r="A4498" s="5">
        <v>42789</v>
      </c>
      <c r="B4498" s="1">
        <v>2.3719999999999999</v>
      </c>
      <c r="C4498" s="1">
        <v>1.17</v>
      </c>
      <c r="D4498" s="1">
        <v>3.0127000000000002</v>
      </c>
    </row>
    <row r="4499" spans="1:4" x14ac:dyDescent="0.2">
      <c r="A4499" s="5">
        <v>42790</v>
      </c>
      <c r="B4499" s="1">
        <v>2.3117000000000001</v>
      </c>
      <c r="C4499" s="1">
        <v>1.18</v>
      </c>
      <c r="D4499" s="1">
        <v>2.9510000000000001</v>
      </c>
    </row>
    <row r="4500" spans="1:4" x14ac:dyDescent="0.2">
      <c r="A4500" s="5">
        <v>42793</v>
      </c>
      <c r="B4500" s="1">
        <v>2.3650000000000002</v>
      </c>
      <c r="C4500" s="1">
        <v>1.1599999999999999</v>
      </c>
      <c r="D4500" s="1">
        <v>2.9832999999999998</v>
      </c>
    </row>
    <row r="4501" spans="1:4" x14ac:dyDescent="0.2">
      <c r="A4501" s="5">
        <v>42794</v>
      </c>
      <c r="B4501" s="1">
        <v>2.3898999999999999</v>
      </c>
      <c r="C4501" s="1">
        <v>1.1499999999999999</v>
      </c>
      <c r="D4501" s="1">
        <v>2.9952000000000001</v>
      </c>
    </row>
    <row r="4502" spans="1:4" x14ac:dyDescent="0.2">
      <c r="A4502" s="5">
        <v>42795</v>
      </c>
      <c r="B4502" s="1">
        <v>2.4525999999999999</v>
      </c>
      <c r="C4502" s="1">
        <v>1.1200000000000001</v>
      </c>
      <c r="D4502" s="1">
        <v>3.0608</v>
      </c>
    </row>
    <row r="4503" spans="1:4" x14ac:dyDescent="0.2">
      <c r="A4503" s="5">
        <v>42796</v>
      </c>
      <c r="B4503" s="1">
        <v>2.4779</v>
      </c>
      <c r="C4503" s="1">
        <v>1.1200000000000001</v>
      </c>
      <c r="D4503" s="1">
        <v>3.0729000000000002</v>
      </c>
    </row>
    <row r="4504" spans="1:4" x14ac:dyDescent="0.2">
      <c r="A4504" s="5">
        <v>42797</v>
      </c>
      <c r="B4504" s="1">
        <v>2.4780000000000002</v>
      </c>
      <c r="C4504" s="1">
        <v>1.1200000000000001</v>
      </c>
      <c r="D4504" s="1">
        <v>3.0712999999999999</v>
      </c>
    </row>
    <row r="4505" spans="1:4" x14ac:dyDescent="0.2">
      <c r="A4505" s="5">
        <v>42800</v>
      </c>
      <c r="B4505" s="1">
        <v>2.4996999999999998</v>
      </c>
      <c r="C4505" s="1">
        <v>1.1100000000000001</v>
      </c>
      <c r="D4505" s="1">
        <v>3.1046</v>
      </c>
    </row>
    <row r="4506" spans="1:4" x14ac:dyDescent="0.2">
      <c r="A4506" s="5">
        <v>42801</v>
      </c>
      <c r="B4506" s="1">
        <v>2.5179</v>
      </c>
      <c r="C4506" s="1">
        <v>1.1200000000000001</v>
      </c>
      <c r="D4506" s="1">
        <v>3.121</v>
      </c>
    </row>
    <row r="4507" spans="1:4" x14ac:dyDescent="0.2">
      <c r="A4507" s="5">
        <v>42802</v>
      </c>
      <c r="B4507" s="1">
        <v>2.5596999999999999</v>
      </c>
      <c r="C4507" s="1">
        <v>1.1399999999999999</v>
      </c>
      <c r="D4507" s="1">
        <v>3.1488999999999998</v>
      </c>
    </row>
    <row r="4508" spans="1:4" x14ac:dyDescent="0.2">
      <c r="A4508" s="5">
        <v>42803</v>
      </c>
      <c r="B4508" s="1">
        <v>2.6053000000000002</v>
      </c>
      <c r="C4508" s="1">
        <v>1.1499999999999999</v>
      </c>
      <c r="D4508" s="1">
        <v>3.1888000000000001</v>
      </c>
    </row>
    <row r="4509" spans="1:4" x14ac:dyDescent="0.2">
      <c r="A4509" s="5">
        <v>42804</v>
      </c>
      <c r="B4509" s="1">
        <v>2.5745</v>
      </c>
      <c r="C4509" s="1">
        <v>1.1599999999999999</v>
      </c>
      <c r="D4509" s="1">
        <v>3.1646999999999998</v>
      </c>
    </row>
    <row r="4510" spans="1:4" x14ac:dyDescent="0.2">
      <c r="A4510" s="5">
        <v>42807</v>
      </c>
      <c r="B4510" s="1">
        <v>2.6257999999999999</v>
      </c>
      <c r="C4510" s="1">
        <v>1.1599999999999999</v>
      </c>
      <c r="D4510" s="1">
        <v>3.2122000000000002</v>
      </c>
    </row>
    <row r="4511" spans="1:4" x14ac:dyDescent="0.2">
      <c r="A4511" s="5">
        <v>42808</v>
      </c>
      <c r="B4511" s="1">
        <v>2.6002000000000001</v>
      </c>
      <c r="C4511" s="1">
        <v>1.17</v>
      </c>
      <c r="D4511" s="1">
        <v>3.1747000000000001</v>
      </c>
    </row>
    <row r="4512" spans="1:4" x14ac:dyDescent="0.2">
      <c r="A4512" s="5">
        <v>42809</v>
      </c>
      <c r="B4512" s="1">
        <v>2.4929999999999999</v>
      </c>
      <c r="C4512" s="1">
        <v>1.18</v>
      </c>
      <c r="D4512" s="1">
        <v>3.1071</v>
      </c>
    </row>
    <row r="4513" spans="1:4" x14ac:dyDescent="0.2">
      <c r="A4513" s="5">
        <v>42810</v>
      </c>
      <c r="B4513" s="1">
        <v>2.5402</v>
      </c>
      <c r="C4513" s="1">
        <v>1.1599999999999999</v>
      </c>
      <c r="D4513" s="1">
        <v>3.1505999999999998</v>
      </c>
    </row>
    <row r="4514" spans="1:4" x14ac:dyDescent="0.2">
      <c r="A4514" s="5">
        <v>42811</v>
      </c>
      <c r="B4514" s="1">
        <v>2.5005000000000002</v>
      </c>
      <c r="C4514" s="1">
        <v>1.17</v>
      </c>
      <c r="D4514" s="1">
        <v>3.1095999999999999</v>
      </c>
    </row>
    <row r="4515" spans="1:4" x14ac:dyDescent="0.2">
      <c r="A4515" s="5">
        <v>42814</v>
      </c>
      <c r="B4515" s="1">
        <v>2.4607000000000001</v>
      </c>
      <c r="C4515" s="1">
        <v>1.17</v>
      </c>
      <c r="D4515" s="1">
        <v>3.077</v>
      </c>
    </row>
    <row r="4516" spans="1:4" x14ac:dyDescent="0.2">
      <c r="A4516" s="5">
        <v>42815</v>
      </c>
      <c r="B4516" s="1">
        <v>2.4175</v>
      </c>
      <c r="C4516" s="1">
        <v>1.17</v>
      </c>
      <c r="D4516" s="1">
        <v>3.0343</v>
      </c>
    </row>
    <row r="4517" spans="1:4" x14ac:dyDescent="0.2">
      <c r="A4517" s="5">
        <v>42816</v>
      </c>
      <c r="B4517" s="1">
        <v>2.4049999999999998</v>
      </c>
      <c r="C4517" s="1">
        <v>1.18</v>
      </c>
      <c r="D4517" s="1">
        <v>3.0173999999999999</v>
      </c>
    </row>
    <row r="4518" spans="1:4" x14ac:dyDescent="0.2">
      <c r="A4518" s="5">
        <v>42817</v>
      </c>
      <c r="B4518" s="1">
        <v>2.4194</v>
      </c>
      <c r="C4518" s="1">
        <v>1.18</v>
      </c>
      <c r="D4518" s="1">
        <v>3.0293999999999999</v>
      </c>
    </row>
    <row r="4519" spans="1:4" x14ac:dyDescent="0.2">
      <c r="A4519" s="5">
        <v>42818</v>
      </c>
      <c r="B4519" s="1">
        <v>2.4123000000000001</v>
      </c>
      <c r="C4519" s="1">
        <v>1.18</v>
      </c>
      <c r="D4519" s="1">
        <v>3.0133999999999999</v>
      </c>
    </row>
    <row r="4520" spans="1:4" x14ac:dyDescent="0.2">
      <c r="A4520" s="5">
        <v>42821</v>
      </c>
      <c r="B4520" s="1">
        <v>2.3782000000000001</v>
      </c>
      <c r="C4520" s="1">
        <v>1.18</v>
      </c>
      <c r="D4520" s="1">
        <v>2.9847999999999999</v>
      </c>
    </row>
    <row r="4521" spans="1:4" x14ac:dyDescent="0.2">
      <c r="A4521" s="5">
        <v>42822</v>
      </c>
      <c r="B4521" s="1">
        <v>2.4178000000000002</v>
      </c>
      <c r="C4521" s="1">
        <v>1.17</v>
      </c>
      <c r="D4521" s="1">
        <v>3.0246</v>
      </c>
    </row>
    <row r="4522" spans="1:4" x14ac:dyDescent="0.2">
      <c r="A4522" s="5">
        <v>42823</v>
      </c>
      <c r="B4522" s="1">
        <v>2.3765000000000001</v>
      </c>
      <c r="C4522" s="1">
        <v>1.17</v>
      </c>
      <c r="D4522" s="1">
        <v>2.9855999999999998</v>
      </c>
    </row>
    <row r="4523" spans="1:4" x14ac:dyDescent="0.2">
      <c r="A4523" s="5">
        <v>42824</v>
      </c>
      <c r="B4523" s="1">
        <v>2.4197000000000002</v>
      </c>
      <c r="C4523" s="1">
        <v>1.17</v>
      </c>
      <c r="D4523" s="1">
        <v>3.0343</v>
      </c>
    </row>
    <row r="4524" spans="1:4" x14ac:dyDescent="0.2">
      <c r="A4524" s="5">
        <v>42825</v>
      </c>
      <c r="B4524" s="1">
        <v>2.3874</v>
      </c>
      <c r="C4524" s="1">
        <v>1.18</v>
      </c>
      <c r="D4524" s="1">
        <v>3.0095000000000001</v>
      </c>
    </row>
    <row r="4525" spans="1:4" x14ac:dyDescent="0.2">
      <c r="A4525" s="5">
        <v>42828</v>
      </c>
      <c r="B4525" s="1">
        <v>2.3193000000000001</v>
      </c>
      <c r="C4525" s="1">
        <v>1.18</v>
      </c>
      <c r="D4525" s="1">
        <v>2.9531999999999998</v>
      </c>
    </row>
    <row r="4526" spans="1:4" x14ac:dyDescent="0.2">
      <c r="A4526" s="5">
        <v>42829</v>
      </c>
      <c r="B4526" s="1">
        <v>2.3605</v>
      </c>
      <c r="C4526" s="1">
        <v>1.18</v>
      </c>
      <c r="D4526" s="1">
        <v>2.9998999999999998</v>
      </c>
    </row>
    <row r="4527" spans="1:4" x14ac:dyDescent="0.2">
      <c r="A4527" s="5">
        <v>42830</v>
      </c>
      <c r="B4527" s="1">
        <v>2.3353999999999999</v>
      </c>
      <c r="C4527" s="1">
        <v>1.18</v>
      </c>
      <c r="D4527" s="1">
        <v>2.9855999999999998</v>
      </c>
    </row>
    <row r="4528" spans="1:4" x14ac:dyDescent="0.2">
      <c r="A4528" s="5">
        <v>42831</v>
      </c>
      <c r="B4528" s="1">
        <v>2.3408000000000002</v>
      </c>
      <c r="C4528" s="1">
        <v>1.18</v>
      </c>
      <c r="D4528" s="1">
        <v>2.9864000000000002</v>
      </c>
    </row>
    <row r="4529" spans="1:4" x14ac:dyDescent="0.2">
      <c r="A4529" s="5">
        <v>42832</v>
      </c>
      <c r="B4529" s="1">
        <v>2.3822000000000001</v>
      </c>
      <c r="C4529" s="1">
        <v>1.18</v>
      </c>
      <c r="D4529" s="1">
        <v>3.0078</v>
      </c>
    </row>
    <row r="4530" spans="1:4" x14ac:dyDescent="0.2">
      <c r="A4530" s="5">
        <v>42835</v>
      </c>
      <c r="B4530" s="1">
        <v>2.3660999999999999</v>
      </c>
      <c r="C4530" s="1">
        <v>1.17</v>
      </c>
      <c r="D4530" s="1">
        <v>2.9903</v>
      </c>
    </row>
    <row r="4531" spans="1:4" x14ac:dyDescent="0.2">
      <c r="A4531" s="5">
        <v>42836</v>
      </c>
      <c r="B4531" s="1">
        <v>2.2961999999999998</v>
      </c>
      <c r="C4531" s="1">
        <v>1.18</v>
      </c>
      <c r="D4531" s="1">
        <v>2.9289000000000001</v>
      </c>
    </row>
    <row r="4532" spans="1:4" x14ac:dyDescent="0.2">
      <c r="A4532" s="5">
        <v>42837</v>
      </c>
      <c r="B4532" s="1">
        <v>2.2391999999999999</v>
      </c>
      <c r="C4532" s="1">
        <v>1.18</v>
      </c>
      <c r="D4532" s="1">
        <v>2.8860999999999999</v>
      </c>
    </row>
    <row r="4533" spans="1:4" x14ac:dyDescent="0.2">
      <c r="A4533" s="5">
        <v>42838</v>
      </c>
      <c r="B4533" s="1">
        <v>2.2374000000000001</v>
      </c>
      <c r="C4533" s="1">
        <v>1.19</v>
      </c>
      <c r="D4533" s="1">
        <v>2.8923000000000001</v>
      </c>
    </row>
    <row r="4534" spans="1:4" x14ac:dyDescent="0.2">
      <c r="A4534" s="5">
        <v>42839</v>
      </c>
      <c r="B4534" s="1">
        <v>2.2374000000000001</v>
      </c>
      <c r="C4534" s="1">
        <v>1.19</v>
      </c>
      <c r="D4534" s="1">
        <v>2.8923000000000001</v>
      </c>
    </row>
    <row r="4535" spans="1:4" x14ac:dyDescent="0.2">
      <c r="A4535" s="5">
        <v>42842</v>
      </c>
      <c r="B4535" s="1">
        <v>2.2498</v>
      </c>
      <c r="C4535" s="1">
        <v>1.18</v>
      </c>
      <c r="D4535" s="1">
        <v>2.9094000000000002</v>
      </c>
    </row>
    <row r="4536" spans="1:4" x14ac:dyDescent="0.2">
      <c r="A4536" s="5">
        <v>42843</v>
      </c>
      <c r="B4536" s="1">
        <v>2.1682000000000001</v>
      </c>
      <c r="C4536" s="1">
        <v>1.19</v>
      </c>
      <c r="D4536" s="1">
        <v>2.8353999999999999</v>
      </c>
    </row>
    <row r="4537" spans="1:4" x14ac:dyDescent="0.2">
      <c r="A4537" s="5">
        <v>42844</v>
      </c>
      <c r="B4537" s="1">
        <v>2.2143000000000002</v>
      </c>
      <c r="C4537" s="1">
        <v>1.19</v>
      </c>
      <c r="D4537" s="1">
        <v>2.8729</v>
      </c>
    </row>
    <row r="4538" spans="1:4" x14ac:dyDescent="0.2">
      <c r="A4538" s="5">
        <v>42845</v>
      </c>
      <c r="B4538" s="1">
        <v>2.2320000000000002</v>
      </c>
      <c r="C4538" s="1">
        <v>1.19</v>
      </c>
      <c r="D4538" s="1">
        <v>2.8822000000000001</v>
      </c>
    </row>
    <row r="4539" spans="1:4" x14ac:dyDescent="0.2">
      <c r="A4539" s="5">
        <v>42846</v>
      </c>
      <c r="B4539" s="1">
        <v>2.2480000000000002</v>
      </c>
      <c r="C4539" s="1">
        <v>1.19</v>
      </c>
      <c r="D4539" s="1">
        <v>2.9015</v>
      </c>
    </row>
    <row r="4540" spans="1:4" x14ac:dyDescent="0.2">
      <c r="A4540" s="5">
        <v>42849</v>
      </c>
      <c r="B4540" s="1">
        <v>2.2730000000000001</v>
      </c>
      <c r="C4540" s="1">
        <v>1.18</v>
      </c>
      <c r="D4540" s="1">
        <v>2.9287999999999998</v>
      </c>
    </row>
    <row r="4541" spans="1:4" x14ac:dyDescent="0.2">
      <c r="A4541" s="5">
        <v>42850</v>
      </c>
      <c r="B4541" s="1">
        <v>2.3321999999999998</v>
      </c>
      <c r="C4541" s="1">
        <v>1.17</v>
      </c>
      <c r="D4541" s="1">
        <v>2.9878999999999998</v>
      </c>
    </row>
    <row r="4542" spans="1:4" x14ac:dyDescent="0.2">
      <c r="A4542" s="5">
        <v>42851</v>
      </c>
      <c r="B4542" s="1">
        <v>2.3035000000000001</v>
      </c>
      <c r="C4542" s="1">
        <v>1.17</v>
      </c>
      <c r="D4542" s="1">
        <v>2.9601999999999999</v>
      </c>
    </row>
    <row r="4543" spans="1:4" x14ac:dyDescent="0.2">
      <c r="A4543" s="5">
        <v>42852</v>
      </c>
      <c r="B4543" s="1">
        <v>2.2946</v>
      </c>
      <c r="C4543" s="1">
        <v>1.17</v>
      </c>
      <c r="D4543" s="1">
        <v>2.9641999999999999</v>
      </c>
    </row>
    <row r="4544" spans="1:4" x14ac:dyDescent="0.2">
      <c r="A4544" s="5">
        <v>42853</v>
      </c>
      <c r="B4544" s="1">
        <v>2.2801999999999998</v>
      </c>
      <c r="C4544" s="1">
        <v>1.1599999999999999</v>
      </c>
      <c r="D4544" s="1">
        <v>2.9508000000000001</v>
      </c>
    </row>
    <row r="4545" spans="1:4" x14ac:dyDescent="0.2">
      <c r="A4545" s="5">
        <v>42856</v>
      </c>
      <c r="B4545" s="1">
        <v>2.3180000000000001</v>
      </c>
      <c r="C4545" s="1">
        <v>1.1599999999999999</v>
      </c>
      <c r="D4545" s="1">
        <v>3.0023</v>
      </c>
    </row>
    <row r="4546" spans="1:4" x14ac:dyDescent="0.2">
      <c r="A4546" s="5">
        <v>42857</v>
      </c>
      <c r="B4546" s="1">
        <v>2.2803</v>
      </c>
      <c r="C4546" s="1">
        <v>1.1599999999999999</v>
      </c>
      <c r="D4546" s="1">
        <v>2.9689000000000001</v>
      </c>
    </row>
    <row r="4547" spans="1:4" x14ac:dyDescent="0.2">
      <c r="A4547" s="5">
        <v>42858</v>
      </c>
      <c r="B4547" s="1">
        <v>2.3180000000000001</v>
      </c>
      <c r="C4547" s="1">
        <v>1.1599999999999999</v>
      </c>
      <c r="D4547" s="1">
        <v>2.9681000000000002</v>
      </c>
    </row>
    <row r="4548" spans="1:4" x14ac:dyDescent="0.2">
      <c r="A4548" s="5">
        <v>42859</v>
      </c>
      <c r="B4548" s="1">
        <v>2.3540999999999999</v>
      </c>
      <c r="C4548" s="1">
        <v>1.1499999999999999</v>
      </c>
      <c r="D4548" s="1">
        <v>2.9983</v>
      </c>
    </row>
    <row r="4549" spans="1:4" x14ac:dyDescent="0.2">
      <c r="A4549" s="5">
        <v>42860</v>
      </c>
      <c r="B4549" s="1">
        <v>2.3487</v>
      </c>
      <c r="C4549" s="1">
        <v>1.1499999999999999</v>
      </c>
      <c r="D4549" s="1">
        <v>2.9832000000000001</v>
      </c>
    </row>
    <row r="4550" spans="1:4" x14ac:dyDescent="0.2">
      <c r="A4550" s="5">
        <v>42863</v>
      </c>
      <c r="B4550" s="1">
        <v>2.3868</v>
      </c>
      <c r="C4550" s="1">
        <v>1.1499999999999999</v>
      </c>
      <c r="D4550" s="1">
        <v>3.0222000000000002</v>
      </c>
    </row>
    <row r="4551" spans="1:4" x14ac:dyDescent="0.2">
      <c r="A4551" s="5">
        <v>42864</v>
      </c>
      <c r="B4551" s="1">
        <v>2.3976999999999999</v>
      </c>
      <c r="C4551" s="1">
        <v>1.1399999999999999</v>
      </c>
      <c r="D4551" s="1">
        <v>3.0270999999999999</v>
      </c>
    </row>
    <row r="4552" spans="1:4" x14ac:dyDescent="0.2">
      <c r="A4552" s="5">
        <v>42865</v>
      </c>
      <c r="B4552" s="1">
        <v>2.4140999999999999</v>
      </c>
      <c r="C4552" s="1">
        <v>1.1299999999999999</v>
      </c>
      <c r="D4552" s="1">
        <v>3.0407000000000002</v>
      </c>
    </row>
    <row r="4553" spans="1:4" x14ac:dyDescent="0.2">
      <c r="A4553" s="5">
        <v>42866</v>
      </c>
      <c r="B4553" s="1">
        <v>2.3874</v>
      </c>
      <c r="C4553" s="1">
        <v>1.1200000000000001</v>
      </c>
      <c r="D4553" s="1">
        <v>3.0255000000000001</v>
      </c>
    </row>
    <row r="4554" spans="1:4" x14ac:dyDescent="0.2">
      <c r="A4554" s="5">
        <v>42867</v>
      </c>
      <c r="B4554" s="1">
        <v>2.3256999999999999</v>
      </c>
      <c r="C4554" s="1">
        <v>1.1200000000000001</v>
      </c>
      <c r="D4554" s="1">
        <v>2.9889000000000001</v>
      </c>
    </row>
    <row r="4555" spans="1:4" x14ac:dyDescent="0.2">
      <c r="A4555" s="5">
        <v>42870</v>
      </c>
      <c r="B4555" s="1">
        <v>2.3433000000000002</v>
      </c>
      <c r="C4555" s="1">
        <v>1.1100000000000001</v>
      </c>
      <c r="D4555" s="1">
        <v>3.0064000000000002</v>
      </c>
    </row>
    <row r="4556" spans="1:4" x14ac:dyDescent="0.2">
      <c r="A4556" s="5">
        <v>42871</v>
      </c>
      <c r="B4556" s="1">
        <v>2.3256999999999999</v>
      </c>
      <c r="C4556" s="1">
        <v>1.1100000000000001</v>
      </c>
      <c r="D4556" s="1">
        <v>2.9921000000000002</v>
      </c>
    </row>
    <row r="4557" spans="1:4" x14ac:dyDescent="0.2">
      <c r="A4557" s="5">
        <v>42872</v>
      </c>
      <c r="B4557" s="1">
        <v>2.2242999999999999</v>
      </c>
      <c r="C4557" s="1">
        <v>1.1200000000000001</v>
      </c>
      <c r="D4557" s="1">
        <v>2.9159999999999999</v>
      </c>
    </row>
    <row r="4558" spans="1:4" x14ac:dyDescent="0.2">
      <c r="A4558" s="5">
        <v>42873</v>
      </c>
      <c r="B4558" s="1">
        <v>2.2294</v>
      </c>
      <c r="C4558" s="1">
        <v>1.1299999999999999</v>
      </c>
      <c r="D4558" s="1">
        <v>2.9005000000000001</v>
      </c>
    </row>
    <row r="4559" spans="1:4" x14ac:dyDescent="0.2">
      <c r="A4559" s="5">
        <v>42874</v>
      </c>
      <c r="B4559" s="1">
        <v>2.2345999999999999</v>
      </c>
      <c r="C4559" s="1">
        <v>1.1299999999999999</v>
      </c>
      <c r="D4559" s="1">
        <v>2.8965999999999998</v>
      </c>
    </row>
    <row r="4560" spans="1:4" x14ac:dyDescent="0.2">
      <c r="A4560" s="5">
        <v>42877</v>
      </c>
      <c r="B4560" s="1">
        <v>2.2536999999999998</v>
      </c>
      <c r="C4560" s="1">
        <v>1.1200000000000001</v>
      </c>
      <c r="D4560" s="1">
        <v>2.9136000000000002</v>
      </c>
    </row>
    <row r="4561" spans="1:4" x14ac:dyDescent="0.2">
      <c r="A4561" s="5">
        <v>42878</v>
      </c>
      <c r="B4561" s="1">
        <v>2.2799</v>
      </c>
      <c r="C4561" s="1">
        <v>1.1200000000000001</v>
      </c>
      <c r="D4561" s="1">
        <v>2.9432</v>
      </c>
    </row>
    <row r="4562" spans="1:4" x14ac:dyDescent="0.2">
      <c r="A4562" s="5">
        <v>42879</v>
      </c>
      <c r="B4562" s="1">
        <v>2.2502</v>
      </c>
      <c r="C4562" s="1">
        <v>1.1299999999999999</v>
      </c>
      <c r="D4562" s="1">
        <v>2.9245000000000001</v>
      </c>
    </row>
    <row r="4563" spans="1:4" x14ac:dyDescent="0.2">
      <c r="A4563" s="5">
        <v>42880</v>
      </c>
      <c r="B4563" s="1">
        <v>2.2553999999999998</v>
      </c>
      <c r="C4563" s="1">
        <v>1.1299999999999999</v>
      </c>
      <c r="D4563" s="1">
        <v>2.9205999999999999</v>
      </c>
    </row>
    <row r="4564" spans="1:4" x14ac:dyDescent="0.2">
      <c r="A4564" s="5">
        <v>42881</v>
      </c>
      <c r="B4564" s="1">
        <v>2.2465000000000002</v>
      </c>
      <c r="C4564" s="1">
        <v>1.1299999999999999</v>
      </c>
      <c r="D4564" s="1">
        <v>2.9119999999999999</v>
      </c>
    </row>
    <row r="4565" spans="1:4" x14ac:dyDescent="0.2">
      <c r="A4565" s="5">
        <v>42884</v>
      </c>
      <c r="B4565" s="1">
        <v>2.2465000000000002</v>
      </c>
      <c r="C4565" s="1">
        <v>1.1299999999999999</v>
      </c>
      <c r="D4565" s="1">
        <v>2.9119999999999999</v>
      </c>
    </row>
    <row r="4566" spans="1:4" x14ac:dyDescent="0.2">
      <c r="A4566" s="5">
        <v>42885</v>
      </c>
      <c r="B4566" s="1">
        <v>2.2098</v>
      </c>
      <c r="C4566" s="1">
        <v>1.1299999999999999</v>
      </c>
      <c r="D4566" s="1">
        <v>2.8772000000000002</v>
      </c>
    </row>
    <row r="4567" spans="1:4" x14ac:dyDescent="0.2">
      <c r="A4567" s="5">
        <v>42886</v>
      </c>
      <c r="B4567" s="1">
        <v>2.2027999999999999</v>
      </c>
      <c r="C4567" s="1">
        <v>1.1299999999999999</v>
      </c>
      <c r="D4567" s="1">
        <v>2.8633999999999999</v>
      </c>
    </row>
    <row r="4568" spans="1:4" x14ac:dyDescent="0.2">
      <c r="A4568" s="5">
        <v>42887</v>
      </c>
      <c r="B4568" s="1">
        <v>2.2113999999999998</v>
      </c>
      <c r="C4568" s="1">
        <v>1.1299999999999999</v>
      </c>
      <c r="D4568" s="1">
        <v>2.8626</v>
      </c>
    </row>
    <row r="4569" spans="1:4" x14ac:dyDescent="0.2">
      <c r="A4569" s="5">
        <v>42888</v>
      </c>
      <c r="B4569" s="1">
        <v>2.1591</v>
      </c>
      <c r="C4569" s="1">
        <v>1.1399999999999999</v>
      </c>
      <c r="D4569" s="1">
        <v>2.81</v>
      </c>
    </row>
    <row r="4570" spans="1:4" x14ac:dyDescent="0.2">
      <c r="A4570" s="5">
        <v>42891</v>
      </c>
      <c r="B4570" s="1">
        <v>2.1817000000000002</v>
      </c>
      <c r="C4570" s="1">
        <v>1.1299999999999999</v>
      </c>
      <c r="D4570" s="1">
        <v>2.8365999999999998</v>
      </c>
    </row>
    <row r="4571" spans="1:4" x14ac:dyDescent="0.2">
      <c r="A4571" s="5">
        <v>42892</v>
      </c>
      <c r="B4571" s="1">
        <v>2.1450999999999998</v>
      </c>
      <c r="C4571" s="1">
        <v>1.1299999999999999</v>
      </c>
      <c r="D4571" s="1">
        <v>2.8115000000000001</v>
      </c>
    </row>
    <row r="4572" spans="1:4" x14ac:dyDescent="0.2">
      <c r="A4572" s="5">
        <v>42893</v>
      </c>
      <c r="B4572" s="1">
        <v>2.1728999999999998</v>
      </c>
      <c r="C4572" s="1">
        <v>1.1299999999999999</v>
      </c>
      <c r="D4572" s="1">
        <v>2.8365999999999998</v>
      </c>
    </row>
    <row r="4573" spans="1:4" x14ac:dyDescent="0.2">
      <c r="A4573" s="5">
        <v>42894</v>
      </c>
      <c r="B4573" s="1">
        <v>2.1884999999999999</v>
      </c>
      <c r="C4573" s="1">
        <v>1.1299999999999999</v>
      </c>
      <c r="D4573" s="1">
        <v>2.851</v>
      </c>
    </row>
    <row r="4574" spans="1:4" x14ac:dyDescent="0.2">
      <c r="A4574" s="5">
        <v>42895</v>
      </c>
      <c r="B4574" s="1">
        <v>2.2004999999999999</v>
      </c>
      <c r="C4574" s="1">
        <v>1.1299999999999999</v>
      </c>
      <c r="D4574" s="1">
        <v>2.8555999999999999</v>
      </c>
    </row>
    <row r="4575" spans="1:4" x14ac:dyDescent="0.2">
      <c r="A4575" s="5">
        <v>42898</v>
      </c>
      <c r="B4575" s="1">
        <v>2.2145000000000001</v>
      </c>
      <c r="C4575" s="1">
        <v>1.1299999999999999</v>
      </c>
      <c r="D4575" s="1">
        <v>2.8694000000000002</v>
      </c>
    </row>
    <row r="4576" spans="1:4" x14ac:dyDescent="0.2">
      <c r="A4576" s="5">
        <v>42899</v>
      </c>
      <c r="B4576" s="1">
        <v>2.2109000000000001</v>
      </c>
      <c r="C4576" s="1">
        <v>1.1200000000000001</v>
      </c>
      <c r="D4576" s="1">
        <v>2.8647999999999998</v>
      </c>
    </row>
    <row r="4577" spans="1:4" x14ac:dyDescent="0.2">
      <c r="A4577" s="5">
        <v>42900</v>
      </c>
      <c r="B4577" s="1">
        <v>2.1255999999999999</v>
      </c>
      <c r="C4577" s="1">
        <v>1.1200000000000001</v>
      </c>
      <c r="D4577" s="1">
        <v>2.7692000000000001</v>
      </c>
    </row>
    <row r="4578" spans="1:4" x14ac:dyDescent="0.2">
      <c r="A4578" s="5">
        <v>42901</v>
      </c>
      <c r="B4578" s="1">
        <v>2.1637</v>
      </c>
      <c r="C4578" s="1">
        <v>1.1200000000000001</v>
      </c>
      <c r="D4578" s="1">
        <v>2.7871999999999999</v>
      </c>
    </row>
    <row r="4579" spans="1:4" x14ac:dyDescent="0.2">
      <c r="A4579" s="5">
        <v>42902</v>
      </c>
      <c r="B4579" s="1">
        <v>2.1514000000000002</v>
      </c>
      <c r="C4579" s="1">
        <v>1.1200000000000001</v>
      </c>
      <c r="D4579" s="1">
        <v>2.7751999999999999</v>
      </c>
    </row>
    <row r="4580" spans="1:4" x14ac:dyDescent="0.2">
      <c r="A4580" s="5">
        <v>42905</v>
      </c>
      <c r="B4580" s="1">
        <v>2.1879</v>
      </c>
      <c r="C4580" s="1">
        <v>1.1100000000000001</v>
      </c>
      <c r="D4580" s="1">
        <v>2.7848999999999999</v>
      </c>
    </row>
    <row r="4581" spans="1:4" x14ac:dyDescent="0.2">
      <c r="A4581" s="5">
        <v>42906</v>
      </c>
      <c r="B4581" s="1">
        <v>2.1564999999999999</v>
      </c>
      <c r="C4581" s="1">
        <v>1.1200000000000001</v>
      </c>
      <c r="D4581" s="1">
        <v>2.7385000000000002</v>
      </c>
    </row>
    <row r="4582" spans="1:4" x14ac:dyDescent="0.2">
      <c r="A4582" s="5">
        <v>42907</v>
      </c>
      <c r="B4582" s="1">
        <v>2.1634000000000002</v>
      </c>
      <c r="C4582" s="1">
        <v>1.1200000000000001</v>
      </c>
      <c r="D4582" s="1">
        <v>2.7273999999999998</v>
      </c>
    </row>
    <row r="4583" spans="1:4" x14ac:dyDescent="0.2">
      <c r="A4583" s="5">
        <v>42908</v>
      </c>
      <c r="B4583" s="1">
        <v>2.1476999999999999</v>
      </c>
      <c r="C4583" s="1">
        <v>1.1200000000000001</v>
      </c>
      <c r="D4583" s="1">
        <v>2.7162999999999999</v>
      </c>
    </row>
    <row r="4584" spans="1:4" x14ac:dyDescent="0.2">
      <c r="A4584" s="5">
        <v>42909</v>
      </c>
      <c r="B4584" s="1">
        <v>2.1423000000000001</v>
      </c>
      <c r="C4584" s="1">
        <v>1.1200000000000001</v>
      </c>
      <c r="D4584" s="1">
        <v>2.7155</v>
      </c>
    </row>
    <row r="4585" spans="1:4" x14ac:dyDescent="0.2">
      <c r="A4585" s="5">
        <v>42912</v>
      </c>
      <c r="B4585" s="1">
        <v>2.137</v>
      </c>
      <c r="C4585" s="1">
        <v>1.1100000000000001</v>
      </c>
      <c r="D4585" s="1">
        <v>2.6970000000000001</v>
      </c>
    </row>
    <row r="4586" spans="1:4" x14ac:dyDescent="0.2">
      <c r="A4586" s="5">
        <v>42913</v>
      </c>
      <c r="B4586" s="1">
        <v>2.2050999999999998</v>
      </c>
      <c r="C4586" s="1">
        <v>1.1000000000000001</v>
      </c>
      <c r="D4586" s="1">
        <v>2.7517999999999998</v>
      </c>
    </row>
    <row r="4587" spans="1:4" x14ac:dyDescent="0.2">
      <c r="A4587" s="5">
        <v>42914</v>
      </c>
      <c r="B4587" s="1">
        <v>2.2279</v>
      </c>
      <c r="C4587" s="1">
        <v>1.1000000000000001</v>
      </c>
      <c r="D4587" s="1">
        <v>2.7810000000000001</v>
      </c>
    </row>
    <row r="4588" spans="1:4" x14ac:dyDescent="0.2">
      <c r="A4588" s="5">
        <v>42915</v>
      </c>
      <c r="B4588" s="1">
        <v>2.2665999999999999</v>
      </c>
      <c r="C4588" s="1">
        <v>1.0900000000000001</v>
      </c>
      <c r="D4588" s="1">
        <v>2.8134999999999999</v>
      </c>
    </row>
    <row r="4589" spans="1:4" x14ac:dyDescent="0.2">
      <c r="A4589" s="5">
        <v>42916</v>
      </c>
      <c r="B4589" s="1">
        <v>2.3037000000000001</v>
      </c>
      <c r="C4589" s="1">
        <v>1.0900000000000001</v>
      </c>
      <c r="D4589" s="1">
        <v>2.8348</v>
      </c>
    </row>
    <row r="4590" spans="1:4" x14ac:dyDescent="0.2">
      <c r="A4590" s="5">
        <v>42919</v>
      </c>
      <c r="B4590" s="1">
        <v>2.3498999999999999</v>
      </c>
      <c r="C4590" s="1">
        <v>1.0900000000000001</v>
      </c>
      <c r="D4590" s="1">
        <v>2.8668999999999998</v>
      </c>
    </row>
    <row r="4591" spans="1:4" x14ac:dyDescent="0.2">
      <c r="A4591" s="5">
        <v>42920</v>
      </c>
      <c r="B4591" s="1">
        <v>2.3498999999999999</v>
      </c>
      <c r="C4591" s="1">
        <v>1.0900000000000001</v>
      </c>
      <c r="D4591" s="1">
        <v>2.8668999999999998</v>
      </c>
    </row>
    <row r="4592" spans="1:4" x14ac:dyDescent="0.2">
      <c r="A4592" s="5">
        <v>42921</v>
      </c>
      <c r="B4592" s="1">
        <v>2.3231999999999999</v>
      </c>
      <c r="C4592" s="1">
        <v>1.08</v>
      </c>
      <c r="D4592" s="1">
        <v>2.8469000000000002</v>
      </c>
    </row>
    <row r="4593" spans="1:4" x14ac:dyDescent="0.2">
      <c r="A4593" s="5">
        <v>42922</v>
      </c>
      <c r="B4593" s="1">
        <v>2.3658999999999999</v>
      </c>
      <c r="C4593" s="1">
        <v>1.07</v>
      </c>
      <c r="D4593" s="1">
        <v>2.9016000000000002</v>
      </c>
    </row>
    <row r="4594" spans="1:4" x14ac:dyDescent="0.2">
      <c r="A4594" s="5">
        <v>42923</v>
      </c>
      <c r="B4594" s="1">
        <v>2.3856000000000002</v>
      </c>
      <c r="C4594" s="1">
        <v>1.07</v>
      </c>
      <c r="D4594" s="1">
        <v>2.9289000000000001</v>
      </c>
    </row>
    <row r="4595" spans="1:4" x14ac:dyDescent="0.2">
      <c r="A4595" s="5">
        <v>42926</v>
      </c>
      <c r="B4595" s="1">
        <v>2.3730000000000002</v>
      </c>
      <c r="C4595" s="1">
        <v>1.06</v>
      </c>
      <c r="D4595" s="1">
        <v>2.9264999999999999</v>
      </c>
    </row>
    <row r="4596" spans="1:4" x14ac:dyDescent="0.2">
      <c r="A4596" s="5">
        <v>42927</v>
      </c>
      <c r="B4596" s="1">
        <v>2.3605</v>
      </c>
      <c r="C4596" s="1">
        <v>1.06</v>
      </c>
      <c r="D4596" s="1">
        <v>2.9234</v>
      </c>
    </row>
    <row r="4597" spans="1:4" x14ac:dyDescent="0.2">
      <c r="A4597" s="5">
        <v>42928</v>
      </c>
      <c r="B4597" s="1">
        <v>2.3176999999999999</v>
      </c>
      <c r="C4597" s="1">
        <v>1.06</v>
      </c>
      <c r="D4597" s="1">
        <v>2.8837999999999999</v>
      </c>
    </row>
    <row r="4598" spans="1:4" x14ac:dyDescent="0.2">
      <c r="A4598" s="5">
        <v>42929</v>
      </c>
      <c r="B4598" s="1">
        <v>2.3443999999999998</v>
      </c>
      <c r="C4598" s="1">
        <v>1.05</v>
      </c>
      <c r="D4598" s="1">
        <v>2.9171999999999998</v>
      </c>
    </row>
    <row r="4599" spans="1:4" x14ac:dyDescent="0.2">
      <c r="A4599" s="5">
        <v>42930</v>
      </c>
      <c r="B4599" s="1">
        <v>2.3319000000000001</v>
      </c>
      <c r="C4599" s="1">
        <v>1.05</v>
      </c>
      <c r="D4599" s="1">
        <v>2.9195000000000002</v>
      </c>
    </row>
    <row r="4600" spans="1:4" x14ac:dyDescent="0.2">
      <c r="A4600" s="5">
        <v>42933</v>
      </c>
      <c r="B4600" s="1">
        <v>2.3140999999999998</v>
      </c>
      <c r="C4600" s="1">
        <v>1.05</v>
      </c>
      <c r="D4600" s="1">
        <v>2.9039000000000001</v>
      </c>
    </row>
    <row r="4601" spans="1:4" x14ac:dyDescent="0.2">
      <c r="A4601" s="5">
        <v>42934</v>
      </c>
      <c r="B4601" s="1">
        <v>2.2589999999999999</v>
      </c>
      <c r="C4601" s="1">
        <v>1.04</v>
      </c>
      <c r="D4601" s="1">
        <v>2.8460999999999999</v>
      </c>
    </row>
    <row r="4602" spans="1:4" x14ac:dyDescent="0.2">
      <c r="A4602" s="5">
        <v>42935</v>
      </c>
      <c r="B4602" s="1">
        <v>2.2696000000000001</v>
      </c>
      <c r="C4602" s="1">
        <v>1.04</v>
      </c>
      <c r="D4602" s="1">
        <v>2.8513999999999999</v>
      </c>
    </row>
    <row r="4603" spans="1:4" x14ac:dyDescent="0.2">
      <c r="A4603" s="5">
        <v>42936</v>
      </c>
      <c r="B4603" s="1">
        <v>2.2589000000000001</v>
      </c>
      <c r="C4603" s="1">
        <v>1.04</v>
      </c>
      <c r="D4603" s="1">
        <v>2.8254000000000001</v>
      </c>
    </row>
    <row r="4604" spans="1:4" x14ac:dyDescent="0.2">
      <c r="A4604" s="5">
        <v>42937</v>
      </c>
      <c r="B4604" s="1">
        <v>2.2374999999999998</v>
      </c>
      <c r="C4604" s="1">
        <v>1.04</v>
      </c>
      <c r="D4604" s="1">
        <v>2.8087</v>
      </c>
    </row>
    <row r="4605" spans="1:4" x14ac:dyDescent="0.2">
      <c r="A4605" s="5">
        <v>42940</v>
      </c>
      <c r="B4605" s="1">
        <v>2.2551999999999999</v>
      </c>
      <c r="C4605" s="1">
        <v>1.03</v>
      </c>
      <c r="D4605" s="1">
        <v>2.8344999999999998</v>
      </c>
    </row>
    <row r="4606" spans="1:4" x14ac:dyDescent="0.2">
      <c r="A4606" s="5">
        <v>42941</v>
      </c>
      <c r="B4606" s="1">
        <v>2.3353999999999999</v>
      </c>
      <c r="C4606" s="1">
        <v>1.03</v>
      </c>
      <c r="D4606" s="1">
        <v>2.9171</v>
      </c>
    </row>
    <row r="4607" spans="1:4" x14ac:dyDescent="0.2">
      <c r="A4607" s="5">
        <v>42942</v>
      </c>
      <c r="B4607" s="1">
        <v>2.2871999999999999</v>
      </c>
      <c r="C4607" s="1">
        <v>1.03</v>
      </c>
      <c r="D4607" s="1">
        <v>2.8914</v>
      </c>
    </row>
    <row r="4608" spans="1:4" x14ac:dyDescent="0.2">
      <c r="A4608" s="5">
        <v>42943</v>
      </c>
      <c r="B4608" s="1">
        <v>2.3102999999999998</v>
      </c>
      <c r="C4608" s="1">
        <v>1.02</v>
      </c>
      <c r="D4608" s="1">
        <v>2.9194</v>
      </c>
    </row>
    <row r="4609" spans="1:4" x14ac:dyDescent="0.2">
      <c r="A4609" s="5">
        <v>42944</v>
      </c>
      <c r="B4609" s="1">
        <v>2.2888999999999999</v>
      </c>
      <c r="C4609" s="1">
        <v>1.03</v>
      </c>
      <c r="D4609" s="1">
        <v>2.8953000000000002</v>
      </c>
    </row>
    <row r="4610" spans="1:4" x14ac:dyDescent="0.2">
      <c r="A4610" s="5">
        <v>42947</v>
      </c>
      <c r="B4610" s="1">
        <v>2.2942</v>
      </c>
      <c r="C4610" s="1">
        <v>1.02</v>
      </c>
      <c r="D4610" s="1">
        <v>2.8999000000000001</v>
      </c>
    </row>
    <row r="4611" spans="1:4" x14ac:dyDescent="0.2">
      <c r="A4611" s="5">
        <v>42948</v>
      </c>
      <c r="B4611" s="1">
        <v>2.2532000000000001</v>
      </c>
      <c r="C4611" s="1">
        <v>1.03</v>
      </c>
      <c r="D4611" s="1">
        <v>2.8567</v>
      </c>
    </row>
    <row r="4612" spans="1:4" x14ac:dyDescent="0.2">
      <c r="A4612" s="5">
        <v>42949</v>
      </c>
      <c r="B4612" s="1">
        <v>2.2709999999999999</v>
      </c>
      <c r="C4612" s="1">
        <v>1.03</v>
      </c>
      <c r="D4612" s="1">
        <v>2.8559000000000001</v>
      </c>
    </row>
    <row r="4613" spans="1:4" x14ac:dyDescent="0.2">
      <c r="A4613" s="5">
        <v>42950</v>
      </c>
      <c r="B4613" s="1">
        <v>2.2212000000000001</v>
      </c>
      <c r="C4613" s="1">
        <v>1.04</v>
      </c>
      <c r="D4613" s="1">
        <v>2.7972000000000001</v>
      </c>
    </row>
    <row r="4614" spans="1:4" x14ac:dyDescent="0.2">
      <c r="A4614" s="5">
        <v>42951</v>
      </c>
      <c r="B4614" s="1">
        <v>2.262</v>
      </c>
      <c r="C4614" s="1">
        <v>1.05</v>
      </c>
      <c r="D4614" s="1">
        <v>2.8420000000000001</v>
      </c>
    </row>
    <row r="4615" spans="1:4" x14ac:dyDescent="0.2">
      <c r="A4615" s="5">
        <v>42954</v>
      </c>
      <c r="B4615" s="1">
        <v>2.2530000000000001</v>
      </c>
      <c r="C4615" s="1">
        <v>1.05</v>
      </c>
      <c r="D4615" s="1">
        <v>2.8336000000000001</v>
      </c>
    </row>
    <row r="4616" spans="1:4" x14ac:dyDescent="0.2">
      <c r="A4616" s="5">
        <v>42955</v>
      </c>
      <c r="B4616" s="1">
        <v>2.2618999999999998</v>
      </c>
      <c r="C4616" s="1">
        <v>1.06</v>
      </c>
      <c r="D4616" s="1">
        <v>2.8428</v>
      </c>
    </row>
    <row r="4617" spans="1:4" x14ac:dyDescent="0.2">
      <c r="A4617" s="5">
        <v>42956</v>
      </c>
      <c r="B4617" s="1">
        <v>2.2475999999999998</v>
      </c>
      <c r="C4617" s="1">
        <v>1.0900000000000001</v>
      </c>
      <c r="D4617" s="1">
        <v>2.8222</v>
      </c>
    </row>
    <row r="4618" spans="1:4" x14ac:dyDescent="0.2">
      <c r="A4618" s="5">
        <v>42957</v>
      </c>
      <c r="B4618" s="1">
        <v>2.1974999999999998</v>
      </c>
      <c r="C4618" s="1">
        <v>1.1000000000000001</v>
      </c>
      <c r="D4618" s="1">
        <v>2.7728999999999999</v>
      </c>
    </row>
    <row r="4619" spans="1:4" x14ac:dyDescent="0.2">
      <c r="A4619" s="5">
        <v>42958</v>
      </c>
      <c r="B4619" s="1">
        <v>2.1888000000000001</v>
      </c>
      <c r="C4619" s="1">
        <v>1.1200000000000001</v>
      </c>
      <c r="D4619" s="1">
        <v>2.7854999999999999</v>
      </c>
    </row>
    <row r="4620" spans="1:4" x14ac:dyDescent="0.2">
      <c r="A4620" s="5">
        <v>42961</v>
      </c>
      <c r="B4620" s="1">
        <v>2.2185000000000001</v>
      </c>
      <c r="C4620" s="1">
        <v>1.1100000000000001</v>
      </c>
      <c r="D4620" s="1">
        <v>2.8073000000000001</v>
      </c>
    </row>
    <row r="4621" spans="1:4" x14ac:dyDescent="0.2">
      <c r="A4621" s="5">
        <v>42962</v>
      </c>
      <c r="B4621" s="1">
        <v>2.2728000000000002</v>
      </c>
      <c r="C4621" s="1">
        <v>1.1000000000000001</v>
      </c>
      <c r="D4621" s="1">
        <v>2.8488000000000002</v>
      </c>
    </row>
    <row r="4622" spans="1:4" x14ac:dyDescent="0.2">
      <c r="A4622" s="5">
        <v>42963</v>
      </c>
      <c r="B4622" s="1">
        <v>2.222</v>
      </c>
      <c r="C4622" s="1">
        <v>1.0900000000000001</v>
      </c>
      <c r="D4622" s="1">
        <v>2.8073000000000001</v>
      </c>
    </row>
    <row r="4623" spans="1:4" x14ac:dyDescent="0.2">
      <c r="A4623" s="5">
        <v>42964</v>
      </c>
      <c r="B4623" s="1">
        <v>2.1852999999999998</v>
      </c>
      <c r="C4623" s="1">
        <v>1.1000000000000001</v>
      </c>
      <c r="D4623" s="1">
        <v>2.7738999999999998</v>
      </c>
    </row>
    <row r="4624" spans="1:4" x14ac:dyDescent="0.2">
      <c r="A4624" s="5">
        <v>42965</v>
      </c>
      <c r="B4624" s="1">
        <v>2.1939000000000002</v>
      </c>
      <c r="C4624" s="1">
        <v>1.1000000000000001</v>
      </c>
      <c r="D4624" s="1">
        <v>2.7761999999999998</v>
      </c>
    </row>
    <row r="4625" spans="1:4" x14ac:dyDescent="0.2">
      <c r="A4625" s="5">
        <v>42968</v>
      </c>
      <c r="B4625" s="1">
        <v>2.1817000000000002</v>
      </c>
      <c r="C4625" s="1">
        <v>1.1100000000000001</v>
      </c>
      <c r="D4625" s="1">
        <v>2.7631000000000001</v>
      </c>
    </row>
    <row r="4626" spans="1:4" x14ac:dyDescent="0.2">
      <c r="A4626" s="5">
        <v>42969</v>
      </c>
      <c r="B4626" s="1">
        <v>2.2130999999999998</v>
      </c>
      <c r="C4626" s="1">
        <v>1.1000000000000001</v>
      </c>
      <c r="D4626" s="1">
        <v>2.7847</v>
      </c>
    </row>
    <row r="4627" spans="1:4" x14ac:dyDescent="0.2">
      <c r="A4627" s="5">
        <v>42970</v>
      </c>
      <c r="B4627" s="1">
        <v>2.1659999999999999</v>
      </c>
      <c r="C4627" s="1">
        <v>1.1100000000000001</v>
      </c>
      <c r="D4627" s="1">
        <v>2.7461000000000002</v>
      </c>
    </row>
    <row r="4628" spans="1:4" x14ac:dyDescent="0.2">
      <c r="A4628" s="5">
        <v>42971</v>
      </c>
      <c r="B4628" s="1">
        <v>2.1939000000000002</v>
      </c>
      <c r="C4628" s="1">
        <v>1.1000000000000001</v>
      </c>
      <c r="D4628" s="1">
        <v>2.7692000000000001</v>
      </c>
    </row>
    <row r="4629" spans="1:4" x14ac:dyDescent="0.2">
      <c r="A4629" s="5">
        <v>42972</v>
      </c>
      <c r="B4629" s="1">
        <v>2.1659000000000002</v>
      </c>
      <c r="C4629" s="1">
        <v>1.1000000000000001</v>
      </c>
      <c r="D4629" s="1">
        <v>2.7469000000000001</v>
      </c>
    </row>
    <row r="4630" spans="1:4" x14ac:dyDescent="0.2">
      <c r="A4630" s="5">
        <v>42975</v>
      </c>
      <c r="B4630" s="1">
        <v>2.1570999999999998</v>
      </c>
      <c r="C4630" s="1">
        <v>1.1000000000000001</v>
      </c>
      <c r="D4630" s="1">
        <v>2.7553999999999998</v>
      </c>
    </row>
    <row r="4631" spans="1:4" x14ac:dyDescent="0.2">
      <c r="A4631" s="5">
        <v>42976</v>
      </c>
      <c r="B4631" s="1">
        <v>2.1292</v>
      </c>
      <c r="C4631" s="1">
        <v>1.1100000000000001</v>
      </c>
      <c r="D4631" s="1">
        <v>2.7383999999999999</v>
      </c>
    </row>
    <row r="4632" spans="1:4" x14ac:dyDescent="0.2">
      <c r="A4632" s="5">
        <v>42977</v>
      </c>
      <c r="B4632" s="1">
        <v>2.1309</v>
      </c>
      <c r="C4632" s="1">
        <v>1.1000000000000001</v>
      </c>
      <c r="D4632" s="1">
        <v>2.7376999999999998</v>
      </c>
    </row>
    <row r="4633" spans="1:4" x14ac:dyDescent="0.2">
      <c r="A4633" s="5">
        <v>42978</v>
      </c>
      <c r="B4633" s="1">
        <v>2.117</v>
      </c>
      <c r="C4633" s="1">
        <v>1.1000000000000001</v>
      </c>
      <c r="D4633" s="1">
        <v>2.7262</v>
      </c>
    </row>
    <row r="4634" spans="1:4" x14ac:dyDescent="0.2">
      <c r="A4634" s="5">
        <v>42979</v>
      </c>
      <c r="B4634" s="1">
        <v>2.1657000000000002</v>
      </c>
      <c r="C4634" s="1">
        <v>1.1000000000000001</v>
      </c>
      <c r="D4634" s="1">
        <v>2.7770000000000001</v>
      </c>
    </row>
    <row r="4635" spans="1:4" x14ac:dyDescent="0.2">
      <c r="A4635" s="5">
        <v>42982</v>
      </c>
      <c r="B4635" s="1">
        <v>2.1657000000000002</v>
      </c>
      <c r="C4635" s="1">
        <v>1.1000000000000001</v>
      </c>
      <c r="D4635" s="1">
        <v>2.7770000000000001</v>
      </c>
    </row>
    <row r="4636" spans="1:4" x14ac:dyDescent="0.2">
      <c r="A4636" s="5">
        <v>42983</v>
      </c>
      <c r="B4636" s="1">
        <v>2.0596000000000001</v>
      </c>
      <c r="C4636" s="1">
        <v>1.1100000000000001</v>
      </c>
      <c r="D4636" s="1">
        <v>2.6806000000000001</v>
      </c>
    </row>
    <row r="4637" spans="1:4" x14ac:dyDescent="0.2">
      <c r="A4637" s="5">
        <v>42984</v>
      </c>
      <c r="B4637" s="1">
        <v>2.1046</v>
      </c>
      <c r="C4637" s="1">
        <v>1.1100000000000001</v>
      </c>
      <c r="D4637" s="1">
        <v>2.7223999999999999</v>
      </c>
    </row>
    <row r="4638" spans="1:4" x14ac:dyDescent="0.2">
      <c r="A4638" s="5">
        <v>42985</v>
      </c>
      <c r="B4638" s="1">
        <v>2.0387</v>
      </c>
      <c r="C4638" s="1">
        <v>1.1200000000000001</v>
      </c>
      <c r="D4638" s="1">
        <v>2.6572</v>
      </c>
    </row>
    <row r="4639" spans="1:4" x14ac:dyDescent="0.2">
      <c r="A4639" s="5">
        <v>42986</v>
      </c>
      <c r="B4639" s="1">
        <v>2.0507</v>
      </c>
      <c r="C4639" s="1">
        <v>1.1299999999999999</v>
      </c>
      <c r="D4639" s="1">
        <v>2.6692</v>
      </c>
    </row>
    <row r="4640" spans="1:4" x14ac:dyDescent="0.2">
      <c r="A4640" s="5">
        <v>42989</v>
      </c>
      <c r="B4640" s="1">
        <v>2.1305999999999998</v>
      </c>
      <c r="C4640" s="1">
        <v>1.1200000000000001</v>
      </c>
      <c r="D4640" s="1">
        <v>2.7429999999999999</v>
      </c>
    </row>
    <row r="4641" spans="1:4" x14ac:dyDescent="0.2">
      <c r="A4641" s="5">
        <v>42990</v>
      </c>
      <c r="B4641" s="1">
        <v>2.1671999999999998</v>
      </c>
      <c r="C4641" s="1">
        <v>1.1100000000000001</v>
      </c>
      <c r="D4641" s="1">
        <v>2.7715000000000001</v>
      </c>
    </row>
    <row r="4642" spans="1:4" x14ac:dyDescent="0.2">
      <c r="A4642" s="5">
        <v>42991</v>
      </c>
      <c r="B4642" s="1">
        <v>2.1882999999999999</v>
      </c>
      <c r="C4642" s="1">
        <v>1.1100000000000001</v>
      </c>
      <c r="D4642" s="1">
        <v>2.7863000000000002</v>
      </c>
    </row>
    <row r="4643" spans="1:4" x14ac:dyDescent="0.2">
      <c r="A4643" s="5">
        <v>42992</v>
      </c>
      <c r="B4643" s="1">
        <v>2.1846999999999999</v>
      </c>
      <c r="C4643" s="1">
        <v>1.1000000000000001</v>
      </c>
      <c r="D4643" s="1">
        <v>2.7669000000000001</v>
      </c>
    </row>
    <row r="4644" spans="1:4" x14ac:dyDescent="0.2">
      <c r="A4644" s="5">
        <v>42993</v>
      </c>
      <c r="B4644" s="1">
        <v>2.2023000000000001</v>
      </c>
      <c r="C4644" s="1">
        <v>1.0900000000000001</v>
      </c>
      <c r="D4644" s="1">
        <v>2.77</v>
      </c>
    </row>
    <row r="4645" spans="1:4" x14ac:dyDescent="0.2">
      <c r="A4645" s="5">
        <v>42996</v>
      </c>
      <c r="B4645" s="1">
        <v>2.2286999999999999</v>
      </c>
      <c r="C4645" s="1">
        <v>1.08</v>
      </c>
      <c r="D4645" s="1">
        <v>2.7987000000000002</v>
      </c>
    </row>
    <row r="4646" spans="1:4" x14ac:dyDescent="0.2">
      <c r="A4646" s="5">
        <v>42997</v>
      </c>
      <c r="B4646" s="1">
        <v>2.2446000000000002</v>
      </c>
      <c r="C4646" s="1">
        <v>1.07</v>
      </c>
      <c r="D4646" s="1">
        <v>2.8167</v>
      </c>
    </row>
    <row r="4647" spans="1:4" x14ac:dyDescent="0.2">
      <c r="A4647" s="5">
        <v>42998</v>
      </c>
      <c r="B4647" s="1">
        <v>2.2675999999999998</v>
      </c>
      <c r="C4647" s="1">
        <v>1.06</v>
      </c>
      <c r="D4647" s="1">
        <v>2.8081</v>
      </c>
    </row>
    <row r="4648" spans="1:4" x14ac:dyDescent="0.2">
      <c r="A4648" s="5">
        <v>42999</v>
      </c>
      <c r="B4648" s="1">
        <v>2.2765</v>
      </c>
      <c r="C4648" s="1">
        <v>1.06</v>
      </c>
      <c r="D4648" s="1">
        <v>2.8050000000000002</v>
      </c>
    </row>
    <row r="4649" spans="1:4" x14ac:dyDescent="0.2">
      <c r="A4649" s="5">
        <v>43000</v>
      </c>
      <c r="B4649" s="1">
        <v>2.2498999999999998</v>
      </c>
      <c r="C4649" s="1">
        <v>1.06</v>
      </c>
      <c r="D4649" s="1">
        <v>2.7801</v>
      </c>
    </row>
    <row r="4650" spans="1:4" x14ac:dyDescent="0.2">
      <c r="A4650" s="5">
        <v>43003</v>
      </c>
      <c r="B4650" s="1">
        <v>2.2198000000000002</v>
      </c>
      <c r="C4650" s="1">
        <v>1.06</v>
      </c>
      <c r="D4650" s="1">
        <v>2.7614999999999998</v>
      </c>
    </row>
    <row r="4651" spans="1:4" x14ac:dyDescent="0.2">
      <c r="A4651" s="5">
        <v>43004</v>
      </c>
      <c r="B4651" s="1">
        <v>2.2357</v>
      </c>
      <c r="C4651" s="1">
        <v>1.05</v>
      </c>
      <c r="D4651" s="1">
        <v>2.7738999999999998</v>
      </c>
    </row>
    <row r="4652" spans="1:4" x14ac:dyDescent="0.2">
      <c r="A4652" s="5">
        <v>43005</v>
      </c>
      <c r="B4652" s="1">
        <v>2.3102999999999998</v>
      </c>
      <c r="C4652" s="1">
        <v>1.04</v>
      </c>
      <c r="D4652" s="1">
        <v>2.8624999999999998</v>
      </c>
    </row>
    <row r="4653" spans="1:4" x14ac:dyDescent="0.2">
      <c r="A4653" s="5">
        <v>43006</v>
      </c>
      <c r="B4653" s="1">
        <v>2.3085</v>
      </c>
      <c r="C4653" s="1">
        <v>1.03</v>
      </c>
      <c r="D4653" s="1">
        <v>2.8712</v>
      </c>
    </row>
    <row r="4654" spans="1:4" x14ac:dyDescent="0.2">
      <c r="A4654" s="5">
        <v>43007</v>
      </c>
      <c r="B4654" s="1">
        <v>2.3336000000000001</v>
      </c>
      <c r="C4654" s="1">
        <v>1.01</v>
      </c>
      <c r="D4654" s="1">
        <v>2.8601000000000001</v>
      </c>
    </row>
    <row r="4655" spans="1:4" x14ac:dyDescent="0.2">
      <c r="A4655" s="5">
        <v>43010</v>
      </c>
      <c r="B4655" s="1">
        <v>2.3408000000000002</v>
      </c>
      <c r="C4655" s="1">
        <v>1</v>
      </c>
      <c r="D4655" s="1">
        <v>2.8736000000000002</v>
      </c>
    </row>
    <row r="4656" spans="1:4" x14ac:dyDescent="0.2">
      <c r="A4656" s="5">
        <v>43011</v>
      </c>
      <c r="B4656" s="1">
        <v>2.3229000000000002</v>
      </c>
      <c r="C4656" s="1">
        <v>0.99</v>
      </c>
      <c r="D4656" s="1">
        <v>2.8641000000000001</v>
      </c>
    </row>
    <row r="4657" spans="1:4" x14ac:dyDescent="0.2">
      <c r="A4657" s="5">
        <v>43012</v>
      </c>
      <c r="B4657" s="1">
        <v>2.3229000000000002</v>
      </c>
      <c r="C4657" s="1">
        <v>0.99</v>
      </c>
      <c r="D4657" s="1">
        <v>2.8656999999999999</v>
      </c>
    </row>
    <row r="4658" spans="1:4" x14ac:dyDescent="0.2">
      <c r="A4658" s="5">
        <v>43013</v>
      </c>
      <c r="B4658" s="1">
        <v>2.3479999999999999</v>
      </c>
      <c r="C4658" s="1">
        <v>0.98</v>
      </c>
      <c r="D4658" s="1">
        <v>2.8904000000000001</v>
      </c>
    </row>
    <row r="4659" spans="1:4" x14ac:dyDescent="0.2">
      <c r="A4659" s="5">
        <v>43014</v>
      </c>
      <c r="B4659" s="1">
        <v>2.3589000000000002</v>
      </c>
      <c r="C4659" s="1">
        <v>0.98</v>
      </c>
      <c r="D4659" s="1">
        <v>2.8936000000000002</v>
      </c>
    </row>
    <row r="4660" spans="1:4" x14ac:dyDescent="0.2">
      <c r="A4660" s="5">
        <v>43017</v>
      </c>
      <c r="B4660" s="1">
        <v>2.3589000000000002</v>
      </c>
      <c r="C4660" s="1">
        <v>0.98</v>
      </c>
      <c r="D4660" s="1">
        <v>2.8936000000000002</v>
      </c>
    </row>
    <row r="4661" spans="1:4" x14ac:dyDescent="0.2">
      <c r="A4661" s="5">
        <v>43018</v>
      </c>
      <c r="B4661" s="1">
        <v>2.3607</v>
      </c>
      <c r="C4661" s="1">
        <v>0.98</v>
      </c>
      <c r="D4661" s="1">
        <v>2.8952</v>
      </c>
    </row>
    <row r="4662" spans="1:4" x14ac:dyDescent="0.2">
      <c r="A4662" s="5">
        <v>43019</v>
      </c>
      <c r="B4662" s="1">
        <v>2.3481000000000001</v>
      </c>
      <c r="C4662" s="1">
        <v>0.98</v>
      </c>
      <c r="D4662" s="1">
        <v>2.8824000000000001</v>
      </c>
    </row>
    <row r="4663" spans="1:4" x14ac:dyDescent="0.2">
      <c r="A4663" s="5">
        <v>43020</v>
      </c>
      <c r="B4663" s="1">
        <v>2.3176999999999999</v>
      </c>
      <c r="C4663" s="1">
        <v>0.98</v>
      </c>
      <c r="D4663" s="1">
        <v>2.8466999999999998</v>
      </c>
    </row>
    <row r="4664" spans="1:4" x14ac:dyDescent="0.2">
      <c r="A4664" s="5">
        <v>43021</v>
      </c>
      <c r="B4664" s="1">
        <v>2.2730000000000001</v>
      </c>
      <c r="C4664" s="1">
        <v>0.98</v>
      </c>
      <c r="D4664" s="1">
        <v>2.8050000000000002</v>
      </c>
    </row>
    <row r="4665" spans="1:4" x14ac:dyDescent="0.2">
      <c r="A4665" s="5">
        <v>43024</v>
      </c>
      <c r="B4665" s="1">
        <v>2.3033999999999999</v>
      </c>
      <c r="C4665" s="1">
        <v>0.98</v>
      </c>
      <c r="D4665" s="1">
        <v>2.8231000000000002</v>
      </c>
    </row>
    <row r="4666" spans="1:4" x14ac:dyDescent="0.2">
      <c r="A4666" s="5">
        <v>43025</v>
      </c>
      <c r="B4666" s="1">
        <v>2.2997999999999998</v>
      </c>
      <c r="C4666" s="1">
        <v>0.98</v>
      </c>
      <c r="D4666" s="1">
        <v>2.8018999999999998</v>
      </c>
    </row>
    <row r="4667" spans="1:4" x14ac:dyDescent="0.2">
      <c r="A4667" s="5">
        <v>43026</v>
      </c>
      <c r="B4667" s="1">
        <v>2.3464999999999998</v>
      </c>
      <c r="C4667" s="1">
        <v>0.97</v>
      </c>
      <c r="D4667" s="1">
        <v>2.8561999999999999</v>
      </c>
    </row>
    <row r="4668" spans="1:4" x14ac:dyDescent="0.2">
      <c r="A4668" s="5">
        <v>43027</v>
      </c>
      <c r="B4668" s="1">
        <v>2.3178000000000001</v>
      </c>
      <c r="C4668" s="1">
        <v>0.97</v>
      </c>
      <c r="D4668" s="1">
        <v>2.8365</v>
      </c>
    </row>
    <row r="4669" spans="1:4" x14ac:dyDescent="0.2">
      <c r="A4669" s="5">
        <v>43028</v>
      </c>
      <c r="B4669" s="1">
        <v>2.3845000000000001</v>
      </c>
      <c r="C4669" s="1">
        <v>0.96</v>
      </c>
      <c r="D4669" s="1">
        <v>2.8969</v>
      </c>
    </row>
    <row r="4670" spans="1:4" x14ac:dyDescent="0.2">
      <c r="A4670" s="5">
        <v>43031</v>
      </c>
      <c r="B4670" s="1">
        <v>2.3664000000000001</v>
      </c>
      <c r="C4670" s="1">
        <v>0.95</v>
      </c>
      <c r="D4670" s="1">
        <v>2.8833000000000002</v>
      </c>
    </row>
    <row r="4671" spans="1:4" x14ac:dyDescent="0.2">
      <c r="A4671" s="5">
        <v>43032</v>
      </c>
      <c r="B4671" s="1">
        <v>2.4188999999999998</v>
      </c>
      <c r="C4671" s="1">
        <v>0.94</v>
      </c>
      <c r="D4671" s="1">
        <v>2.9331</v>
      </c>
    </row>
    <row r="4672" spans="1:4" x14ac:dyDescent="0.2">
      <c r="A4672" s="5">
        <v>43033</v>
      </c>
      <c r="B4672" s="1">
        <v>2.4317000000000002</v>
      </c>
      <c r="C4672" s="1">
        <v>0.94</v>
      </c>
      <c r="D4672" s="1">
        <v>2.9403999999999999</v>
      </c>
    </row>
    <row r="4673" spans="1:4" x14ac:dyDescent="0.2">
      <c r="A4673" s="5">
        <v>43034</v>
      </c>
      <c r="B4673" s="1">
        <v>2.4609000000000001</v>
      </c>
      <c r="C4673" s="1">
        <v>0.94</v>
      </c>
      <c r="D4673" s="1">
        <v>2.9714</v>
      </c>
    </row>
    <row r="4674" spans="1:4" x14ac:dyDescent="0.2">
      <c r="A4674" s="5">
        <v>43035</v>
      </c>
      <c r="B4674" s="1">
        <v>2.4064000000000001</v>
      </c>
      <c r="C4674" s="1">
        <v>0.94</v>
      </c>
      <c r="D4674" s="1">
        <v>2.9178999999999999</v>
      </c>
    </row>
    <row r="4675" spans="1:4" x14ac:dyDescent="0.2">
      <c r="A4675" s="5">
        <v>43038</v>
      </c>
      <c r="B4675" s="1">
        <v>2.3683999999999998</v>
      </c>
      <c r="C4675" s="1">
        <v>0.94</v>
      </c>
      <c r="D4675" s="1">
        <v>2.8801999999999999</v>
      </c>
    </row>
    <row r="4676" spans="1:4" x14ac:dyDescent="0.2">
      <c r="A4676" s="5">
        <v>43039</v>
      </c>
      <c r="B4676" s="1">
        <v>2.3793000000000002</v>
      </c>
      <c r="C4676" s="1">
        <v>0.95</v>
      </c>
      <c r="D4676" s="1">
        <v>2.8794</v>
      </c>
    </row>
    <row r="4677" spans="1:4" x14ac:dyDescent="0.2">
      <c r="A4677" s="5">
        <v>43040</v>
      </c>
      <c r="B4677" s="1">
        <v>2.3721000000000001</v>
      </c>
      <c r="C4677" s="1">
        <v>0.95</v>
      </c>
      <c r="D4677" s="1">
        <v>2.8578999999999999</v>
      </c>
    </row>
    <row r="4678" spans="1:4" x14ac:dyDescent="0.2">
      <c r="A4678" s="5">
        <v>43041</v>
      </c>
      <c r="B4678" s="1">
        <v>2.3450000000000002</v>
      </c>
      <c r="C4678" s="1">
        <v>0.96</v>
      </c>
      <c r="D4678" s="1">
        <v>2.8254999999999999</v>
      </c>
    </row>
    <row r="4679" spans="1:4" x14ac:dyDescent="0.2">
      <c r="A4679" s="5">
        <v>43042</v>
      </c>
      <c r="B4679" s="1">
        <v>2.3325</v>
      </c>
      <c r="C4679" s="1">
        <v>0.97</v>
      </c>
      <c r="D4679" s="1">
        <v>2.8129</v>
      </c>
    </row>
    <row r="4680" spans="1:4" x14ac:dyDescent="0.2">
      <c r="A4680" s="5">
        <v>43045</v>
      </c>
      <c r="B4680" s="1">
        <v>2.3163</v>
      </c>
      <c r="C4680" s="1">
        <v>0.98</v>
      </c>
      <c r="D4680" s="1">
        <v>2.7940999999999998</v>
      </c>
    </row>
    <row r="4681" spans="1:4" x14ac:dyDescent="0.2">
      <c r="A4681" s="5">
        <v>43046</v>
      </c>
      <c r="B4681" s="1">
        <v>2.3144999999999998</v>
      </c>
      <c r="C4681" s="1">
        <v>0.99</v>
      </c>
      <c r="D4681" s="1">
        <v>2.7770000000000001</v>
      </c>
    </row>
    <row r="4682" spans="1:4" x14ac:dyDescent="0.2">
      <c r="A4682" s="5">
        <v>43047</v>
      </c>
      <c r="B4682" s="1">
        <v>2.3342999999999998</v>
      </c>
      <c r="C4682" s="1">
        <v>0.99</v>
      </c>
      <c r="D4682" s="1">
        <v>2.7917999999999998</v>
      </c>
    </row>
    <row r="4683" spans="1:4" x14ac:dyDescent="0.2">
      <c r="A4683" s="5">
        <v>43048</v>
      </c>
      <c r="B4683" s="1">
        <v>2.3416000000000001</v>
      </c>
      <c r="C4683" s="1">
        <v>1</v>
      </c>
      <c r="D4683" s="1">
        <v>2.8161</v>
      </c>
    </row>
    <row r="4684" spans="1:4" x14ac:dyDescent="0.2">
      <c r="A4684" s="5">
        <v>43049</v>
      </c>
      <c r="B4684" s="1">
        <v>2.3984000000000001</v>
      </c>
      <c r="C4684" s="1">
        <v>1.01</v>
      </c>
      <c r="D4684" s="1">
        <v>2.8797000000000001</v>
      </c>
    </row>
    <row r="4685" spans="1:4" x14ac:dyDescent="0.2">
      <c r="A4685" s="5">
        <v>43052</v>
      </c>
      <c r="B4685" s="1">
        <v>2.4055</v>
      </c>
      <c r="C4685" s="1">
        <v>1.01</v>
      </c>
      <c r="D4685" s="1">
        <v>2.871</v>
      </c>
    </row>
    <row r="4686" spans="1:4" x14ac:dyDescent="0.2">
      <c r="A4686" s="5">
        <v>43053</v>
      </c>
      <c r="B4686" s="1">
        <v>2.3717000000000001</v>
      </c>
      <c r="C4686" s="1">
        <v>1.02</v>
      </c>
      <c r="D4686" s="1">
        <v>2.83</v>
      </c>
    </row>
    <row r="4687" spans="1:4" x14ac:dyDescent="0.2">
      <c r="A4687" s="5">
        <v>43054</v>
      </c>
      <c r="B4687" s="1">
        <v>2.3222</v>
      </c>
      <c r="C4687" s="1">
        <v>1.03</v>
      </c>
      <c r="D4687" s="1">
        <v>2.7646000000000002</v>
      </c>
    </row>
    <row r="4688" spans="1:4" x14ac:dyDescent="0.2">
      <c r="A4688" s="5">
        <v>43055</v>
      </c>
      <c r="B4688" s="1">
        <v>2.3753000000000002</v>
      </c>
      <c r="C4688" s="1">
        <v>1.02</v>
      </c>
      <c r="D4688" s="1">
        <v>2.8268</v>
      </c>
    </row>
    <row r="4689" spans="1:4" x14ac:dyDescent="0.2">
      <c r="A4689" s="5">
        <v>43056</v>
      </c>
      <c r="B4689" s="1">
        <v>2.3435000000000001</v>
      </c>
      <c r="C4689" s="1">
        <v>1.02</v>
      </c>
      <c r="D4689" s="1">
        <v>2.7778</v>
      </c>
    </row>
    <row r="4690" spans="1:4" x14ac:dyDescent="0.2">
      <c r="A4690" s="5">
        <v>43059</v>
      </c>
      <c r="B4690" s="1">
        <v>2.3666</v>
      </c>
      <c r="C4690" s="1">
        <v>1.01</v>
      </c>
      <c r="D4690" s="1">
        <v>2.7801</v>
      </c>
    </row>
    <row r="4691" spans="1:4" x14ac:dyDescent="0.2">
      <c r="A4691" s="5">
        <v>43060</v>
      </c>
      <c r="B4691" s="1">
        <v>2.3559000000000001</v>
      </c>
      <c r="C4691" s="1">
        <v>1</v>
      </c>
      <c r="D4691" s="1">
        <v>2.7576999999999998</v>
      </c>
    </row>
    <row r="4692" spans="1:4" x14ac:dyDescent="0.2">
      <c r="A4692" s="5">
        <v>43061</v>
      </c>
      <c r="B4692" s="1">
        <v>2.3187000000000002</v>
      </c>
      <c r="C4692" s="1">
        <v>0.99</v>
      </c>
      <c r="D4692" s="1">
        <v>2.7391999999999999</v>
      </c>
    </row>
    <row r="4693" spans="1:4" x14ac:dyDescent="0.2">
      <c r="A4693" s="5">
        <v>43062</v>
      </c>
      <c r="B4693" s="1">
        <v>2.3187000000000002</v>
      </c>
      <c r="C4693" s="1">
        <v>0.99</v>
      </c>
      <c r="D4693" s="1">
        <v>2.7391999999999999</v>
      </c>
    </row>
    <row r="4694" spans="1:4" x14ac:dyDescent="0.2">
      <c r="A4694" s="5">
        <v>43063</v>
      </c>
      <c r="B4694" s="1">
        <v>2.3418000000000001</v>
      </c>
      <c r="C4694" s="1">
        <v>0.99</v>
      </c>
      <c r="D4694" s="1">
        <v>2.7637999999999998</v>
      </c>
    </row>
    <row r="4695" spans="1:4" x14ac:dyDescent="0.2">
      <c r="A4695" s="5">
        <v>43066</v>
      </c>
      <c r="B4695" s="1">
        <v>2.3277000000000001</v>
      </c>
      <c r="C4695" s="1">
        <v>0.99</v>
      </c>
      <c r="D4695" s="1">
        <v>2.7677</v>
      </c>
    </row>
    <row r="4696" spans="1:4" x14ac:dyDescent="0.2">
      <c r="A4696" s="5">
        <v>43067</v>
      </c>
      <c r="B4696" s="1">
        <v>2.3277000000000001</v>
      </c>
      <c r="C4696" s="1">
        <v>0.98</v>
      </c>
      <c r="D4696" s="1">
        <v>2.7576999999999998</v>
      </c>
    </row>
    <row r="4697" spans="1:4" x14ac:dyDescent="0.2">
      <c r="A4697" s="5">
        <v>43068</v>
      </c>
      <c r="B4697" s="1">
        <v>2.3881999999999999</v>
      </c>
      <c r="C4697" s="1">
        <v>0.98</v>
      </c>
      <c r="D4697" s="1">
        <v>2.8245</v>
      </c>
    </row>
    <row r="4698" spans="1:4" x14ac:dyDescent="0.2">
      <c r="A4698" s="5">
        <v>43069</v>
      </c>
      <c r="B4698" s="1">
        <v>2.4097</v>
      </c>
      <c r="C4698" s="1">
        <v>0.97</v>
      </c>
      <c r="D4698" s="1">
        <v>2.8269000000000002</v>
      </c>
    </row>
    <row r="4699" spans="1:4" x14ac:dyDescent="0.2">
      <c r="A4699" s="5">
        <v>43070</v>
      </c>
      <c r="B4699" s="1">
        <v>2.3614999999999999</v>
      </c>
      <c r="C4699" s="1">
        <v>0.98</v>
      </c>
      <c r="D4699" s="1">
        <v>2.7614999999999998</v>
      </c>
    </row>
    <row r="4700" spans="1:4" x14ac:dyDescent="0.2">
      <c r="A4700" s="5">
        <v>43073</v>
      </c>
      <c r="B4700" s="1">
        <v>2.3723000000000001</v>
      </c>
      <c r="C4700" s="1">
        <v>0.97</v>
      </c>
      <c r="D4700" s="1">
        <v>2.7637999999999998</v>
      </c>
    </row>
    <row r="4701" spans="1:4" x14ac:dyDescent="0.2">
      <c r="A4701" s="5">
        <v>43074</v>
      </c>
      <c r="B4701" s="1">
        <v>2.3509000000000002</v>
      </c>
      <c r="C4701" s="1">
        <v>0.96</v>
      </c>
      <c r="D4701" s="1">
        <v>2.7315</v>
      </c>
    </row>
    <row r="4702" spans="1:4" x14ac:dyDescent="0.2">
      <c r="A4702" s="5">
        <v>43075</v>
      </c>
      <c r="B4702" s="1">
        <v>2.3384999999999998</v>
      </c>
      <c r="C4702" s="1">
        <v>0.97</v>
      </c>
      <c r="D4702" s="1">
        <v>2.73</v>
      </c>
    </row>
    <row r="4703" spans="1:4" x14ac:dyDescent="0.2">
      <c r="A4703" s="5">
        <v>43076</v>
      </c>
      <c r="B4703" s="1">
        <v>2.3633999999999999</v>
      </c>
      <c r="C4703" s="1">
        <v>0.97</v>
      </c>
      <c r="D4703" s="1">
        <v>2.7606999999999999</v>
      </c>
    </row>
    <row r="4704" spans="1:4" x14ac:dyDescent="0.2">
      <c r="A4704" s="5">
        <v>43077</v>
      </c>
      <c r="B4704" s="1">
        <v>2.3759999999999999</v>
      </c>
      <c r="C4704" s="1">
        <v>0.97</v>
      </c>
      <c r="D4704" s="1">
        <v>2.7685</v>
      </c>
    </row>
    <row r="4705" spans="1:4" x14ac:dyDescent="0.2">
      <c r="A4705" s="5">
        <v>43080</v>
      </c>
      <c r="B4705" s="1">
        <v>2.3885999999999998</v>
      </c>
      <c r="C4705" s="1">
        <v>0.96</v>
      </c>
      <c r="D4705" s="1">
        <v>2.7761999999999998</v>
      </c>
    </row>
    <row r="4706" spans="1:4" x14ac:dyDescent="0.2">
      <c r="A4706" s="5">
        <v>43081</v>
      </c>
      <c r="B4706" s="1">
        <v>2.4011</v>
      </c>
      <c r="C4706" s="1">
        <v>0.96</v>
      </c>
      <c r="D4706" s="1">
        <v>2.7761999999999998</v>
      </c>
    </row>
    <row r="4707" spans="1:4" x14ac:dyDescent="0.2">
      <c r="A4707" s="5">
        <v>43082</v>
      </c>
      <c r="B4707" s="1">
        <v>2.3422000000000001</v>
      </c>
      <c r="C4707" s="1">
        <v>0.96</v>
      </c>
      <c r="D4707" s="1">
        <v>2.7269000000000001</v>
      </c>
    </row>
    <row r="4708" spans="1:4" x14ac:dyDescent="0.2">
      <c r="A4708" s="5">
        <v>43083</v>
      </c>
      <c r="B4708" s="1">
        <v>2.3492999999999999</v>
      </c>
      <c r="C4708" s="1">
        <v>0.95</v>
      </c>
      <c r="D4708" s="1">
        <v>2.7063000000000001</v>
      </c>
    </row>
    <row r="4709" spans="1:4" x14ac:dyDescent="0.2">
      <c r="A4709" s="5">
        <v>43084</v>
      </c>
      <c r="B4709" s="1">
        <v>2.3530000000000002</v>
      </c>
      <c r="C4709" s="1">
        <v>0.95</v>
      </c>
      <c r="D4709" s="1">
        <v>2.6873</v>
      </c>
    </row>
    <row r="4710" spans="1:4" x14ac:dyDescent="0.2">
      <c r="A4710" s="5">
        <v>43087</v>
      </c>
      <c r="B4710" s="1">
        <v>2.3942000000000001</v>
      </c>
      <c r="C4710" s="1">
        <v>0.95</v>
      </c>
      <c r="D4710" s="1">
        <v>2.7406999999999999</v>
      </c>
    </row>
    <row r="4711" spans="1:4" x14ac:dyDescent="0.2">
      <c r="A4711" s="5">
        <v>43088</v>
      </c>
      <c r="B4711" s="1">
        <v>2.4643999999999999</v>
      </c>
      <c r="C4711" s="1">
        <v>0.94</v>
      </c>
      <c r="D4711" s="1">
        <v>2.8197999999999999</v>
      </c>
    </row>
    <row r="4712" spans="1:4" x14ac:dyDescent="0.2">
      <c r="A4712" s="5">
        <v>43089</v>
      </c>
      <c r="B4712" s="1">
        <v>2.4969999999999999</v>
      </c>
      <c r="C4712" s="1">
        <v>0.94</v>
      </c>
      <c r="D4712" s="1">
        <v>2.8767</v>
      </c>
    </row>
    <row r="4713" spans="1:4" x14ac:dyDescent="0.2">
      <c r="A4713" s="5">
        <v>43090</v>
      </c>
      <c r="B4713" s="1">
        <v>2.4826000000000001</v>
      </c>
      <c r="C4713" s="1">
        <v>0.94</v>
      </c>
      <c r="D4713" s="1">
        <v>2.8418999999999999</v>
      </c>
    </row>
    <row r="4714" spans="1:4" x14ac:dyDescent="0.2">
      <c r="A4714" s="5">
        <v>43091</v>
      </c>
      <c r="B4714" s="1">
        <v>2.4809999999999999</v>
      </c>
      <c r="C4714" s="1">
        <v>0.94</v>
      </c>
      <c r="D4714" s="1">
        <v>2.8309000000000002</v>
      </c>
    </row>
    <row r="4715" spans="1:4" x14ac:dyDescent="0.2">
      <c r="A4715" s="5">
        <v>43094</v>
      </c>
      <c r="B4715" s="1">
        <v>2.4809999999999999</v>
      </c>
      <c r="C4715" s="1">
        <v>0.94</v>
      </c>
      <c r="D4715" s="1">
        <v>2.8309000000000002</v>
      </c>
    </row>
    <row r="4716" spans="1:4" x14ac:dyDescent="0.2">
      <c r="A4716" s="5">
        <v>43095</v>
      </c>
      <c r="B4716" s="1">
        <v>2.4756</v>
      </c>
      <c r="C4716" s="1">
        <v>0.93</v>
      </c>
      <c r="D4716" s="1">
        <v>2.8246000000000002</v>
      </c>
    </row>
    <row r="4717" spans="1:4" x14ac:dyDescent="0.2">
      <c r="A4717" s="5">
        <v>43096</v>
      </c>
      <c r="B4717" s="1">
        <v>2.4106999999999998</v>
      </c>
      <c r="C4717" s="1">
        <v>0.93</v>
      </c>
      <c r="D4717" s="1">
        <v>2.7461000000000002</v>
      </c>
    </row>
    <row r="4718" spans="1:4" x14ac:dyDescent="0.2">
      <c r="A4718" s="5">
        <v>43097</v>
      </c>
      <c r="B4718" s="1">
        <v>2.4304999999999999</v>
      </c>
      <c r="C4718" s="1">
        <v>0.93</v>
      </c>
      <c r="D4718" s="1">
        <v>2.7561</v>
      </c>
    </row>
    <row r="4719" spans="1:4" x14ac:dyDescent="0.2">
      <c r="A4719" s="5">
        <v>43098</v>
      </c>
      <c r="B4719" s="1">
        <v>2.4054000000000002</v>
      </c>
      <c r="C4719" s="1">
        <v>0.93</v>
      </c>
      <c r="D4719" s="1">
        <v>2.7399</v>
      </c>
    </row>
    <row r="4720" spans="1:4" x14ac:dyDescent="0.2">
      <c r="A4720" s="5">
        <v>43101</v>
      </c>
      <c r="B4720" s="1">
        <v>2.4054000000000002</v>
      </c>
      <c r="C4720" s="1">
        <v>0.93</v>
      </c>
      <c r="D4720" s="1">
        <v>2.7399</v>
      </c>
    </row>
    <row r="4721" spans="1:4" x14ac:dyDescent="0.2">
      <c r="A4721" s="5">
        <v>43102</v>
      </c>
      <c r="B4721" s="1">
        <v>2.4632999999999998</v>
      </c>
      <c r="C4721" s="1">
        <v>0.94</v>
      </c>
      <c r="D4721" s="1">
        <v>2.8136000000000001</v>
      </c>
    </row>
    <row r="4722" spans="1:4" x14ac:dyDescent="0.2">
      <c r="A4722" s="5">
        <v>43103</v>
      </c>
      <c r="B4722" s="1">
        <v>2.4470999999999998</v>
      </c>
      <c r="C4722" s="1">
        <v>0.94</v>
      </c>
      <c r="D4722" s="1">
        <v>2.7854999999999999</v>
      </c>
    </row>
    <row r="4723" spans="1:4" x14ac:dyDescent="0.2">
      <c r="A4723" s="5">
        <v>43104</v>
      </c>
      <c r="B4723" s="1">
        <v>2.4525000000000001</v>
      </c>
      <c r="C4723" s="1">
        <v>0.94</v>
      </c>
      <c r="D4723" s="1">
        <v>2.7863000000000002</v>
      </c>
    </row>
    <row r="4724" spans="1:4" x14ac:dyDescent="0.2">
      <c r="A4724" s="5">
        <v>43105</v>
      </c>
      <c r="B4724" s="1">
        <v>2.4763000000000002</v>
      </c>
      <c r="C4724" s="1">
        <v>0.93</v>
      </c>
      <c r="D4724" s="1">
        <v>2.8105000000000002</v>
      </c>
    </row>
    <row r="4725" spans="1:4" x14ac:dyDescent="0.2">
      <c r="A4725" s="5">
        <v>43108</v>
      </c>
      <c r="B4725" s="1">
        <v>2.48</v>
      </c>
      <c r="C4725" s="1">
        <v>0.92</v>
      </c>
      <c r="D4725" s="1">
        <v>2.8113000000000001</v>
      </c>
    </row>
    <row r="4726" spans="1:4" x14ac:dyDescent="0.2">
      <c r="A4726" s="5">
        <v>43109</v>
      </c>
      <c r="B4726" s="1">
        <v>2.5529999999999999</v>
      </c>
      <c r="C4726" s="1">
        <v>0.91</v>
      </c>
      <c r="D4726" s="1">
        <v>2.8952</v>
      </c>
    </row>
    <row r="4727" spans="1:4" x14ac:dyDescent="0.2">
      <c r="A4727" s="5">
        <v>43110</v>
      </c>
      <c r="B4727" s="1">
        <v>2.5568</v>
      </c>
      <c r="C4727" s="1">
        <v>0.9</v>
      </c>
      <c r="D4727" s="1">
        <v>2.8984000000000001</v>
      </c>
    </row>
    <row r="4728" spans="1:4" x14ac:dyDescent="0.2">
      <c r="A4728" s="5">
        <v>43111</v>
      </c>
      <c r="B4728" s="1">
        <v>2.5367000000000002</v>
      </c>
      <c r="C4728" s="1">
        <v>0.9</v>
      </c>
      <c r="D4728" s="1">
        <v>2.8673000000000002</v>
      </c>
    </row>
    <row r="4729" spans="1:4" x14ac:dyDescent="0.2">
      <c r="A4729" s="5">
        <v>43112</v>
      </c>
      <c r="B4729" s="1">
        <v>2.5461999999999998</v>
      </c>
      <c r="C4729" s="1">
        <v>0.9</v>
      </c>
      <c r="D4729" s="1">
        <v>2.8491</v>
      </c>
    </row>
    <row r="4730" spans="1:4" x14ac:dyDescent="0.2">
      <c r="A4730" s="5">
        <v>43115</v>
      </c>
      <c r="B4730" s="1">
        <v>2.5461999999999998</v>
      </c>
      <c r="C4730" s="1">
        <v>0.9</v>
      </c>
      <c r="D4730" s="1">
        <v>2.8491</v>
      </c>
    </row>
    <row r="4731" spans="1:4" x14ac:dyDescent="0.2">
      <c r="A4731" s="5">
        <v>43116</v>
      </c>
      <c r="B4731" s="1">
        <v>2.5371000000000001</v>
      </c>
      <c r="C4731" s="1">
        <v>0.89</v>
      </c>
      <c r="D4731" s="1">
        <v>2.8254000000000001</v>
      </c>
    </row>
    <row r="4732" spans="1:4" x14ac:dyDescent="0.2">
      <c r="A4732" s="5">
        <v>43117</v>
      </c>
      <c r="B4732" s="1">
        <v>2.5903999999999998</v>
      </c>
      <c r="C4732" s="1">
        <v>0.89</v>
      </c>
      <c r="D4732" s="1">
        <v>2.8570000000000002</v>
      </c>
    </row>
    <row r="4733" spans="1:4" x14ac:dyDescent="0.2">
      <c r="A4733" s="5">
        <v>43118</v>
      </c>
      <c r="B4733" s="1">
        <v>2.6255999999999999</v>
      </c>
      <c r="C4733" s="1">
        <v>0.89</v>
      </c>
      <c r="D4733" s="1">
        <v>2.9033000000000002</v>
      </c>
    </row>
    <row r="4734" spans="1:4" x14ac:dyDescent="0.2">
      <c r="A4734" s="5">
        <v>43119</v>
      </c>
      <c r="B4734" s="1">
        <v>2.6591999999999998</v>
      </c>
      <c r="C4734" s="1">
        <v>0.9</v>
      </c>
      <c r="D4734" s="1">
        <v>2.9331</v>
      </c>
    </row>
    <row r="4735" spans="1:4" x14ac:dyDescent="0.2">
      <c r="A4735" s="5">
        <v>43122</v>
      </c>
      <c r="B4735" s="1">
        <v>2.65</v>
      </c>
      <c r="C4735" s="1">
        <v>0.9</v>
      </c>
      <c r="D4735" s="1">
        <v>2.9129999999999998</v>
      </c>
    </row>
    <row r="4736" spans="1:4" x14ac:dyDescent="0.2">
      <c r="A4736" s="5">
        <v>43123</v>
      </c>
      <c r="B4736" s="1">
        <v>2.6131000000000002</v>
      </c>
      <c r="C4736" s="1">
        <v>0.9</v>
      </c>
      <c r="D4736" s="1">
        <v>2.8944999999999999</v>
      </c>
    </row>
    <row r="4737" spans="1:4" x14ac:dyDescent="0.2">
      <c r="A4737" s="5">
        <v>43124</v>
      </c>
      <c r="B4737" s="1">
        <v>2.6465000000000001</v>
      </c>
      <c r="C4737" s="1">
        <v>0.89</v>
      </c>
      <c r="D4737" s="1">
        <v>2.9283000000000001</v>
      </c>
    </row>
    <row r="4738" spans="1:4" x14ac:dyDescent="0.2">
      <c r="A4738" s="5">
        <v>43125</v>
      </c>
      <c r="B4738" s="1">
        <v>2.617</v>
      </c>
      <c r="C4738" s="1">
        <v>0.88</v>
      </c>
      <c r="D4738" s="1">
        <v>2.8809</v>
      </c>
    </row>
    <row r="4739" spans="1:4" x14ac:dyDescent="0.2">
      <c r="A4739" s="5">
        <v>43126</v>
      </c>
      <c r="B4739" s="1">
        <v>2.6598999999999999</v>
      </c>
      <c r="C4739" s="1">
        <v>0.87</v>
      </c>
      <c r="D4739" s="1">
        <v>2.9114</v>
      </c>
    </row>
    <row r="4740" spans="1:4" x14ac:dyDescent="0.2">
      <c r="A4740" s="5">
        <v>43129</v>
      </c>
      <c r="B4740" s="1">
        <v>2.6936</v>
      </c>
      <c r="C4740" s="1">
        <v>0.86</v>
      </c>
      <c r="D4740" s="1">
        <v>2.9420999999999999</v>
      </c>
    </row>
    <row r="4741" spans="1:4" x14ac:dyDescent="0.2">
      <c r="A4741" s="5">
        <v>43130</v>
      </c>
      <c r="B4741" s="1">
        <v>2.7199</v>
      </c>
      <c r="C4741" s="1">
        <v>0.86</v>
      </c>
      <c r="D4741" s="1">
        <v>2.9706000000000001</v>
      </c>
    </row>
    <row r="4742" spans="1:4" x14ac:dyDescent="0.2">
      <c r="A4742" s="5">
        <v>43131</v>
      </c>
      <c r="B4742" s="1">
        <v>2.7050000000000001</v>
      </c>
      <c r="C4742" s="1">
        <v>0.86</v>
      </c>
      <c r="D4742" s="1">
        <v>2.9348000000000001</v>
      </c>
    </row>
    <row r="4743" spans="1:4" x14ac:dyDescent="0.2">
      <c r="A4743" s="5">
        <v>43132</v>
      </c>
      <c r="B4743" s="1">
        <v>2.7896000000000001</v>
      </c>
      <c r="C4743" s="1">
        <v>0.85</v>
      </c>
      <c r="D4743" s="1">
        <v>3.0240999999999998</v>
      </c>
    </row>
    <row r="4744" spans="1:4" x14ac:dyDescent="0.2">
      <c r="A4744" s="5">
        <v>43133</v>
      </c>
      <c r="B4744" s="1">
        <v>2.8411</v>
      </c>
      <c r="C4744" s="1">
        <v>0.85</v>
      </c>
      <c r="D4744" s="1">
        <v>3.0868000000000002</v>
      </c>
    </row>
    <row r="4745" spans="1:4" x14ac:dyDescent="0.2">
      <c r="A4745" s="5">
        <v>43136</v>
      </c>
      <c r="B4745" s="1">
        <v>2.7056</v>
      </c>
      <c r="C4745" s="1">
        <v>0.86</v>
      </c>
      <c r="D4745" s="1">
        <v>3.0059999999999998</v>
      </c>
    </row>
    <row r="4746" spans="1:4" x14ac:dyDescent="0.2">
      <c r="A4746" s="5">
        <v>43137</v>
      </c>
      <c r="B4746" s="1">
        <v>2.8016000000000001</v>
      </c>
      <c r="C4746" s="1">
        <v>0.88</v>
      </c>
      <c r="D4746" s="1">
        <v>3.0659000000000001</v>
      </c>
    </row>
    <row r="4747" spans="1:4" x14ac:dyDescent="0.2">
      <c r="A4747" s="5">
        <v>43138</v>
      </c>
      <c r="B4747" s="1">
        <v>2.8359000000000001</v>
      </c>
      <c r="C4747" s="1">
        <v>0.87</v>
      </c>
      <c r="D4747" s="1">
        <v>3.1139000000000001</v>
      </c>
    </row>
    <row r="4748" spans="1:4" x14ac:dyDescent="0.2">
      <c r="A4748" s="5">
        <v>43139</v>
      </c>
      <c r="B4748" s="1">
        <v>2.8239999999999998</v>
      </c>
      <c r="C4748" s="1">
        <v>0.88</v>
      </c>
      <c r="D4748" s="1">
        <v>3.1293000000000002</v>
      </c>
    </row>
    <row r="4749" spans="1:4" x14ac:dyDescent="0.2">
      <c r="A4749" s="5">
        <v>43140</v>
      </c>
      <c r="B4749" s="1">
        <v>2.8512</v>
      </c>
      <c r="C4749" s="1">
        <v>0.92</v>
      </c>
      <c r="D4749" s="1">
        <v>3.1596000000000002</v>
      </c>
    </row>
    <row r="4750" spans="1:4" x14ac:dyDescent="0.2">
      <c r="A4750" s="5">
        <v>43143</v>
      </c>
      <c r="B4750" s="1">
        <v>2.8584999999999998</v>
      </c>
      <c r="C4750" s="1">
        <v>0.92</v>
      </c>
      <c r="D4750" s="1">
        <v>3.1438999999999999</v>
      </c>
    </row>
    <row r="4751" spans="1:4" x14ac:dyDescent="0.2">
      <c r="A4751" s="5">
        <v>43144</v>
      </c>
      <c r="B4751" s="1">
        <v>2.8294000000000001</v>
      </c>
      <c r="C4751" s="1">
        <v>0.95</v>
      </c>
      <c r="D4751" s="1">
        <v>3.1111</v>
      </c>
    </row>
    <row r="4752" spans="1:4" x14ac:dyDescent="0.2">
      <c r="A4752" s="5">
        <v>43145</v>
      </c>
      <c r="B4752" s="1">
        <v>2.9022000000000001</v>
      </c>
      <c r="C4752" s="1">
        <v>0.94</v>
      </c>
      <c r="D4752" s="1">
        <v>3.1619999999999999</v>
      </c>
    </row>
    <row r="4753" spans="1:4" x14ac:dyDescent="0.2">
      <c r="A4753" s="5">
        <v>43146</v>
      </c>
      <c r="B4753" s="1">
        <v>2.9095</v>
      </c>
      <c r="C4753" s="1">
        <v>0.93</v>
      </c>
      <c r="D4753" s="1">
        <v>3.1637</v>
      </c>
    </row>
    <row r="4754" spans="1:4" x14ac:dyDescent="0.2">
      <c r="A4754" s="5">
        <v>43147</v>
      </c>
      <c r="B4754" s="1">
        <v>2.8748999999999998</v>
      </c>
      <c r="C4754" s="1">
        <v>0.93</v>
      </c>
      <c r="D4754" s="1">
        <v>3.1316000000000002</v>
      </c>
    </row>
    <row r="4755" spans="1:4" x14ac:dyDescent="0.2">
      <c r="A4755" s="5">
        <v>43150</v>
      </c>
      <c r="B4755" s="1">
        <v>2.8748999999999998</v>
      </c>
      <c r="C4755" s="1">
        <v>0.93</v>
      </c>
      <c r="D4755" s="1">
        <v>3.1316000000000002</v>
      </c>
    </row>
    <row r="4756" spans="1:4" x14ac:dyDescent="0.2">
      <c r="A4756" s="5">
        <v>43151</v>
      </c>
      <c r="B4756" s="1">
        <v>2.8896000000000002</v>
      </c>
      <c r="C4756" s="1">
        <v>0.93</v>
      </c>
      <c r="D4756" s="1">
        <v>3.153</v>
      </c>
    </row>
    <row r="4757" spans="1:4" x14ac:dyDescent="0.2">
      <c r="A4757" s="5">
        <v>43152</v>
      </c>
      <c r="B4757" s="1">
        <v>2.95</v>
      </c>
      <c r="C4757" s="1">
        <v>0.93</v>
      </c>
      <c r="D4757" s="1">
        <v>3.2204000000000002</v>
      </c>
    </row>
    <row r="4758" spans="1:4" x14ac:dyDescent="0.2">
      <c r="A4758" s="5">
        <v>43153</v>
      </c>
      <c r="B4758" s="1">
        <v>2.9207000000000001</v>
      </c>
      <c r="C4758" s="1">
        <v>0.93</v>
      </c>
      <c r="D4758" s="1">
        <v>3.2061999999999999</v>
      </c>
    </row>
    <row r="4759" spans="1:4" x14ac:dyDescent="0.2">
      <c r="A4759" s="5">
        <v>43154</v>
      </c>
      <c r="B4759" s="1">
        <v>2.8660000000000001</v>
      </c>
      <c r="C4759" s="1">
        <v>0.95</v>
      </c>
      <c r="D4759" s="1">
        <v>3.1555</v>
      </c>
    </row>
    <row r="4760" spans="1:4" x14ac:dyDescent="0.2">
      <c r="A4760" s="5">
        <v>43157</v>
      </c>
      <c r="B4760" s="1">
        <v>2.8622999999999998</v>
      </c>
      <c r="C4760" s="1">
        <v>0.94</v>
      </c>
      <c r="D4760" s="1">
        <v>3.153</v>
      </c>
    </row>
    <row r="4761" spans="1:4" x14ac:dyDescent="0.2">
      <c r="A4761" s="5">
        <v>43158</v>
      </c>
      <c r="B4761" s="1">
        <v>2.8934000000000002</v>
      </c>
      <c r="C4761" s="1">
        <v>0.95</v>
      </c>
      <c r="D4761" s="1">
        <v>3.1587999999999998</v>
      </c>
    </row>
    <row r="4762" spans="1:4" x14ac:dyDescent="0.2">
      <c r="A4762" s="5">
        <v>43159</v>
      </c>
      <c r="B4762" s="1">
        <v>2.8605999999999998</v>
      </c>
      <c r="C4762" s="1">
        <v>0.96</v>
      </c>
      <c r="D4762" s="1">
        <v>3.1242000000000001</v>
      </c>
    </row>
    <row r="4763" spans="1:4" x14ac:dyDescent="0.2">
      <c r="A4763" s="5">
        <v>43160</v>
      </c>
      <c r="B4763" s="1">
        <v>2.8077999999999999</v>
      </c>
      <c r="C4763" s="1">
        <v>0.99</v>
      </c>
      <c r="D4763" s="1">
        <v>3.0834000000000001</v>
      </c>
    </row>
    <row r="4764" spans="1:4" x14ac:dyDescent="0.2">
      <c r="A4764" s="5">
        <v>43161</v>
      </c>
      <c r="B4764" s="1">
        <v>2.8643000000000001</v>
      </c>
      <c r="C4764" s="1">
        <v>1</v>
      </c>
      <c r="D4764" s="1">
        <v>3.1398000000000001</v>
      </c>
    </row>
    <row r="4765" spans="1:4" x14ac:dyDescent="0.2">
      <c r="A4765" s="5">
        <v>43164</v>
      </c>
      <c r="B4765" s="1">
        <v>2.8807999999999998</v>
      </c>
      <c r="C4765" s="1">
        <v>0.99</v>
      </c>
      <c r="D4765" s="1">
        <v>3.1530999999999998</v>
      </c>
    </row>
    <row r="4766" spans="1:4" x14ac:dyDescent="0.2">
      <c r="A4766" s="5">
        <v>43165</v>
      </c>
      <c r="B4766" s="1">
        <v>2.8862999999999999</v>
      </c>
      <c r="C4766" s="1">
        <v>0.99</v>
      </c>
      <c r="D4766" s="1">
        <v>3.1530999999999998</v>
      </c>
    </row>
    <row r="4767" spans="1:4" x14ac:dyDescent="0.2">
      <c r="A4767" s="5">
        <v>43166</v>
      </c>
      <c r="B4767" s="1">
        <v>2.8826999999999998</v>
      </c>
      <c r="C4767" s="1">
        <v>1</v>
      </c>
      <c r="D4767" s="1">
        <v>3.1497999999999999</v>
      </c>
    </row>
    <row r="4768" spans="1:4" x14ac:dyDescent="0.2">
      <c r="A4768" s="5">
        <v>43167</v>
      </c>
      <c r="B4768" s="1">
        <v>2.8571</v>
      </c>
      <c r="C4768" s="1">
        <v>1</v>
      </c>
      <c r="D4768" s="1">
        <v>3.1217999999999999</v>
      </c>
    </row>
    <row r="4769" spans="1:4" x14ac:dyDescent="0.2">
      <c r="A4769" s="5">
        <v>43168</v>
      </c>
      <c r="B4769" s="1">
        <v>2.8938000000000001</v>
      </c>
      <c r="C4769" s="1">
        <v>1.01</v>
      </c>
      <c r="D4769" s="1">
        <v>3.1579999999999999</v>
      </c>
    </row>
    <row r="4770" spans="1:4" x14ac:dyDescent="0.2">
      <c r="A4770" s="5">
        <v>43171</v>
      </c>
      <c r="B4770" s="1">
        <v>2.8681000000000001</v>
      </c>
      <c r="C4770" s="1">
        <v>1.02</v>
      </c>
      <c r="D4770" s="1">
        <v>3.1292</v>
      </c>
    </row>
    <row r="4771" spans="1:4" x14ac:dyDescent="0.2">
      <c r="A4771" s="5">
        <v>43172</v>
      </c>
      <c r="B4771" s="1">
        <v>2.8426</v>
      </c>
      <c r="C4771" s="1">
        <v>1.03</v>
      </c>
      <c r="D4771" s="1">
        <v>3.0981000000000001</v>
      </c>
    </row>
    <row r="4772" spans="1:4" x14ac:dyDescent="0.2">
      <c r="A4772" s="5">
        <v>43173</v>
      </c>
      <c r="B4772" s="1">
        <v>2.8170000000000002</v>
      </c>
      <c r="C4772" s="1">
        <v>1.05</v>
      </c>
      <c r="D4772" s="1">
        <v>3.0568</v>
      </c>
    </row>
    <row r="4773" spans="1:4" x14ac:dyDescent="0.2">
      <c r="A4773" s="5">
        <v>43174</v>
      </c>
      <c r="B4773" s="1">
        <v>2.8279999999999998</v>
      </c>
      <c r="C4773" s="1">
        <v>1.06</v>
      </c>
      <c r="D4773" s="1">
        <v>3.0583999999999998</v>
      </c>
    </row>
    <row r="4774" spans="1:4" x14ac:dyDescent="0.2">
      <c r="A4774" s="5">
        <v>43175</v>
      </c>
      <c r="B4774" s="1">
        <v>2.8445</v>
      </c>
      <c r="C4774" s="1">
        <v>1.04</v>
      </c>
      <c r="D4774" s="1">
        <v>3.077</v>
      </c>
    </row>
    <row r="4775" spans="1:4" x14ac:dyDescent="0.2">
      <c r="A4775" s="5">
        <v>43178</v>
      </c>
      <c r="B4775" s="1">
        <v>2.8555000000000001</v>
      </c>
      <c r="C4775" s="1">
        <v>1.05</v>
      </c>
      <c r="D4775" s="1">
        <v>3.0859000000000001</v>
      </c>
    </row>
    <row r="4776" spans="1:4" x14ac:dyDescent="0.2">
      <c r="A4776" s="5">
        <v>43179</v>
      </c>
      <c r="B4776" s="1">
        <v>2.8959000000000001</v>
      </c>
      <c r="C4776" s="1">
        <v>1.05</v>
      </c>
      <c r="D4776" s="1">
        <v>3.1301000000000001</v>
      </c>
    </row>
    <row r="4777" spans="1:4" x14ac:dyDescent="0.2">
      <c r="A4777" s="5">
        <v>43180</v>
      </c>
      <c r="B4777" s="1">
        <v>2.883</v>
      </c>
      <c r="C4777" s="1">
        <v>1.06</v>
      </c>
      <c r="D4777" s="1">
        <v>3.1185999999999998</v>
      </c>
    </row>
    <row r="4778" spans="1:4" x14ac:dyDescent="0.2">
      <c r="A4778" s="5">
        <v>43181</v>
      </c>
      <c r="B4778" s="1">
        <v>2.8243999999999998</v>
      </c>
      <c r="C4778" s="1">
        <v>1.0900000000000001</v>
      </c>
      <c r="D4778" s="1">
        <v>3.0623999999999998</v>
      </c>
    </row>
    <row r="4779" spans="1:4" x14ac:dyDescent="0.2">
      <c r="A4779" s="5">
        <v>43182</v>
      </c>
      <c r="B4779" s="1">
        <v>2.8134999999999999</v>
      </c>
      <c r="C4779" s="1">
        <v>1.1000000000000001</v>
      </c>
      <c r="D4779" s="1">
        <v>3.0608</v>
      </c>
    </row>
    <row r="4780" spans="1:4" x14ac:dyDescent="0.2">
      <c r="A4780" s="5">
        <v>43185</v>
      </c>
      <c r="B4780" s="1">
        <v>2.8519999999999999</v>
      </c>
      <c r="C4780" s="1">
        <v>1.1000000000000001</v>
      </c>
      <c r="D4780" s="1">
        <v>3.0859000000000001</v>
      </c>
    </row>
    <row r="4781" spans="1:4" x14ac:dyDescent="0.2">
      <c r="A4781" s="5">
        <v>43186</v>
      </c>
      <c r="B4781" s="1">
        <v>2.7753000000000001</v>
      </c>
      <c r="C4781" s="1">
        <v>1.1000000000000001</v>
      </c>
      <c r="D4781" s="1">
        <v>3.0286</v>
      </c>
    </row>
    <row r="4782" spans="1:4" x14ac:dyDescent="0.2">
      <c r="A4782" s="5">
        <v>43187</v>
      </c>
      <c r="B4782" s="1">
        <v>2.7806999999999999</v>
      </c>
      <c r="C4782" s="1">
        <v>1.1000000000000001</v>
      </c>
      <c r="D4782" s="1">
        <v>3.0213999999999999</v>
      </c>
    </row>
    <row r="4783" spans="1:4" x14ac:dyDescent="0.2">
      <c r="A4783" s="5">
        <v>43188</v>
      </c>
      <c r="B4783" s="1">
        <v>2.7389000000000001</v>
      </c>
      <c r="C4783" s="1">
        <v>1.0900000000000001</v>
      </c>
      <c r="D4783" s="1">
        <v>2.9737</v>
      </c>
    </row>
    <row r="4784" spans="1:4" x14ac:dyDescent="0.2">
      <c r="A4784" s="5">
        <v>43189</v>
      </c>
      <c r="B4784" s="1">
        <v>2.7389000000000001</v>
      </c>
      <c r="C4784" s="1">
        <v>1.0900000000000001</v>
      </c>
      <c r="D4784" s="1">
        <v>2.9737</v>
      </c>
    </row>
    <row r="4785" spans="1:4" x14ac:dyDescent="0.2">
      <c r="A4785" s="5">
        <v>43192</v>
      </c>
      <c r="B4785" s="1">
        <v>2.7298</v>
      </c>
      <c r="C4785" s="1">
        <v>1.1000000000000001</v>
      </c>
      <c r="D4785" s="1">
        <v>2.9619</v>
      </c>
    </row>
    <row r="4786" spans="1:4" x14ac:dyDescent="0.2">
      <c r="A4786" s="5">
        <v>43193</v>
      </c>
      <c r="B4786" s="1">
        <v>2.7753000000000001</v>
      </c>
      <c r="C4786" s="1">
        <v>1.0900000000000001</v>
      </c>
      <c r="D4786" s="1">
        <v>3.0110000000000001</v>
      </c>
    </row>
    <row r="4787" spans="1:4" x14ac:dyDescent="0.2">
      <c r="A4787" s="5">
        <v>43194</v>
      </c>
      <c r="B4787" s="1">
        <v>2.8027000000000002</v>
      </c>
      <c r="C4787" s="1">
        <v>1.0900000000000001</v>
      </c>
      <c r="D4787" s="1">
        <v>3.0358999999999998</v>
      </c>
    </row>
    <row r="4788" spans="1:4" x14ac:dyDescent="0.2">
      <c r="A4788" s="5">
        <v>43195</v>
      </c>
      <c r="B4788" s="1">
        <v>2.8319999999999999</v>
      </c>
      <c r="C4788" s="1">
        <v>1.07</v>
      </c>
      <c r="D4788" s="1">
        <v>3.073</v>
      </c>
    </row>
    <row r="4789" spans="1:4" x14ac:dyDescent="0.2">
      <c r="A4789" s="5">
        <v>43196</v>
      </c>
      <c r="B4789" s="1">
        <v>2.7734999999999999</v>
      </c>
      <c r="C4789" s="1">
        <v>1.0900000000000001</v>
      </c>
      <c r="D4789" s="1">
        <v>3.0182000000000002</v>
      </c>
    </row>
    <row r="4790" spans="1:4" x14ac:dyDescent="0.2">
      <c r="A4790" s="5">
        <v>43199</v>
      </c>
      <c r="B4790" s="1">
        <v>2.7789999999999999</v>
      </c>
      <c r="C4790" s="1">
        <v>1.08</v>
      </c>
      <c r="D4790" s="1">
        <v>3.0118</v>
      </c>
    </row>
    <row r="4791" spans="1:4" x14ac:dyDescent="0.2">
      <c r="A4791" s="5">
        <v>43200</v>
      </c>
      <c r="B4791" s="1">
        <v>2.8008999999999999</v>
      </c>
      <c r="C4791" s="1">
        <v>1.07</v>
      </c>
      <c r="D4791" s="1">
        <v>3.0213999999999999</v>
      </c>
    </row>
    <row r="4792" spans="1:4" x14ac:dyDescent="0.2">
      <c r="A4792" s="5">
        <v>43201</v>
      </c>
      <c r="B4792" s="1">
        <v>2.7808000000000002</v>
      </c>
      <c r="C4792" s="1">
        <v>1.07</v>
      </c>
      <c r="D4792" s="1">
        <v>2.9950999999999999</v>
      </c>
    </row>
    <row r="4793" spans="1:4" x14ac:dyDescent="0.2">
      <c r="A4793" s="5">
        <v>43202</v>
      </c>
      <c r="B4793" s="1">
        <v>2.8357999999999999</v>
      </c>
      <c r="C4793" s="1">
        <v>1.06</v>
      </c>
      <c r="D4793" s="1">
        <v>3.0430999999999999</v>
      </c>
    </row>
    <row r="4794" spans="1:4" x14ac:dyDescent="0.2">
      <c r="A4794" s="5">
        <v>43203</v>
      </c>
      <c r="B4794" s="1">
        <v>2.8267000000000002</v>
      </c>
      <c r="C4794" s="1">
        <v>1.06</v>
      </c>
      <c r="D4794" s="1">
        <v>3.0270000000000001</v>
      </c>
    </row>
    <row r="4795" spans="1:4" x14ac:dyDescent="0.2">
      <c r="A4795" s="5">
        <v>43206</v>
      </c>
      <c r="B4795" s="1">
        <v>2.8267000000000002</v>
      </c>
      <c r="C4795" s="1">
        <v>1.05</v>
      </c>
      <c r="D4795" s="1">
        <v>3.0246</v>
      </c>
    </row>
    <row r="4796" spans="1:4" x14ac:dyDescent="0.2">
      <c r="A4796" s="5">
        <v>43207</v>
      </c>
      <c r="B4796" s="1">
        <v>2.8285</v>
      </c>
      <c r="C4796" s="1">
        <v>1.05</v>
      </c>
      <c r="D4796" s="1">
        <v>3.0198</v>
      </c>
    </row>
    <row r="4797" spans="1:4" x14ac:dyDescent="0.2">
      <c r="A4797" s="5">
        <v>43208</v>
      </c>
      <c r="B4797" s="1">
        <v>2.8727999999999998</v>
      </c>
      <c r="C4797" s="1">
        <v>1.05</v>
      </c>
      <c r="D4797" s="1">
        <v>3.0600999999999998</v>
      </c>
    </row>
    <row r="4798" spans="1:4" x14ac:dyDescent="0.2">
      <c r="A4798" s="5">
        <v>43209</v>
      </c>
      <c r="B4798" s="1">
        <v>2.9098000000000002</v>
      </c>
      <c r="C4798" s="1">
        <v>1.06</v>
      </c>
      <c r="D4798" s="1">
        <v>3.0983000000000001</v>
      </c>
    </row>
    <row r="4799" spans="1:4" x14ac:dyDescent="0.2">
      <c r="A4799" s="5">
        <v>43210</v>
      </c>
      <c r="B4799" s="1">
        <v>2.9601999999999999</v>
      </c>
      <c r="C4799" s="1">
        <v>1.06</v>
      </c>
      <c r="D4799" s="1">
        <v>3.1450999999999998</v>
      </c>
    </row>
    <row r="4800" spans="1:4" x14ac:dyDescent="0.2">
      <c r="A4800" s="5">
        <v>43213</v>
      </c>
      <c r="B4800" s="1">
        <v>2.9752000000000001</v>
      </c>
      <c r="C4800" s="1">
        <v>1.07</v>
      </c>
      <c r="D4800" s="1">
        <v>3.1442999999999999</v>
      </c>
    </row>
    <row r="4801" spans="1:4" x14ac:dyDescent="0.2">
      <c r="A4801" s="5">
        <v>43214</v>
      </c>
      <c r="B4801" s="1">
        <v>2.9994999999999998</v>
      </c>
      <c r="C4801" s="1">
        <v>1.06</v>
      </c>
      <c r="D4801" s="1">
        <v>3.1825000000000001</v>
      </c>
    </row>
    <row r="4802" spans="1:4" x14ac:dyDescent="0.2">
      <c r="A4802" s="5">
        <v>43215</v>
      </c>
      <c r="B4802" s="1">
        <v>3.0259</v>
      </c>
      <c r="C4802" s="1">
        <v>1.07</v>
      </c>
      <c r="D4802" s="1">
        <v>3.2067999999999999</v>
      </c>
    </row>
    <row r="4803" spans="1:4" x14ac:dyDescent="0.2">
      <c r="A4803" s="5">
        <v>43216</v>
      </c>
      <c r="B4803" s="1">
        <v>2.9809000000000001</v>
      </c>
      <c r="C4803" s="1">
        <v>1.08</v>
      </c>
      <c r="D4803" s="1">
        <v>3.1642000000000001</v>
      </c>
    </row>
    <row r="4804" spans="1:4" x14ac:dyDescent="0.2">
      <c r="A4804" s="5">
        <v>43217</v>
      </c>
      <c r="B4804" s="1">
        <v>2.9567999999999999</v>
      </c>
      <c r="C4804" s="1">
        <v>1.08</v>
      </c>
      <c r="D4804" s="1">
        <v>3.1244999999999998</v>
      </c>
    </row>
    <row r="4805" spans="1:4" x14ac:dyDescent="0.2">
      <c r="A4805" s="5">
        <v>43220</v>
      </c>
      <c r="B4805" s="1">
        <v>2.9531000000000001</v>
      </c>
      <c r="C4805" s="1">
        <v>1.08</v>
      </c>
      <c r="D4805" s="1">
        <v>3.1236999999999999</v>
      </c>
    </row>
    <row r="4806" spans="1:4" x14ac:dyDescent="0.2">
      <c r="A4806" s="5">
        <v>43221</v>
      </c>
      <c r="B4806" s="1">
        <v>2.9643999999999999</v>
      </c>
      <c r="C4806" s="1">
        <v>1.1000000000000001</v>
      </c>
      <c r="D4806" s="1">
        <v>3.1286999999999998</v>
      </c>
    </row>
    <row r="4807" spans="1:4" x14ac:dyDescent="0.2">
      <c r="A4807" s="5">
        <v>43222</v>
      </c>
      <c r="B4807" s="1">
        <v>2.9662999999999999</v>
      </c>
      <c r="C4807" s="1">
        <v>1.1000000000000001</v>
      </c>
      <c r="D4807" s="1">
        <v>3.1459999999999999</v>
      </c>
    </row>
    <row r="4808" spans="1:4" x14ac:dyDescent="0.2">
      <c r="A4808" s="5">
        <v>43223</v>
      </c>
      <c r="B4808" s="1">
        <v>2.9458000000000002</v>
      </c>
      <c r="C4808" s="1">
        <v>1.1100000000000001</v>
      </c>
      <c r="D4808" s="1">
        <v>3.1213000000000002</v>
      </c>
    </row>
    <row r="4809" spans="1:4" x14ac:dyDescent="0.2">
      <c r="A4809" s="5">
        <v>43224</v>
      </c>
      <c r="B4809" s="1">
        <v>2.9497</v>
      </c>
      <c r="C4809" s="1">
        <v>1.1200000000000001</v>
      </c>
      <c r="D4809" s="1">
        <v>3.1221000000000001</v>
      </c>
    </row>
    <row r="4810" spans="1:4" x14ac:dyDescent="0.2">
      <c r="A4810" s="5">
        <v>43227</v>
      </c>
      <c r="B4810" s="1">
        <v>2.9497</v>
      </c>
      <c r="C4810" s="1">
        <v>1.1200000000000001</v>
      </c>
      <c r="D4810" s="1">
        <v>3.1229</v>
      </c>
    </row>
    <row r="4811" spans="1:4" x14ac:dyDescent="0.2">
      <c r="A4811" s="5">
        <v>43228</v>
      </c>
      <c r="B4811" s="1">
        <v>2.976</v>
      </c>
      <c r="C4811" s="1">
        <v>1.1200000000000001</v>
      </c>
      <c r="D4811" s="1">
        <v>3.1295000000000002</v>
      </c>
    </row>
    <row r="4812" spans="1:4" x14ac:dyDescent="0.2">
      <c r="A4812" s="5">
        <v>43229</v>
      </c>
      <c r="B4812" s="1">
        <v>3.0042</v>
      </c>
      <c r="C4812" s="1">
        <v>1.1100000000000001</v>
      </c>
      <c r="D4812" s="1">
        <v>3.1617999999999999</v>
      </c>
    </row>
    <row r="4813" spans="1:4" x14ac:dyDescent="0.2">
      <c r="A4813" s="5">
        <v>43230</v>
      </c>
      <c r="B4813" s="1">
        <v>2.9622000000000002</v>
      </c>
      <c r="C4813" s="1">
        <v>1.1100000000000001</v>
      </c>
      <c r="D4813" s="1">
        <v>3.1082000000000001</v>
      </c>
    </row>
    <row r="4814" spans="1:4" x14ac:dyDescent="0.2">
      <c r="A4814" s="5">
        <v>43231</v>
      </c>
      <c r="B4814" s="1">
        <v>2.9695</v>
      </c>
      <c r="C4814" s="1">
        <v>1.0900000000000001</v>
      </c>
      <c r="D4814" s="1">
        <v>3.1040999999999999</v>
      </c>
    </row>
    <row r="4815" spans="1:4" x14ac:dyDescent="0.2">
      <c r="A4815" s="5">
        <v>43234</v>
      </c>
      <c r="B4815" s="1">
        <v>3.0024000000000002</v>
      </c>
      <c r="C4815" s="1">
        <v>1.08</v>
      </c>
      <c r="D4815" s="1">
        <v>3.1347</v>
      </c>
    </row>
    <row r="4816" spans="1:4" x14ac:dyDescent="0.2">
      <c r="A4816" s="5">
        <v>43235</v>
      </c>
      <c r="B4816" s="1">
        <v>3.0722999999999998</v>
      </c>
      <c r="C4816" s="1">
        <v>1.0900000000000001</v>
      </c>
      <c r="D4816" s="1">
        <v>3.2006999999999999</v>
      </c>
    </row>
    <row r="4817" spans="1:4" x14ac:dyDescent="0.2">
      <c r="A4817" s="5">
        <v>43236</v>
      </c>
      <c r="B4817" s="1">
        <v>3.0964</v>
      </c>
      <c r="C4817" s="1">
        <v>1.08</v>
      </c>
      <c r="D4817" s="1">
        <v>3.2172000000000001</v>
      </c>
    </row>
    <row r="4818" spans="1:4" x14ac:dyDescent="0.2">
      <c r="A4818" s="5">
        <v>43237</v>
      </c>
      <c r="B4818" s="1">
        <v>3.1112000000000002</v>
      </c>
      <c r="C4818" s="1">
        <v>1.0900000000000001</v>
      </c>
      <c r="D4818" s="1">
        <v>3.2462</v>
      </c>
    </row>
    <row r="4819" spans="1:4" x14ac:dyDescent="0.2">
      <c r="A4819" s="5">
        <v>43238</v>
      </c>
      <c r="B4819" s="1">
        <v>3.0558999999999998</v>
      </c>
      <c r="C4819" s="1">
        <v>1.0900000000000001</v>
      </c>
      <c r="D4819" s="1">
        <v>3.1974</v>
      </c>
    </row>
    <row r="4820" spans="1:4" x14ac:dyDescent="0.2">
      <c r="A4820" s="5">
        <v>43241</v>
      </c>
      <c r="B4820" s="1">
        <v>3.0596000000000001</v>
      </c>
      <c r="C4820" s="1">
        <v>1.0900000000000001</v>
      </c>
      <c r="D4820" s="1">
        <v>3.2014999999999998</v>
      </c>
    </row>
    <row r="4821" spans="1:4" x14ac:dyDescent="0.2">
      <c r="A4821" s="5">
        <v>43242</v>
      </c>
      <c r="B4821" s="1">
        <v>3.0596999999999999</v>
      </c>
      <c r="C4821" s="1">
        <v>1.08</v>
      </c>
      <c r="D4821" s="1">
        <v>3.2048000000000001</v>
      </c>
    </row>
    <row r="4822" spans="1:4" x14ac:dyDescent="0.2">
      <c r="A4822" s="5">
        <v>43243</v>
      </c>
      <c r="B4822" s="1">
        <v>2.9935</v>
      </c>
      <c r="C4822" s="1">
        <v>1.0900000000000001</v>
      </c>
      <c r="D4822" s="1">
        <v>3.1516999999999999</v>
      </c>
    </row>
    <row r="4823" spans="1:4" x14ac:dyDescent="0.2">
      <c r="A4823" s="5">
        <v>43244</v>
      </c>
      <c r="B4823" s="1">
        <v>2.9769999999999999</v>
      </c>
      <c r="C4823" s="1">
        <v>1.0900000000000001</v>
      </c>
      <c r="D4823" s="1">
        <v>3.125</v>
      </c>
    </row>
    <row r="4824" spans="1:4" x14ac:dyDescent="0.2">
      <c r="A4824" s="5">
        <v>43245</v>
      </c>
      <c r="B4824" s="1">
        <v>2.9312999999999998</v>
      </c>
      <c r="C4824" s="1">
        <v>1.1100000000000001</v>
      </c>
      <c r="D4824" s="1">
        <v>3.0920000000000001</v>
      </c>
    </row>
    <row r="4825" spans="1:4" x14ac:dyDescent="0.2">
      <c r="A4825" s="5">
        <v>43248</v>
      </c>
      <c r="B4825" s="1">
        <v>2.9312999999999998</v>
      </c>
      <c r="C4825" s="1">
        <v>1.1100000000000001</v>
      </c>
      <c r="D4825" s="1">
        <v>3.0920000000000001</v>
      </c>
    </row>
    <row r="4826" spans="1:4" x14ac:dyDescent="0.2">
      <c r="A4826" s="5">
        <v>43249</v>
      </c>
      <c r="B4826" s="1">
        <v>2.7810000000000001</v>
      </c>
      <c r="C4826" s="1">
        <v>1.1399999999999999</v>
      </c>
      <c r="D4826" s="1">
        <v>2.9744999999999999</v>
      </c>
    </row>
    <row r="4827" spans="1:4" x14ac:dyDescent="0.2">
      <c r="A4827" s="5">
        <v>43250</v>
      </c>
      <c r="B4827" s="1">
        <v>2.855</v>
      </c>
      <c r="C4827" s="1">
        <v>1.1499999999999999</v>
      </c>
      <c r="D4827" s="1">
        <v>3.0268999999999999</v>
      </c>
    </row>
    <row r="4828" spans="1:4" x14ac:dyDescent="0.2">
      <c r="A4828" s="5">
        <v>43251</v>
      </c>
      <c r="B4828" s="1">
        <v>2.8586</v>
      </c>
      <c r="C4828" s="1">
        <v>1.1499999999999999</v>
      </c>
      <c r="D4828" s="1">
        <v>3.0253000000000001</v>
      </c>
    </row>
    <row r="4829" spans="1:4" x14ac:dyDescent="0.2">
      <c r="A4829" s="5">
        <v>43252</v>
      </c>
      <c r="B4829" s="1">
        <v>2.9022000000000001</v>
      </c>
      <c r="C4829" s="1">
        <v>1.1499999999999999</v>
      </c>
      <c r="D4829" s="1">
        <v>3.0506000000000002</v>
      </c>
    </row>
    <row r="4830" spans="1:4" x14ac:dyDescent="0.2">
      <c r="A4830" s="5">
        <v>43255</v>
      </c>
      <c r="B4830" s="1">
        <v>2.9424000000000001</v>
      </c>
      <c r="C4830" s="1">
        <v>1.1399999999999999</v>
      </c>
      <c r="D4830" s="1">
        <v>3.0848</v>
      </c>
    </row>
    <row r="4831" spans="1:4" x14ac:dyDescent="0.2">
      <c r="A4831" s="5">
        <v>43256</v>
      </c>
      <c r="B4831" s="1">
        <v>2.9277000000000002</v>
      </c>
      <c r="C4831" s="1">
        <v>1.1499999999999999</v>
      </c>
      <c r="D4831" s="1">
        <v>3.0840000000000001</v>
      </c>
    </row>
    <row r="4832" spans="1:4" x14ac:dyDescent="0.2">
      <c r="A4832" s="5">
        <v>43257</v>
      </c>
      <c r="B4832" s="1">
        <v>2.9716999999999998</v>
      </c>
      <c r="C4832" s="1">
        <v>1.1399999999999999</v>
      </c>
      <c r="D4832" s="1">
        <v>3.1217000000000001</v>
      </c>
    </row>
    <row r="4833" spans="1:4" x14ac:dyDescent="0.2">
      <c r="A4833" s="5">
        <v>43258</v>
      </c>
      <c r="B4833" s="1">
        <v>2.9203999999999999</v>
      </c>
      <c r="C4833" s="1">
        <v>1.1499999999999999</v>
      </c>
      <c r="D4833" s="1">
        <v>3.0680000000000001</v>
      </c>
    </row>
    <row r="4834" spans="1:4" x14ac:dyDescent="0.2">
      <c r="A4834" s="5">
        <v>43259</v>
      </c>
      <c r="B4834" s="1">
        <v>2.9460999999999999</v>
      </c>
      <c r="C4834" s="1">
        <v>1.1599999999999999</v>
      </c>
      <c r="D4834" s="1">
        <v>3.0895999999999999</v>
      </c>
    </row>
    <row r="4835" spans="1:4" x14ac:dyDescent="0.2">
      <c r="A4835" s="5">
        <v>43262</v>
      </c>
      <c r="B4835" s="1">
        <v>2.9516</v>
      </c>
      <c r="C4835" s="1">
        <v>1.1499999999999999</v>
      </c>
      <c r="D4835" s="1">
        <v>3.0935999999999999</v>
      </c>
    </row>
    <row r="4836" spans="1:4" x14ac:dyDescent="0.2">
      <c r="A4836" s="5">
        <v>43263</v>
      </c>
      <c r="B4836" s="1">
        <v>2.9607999999999999</v>
      </c>
      <c r="C4836" s="1">
        <v>1.1499999999999999</v>
      </c>
      <c r="D4836" s="1">
        <v>3.0935000000000001</v>
      </c>
    </row>
    <row r="4837" spans="1:4" x14ac:dyDescent="0.2">
      <c r="A4837" s="5">
        <v>43264</v>
      </c>
      <c r="B4837" s="1">
        <v>2.9662999999999999</v>
      </c>
      <c r="C4837" s="1">
        <v>1.1499999999999999</v>
      </c>
      <c r="D4837" s="1">
        <v>3.0863</v>
      </c>
    </row>
    <row r="4838" spans="1:4" x14ac:dyDescent="0.2">
      <c r="A4838" s="5">
        <v>43265</v>
      </c>
      <c r="B4838" s="1">
        <v>2.9350999999999998</v>
      </c>
      <c r="C4838" s="1">
        <v>1.1499999999999999</v>
      </c>
      <c r="D4838" s="1">
        <v>3.0545</v>
      </c>
    </row>
    <row r="4839" spans="1:4" x14ac:dyDescent="0.2">
      <c r="A4839" s="5">
        <v>43266</v>
      </c>
      <c r="B4839" s="1">
        <v>2.9205000000000001</v>
      </c>
      <c r="C4839" s="1">
        <v>1.1499999999999999</v>
      </c>
      <c r="D4839" s="1">
        <v>3.0465</v>
      </c>
    </row>
    <row r="4840" spans="1:4" x14ac:dyDescent="0.2">
      <c r="A4840" s="5">
        <v>43269</v>
      </c>
      <c r="B4840" s="1">
        <v>2.9169</v>
      </c>
      <c r="C4840" s="1">
        <v>1.17</v>
      </c>
      <c r="D4840" s="1">
        <v>3.0489000000000002</v>
      </c>
    </row>
    <row r="4841" spans="1:4" x14ac:dyDescent="0.2">
      <c r="A4841" s="5">
        <v>43270</v>
      </c>
      <c r="B4841" s="1">
        <v>2.8967000000000001</v>
      </c>
      <c r="C4841" s="1">
        <v>1.18</v>
      </c>
      <c r="D4841" s="1">
        <v>3.0323000000000002</v>
      </c>
    </row>
    <row r="4842" spans="1:4" x14ac:dyDescent="0.2">
      <c r="A4842" s="5">
        <v>43271</v>
      </c>
      <c r="B4842" s="1">
        <v>2.9388999999999998</v>
      </c>
      <c r="C4842" s="1">
        <v>1.19</v>
      </c>
      <c r="D4842" s="1">
        <v>3.0775000000000001</v>
      </c>
    </row>
    <row r="4843" spans="1:4" x14ac:dyDescent="0.2">
      <c r="A4843" s="5">
        <v>43272</v>
      </c>
      <c r="B4843" s="1">
        <v>2.8967000000000001</v>
      </c>
      <c r="C4843" s="1">
        <v>1.22</v>
      </c>
      <c r="D4843" s="1">
        <v>3.0440999999999998</v>
      </c>
    </row>
    <row r="4844" spans="1:4" x14ac:dyDescent="0.2">
      <c r="A4844" s="5">
        <v>43273</v>
      </c>
      <c r="B4844" s="1">
        <v>2.8948999999999998</v>
      </c>
      <c r="C4844" s="1">
        <v>1.23</v>
      </c>
      <c r="D4844" s="1">
        <v>3.0394000000000001</v>
      </c>
    </row>
    <row r="4845" spans="1:4" x14ac:dyDescent="0.2">
      <c r="A4845" s="5">
        <v>43276</v>
      </c>
      <c r="B4845" s="1">
        <v>2.8803000000000001</v>
      </c>
      <c r="C4845" s="1">
        <v>1.24</v>
      </c>
      <c r="D4845" s="1">
        <v>3.0244</v>
      </c>
    </row>
    <row r="4846" spans="1:4" x14ac:dyDescent="0.2">
      <c r="A4846" s="5">
        <v>43277</v>
      </c>
      <c r="B4846" s="1">
        <v>2.8765999999999998</v>
      </c>
      <c r="C4846" s="1">
        <v>1.24</v>
      </c>
      <c r="D4846" s="1">
        <v>3.0251000000000001</v>
      </c>
    </row>
    <row r="4847" spans="1:4" x14ac:dyDescent="0.2">
      <c r="A4847" s="5">
        <v>43278</v>
      </c>
      <c r="B4847" s="1">
        <v>2.8256000000000001</v>
      </c>
      <c r="C4847" s="1">
        <v>1.24</v>
      </c>
      <c r="D4847" s="1">
        <v>2.9672999999999998</v>
      </c>
    </row>
    <row r="4848" spans="1:4" x14ac:dyDescent="0.2">
      <c r="A4848" s="5">
        <v>43279</v>
      </c>
      <c r="B4848" s="1">
        <v>2.8365</v>
      </c>
      <c r="C4848" s="1">
        <v>1.24</v>
      </c>
      <c r="D4848" s="1">
        <v>2.9657</v>
      </c>
    </row>
    <row r="4849" spans="1:4" x14ac:dyDescent="0.2">
      <c r="A4849" s="5">
        <v>43280</v>
      </c>
      <c r="B4849" s="1">
        <v>2.8601000000000001</v>
      </c>
      <c r="C4849" s="1">
        <v>1.23</v>
      </c>
      <c r="D4849" s="1">
        <v>2.9889999999999999</v>
      </c>
    </row>
    <row r="4850" spans="1:4" x14ac:dyDescent="0.2">
      <c r="A4850" s="5">
        <v>43283</v>
      </c>
      <c r="B4850" s="1">
        <v>2.8711000000000002</v>
      </c>
      <c r="C4850" s="1">
        <v>1.24</v>
      </c>
      <c r="D4850" s="1">
        <v>2.9929000000000001</v>
      </c>
    </row>
    <row r="4851" spans="1:4" x14ac:dyDescent="0.2">
      <c r="A4851" s="5">
        <v>43284</v>
      </c>
      <c r="B4851" s="1">
        <v>2.8309000000000002</v>
      </c>
      <c r="C4851" s="1">
        <v>1.24</v>
      </c>
      <c r="D4851" s="1">
        <v>2.9586000000000001</v>
      </c>
    </row>
    <row r="4852" spans="1:4" x14ac:dyDescent="0.2">
      <c r="A4852" s="5">
        <v>43285</v>
      </c>
      <c r="B4852" s="1">
        <v>2.8309000000000002</v>
      </c>
      <c r="C4852" s="1">
        <v>1.24</v>
      </c>
      <c r="D4852" s="1">
        <v>2.9586000000000001</v>
      </c>
    </row>
    <row r="4853" spans="1:4" x14ac:dyDescent="0.2">
      <c r="A4853" s="5">
        <v>43286</v>
      </c>
      <c r="B4853" s="1">
        <v>2.8290999999999999</v>
      </c>
      <c r="C4853" s="1">
        <v>1.22</v>
      </c>
      <c r="D4853" s="1">
        <v>2.9447000000000001</v>
      </c>
    </row>
    <row r="4854" spans="1:4" x14ac:dyDescent="0.2">
      <c r="A4854" s="5">
        <v>43287</v>
      </c>
      <c r="B4854" s="1">
        <v>2.8216999999999999</v>
      </c>
      <c r="C4854" s="1">
        <v>1.22</v>
      </c>
      <c r="D4854" s="1">
        <v>2.9293</v>
      </c>
    </row>
    <row r="4855" spans="1:4" x14ac:dyDescent="0.2">
      <c r="A4855" s="5">
        <v>43290</v>
      </c>
      <c r="B4855" s="1">
        <v>2.8563999999999998</v>
      </c>
      <c r="C4855" s="1">
        <v>1.2</v>
      </c>
      <c r="D4855" s="1">
        <v>2.964</v>
      </c>
    </row>
    <row r="4856" spans="1:4" x14ac:dyDescent="0.2">
      <c r="A4856" s="5">
        <v>43291</v>
      </c>
      <c r="B4856" s="1">
        <v>2.8491</v>
      </c>
      <c r="C4856" s="1">
        <v>1.19</v>
      </c>
      <c r="D4856" s="1">
        <v>2.9554999999999998</v>
      </c>
    </row>
    <row r="4857" spans="1:4" x14ac:dyDescent="0.2">
      <c r="A4857" s="5">
        <v>43292</v>
      </c>
      <c r="B4857" s="1">
        <v>2.8491</v>
      </c>
      <c r="C4857" s="1">
        <v>1.19</v>
      </c>
      <c r="D4857" s="1">
        <v>2.9523999999999999</v>
      </c>
    </row>
    <row r="4858" spans="1:4" x14ac:dyDescent="0.2">
      <c r="A4858" s="5">
        <v>43293</v>
      </c>
      <c r="B4858" s="1">
        <v>2.8454000000000002</v>
      </c>
      <c r="C4858" s="1">
        <v>1.19</v>
      </c>
      <c r="D4858" s="1">
        <v>2.9462000000000002</v>
      </c>
    </row>
    <row r="4859" spans="1:4" x14ac:dyDescent="0.2">
      <c r="A4859" s="5">
        <v>43294</v>
      </c>
      <c r="B4859" s="1">
        <v>2.8271000000000002</v>
      </c>
      <c r="C4859" s="1">
        <v>1.18</v>
      </c>
      <c r="D4859" s="1">
        <v>2.9315000000000002</v>
      </c>
    </row>
    <row r="4860" spans="1:4" x14ac:dyDescent="0.2">
      <c r="A4860" s="5">
        <v>43297</v>
      </c>
      <c r="B4860" s="1">
        <v>2.8582000000000001</v>
      </c>
      <c r="C4860" s="1">
        <v>1.17</v>
      </c>
      <c r="D4860" s="1">
        <v>2.9615999999999998</v>
      </c>
    </row>
    <row r="4861" spans="1:4" x14ac:dyDescent="0.2">
      <c r="A4861" s="5">
        <v>43298</v>
      </c>
      <c r="B4861" s="1">
        <v>2.86</v>
      </c>
      <c r="C4861" s="1">
        <v>1.17</v>
      </c>
      <c r="D4861" s="1">
        <v>2.9693999999999998</v>
      </c>
    </row>
    <row r="4862" spans="1:4" x14ac:dyDescent="0.2">
      <c r="A4862" s="5">
        <v>43299</v>
      </c>
      <c r="B4862" s="1">
        <v>2.8692000000000002</v>
      </c>
      <c r="C4862" s="1">
        <v>1.17</v>
      </c>
      <c r="D4862" s="1">
        <v>2.9857</v>
      </c>
    </row>
    <row r="4863" spans="1:4" x14ac:dyDescent="0.2">
      <c r="A4863" s="5">
        <v>43300</v>
      </c>
      <c r="B4863" s="1">
        <v>2.8380000000000001</v>
      </c>
      <c r="C4863" s="1">
        <v>1.17</v>
      </c>
      <c r="D4863" s="1">
        <v>2.9584999999999999</v>
      </c>
    </row>
    <row r="4864" spans="1:4" x14ac:dyDescent="0.2">
      <c r="A4864" s="5">
        <v>43301</v>
      </c>
      <c r="B4864" s="1">
        <v>2.8931</v>
      </c>
      <c r="C4864" s="1">
        <v>1.17</v>
      </c>
      <c r="D4864" s="1">
        <v>3.0257999999999998</v>
      </c>
    </row>
    <row r="4865" spans="1:4" x14ac:dyDescent="0.2">
      <c r="A4865" s="5">
        <v>43304</v>
      </c>
      <c r="B4865" s="1">
        <v>2.9540999999999999</v>
      </c>
      <c r="C4865" s="1">
        <v>1.1499999999999999</v>
      </c>
      <c r="D4865" s="1">
        <v>3.0910000000000002</v>
      </c>
    </row>
    <row r="4866" spans="1:4" x14ac:dyDescent="0.2">
      <c r="A4866" s="5">
        <v>43305</v>
      </c>
      <c r="B4866" s="1">
        <v>2.9485999999999999</v>
      </c>
      <c r="C4866" s="1">
        <v>1.1299999999999999</v>
      </c>
      <c r="D4866" s="1">
        <v>3.0758000000000001</v>
      </c>
    </row>
    <row r="4867" spans="1:4" x14ac:dyDescent="0.2">
      <c r="A4867" s="5">
        <v>43306</v>
      </c>
      <c r="B4867" s="1">
        <v>2.9746000000000001</v>
      </c>
      <c r="C4867" s="1">
        <v>1.1299999999999999</v>
      </c>
      <c r="D4867" s="1">
        <v>3.1031</v>
      </c>
    </row>
    <row r="4868" spans="1:4" x14ac:dyDescent="0.2">
      <c r="A4868" s="5">
        <v>43307</v>
      </c>
      <c r="B4868" s="1">
        <v>2.9763999999999999</v>
      </c>
      <c r="C4868" s="1">
        <v>1.1100000000000001</v>
      </c>
      <c r="D4868" s="1">
        <v>3.0998000000000001</v>
      </c>
    </row>
    <row r="4869" spans="1:4" x14ac:dyDescent="0.2">
      <c r="A4869" s="5">
        <v>43308</v>
      </c>
      <c r="B4869" s="1">
        <v>2.9542000000000002</v>
      </c>
      <c r="C4869" s="1">
        <v>1.1000000000000001</v>
      </c>
      <c r="D4869" s="1">
        <v>3.0821999999999998</v>
      </c>
    </row>
    <row r="4870" spans="1:4" x14ac:dyDescent="0.2">
      <c r="A4870" s="5">
        <v>43311</v>
      </c>
      <c r="B4870" s="1">
        <v>2.9727999999999999</v>
      </c>
      <c r="C4870" s="1">
        <v>1.1000000000000001</v>
      </c>
      <c r="D4870" s="1">
        <v>3.1046999999999998</v>
      </c>
    </row>
    <row r="4871" spans="1:4" x14ac:dyDescent="0.2">
      <c r="A4871" s="5">
        <v>43312</v>
      </c>
      <c r="B4871" s="1">
        <v>2.9598</v>
      </c>
      <c r="C4871" s="1">
        <v>1.0900000000000001</v>
      </c>
      <c r="D4871" s="1">
        <v>3.0821999999999998</v>
      </c>
    </row>
    <row r="4872" spans="1:4" x14ac:dyDescent="0.2">
      <c r="A4872" s="5">
        <v>43313</v>
      </c>
      <c r="B4872" s="1">
        <v>3.0064000000000002</v>
      </c>
      <c r="C4872" s="1">
        <v>1.0900000000000001</v>
      </c>
      <c r="D4872" s="1">
        <v>3.1320999999999999</v>
      </c>
    </row>
    <row r="4873" spans="1:4" x14ac:dyDescent="0.2">
      <c r="A4873" s="5">
        <v>43314</v>
      </c>
      <c r="B4873" s="1">
        <v>2.9859</v>
      </c>
      <c r="C4873" s="1">
        <v>1.0900000000000001</v>
      </c>
      <c r="D4873" s="1">
        <v>3.1183999999999998</v>
      </c>
    </row>
    <row r="4874" spans="1:4" x14ac:dyDescent="0.2">
      <c r="A4874" s="5">
        <v>43315</v>
      </c>
      <c r="B4874" s="1">
        <v>2.9487999999999999</v>
      </c>
      <c r="C4874" s="1">
        <v>1.0900000000000001</v>
      </c>
      <c r="D4874" s="1">
        <v>3.0886</v>
      </c>
    </row>
    <row r="4875" spans="1:4" x14ac:dyDescent="0.2">
      <c r="A4875" s="5">
        <v>43318</v>
      </c>
      <c r="B4875" s="1">
        <v>2.9394999999999998</v>
      </c>
      <c r="C4875" s="1">
        <v>1.08</v>
      </c>
      <c r="D4875" s="1">
        <v>3.0893999999999999</v>
      </c>
    </row>
    <row r="4876" spans="1:4" x14ac:dyDescent="0.2">
      <c r="A4876" s="5">
        <v>43319</v>
      </c>
      <c r="B4876" s="1">
        <v>2.9729999999999999</v>
      </c>
      <c r="C4876" s="1">
        <v>1.07</v>
      </c>
      <c r="D4876" s="1">
        <v>3.1175999999999999</v>
      </c>
    </row>
    <row r="4877" spans="1:4" x14ac:dyDescent="0.2">
      <c r="A4877" s="5">
        <v>43320</v>
      </c>
      <c r="B4877" s="1">
        <v>2.96</v>
      </c>
      <c r="C4877" s="1">
        <v>1.08</v>
      </c>
      <c r="D4877" s="1">
        <v>3.1103000000000001</v>
      </c>
    </row>
    <row r="4878" spans="1:4" x14ac:dyDescent="0.2">
      <c r="A4878" s="5">
        <v>43321</v>
      </c>
      <c r="B4878" s="1">
        <v>2.9258000000000002</v>
      </c>
      <c r="C4878" s="1">
        <v>1.1000000000000001</v>
      </c>
      <c r="D4878" s="1">
        <v>3.0716999999999999</v>
      </c>
    </row>
    <row r="4879" spans="1:4" x14ac:dyDescent="0.2">
      <c r="A4879" s="5">
        <v>43322</v>
      </c>
      <c r="B4879" s="1">
        <v>2.8732000000000002</v>
      </c>
      <c r="C4879" s="1">
        <v>1.1200000000000001</v>
      </c>
      <c r="D4879" s="1">
        <v>3.0303</v>
      </c>
    </row>
    <row r="4880" spans="1:4" x14ac:dyDescent="0.2">
      <c r="A4880" s="5">
        <v>43325</v>
      </c>
      <c r="B4880" s="1">
        <v>2.8786</v>
      </c>
      <c r="C4880" s="1">
        <v>1.1299999999999999</v>
      </c>
      <c r="D4880" s="1">
        <v>3.0470999999999999</v>
      </c>
    </row>
    <row r="4881" spans="1:4" x14ac:dyDescent="0.2">
      <c r="A4881" s="5">
        <v>43326</v>
      </c>
      <c r="B4881" s="1">
        <v>2.8984999999999999</v>
      </c>
      <c r="C4881" s="1">
        <v>1.1200000000000001</v>
      </c>
      <c r="D4881" s="1">
        <v>3.0672000000000001</v>
      </c>
    </row>
    <row r="4882" spans="1:4" x14ac:dyDescent="0.2">
      <c r="A4882" s="5">
        <v>43327</v>
      </c>
      <c r="B4882" s="1">
        <v>2.8622999999999998</v>
      </c>
      <c r="C4882" s="1">
        <v>1.1299999999999999</v>
      </c>
      <c r="D4882" s="1">
        <v>3.0318999999999998</v>
      </c>
    </row>
    <row r="4883" spans="1:4" x14ac:dyDescent="0.2">
      <c r="A4883" s="5">
        <v>43328</v>
      </c>
      <c r="B4883" s="1">
        <v>2.8658999999999999</v>
      </c>
      <c r="C4883" s="1">
        <v>1.1200000000000001</v>
      </c>
      <c r="D4883" s="1">
        <v>3.0255000000000001</v>
      </c>
    </row>
    <row r="4884" spans="1:4" x14ac:dyDescent="0.2">
      <c r="A4884" s="5">
        <v>43329</v>
      </c>
      <c r="B4884" s="1">
        <v>2.8605</v>
      </c>
      <c r="C4884" s="1">
        <v>1.1200000000000001</v>
      </c>
      <c r="D4884" s="1">
        <v>3.0198999999999998</v>
      </c>
    </row>
    <row r="4885" spans="1:4" x14ac:dyDescent="0.2">
      <c r="A4885" s="5">
        <v>43332</v>
      </c>
      <c r="B4885" s="1">
        <v>2.819</v>
      </c>
      <c r="C4885" s="1">
        <v>1.1200000000000001</v>
      </c>
      <c r="D4885" s="1">
        <v>2.9849000000000001</v>
      </c>
    </row>
    <row r="4886" spans="1:4" x14ac:dyDescent="0.2">
      <c r="A4886" s="5">
        <v>43333</v>
      </c>
      <c r="B4886" s="1">
        <v>2.8298000000000001</v>
      </c>
      <c r="C4886" s="1">
        <v>1.1100000000000001</v>
      </c>
      <c r="D4886" s="1">
        <v>2.9927999999999999</v>
      </c>
    </row>
    <row r="4887" spans="1:4" x14ac:dyDescent="0.2">
      <c r="A4887" s="5">
        <v>43334</v>
      </c>
      <c r="B4887" s="1">
        <v>2.8189000000000002</v>
      </c>
      <c r="C4887" s="1">
        <v>1.1200000000000001</v>
      </c>
      <c r="D4887" s="1">
        <v>2.9841000000000002</v>
      </c>
    </row>
    <row r="4888" spans="1:4" x14ac:dyDescent="0.2">
      <c r="A4888" s="5">
        <v>43335</v>
      </c>
      <c r="B4888" s="1">
        <v>2.8260999999999998</v>
      </c>
      <c r="C4888" s="1">
        <v>1.1200000000000001</v>
      </c>
      <c r="D4888" s="1">
        <v>2.9802</v>
      </c>
    </row>
    <row r="4889" spans="1:4" x14ac:dyDescent="0.2">
      <c r="A4889" s="5">
        <v>43336</v>
      </c>
      <c r="B4889" s="1">
        <v>2.8098000000000001</v>
      </c>
      <c r="C4889" s="1">
        <v>1.1200000000000001</v>
      </c>
      <c r="D4889" s="1">
        <v>2.9588999999999999</v>
      </c>
    </row>
    <row r="4890" spans="1:4" x14ac:dyDescent="0.2">
      <c r="A4890" s="5">
        <v>43339</v>
      </c>
      <c r="B4890" s="1">
        <v>2.8458999999999999</v>
      </c>
      <c r="C4890" s="1">
        <v>1.1200000000000001</v>
      </c>
      <c r="D4890" s="1">
        <v>2.9935999999999998</v>
      </c>
    </row>
    <row r="4891" spans="1:4" x14ac:dyDescent="0.2">
      <c r="A4891" s="5">
        <v>43340</v>
      </c>
      <c r="B4891" s="1">
        <v>2.8803999999999998</v>
      </c>
      <c r="C4891" s="1">
        <v>1.1200000000000001</v>
      </c>
      <c r="D4891" s="1">
        <v>3.0303</v>
      </c>
    </row>
    <row r="4892" spans="1:4" x14ac:dyDescent="0.2">
      <c r="A4892" s="5">
        <v>43341</v>
      </c>
      <c r="B4892" s="1">
        <v>2.8839999999999999</v>
      </c>
      <c r="C4892" s="1">
        <v>1.1200000000000001</v>
      </c>
      <c r="D4892" s="1">
        <v>3.0207000000000002</v>
      </c>
    </row>
    <row r="4893" spans="1:4" x14ac:dyDescent="0.2">
      <c r="A4893" s="5">
        <v>43342</v>
      </c>
      <c r="B4893" s="1">
        <v>2.855</v>
      </c>
      <c r="C4893" s="1">
        <v>1.1299999999999999</v>
      </c>
      <c r="D4893" s="1">
        <v>3.0030999999999999</v>
      </c>
    </row>
    <row r="4894" spans="1:4" x14ac:dyDescent="0.2">
      <c r="A4894" s="5">
        <v>43343</v>
      </c>
      <c r="B4894" s="1">
        <v>2.8603999999999998</v>
      </c>
      <c r="C4894" s="1">
        <v>1.1399999999999999</v>
      </c>
      <c r="D4894" s="1">
        <v>3.0190999999999999</v>
      </c>
    </row>
    <row r="4895" spans="1:4" x14ac:dyDescent="0.2">
      <c r="A4895" s="5">
        <v>43346</v>
      </c>
      <c r="B4895" s="1">
        <v>2.8603999999999998</v>
      </c>
      <c r="C4895" s="1">
        <v>1.1399999999999999</v>
      </c>
      <c r="D4895" s="1">
        <v>3.0190999999999999</v>
      </c>
    </row>
    <row r="4896" spans="1:4" x14ac:dyDescent="0.2">
      <c r="A4896" s="5">
        <v>43347</v>
      </c>
      <c r="B4896" s="1">
        <v>2.8984999999999999</v>
      </c>
      <c r="C4896" s="1">
        <v>1.1399999999999999</v>
      </c>
      <c r="D4896" s="1">
        <v>3.0615999999999999</v>
      </c>
    </row>
    <row r="4897" spans="1:4" x14ac:dyDescent="0.2">
      <c r="A4897" s="5">
        <v>43348</v>
      </c>
      <c r="B4897" s="1">
        <v>2.9022000000000001</v>
      </c>
      <c r="C4897" s="1">
        <v>1.1499999999999999</v>
      </c>
      <c r="D4897" s="1">
        <v>3.0752999999999999</v>
      </c>
    </row>
    <row r="4898" spans="1:4" x14ac:dyDescent="0.2">
      <c r="A4898" s="5">
        <v>43349</v>
      </c>
      <c r="B4898" s="1">
        <v>2.8731</v>
      </c>
      <c r="C4898" s="1">
        <v>1.1399999999999999</v>
      </c>
      <c r="D4898" s="1">
        <v>3.0527000000000002</v>
      </c>
    </row>
    <row r="4899" spans="1:4" x14ac:dyDescent="0.2">
      <c r="A4899" s="5">
        <v>43350</v>
      </c>
      <c r="B4899" s="1">
        <v>2.9388000000000001</v>
      </c>
      <c r="C4899" s="1">
        <v>1.1299999999999999</v>
      </c>
      <c r="D4899" s="1">
        <v>3.1013999999999999</v>
      </c>
    </row>
    <row r="4900" spans="1:4" x14ac:dyDescent="0.2">
      <c r="A4900" s="5">
        <v>43353</v>
      </c>
      <c r="B4900" s="1">
        <v>2.9314</v>
      </c>
      <c r="C4900" s="1">
        <v>1.1299999999999999</v>
      </c>
      <c r="D4900" s="1">
        <v>3.081</v>
      </c>
    </row>
    <row r="4901" spans="1:4" x14ac:dyDescent="0.2">
      <c r="A4901" s="5">
        <v>43354</v>
      </c>
      <c r="B4901" s="1">
        <v>2.9754999999999998</v>
      </c>
      <c r="C4901" s="1">
        <v>1.1100000000000001</v>
      </c>
      <c r="D4901" s="1">
        <v>3.1185</v>
      </c>
    </row>
    <row r="4902" spans="1:4" x14ac:dyDescent="0.2">
      <c r="A4902" s="5">
        <v>43355</v>
      </c>
      <c r="B4902" s="1">
        <v>2.9626000000000001</v>
      </c>
      <c r="C4902" s="1">
        <v>1.1100000000000001</v>
      </c>
      <c r="D4902" s="1">
        <v>3.1038000000000001</v>
      </c>
    </row>
    <row r="4903" spans="1:4" x14ac:dyDescent="0.2">
      <c r="A4903" s="5">
        <v>43356</v>
      </c>
      <c r="B4903" s="1">
        <v>2.97</v>
      </c>
      <c r="C4903" s="1">
        <v>1.1000000000000001</v>
      </c>
      <c r="D4903" s="1">
        <v>3.1071</v>
      </c>
    </row>
    <row r="4904" spans="1:4" x14ac:dyDescent="0.2">
      <c r="A4904" s="5">
        <v>43357</v>
      </c>
      <c r="B4904" s="1">
        <v>2.9958999999999998</v>
      </c>
      <c r="C4904" s="1">
        <v>1.0900000000000001</v>
      </c>
      <c r="D4904" s="1">
        <v>3.1309</v>
      </c>
    </row>
    <row r="4905" spans="1:4" x14ac:dyDescent="0.2">
      <c r="A4905" s="5">
        <v>43360</v>
      </c>
      <c r="B4905" s="1">
        <v>2.9866999999999999</v>
      </c>
      <c r="C4905" s="1">
        <v>1.08</v>
      </c>
      <c r="D4905" s="1">
        <v>3.1284000000000001</v>
      </c>
    </row>
    <row r="4906" spans="1:4" x14ac:dyDescent="0.2">
      <c r="A4906" s="5">
        <v>43361</v>
      </c>
      <c r="B4906" s="1">
        <v>3.0550999999999999</v>
      </c>
      <c r="C4906" s="1">
        <v>1.08</v>
      </c>
      <c r="D4906" s="1">
        <v>3.2014</v>
      </c>
    </row>
    <row r="4907" spans="1:4" x14ac:dyDescent="0.2">
      <c r="A4907" s="5">
        <v>43362</v>
      </c>
      <c r="B4907" s="1">
        <v>3.0626000000000002</v>
      </c>
      <c r="C4907" s="1">
        <v>1.08</v>
      </c>
      <c r="D4907" s="1">
        <v>3.2098</v>
      </c>
    </row>
    <row r="4908" spans="1:4" x14ac:dyDescent="0.2">
      <c r="A4908" s="5">
        <v>43363</v>
      </c>
      <c r="B4908" s="1">
        <v>3.0626000000000002</v>
      </c>
      <c r="C4908" s="1">
        <v>1.06</v>
      </c>
      <c r="D4908" s="1">
        <v>3.1956000000000002</v>
      </c>
    </row>
    <row r="4909" spans="1:4" x14ac:dyDescent="0.2">
      <c r="A4909" s="5">
        <v>43364</v>
      </c>
      <c r="B4909" s="1">
        <v>3.0628000000000002</v>
      </c>
      <c r="C4909" s="1">
        <v>1.06</v>
      </c>
      <c r="D4909" s="1">
        <v>3.1998000000000002</v>
      </c>
    </row>
    <row r="4910" spans="1:4" x14ac:dyDescent="0.2">
      <c r="A4910" s="5">
        <v>43367</v>
      </c>
      <c r="B4910" s="1">
        <v>3.0889000000000002</v>
      </c>
      <c r="C4910" s="1">
        <v>1.07</v>
      </c>
      <c r="D4910" s="1">
        <v>3.2258</v>
      </c>
    </row>
    <row r="4911" spans="1:4" x14ac:dyDescent="0.2">
      <c r="A4911" s="5">
        <v>43368</v>
      </c>
      <c r="B4911" s="1">
        <v>3.0964</v>
      </c>
      <c r="C4911" s="1">
        <v>1.06</v>
      </c>
      <c r="D4911" s="1">
        <v>3.2258</v>
      </c>
    </row>
    <row r="4912" spans="1:4" x14ac:dyDescent="0.2">
      <c r="A4912" s="5">
        <v>43369</v>
      </c>
      <c r="B4912" s="1">
        <v>3.048</v>
      </c>
      <c r="C4912" s="1">
        <v>1.07</v>
      </c>
      <c r="D4912" s="1">
        <v>3.1814</v>
      </c>
    </row>
    <row r="4913" spans="1:4" x14ac:dyDescent="0.2">
      <c r="A4913" s="5">
        <v>43370</v>
      </c>
      <c r="B4913" s="1">
        <v>3.0518000000000001</v>
      </c>
      <c r="C4913" s="1">
        <v>1.06</v>
      </c>
      <c r="D4913" s="1">
        <v>3.1831</v>
      </c>
    </row>
    <row r="4914" spans="1:4" x14ac:dyDescent="0.2">
      <c r="A4914" s="5">
        <v>43371</v>
      </c>
      <c r="B4914" s="1">
        <v>3.0611999999999999</v>
      </c>
      <c r="C4914" s="1">
        <v>1.06</v>
      </c>
      <c r="D4914" s="1">
        <v>3.2057000000000002</v>
      </c>
    </row>
    <row r="4915" spans="1:4" x14ac:dyDescent="0.2">
      <c r="A4915" s="5">
        <v>43374</v>
      </c>
      <c r="B4915" s="1">
        <v>3.0836000000000001</v>
      </c>
      <c r="C4915" s="1">
        <v>1.05</v>
      </c>
      <c r="D4915" s="1">
        <v>3.2343000000000002</v>
      </c>
    </row>
    <row r="4916" spans="1:4" x14ac:dyDescent="0.2">
      <c r="A4916" s="5">
        <v>43375</v>
      </c>
      <c r="B4916" s="1">
        <v>3.0630999999999999</v>
      </c>
      <c r="C4916" s="1">
        <v>1.05</v>
      </c>
      <c r="D4916" s="1">
        <v>3.2174999999999998</v>
      </c>
    </row>
    <row r="4917" spans="1:4" x14ac:dyDescent="0.2">
      <c r="A4917" s="5">
        <v>43376</v>
      </c>
      <c r="B4917" s="1">
        <v>3.1812999999999998</v>
      </c>
      <c r="C4917" s="1">
        <v>1.05</v>
      </c>
      <c r="D4917" s="1">
        <v>3.3353000000000002</v>
      </c>
    </row>
    <row r="4918" spans="1:4" x14ac:dyDescent="0.2">
      <c r="A4918" s="5">
        <v>43377</v>
      </c>
      <c r="B4918" s="1">
        <v>3.1869999999999998</v>
      </c>
      <c r="C4918" s="1">
        <v>1.05</v>
      </c>
      <c r="D4918" s="1">
        <v>3.3475000000000001</v>
      </c>
    </row>
    <row r="4919" spans="1:4" x14ac:dyDescent="0.2">
      <c r="A4919" s="5">
        <v>43378</v>
      </c>
      <c r="B4919" s="1">
        <v>3.2328000000000001</v>
      </c>
      <c r="C4919" s="1">
        <v>1.05</v>
      </c>
      <c r="D4919" s="1">
        <v>3.4036</v>
      </c>
    </row>
    <row r="4920" spans="1:4" x14ac:dyDescent="0.2">
      <c r="A4920" s="5">
        <v>43381</v>
      </c>
      <c r="B4920" s="1">
        <v>3.2328000000000001</v>
      </c>
      <c r="C4920" s="1">
        <v>1.05</v>
      </c>
      <c r="D4920" s="1">
        <v>3.4036</v>
      </c>
    </row>
    <row r="4921" spans="1:4" x14ac:dyDescent="0.2">
      <c r="A4921" s="5">
        <v>43382</v>
      </c>
      <c r="B4921" s="1">
        <v>3.2063000000000001</v>
      </c>
      <c r="C4921" s="1">
        <v>1.06</v>
      </c>
      <c r="D4921" s="1">
        <v>3.3685</v>
      </c>
    </row>
    <row r="4922" spans="1:4" x14ac:dyDescent="0.2">
      <c r="A4922" s="5">
        <v>43383</v>
      </c>
      <c r="B4922" s="1">
        <v>3.1629</v>
      </c>
      <c r="C4922" s="1">
        <v>1.07</v>
      </c>
      <c r="D4922" s="1">
        <v>3.3475999999999999</v>
      </c>
    </row>
    <row r="4923" spans="1:4" x14ac:dyDescent="0.2">
      <c r="A4923" s="5">
        <v>43384</v>
      </c>
      <c r="B4923" s="1">
        <v>3.1497999999999999</v>
      </c>
      <c r="C4923" s="1">
        <v>1.08</v>
      </c>
      <c r="D4923" s="1">
        <v>3.3233000000000001</v>
      </c>
    </row>
    <row r="4924" spans="1:4" x14ac:dyDescent="0.2">
      <c r="A4924" s="5">
        <v>43385</v>
      </c>
      <c r="B4924" s="1">
        <v>3.1613000000000002</v>
      </c>
      <c r="C4924" s="1">
        <v>1.0900000000000001</v>
      </c>
      <c r="D4924" s="1">
        <v>3.3347000000000002</v>
      </c>
    </row>
    <row r="4925" spans="1:4" x14ac:dyDescent="0.2">
      <c r="A4925" s="5">
        <v>43388</v>
      </c>
      <c r="B4925" s="1">
        <v>3.1556999999999999</v>
      </c>
      <c r="C4925" s="1">
        <v>1.0900000000000001</v>
      </c>
      <c r="D4925" s="1">
        <v>3.3363999999999998</v>
      </c>
    </row>
    <row r="4926" spans="1:4" x14ac:dyDescent="0.2">
      <c r="A4926" s="5">
        <v>43389</v>
      </c>
      <c r="B4926" s="1">
        <v>3.1633</v>
      </c>
      <c r="C4926" s="1">
        <v>1.0900000000000001</v>
      </c>
      <c r="D4926" s="1">
        <v>3.3338000000000001</v>
      </c>
    </row>
    <row r="4927" spans="1:4" x14ac:dyDescent="0.2">
      <c r="A4927" s="5">
        <v>43390</v>
      </c>
      <c r="B4927" s="1">
        <v>3.2050000000000001</v>
      </c>
      <c r="C4927" s="1">
        <v>1.1000000000000001</v>
      </c>
      <c r="D4927" s="1">
        <v>3.3721999999999999</v>
      </c>
    </row>
    <row r="4928" spans="1:4" x14ac:dyDescent="0.2">
      <c r="A4928" s="5">
        <v>43391</v>
      </c>
      <c r="B4928" s="1">
        <v>3.1785999999999999</v>
      </c>
      <c r="C4928" s="1">
        <v>1.1100000000000001</v>
      </c>
      <c r="D4928" s="1">
        <v>3.3633999999999999</v>
      </c>
    </row>
    <row r="4929" spans="1:4" x14ac:dyDescent="0.2">
      <c r="A4929" s="5">
        <v>43392</v>
      </c>
      <c r="B4929" s="1">
        <v>3.1920999999999999</v>
      </c>
      <c r="C4929" s="1">
        <v>1.1100000000000001</v>
      </c>
      <c r="D4929" s="1">
        <v>3.3757999999999999</v>
      </c>
    </row>
    <row r="4930" spans="1:4" x14ac:dyDescent="0.2">
      <c r="A4930" s="5">
        <v>43395</v>
      </c>
      <c r="B4930" s="1">
        <v>3.1978</v>
      </c>
      <c r="C4930" s="1">
        <v>1.1100000000000001</v>
      </c>
      <c r="D4930" s="1">
        <v>3.3881000000000001</v>
      </c>
    </row>
    <row r="4931" spans="1:4" x14ac:dyDescent="0.2">
      <c r="A4931" s="5">
        <v>43396</v>
      </c>
      <c r="B4931" s="1">
        <v>3.1676000000000002</v>
      </c>
      <c r="C4931" s="1">
        <v>1.1399999999999999</v>
      </c>
      <c r="D4931" s="1">
        <v>3.3679000000000001</v>
      </c>
    </row>
    <row r="4932" spans="1:4" x14ac:dyDescent="0.2">
      <c r="A4932" s="5">
        <v>43397</v>
      </c>
      <c r="B4932" s="1">
        <v>3.1034999999999999</v>
      </c>
      <c r="C4932" s="1">
        <v>1.1499999999999999</v>
      </c>
      <c r="D4932" s="1">
        <v>3.3304999999999998</v>
      </c>
    </row>
    <row r="4933" spans="1:4" x14ac:dyDescent="0.2">
      <c r="A4933" s="5">
        <v>43398</v>
      </c>
      <c r="B4933" s="1">
        <v>3.1166999999999998</v>
      </c>
      <c r="C4933" s="1">
        <v>1.1599999999999999</v>
      </c>
      <c r="D4933" s="1">
        <v>3.3426999999999998</v>
      </c>
    </row>
    <row r="4934" spans="1:4" x14ac:dyDescent="0.2">
      <c r="A4934" s="5">
        <v>43399</v>
      </c>
      <c r="B4934" s="1">
        <v>3.0754999999999999</v>
      </c>
      <c r="C4934" s="1">
        <v>1.17</v>
      </c>
      <c r="D4934" s="1">
        <v>3.3098000000000001</v>
      </c>
    </row>
    <row r="4935" spans="1:4" x14ac:dyDescent="0.2">
      <c r="A4935" s="5">
        <v>43402</v>
      </c>
      <c r="B4935" s="1">
        <v>3.0849000000000002</v>
      </c>
      <c r="C4935" s="1">
        <v>1.17</v>
      </c>
      <c r="D4935" s="1">
        <v>3.3306</v>
      </c>
    </row>
    <row r="4936" spans="1:4" x14ac:dyDescent="0.2">
      <c r="A4936" s="5">
        <v>43403</v>
      </c>
      <c r="B4936" s="1">
        <v>3.1227</v>
      </c>
      <c r="C4936" s="1">
        <v>1.18</v>
      </c>
      <c r="D4936" s="1">
        <v>3.3637000000000001</v>
      </c>
    </row>
    <row r="4937" spans="1:4" x14ac:dyDescent="0.2">
      <c r="A4937" s="5">
        <v>43404</v>
      </c>
      <c r="B4937" s="1">
        <v>3.1435</v>
      </c>
      <c r="C4937" s="1">
        <v>1.18</v>
      </c>
      <c r="D4937" s="1">
        <v>3.3908999999999998</v>
      </c>
    </row>
    <row r="4938" spans="1:4" x14ac:dyDescent="0.2">
      <c r="A4938" s="5">
        <v>43405</v>
      </c>
      <c r="B4938" s="1">
        <v>3.1303000000000001</v>
      </c>
      <c r="C4938" s="1">
        <v>1.19</v>
      </c>
      <c r="D4938" s="1">
        <v>3.3759999999999999</v>
      </c>
    </row>
    <row r="4939" spans="1:4" x14ac:dyDescent="0.2">
      <c r="A4939" s="5">
        <v>43406</v>
      </c>
      <c r="B4939" s="1">
        <v>3.2121</v>
      </c>
      <c r="C4939" s="1">
        <v>1.17</v>
      </c>
      <c r="D4939" s="1">
        <v>3.4540000000000002</v>
      </c>
    </row>
    <row r="4940" spans="1:4" x14ac:dyDescent="0.2">
      <c r="A4940" s="5">
        <v>43409</v>
      </c>
      <c r="B4940" s="1">
        <v>3.2008000000000001</v>
      </c>
      <c r="C4940" s="1">
        <v>1.1599999999999999</v>
      </c>
      <c r="D4940" s="1">
        <v>3.4281999999999999</v>
      </c>
    </row>
    <row r="4941" spans="1:4" x14ac:dyDescent="0.2">
      <c r="A4941" s="5">
        <v>43410</v>
      </c>
      <c r="B4941" s="1">
        <v>3.2275999999999998</v>
      </c>
      <c r="C4941" s="1">
        <v>1.1499999999999999</v>
      </c>
      <c r="D4941" s="1">
        <v>3.4432999999999998</v>
      </c>
    </row>
    <row r="4942" spans="1:4" x14ac:dyDescent="0.2">
      <c r="A4942" s="5">
        <v>43411</v>
      </c>
      <c r="B4942" s="1">
        <v>3.2355</v>
      </c>
      <c r="C4942" s="1">
        <v>1.1299999999999999</v>
      </c>
      <c r="D4942" s="1">
        <v>3.4416000000000002</v>
      </c>
    </row>
    <row r="4943" spans="1:4" x14ac:dyDescent="0.2">
      <c r="A4943" s="5">
        <v>43412</v>
      </c>
      <c r="B4943" s="1">
        <v>3.2372999999999998</v>
      </c>
      <c r="C4943" s="1">
        <v>1.1399999999999999</v>
      </c>
      <c r="D4943" s="1">
        <v>3.4337</v>
      </c>
    </row>
    <row r="4944" spans="1:4" x14ac:dyDescent="0.2">
      <c r="A4944" s="5">
        <v>43413</v>
      </c>
      <c r="B4944" s="1">
        <v>3.1819000000000002</v>
      </c>
      <c r="C4944" s="1">
        <v>1.1499999999999999</v>
      </c>
      <c r="D4944" s="1">
        <v>3.3841999999999999</v>
      </c>
    </row>
    <row r="4945" spans="1:4" x14ac:dyDescent="0.2">
      <c r="A4945" s="5">
        <v>43416</v>
      </c>
      <c r="B4945" s="1">
        <v>3.1819000000000002</v>
      </c>
      <c r="C4945" s="1">
        <v>1.1499999999999999</v>
      </c>
      <c r="D4945" s="1">
        <v>3.3841999999999999</v>
      </c>
    </row>
    <row r="4946" spans="1:4" x14ac:dyDescent="0.2">
      <c r="A4946" s="5">
        <v>43417</v>
      </c>
      <c r="B4946" s="1">
        <v>3.1396999999999999</v>
      </c>
      <c r="C4946" s="1">
        <v>1.19</v>
      </c>
      <c r="D4946" s="1">
        <v>3.3592</v>
      </c>
    </row>
    <row r="4947" spans="1:4" x14ac:dyDescent="0.2">
      <c r="A4947" s="5">
        <v>43418</v>
      </c>
      <c r="B4947" s="1">
        <v>3.125</v>
      </c>
      <c r="C4947" s="1">
        <v>1.22</v>
      </c>
      <c r="D4947" s="1">
        <v>3.3666999999999998</v>
      </c>
    </row>
    <row r="4948" spans="1:4" x14ac:dyDescent="0.2">
      <c r="A4948" s="5">
        <v>43419</v>
      </c>
      <c r="B4948" s="1">
        <v>3.1103000000000001</v>
      </c>
      <c r="C4948" s="1">
        <v>1.28</v>
      </c>
      <c r="D4948" s="1">
        <v>3.3592</v>
      </c>
    </row>
    <row r="4949" spans="1:4" x14ac:dyDescent="0.2">
      <c r="A4949" s="5">
        <v>43420</v>
      </c>
      <c r="B4949" s="1">
        <v>3.0628000000000002</v>
      </c>
      <c r="C4949" s="1">
        <v>1.28</v>
      </c>
      <c r="D4949" s="1">
        <v>3.3163</v>
      </c>
    </row>
    <row r="4950" spans="1:4" x14ac:dyDescent="0.2">
      <c r="A4950" s="5">
        <v>43423</v>
      </c>
      <c r="B4950" s="1">
        <v>3.0628000000000002</v>
      </c>
      <c r="C4950" s="1">
        <v>1.3</v>
      </c>
      <c r="D4950" s="1">
        <v>3.3212000000000002</v>
      </c>
    </row>
    <row r="4951" spans="1:4" x14ac:dyDescent="0.2">
      <c r="A4951" s="5">
        <v>43424</v>
      </c>
      <c r="B4951" s="1">
        <v>3.0628000000000002</v>
      </c>
      <c r="C4951" s="1">
        <v>1.32</v>
      </c>
      <c r="D4951" s="1">
        <v>3.3147000000000002</v>
      </c>
    </row>
    <row r="4952" spans="1:4" x14ac:dyDescent="0.2">
      <c r="A4952" s="5">
        <v>43425</v>
      </c>
      <c r="B4952" s="1">
        <v>3.0627</v>
      </c>
      <c r="C4952" s="1">
        <v>1.31</v>
      </c>
      <c r="D4952" s="1">
        <v>3.3163</v>
      </c>
    </row>
    <row r="4953" spans="1:4" x14ac:dyDescent="0.2">
      <c r="A4953" s="5">
        <v>43426</v>
      </c>
      <c r="B4953" s="1">
        <v>3.0627</v>
      </c>
      <c r="C4953" s="1">
        <v>1.31</v>
      </c>
      <c r="D4953" s="1">
        <v>3.3163</v>
      </c>
    </row>
    <row r="4954" spans="1:4" x14ac:dyDescent="0.2">
      <c r="A4954" s="5">
        <v>43427</v>
      </c>
      <c r="B4954" s="1">
        <v>3.0390000000000001</v>
      </c>
      <c r="C4954" s="1">
        <v>1.31</v>
      </c>
      <c r="D4954" s="1">
        <v>3.3014999999999999</v>
      </c>
    </row>
    <row r="4955" spans="1:4" x14ac:dyDescent="0.2">
      <c r="A4955" s="5">
        <v>43430</v>
      </c>
      <c r="B4955" s="1">
        <v>3.0535000000000001</v>
      </c>
      <c r="C4955" s="1">
        <v>1.31</v>
      </c>
      <c r="D4955" s="1">
        <v>3.3113000000000001</v>
      </c>
    </row>
    <row r="4956" spans="1:4" x14ac:dyDescent="0.2">
      <c r="A4956" s="5">
        <v>43431</v>
      </c>
      <c r="B4956" s="1">
        <v>3.0571999999999999</v>
      </c>
      <c r="C4956" s="1">
        <v>1.33</v>
      </c>
      <c r="D4956" s="1">
        <v>3.3187000000000002</v>
      </c>
    </row>
    <row r="4957" spans="1:4" x14ac:dyDescent="0.2">
      <c r="A4957" s="5">
        <v>43432</v>
      </c>
      <c r="B4957" s="1">
        <v>3.0590000000000002</v>
      </c>
      <c r="C4957" s="1">
        <v>1.34</v>
      </c>
      <c r="D4957" s="1">
        <v>3.3458999999999999</v>
      </c>
    </row>
    <row r="4958" spans="1:4" x14ac:dyDescent="0.2">
      <c r="A4958" s="5">
        <v>43433</v>
      </c>
      <c r="B4958" s="1">
        <v>3.0297999999999998</v>
      </c>
      <c r="C4958" s="1">
        <v>1.35</v>
      </c>
      <c r="D4958" s="1">
        <v>3.3245</v>
      </c>
    </row>
    <row r="4959" spans="1:4" x14ac:dyDescent="0.2">
      <c r="A4959" s="5">
        <v>43434</v>
      </c>
      <c r="B4959" s="1">
        <v>2.9878999999999998</v>
      </c>
      <c r="C4959" s="1">
        <v>1.37</v>
      </c>
      <c r="D4959" s="1">
        <v>3.29</v>
      </c>
    </row>
    <row r="4960" spans="1:4" x14ac:dyDescent="0.2">
      <c r="A4960" s="5">
        <v>43437</v>
      </c>
      <c r="B4960" s="1">
        <v>2.9697</v>
      </c>
      <c r="C4960" s="1">
        <v>1.37</v>
      </c>
      <c r="D4960" s="1">
        <v>3.2534999999999998</v>
      </c>
    </row>
    <row r="4961" spans="1:4" x14ac:dyDescent="0.2">
      <c r="A4961" s="5">
        <v>43438</v>
      </c>
      <c r="B4961" s="1">
        <v>2.9136000000000002</v>
      </c>
      <c r="C4961" s="1">
        <v>1.4</v>
      </c>
      <c r="D4961" s="1">
        <v>3.1726999999999999</v>
      </c>
    </row>
    <row r="4962" spans="1:4" x14ac:dyDescent="0.2">
      <c r="A4962" s="5">
        <v>43439</v>
      </c>
      <c r="B4962" s="1">
        <v>2.9136000000000002</v>
      </c>
      <c r="C4962" s="1">
        <v>1.4</v>
      </c>
      <c r="D4962" s="1">
        <v>3.1726999999999999</v>
      </c>
    </row>
    <row r="4963" spans="1:4" x14ac:dyDescent="0.2">
      <c r="A4963" s="5">
        <v>43440</v>
      </c>
      <c r="B4963" s="1">
        <v>2.8955000000000002</v>
      </c>
      <c r="C4963" s="1">
        <v>1.45</v>
      </c>
      <c r="D4963" s="1">
        <v>3.1623999999999999</v>
      </c>
    </row>
    <row r="4964" spans="1:4" x14ac:dyDescent="0.2">
      <c r="A4964" s="5">
        <v>43441</v>
      </c>
      <c r="B4964" s="1">
        <v>2.8450000000000002</v>
      </c>
      <c r="C4964" s="1">
        <v>1.45</v>
      </c>
      <c r="D4964" s="1">
        <v>3.1402999999999999</v>
      </c>
    </row>
    <row r="4965" spans="1:4" x14ac:dyDescent="0.2">
      <c r="A4965" s="5">
        <v>43444</v>
      </c>
      <c r="B4965" s="1">
        <v>2.8574999999999999</v>
      </c>
      <c r="C4965" s="1">
        <v>1.45</v>
      </c>
      <c r="D4965" s="1">
        <v>3.1293000000000002</v>
      </c>
    </row>
    <row r="4966" spans="1:4" x14ac:dyDescent="0.2">
      <c r="A4966" s="5">
        <v>43445</v>
      </c>
      <c r="B4966" s="1">
        <v>2.879</v>
      </c>
      <c r="C4966" s="1">
        <v>1.44</v>
      </c>
      <c r="D4966" s="1">
        <v>3.1261000000000001</v>
      </c>
    </row>
    <row r="4967" spans="1:4" x14ac:dyDescent="0.2">
      <c r="A4967" s="5">
        <v>43446</v>
      </c>
      <c r="B4967" s="1">
        <v>2.9096000000000002</v>
      </c>
      <c r="C4967" s="1">
        <v>1.42</v>
      </c>
      <c r="D4967" s="1">
        <v>3.1497000000000002</v>
      </c>
    </row>
    <row r="4968" spans="1:4" x14ac:dyDescent="0.2">
      <c r="A4968" s="5">
        <v>43447</v>
      </c>
      <c r="B4968" s="1">
        <v>2.9131</v>
      </c>
      <c r="C4968" s="1">
        <v>1.4</v>
      </c>
      <c r="D4968" s="1">
        <v>3.1694</v>
      </c>
    </row>
    <row r="4969" spans="1:4" x14ac:dyDescent="0.2">
      <c r="A4969" s="5">
        <v>43448</v>
      </c>
      <c r="B4969" s="1">
        <v>2.8895</v>
      </c>
      <c r="C4969" s="1">
        <v>1.4</v>
      </c>
      <c r="D4969" s="1">
        <v>3.1433</v>
      </c>
    </row>
    <row r="4970" spans="1:4" x14ac:dyDescent="0.2">
      <c r="A4970" s="5">
        <v>43451</v>
      </c>
      <c r="B4970" s="1">
        <v>2.8570000000000002</v>
      </c>
      <c r="C4970" s="1">
        <v>1.41</v>
      </c>
      <c r="D4970" s="1">
        <v>3.1128</v>
      </c>
    </row>
    <row r="4971" spans="1:4" x14ac:dyDescent="0.2">
      <c r="A4971" s="5">
        <v>43452</v>
      </c>
      <c r="B4971" s="1">
        <v>2.8174999999999999</v>
      </c>
      <c r="C4971" s="1">
        <v>1.42</v>
      </c>
      <c r="D4971" s="1">
        <v>3.0676999999999999</v>
      </c>
    </row>
    <row r="4972" spans="1:4" x14ac:dyDescent="0.2">
      <c r="A4972" s="5">
        <v>43453</v>
      </c>
      <c r="B4972" s="1">
        <v>2.7547999999999999</v>
      </c>
      <c r="C4972" s="1">
        <v>1.43</v>
      </c>
      <c r="D4972" s="1">
        <v>2.9807000000000001</v>
      </c>
    </row>
    <row r="4973" spans="1:4" x14ac:dyDescent="0.2">
      <c r="A4973" s="5">
        <v>43454</v>
      </c>
      <c r="B4973" s="1">
        <v>2.8065000000000002</v>
      </c>
      <c r="C4973" s="1">
        <v>1.46</v>
      </c>
      <c r="D4973" s="1">
        <v>3.0484</v>
      </c>
    </row>
    <row r="4974" spans="1:4" x14ac:dyDescent="0.2">
      <c r="A4974" s="5">
        <v>43455</v>
      </c>
      <c r="B4974" s="1">
        <v>2.7902</v>
      </c>
      <c r="C4974" s="1">
        <v>1.48</v>
      </c>
      <c r="D4974" s="1">
        <v>3.0308000000000002</v>
      </c>
    </row>
    <row r="4975" spans="1:4" x14ac:dyDescent="0.2">
      <c r="A4975" s="5">
        <v>43458</v>
      </c>
      <c r="B4975" s="1">
        <v>2.7383000000000002</v>
      </c>
      <c r="C4975" s="1">
        <v>1.5</v>
      </c>
      <c r="D4975" s="1">
        <v>2.9933999999999998</v>
      </c>
    </row>
    <row r="4976" spans="1:4" x14ac:dyDescent="0.2">
      <c r="A4976" s="5">
        <v>43459</v>
      </c>
      <c r="B4976" s="1">
        <v>2.7383000000000002</v>
      </c>
      <c r="C4976" s="1">
        <v>1.5</v>
      </c>
      <c r="D4976" s="1">
        <v>2.9933999999999998</v>
      </c>
    </row>
    <row r="4977" spans="1:4" x14ac:dyDescent="0.2">
      <c r="A4977" s="5">
        <v>43460</v>
      </c>
      <c r="B4977" s="1">
        <v>2.8079000000000001</v>
      </c>
      <c r="C4977" s="1">
        <v>1.5</v>
      </c>
      <c r="D4977" s="1">
        <v>3.0644999999999998</v>
      </c>
    </row>
    <row r="4978" spans="1:4" x14ac:dyDescent="0.2">
      <c r="A4978" s="5">
        <v>43461</v>
      </c>
      <c r="B4978" s="1">
        <v>2.7665999999999999</v>
      </c>
      <c r="C4978" s="1">
        <v>1.52</v>
      </c>
      <c r="D4978" s="1">
        <v>3.056</v>
      </c>
    </row>
    <row r="4979" spans="1:4" x14ac:dyDescent="0.2">
      <c r="A4979" s="5">
        <v>43462</v>
      </c>
      <c r="B4979" s="1">
        <v>2.7181999999999999</v>
      </c>
      <c r="C4979" s="1">
        <v>1.52</v>
      </c>
      <c r="D4979" s="1">
        <v>3.0222000000000002</v>
      </c>
    </row>
    <row r="4980" spans="1:4" x14ac:dyDescent="0.2">
      <c r="A4980" s="5">
        <v>43465</v>
      </c>
      <c r="B4980" s="1">
        <v>2.6842000000000001</v>
      </c>
      <c r="C4980" s="1">
        <v>1.53</v>
      </c>
      <c r="D4980" s="1">
        <v>3.0145</v>
      </c>
    </row>
    <row r="4981" spans="1:4" x14ac:dyDescent="0.2">
      <c r="A4981" s="5">
        <v>43466</v>
      </c>
      <c r="B4981" s="1">
        <v>2.6842000000000001</v>
      </c>
      <c r="C4981" s="1">
        <v>1.53</v>
      </c>
      <c r="D4981" s="1">
        <v>3.0145</v>
      </c>
    </row>
    <row r="4982" spans="1:4" x14ac:dyDescent="0.2">
      <c r="A4982" s="5">
        <v>43467</v>
      </c>
      <c r="B4982" s="1">
        <v>2.6204000000000001</v>
      </c>
      <c r="C4982" s="1">
        <v>1.54</v>
      </c>
      <c r="D4982" s="1">
        <v>2.9518</v>
      </c>
    </row>
    <row r="4983" spans="1:4" x14ac:dyDescent="0.2">
      <c r="A4983" s="5">
        <v>43468</v>
      </c>
      <c r="B4983" s="1">
        <v>2.5535000000000001</v>
      </c>
      <c r="C4983" s="1">
        <v>1.57</v>
      </c>
      <c r="D4983" s="1">
        <v>2.9024999999999999</v>
      </c>
    </row>
    <row r="4984" spans="1:4" x14ac:dyDescent="0.2">
      <c r="A4984" s="5">
        <v>43469</v>
      </c>
      <c r="B4984" s="1">
        <v>2.6677</v>
      </c>
      <c r="C4984" s="1">
        <v>1.55</v>
      </c>
      <c r="D4984" s="1">
        <v>2.9809999999999999</v>
      </c>
    </row>
    <row r="4985" spans="1:4" x14ac:dyDescent="0.2">
      <c r="A4985" s="5">
        <v>43472</v>
      </c>
      <c r="B4985" s="1">
        <v>2.6960000000000002</v>
      </c>
      <c r="C4985" s="1">
        <v>1.53</v>
      </c>
      <c r="D4985" s="1">
        <v>2.9878</v>
      </c>
    </row>
    <row r="4986" spans="1:4" x14ac:dyDescent="0.2">
      <c r="A4986" s="5">
        <v>43473</v>
      </c>
      <c r="B4986" s="1">
        <v>2.7280000000000002</v>
      </c>
      <c r="C4986" s="1">
        <v>1.51</v>
      </c>
      <c r="D4986" s="1">
        <v>3.0068000000000001</v>
      </c>
    </row>
    <row r="4987" spans="1:4" x14ac:dyDescent="0.2">
      <c r="A4987" s="5">
        <v>43474</v>
      </c>
      <c r="B4987" s="1">
        <v>2.71</v>
      </c>
      <c r="C4987" s="1">
        <v>1.48</v>
      </c>
      <c r="D4987" s="1">
        <v>3.0028999999999999</v>
      </c>
    </row>
    <row r="4988" spans="1:4" x14ac:dyDescent="0.2">
      <c r="A4988" s="5">
        <v>43475</v>
      </c>
      <c r="B4988" s="1">
        <v>2.7421000000000002</v>
      </c>
      <c r="C4988" s="1">
        <v>1.48</v>
      </c>
      <c r="D4988" s="1">
        <v>3.0627</v>
      </c>
    </row>
    <row r="4989" spans="1:4" x14ac:dyDescent="0.2">
      <c r="A4989" s="5">
        <v>43476</v>
      </c>
      <c r="B4989" s="1">
        <v>2.7006999999999999</v>
      </c>
      <c r="C4989" s="1">
        <v>1.47</v>
      </c>
      <c r="D4989" s="1">
        <v>3.0333999999999999</v>
      </c>
    </row>
    <row r="4990" spans="1:4" x14ac:dyDescent="0.2">
      <c r="A4990" s="5">
        <v>43479</v>
      </c>
      <c r="B4990" s="1">
        <v>2.7023999999999999</v>
      </c>
      <c r="C4990" s="1">
        <v>1.47</v>
      </c>
      <c r="D4990" s="1">
        <v>3.0526</v>
      </c>
    </row>
    <row r="4991" spans="1:4" x14ac:dyDescent="0.2">
      <c r="A4991" s="5">
        <v>43480</v>
      </c>
      <c r="B4991" s="1">
        <v>2.7111999999999998</v>
      </c>
      <c r="C4991" s="1">
        <v>1.47</v>
      </c>
      <c r="D4991" s="1">
        <v>3.0733999999999999</v>
      </c>
    </row>
    <row r="4992" spans="1:4" x14ac:dyDescent="0.2">
      <c r="A4992" s="5">
        <v>43481</v>
      </c>
      <c r="B4992" s="1">
        <v>2.7218</v>
      </c>
      <c r="C4992" s="1">
        <v>1.44</v>
      </c>
      <c r="D4992" s="1">
        <v>3.0710999999999999</v>
      </c>
    </row>
    <row r="4993" spans="1:4" x14ac:dyDescent="0.2">
      <c r="A4993" s="5">
        <v>43482</v>
      </c>
      <c r="B4993" s="1">
        <v>2.7504</v>
      </c>
      <c r="C4993" s="1">
        <v>1.43</v>
      </c>
      <c r="D4993" s="1">
        <v>3.0741000000000001</v>
      </c>
    </row>
    <row r="4994" spans="1:4" x14ac:dyDescent="0.2">
      <c r="A4994" s="5">
        <v>43483</v>
      </c>
      <c r="B4994" s="1">
        <v>2.7841999999999998</v>
      </c>
      <c r="C4994" s="1">
        <v>1.38</v>
      </c>
      <c r="D4994" s="1">
        <v>3.0973999999999999</v>
      </c>
    </row>
    <row r="4995" spans="1:4" x14ac:dyDescent="0.2">
      <c r="A4995" s="5">
        <v>43486</v>
      </c>
      <c r="B4995" s="1">
        <v>2.7841999999999998</v>
      </c>
      <c r="C4995" s="1">
        <v>1.38</v>
      </c>
      <c r="D4995" s="1">
        <v>3.0973999999999999</v>
      </c>
    </row>
    <row r="4996" spans="1:4" x14ac:dyDescent="0.2">
      <c r="A4996" s="5">
        <v>43487</v>
      </c>
      <c r="B4996" s="1">
        <v>2.7391999999999999</v>
      </c>
      <c r="C4996" s="1">
        <v>1.37</v>
      </c>
      <c r="D4996" s="1">
        <v>3.0594000000000001</v>
      </c>
    </row>
    <row r="4997" spans="1:4" x14ac:dyDescent="0.2">
      <c r="A4997" s="5">
        <v>43488</v>
      </c>
      <c r="B4997" s="1">
        <v>2.7408999999999999</v>
      </c>
      <c r="C4997" s="1">
        <v>1.35</v>
      </c>
      <c r="D4997" s="1">
        <v>3.0617000000000001</v>
      </c>
    </row>
    <row r="4998" spans="1:4" x14ac:dyDescent="0.2">
      <c r="A4998" s="5">
        <v>43489</v>
      </c>
      <c r="B4998" s="1">
        <v>2.7157</v>
      </c>
      <c r="C4998" s="1">
        <v>1.34</v>
      </c>
      <c r="D4998" s="1">
        <v>3.0339</v>
      </c>
    </row>
    <row r="4999" spans="1:4" x14ac:dyDescent="0.2">
      <c r="A4999" s="5">
        <v>43490</v>
      </c>
      <c r="B4999" s="1">
        <v>2.7585000000000002</v>
      </c>
      <c r="C4999" s="1">
        <v>1.32</v>
      </c>
      <c r="D4999" s="1">
        <v>3.0661999999999998</v>
      </c>
    </row>
    <row r="5000" spans="1:4" x14ac:dyDescent="0.2">
      <c r="A5000" s="5">
        <v>43493</v>
      </c>
      <c r="B5000" s="1">
        <v>2.7440000000000002</v>
      </c>
      <c r="C5000" s="1">
        <v>1.32</v>
      </c>
      <c r="D5000" s="1">
        <v>3.0661999999999998</v>
      </c>
    </row>
    <row r="5001" spans="1:4" x14ac:dyDescent="0.2">
      <c r="A5001" s="5">
        <v>43494</v>
      </c>
      <c r="B5001" s="1">
        <v>2.7098</v>
      </c>
      <c r="C5001" s="1">
        <v>1.31</v>
      </c>
      <c r="D5001" s="1">
        <v>3.04</v>
      </c>
    </row>
    <row r="5002" spans="1:4" x14ac:dyDescent="0.2">
      <c r="A5002" s="5">
        <v>43495</v>
      </c>
      <c r="B5002" s="1">
        <v>2.6775000000000002</v>
      </c>
      <c r="C5002" s="1">
        <v>1.3</v>
      </c>
      <c r="D5002" s="1">
        <v>3.0314999999999999</v>
      </c>
    </row>
    <row r="5003" spans="1:4" x14ac:dyDescent="0.2">
      <c r="A5003" s="5">
        <v>43496</v>
      </c>
      <c r="B5003" s="1">
        <v>2.6293000000000002</v>
      </c>
      <c r="C5003" s="1">
        <v>1.28</v>
      </c>
      <c r="D5003" s="1">
        <v>2.9956</v>
      </c>
    </row>
    <row r="5004" spans="1:4" x14ac:dyDescent="0.2">
      <c r="A5004" s="5">
        <v>43497</v>
      </c>
      <c r="B5004" s="1">
        <v>2.6842000000000001</v>
      </c>
      <c r="C5004" s="1">
        <v>1.27</v>
      </c>
      <c r="D5004" s="1">
        <v>3.0253000000000001</v>
      </c>
    </row>
    <row r="5005" spans="1:4" x14ac:dyDescent="0.2">
      <c r="A5005" s="5">
        <v>43500</v>
      </c>
      <c r="B5005" s="1">
        <v>2.7235</v>
      </c>
      <c r="C5005" s="1">
        <v>1.25</v>
      </c>
      <c r="D5005" s="1">
        <v>3.0545</v>
      </c>
    </row>
    <row r="5006" spans="1:4" x14ac:dyDescent="0.2">
      <c r="A5006" s="5">
        <v>43501</v>
      </c>
      <c r="B5006" s="1">
        <v>2.6983000000000001</v>
      </c>
      <c r="C5006" s="1">
        <v>1.23</v>
      </c>
      <c r="D5006" s="1">
        <v>3.0314000000000001</v>
      </c>
    </row>
    <row r="5007" spans="1:4" x14ac:dyDescent="0.2">
      <c r="A5007" s="5">
        <v>43502</v>
      </c>
      <c r="B5007" s="1">
        <v>2.6945999999999999</v>
      </c>
      <c r="C5007" s="1">
        <v>1.24</v>
      </c>
      <c r="D5007" s="1">
        <v>3.0329000000000002</v>
      </c>
    </row>
    <row r="5008" spans="1:4" x14ac:dyDescent="0.2">
      <c r="A5008" s="5">
        <v>43503</v>
      </c>
      <c r="B5008" s="1">
        <v>2.6572</v>
      </c>
      <c r="C5008" s="1">
        <v>1.26</v>
      </c>
      <c r="D5008" s="1">
        <v>2.9946999999999999</v>
      </c>
    </row>
    <row r="5009" spans="1:4" x14ac:dyDescent="0.2">
      <c r="A5009" s="5">
        <v>43504</v>
      </c>
      <c r="B5009" s="1">
        <v>2.6339000000000001</v>
      </c>
      <c r="C5009" s="1">
        <v>1.26</v>
      </c>
      <c r="D5009" s="1">
        <v>2.9802</v>
      </c>
    </row>
    <row r="5010" spans="1:4" x14ac:dyDescent="0.2">
      <c r="A5010" s="5">
        <v>43507</v>
      </c>
      <c r="B5010" s="1">
        <v>2.6536</v>
      </c>
      <c r="C5010" s="1">
        <v>1.26</v>
      </c>
      <c r="D5010" s="1">
        <v>2.9921000000000002</v>
      </c>
    </row>
    <row r="5011" spans="1:4" x14ac:dyDescent="0.2">
      <c r="A5011" s="5">
        <v>43508</v>
      </c>
      <c r="B5011" s="1">
        <v>2.6877</v>
      </c>
      <c r="C5011" s="1">
        <v>1.25</v>
      </c>
      <c r="D5011" s="1">
        <v>3.0247000000000002</v>
      </c>
    </row>
    <row r="5012" spans="1:4" x14ac:dyDescent="0.2">
      <c r="A5012" s="5">
        <v>43509</v>
      </c>
      <c r="B5012" s="1">
        <v>2.7021000000000002</v>
      </c>
      <c r="C5012" s="1">
        <v>1.24</v>
      </c>
      <c r="D5012" s="1">
        <v>3.0310999999999999</v>
      </c>
    </row>
    <row r="5013" spans="1:4" x14ac:dyDescent="0.2">
      <c r="A5013" s="5">
        <v>43510</v>
      </c>
      <c r="B5013" s="1">
        <v>2.6536</v>
      </c>
      <c r="C5013" s="1">
        <v>1.26</v>
      </c>
      <c r="D5013" s="1">
        <v>2.9975999999999998</v>
      </c>
    </row>
    <row r="5014" spans="1:4" x14ac:dyDescent="0.2">
      <c r="A5014" s="5">
        <v>43511</v>
      </c>
      <c r="B5014" s="1">
        <v>2.6625999999999999</v>
      </c>
      <c r="C5014" s="1">
        <v>1.25</v>
      </c>
      <c r="D5014" s="1">
        <v>2.9935999999999998</v>
      </c>
    </row>
    <row r="5015" spans="1:4" x14ac:dyDescent="0.2">
      <c r="A5015" s="5">
        <v>43514</v>
      </c>
      <c r="B5015" s="1">
        <v>2.6625999999999999</v>
      </c>
      <c r="C5015" s="1">
        <v>1.25</v>
      </c>
      <c r="D5015" s="1">
        <v>2.9935999999999998</v>
      </c>
    </row>
    <row r="5016" spans="1:4" x14ac:dyDescent="0.2">
      <c r="A5016" s="5">
        <v>43515</v>
      </c>
      <c r="B5016" s="1">
        <v>2.6339000000000001</v>
      </c>
      <c r="C5016" s="1">
        <v>1.25</v>
      </c>
      <c r="D5016" s="1">
        <v>2.9777999999999998</v>
      </c>
    </row>
    <row r="5017" spans="1:4" x14ac:dyDescent="0.2">
      <c r="A5017" s="5">
        <v>43516</v>
      </c>
      <c r="B5017" s="1">
        <v>2.6446999999999998</v>
      </c>
      <c r="C5017" s="1">
        <v>1.25</v>
      </c>
      <c r="D5017" s="1">
        <v>2.9952000000000001</v>
      </c>
    </row>
    <row r="5018" spans="1:4" x14ac:dyDescent="0.2">
      <c r="A5018" s="5">
        <v>43517</v>
      </c>
      <c r="B5018" s="1">
        <v>2.6913999999999998</v>
      </c>
      <c r="C5018" s="1">
        <v>1.25</v>
      </c>
      <c r="D5018" s="1">
        <v>3.0495000000000001</v>
      </c>
    </row>
    <row r="5019" spans="1:4" x14ac:dyDescent="0.2">
      <c r="A5019" s="5">
        <v>43518</v>
      </c>
      <c r="B5019" s="1">
        <v>2.6518000000000002</v>
      </c>
      <c r="C5019" s="1">
        <v>1.25</v>
      </c>
      <c r="D5019" s="1">
        <v>3.0158999999999998</v>
      </c>
    </row>
    <row r="5020" spans="1:4" x14ac:dyDescent="0.2">
      <c r="A5020" s="5">
        <v>43521</v>
      </c>
      <c r="B5020" s="1">
        <v>2.6625999999999999</v>
      </c>
      <c r="C5020" s="1">
        <v>1.24</v>
      </c>
      <c r="D5020" s="1">
        <v>3.0270999999999999</v>
      </c>
    </row>
    <row r="5021" spans="1:4" x14ac:dyDescent="0.2">
      <c r="A5021" s="5">
        <v>43522</v>
      </c>
      <c r="B5021" s="1">
        <v>2.6356999999999999</v>
      </c>
      <c r="C5021" s="1">
        <v>1.23</v>
      </c>
      <c r="D5021" s="1">
        <v>3.0055000000000001</v>
      </c>
    </row>
    <row r="5022" spans="1:4" x14ac:dyDescent="0.2">
      <c r="A5022" s="5">
        <v>43523</v>
      </c>
      <c r="B5022" s="1">
        <v>2.6825000000000001</v>
      </c>
      <c r="C5022" s="1">
        <v>1.23</v>
      </c>
      <c r="D5022" s="1">
        <v>3.0648</v>
      </c>
    </row>
    <row r="5023" spans="1:4" x14ac:dyDescent="0.2">
      <c r="A5023" s="5">
        <v>43524</v>
      </c>
      <c r="B5023" s="1">
        <v>2.7149999999999999</v>
      </c>
      <c r="C5023" s="1">
        <v>1.21</v>
      </c>
      <c r="D5023" s="1">
        <v>3.0802</v>
      </c>
    </row>
    <row r="5024" spans="1:4" x14ac:dyDescent="0.2">
      <c r="A5024" s="5">
        <v>43525</v>
      </c>
      <c r="B5024" s="1">
        <v>2.7530999999999999</v>
      </c>
      <c r="C5024" s="1">
        <v>1.2</v>
      </c>
      <c r="D5024" s="1">
        <v>3.1225999999999998</v>
      </c>
    </row>
    <row r="5025" spans="1:4" x14ac:dyDescent="0.2">
      <c r="A5025" s="5">
        <v>43528</v>
      </c>
      <c r="B5025" s="1">
        <v>2.7223000000000002</v>
      </c>
      <c r="C5025" s="1">
        <v>1.2</v>
      </c>
      <c r="D5025" s="1">
        <v>3.0891000000000002</v>
      </c>
    </row>
    <row r="5026" spans="1:4" x14ac:dyDescent="0.2">
      <c r="A5026" s="5">
        <v>43529</v>
      </c>
      <c r="B5026" s="1">
        <v>2.7168999999999999</v>
      </c>
      <c r="C5026" s="1">
        <v>1.2</v>
      </c>
      <c r="D5026" s="1">
        <v>3.081</v>
      </c>
    </row>
    <row r="5027" spans="1:4" x14ac:dyDescent="0.2">
      <c r="A5027" s="5">
        <v>43530</v>
      </c>
      <c r="B5027" s="1">
        <v>2.6934</v>
      </c>
      <c r="C5027" s="1">
        <v>1.21</v>
      </c>
      <c r="D5027" s="1">
        <v>3.0705</v>
      </c>
    </row>
    <row r="5028" spans="1:4" x14ac:dyDescent="0.2">
      <c r="A5028" s="5">
        <v>43531</v>
      </c>
      <c r="B5028" s="1">
        <v>2.6393</v>
      </c>
      <c r="C5028" s="1">
        <v>1.22</v>
      </c>
      <c r="D5028" s="1">
        <v>3.0261999999999998</v>
      </c>
    </row>
    <row r="5029" spans="1:4" x14ac:dyDescent="0.2">
      <c r="A5029" s="5">
        <v>43532</v>
      </c>
      <c r="B5029" s="1">
        <v>2.6284999999999998</v>
      </c>
      <c r="C5029" s="1">
        <v>1.23</v>
      </c>
      <c r="D5029" s="1">
        <v>3.0118999999999998</v>
      </c>
    </row>
    <row r="5030" spans="1:4" x14ac:dyDescent="0.2">
      <c r="A5030" s="5">
        <v>43535</v>
      </c>
      <c r="B5030" s="1">
        <v>2.6393</v>
      </c>
      <c r="C5030" s="1">
        <v>1.22</v>
      </c>
      <c r="D5030" s="1">
        <v>3.0270000000000001</v>
      </c>
    </row>
    <row r="5031" spans="1:4" x14ac:dyDescent="0.2">
      <c r="A5031" s="5">
        <v>43536</v>
      </c>
      <c r="B5031" s="1">
        <v>2.6015000000000001</v>
      </c>
      <c r="C5031" s="1">
        <v>1.21</v>
      </c>
      <c r="D5031" s="1">
        <v>2.9912000000000001</v>
      </c>
    </row>
    <row r="5032" spans="1:4" x14ac:dyDescent="0.2">
      <c r="A5032" s="5">
        <v>43537</v>
      </c>
      <c r="B5032" s="1">
        <v>2.6213000000000002</v>
      </c>
      <c r="C5032" s="1">
        <v>1.21</v>
      </c>
      <c r="D5032" s="1">
        <v>3.0158999999999998</v>
      </c>
    </row>
    <row r="5033" spans="1:4" x14ac:dyDescent="0.2">
      <c r="A5033" s="5">
        <v>43538</v>
      </c>
      <c r="B5033" s="1">
        <v>2.6303000000000001</v>
      </c>
      <c r="C5033" s="1">
        <v>1.21</v>
      </c>
      <c r="D5033" s="1">
        <v>3.0455000000000001</v>
      </c>
    </row>
    <row r="5034" spans="1:4" x14ac:dyDescent="0.2">
      <c r="A5034" s="5">
        <v>43539</v>
      </c>
      <c r="B5034" s="1">
        <v>2.5871</v>
      </c>
      <c r="C5034" s="1">
        <v>1.2</v>
      </c>
      <c r="D5034" s="1">
        <v>3.0110999999999999</v>
      </c>
    </row>
    <row r="5035" spans="1:4" x14ac:dyDescent="0.2">
      <c r="A5035" s="5">
        <v>43542</v>
      </c>
      <c r="B5035" s="1">
        <v>2.6032999999999999</v>
      </c>
      <c r="C5035" s="1">
        <v>1.19</v>
      </c>
      <c r="D5035" s="1">
        <v>3.0173999999999999</v>
      </c>
    </row>
    <row r="5036" spans="1:4" x14ac:dyDescent="0.2">
      <c r="A5036" s="5">
        <v>43543</v>
      </c>
      <c r="B5036" s="1">
        <v>2.6122999999999998</v>
      </c>
      <c r="C5036" s="1">
        <v>1.19</v>
      </c>
      <c r="D5036" s="1">
        <v>3.0222000000000002</v>
      </c>
    </row>
    <row r="5037" spans="1:4" x14ac:dyDescent="0.2">
      <c r="A5037" s="5">
        <v>43544</v>
      </c>
      <c r="B5037" s="1">
        <v>2.5263</v>
      </c>
      <c r="C5037" s="1">
        <v>1.2</v>
      </c>
      <c r="D5037" s="1">
        <v>2.9714</v>
      </c>
    </row>
    <row r="5038" spans="1:4" x14ac:dyDescent="0.2">
      <c r="A5038" s="5">
        <v>43545</v>
      </c>
      <c r="B5038" s="1">
        <v>2.5369000000000002</v>
      </c>
      <c r="C5038" s="1">
        <v>1.18</v>
      </c>
      <c r="D5038" s="1">
        <v>2.9666999999999999</v>
      </c>
    </row>
    <row r="5039" spans="1:4" x14ac:dyDescent="0.2">
      <c r="A5039" s="5">
        <v>43546</v>
      </c>
      <c r="B5039" s="1">
        <v>2.4390000000000001</v>
      </c>
      <c r="C5039" s="1">
        <v>1.19</v>
      </c>
      <c r="D5039" s="1">
        <v>2.8738999999999999</v>
      </c>
    </row>
    <row r="5040" spans="1:4" x14ac:dyDescent="0.2">
      <c r="A5040" s="5">
        <v>43549</v>
      </c>
      <c r="B5040" s="1">
        <v>2.3982999999999999</v>
      </c>
      <c r="C5040" s="1">
        <v>1.19</v>
      </c>
      <c r="D5040" s="1">
        <v>2.8616000000000001</v>
      </c>
    </row>
    <row r="5041" spans="1:4" x14ac:dyDescent="0.2">
      <c r="A5041" s="5">
        <v>43550</v>
      </c>
      <c r="B5041" s="1">
        <v>2.423</v>
      </c>
      <c r="C5041" s="1">
        <v>1.18</v>
      </c>
      <c r="D5041" s="1">
        <v>2.8731</v>
      </c>
    </row>
    <row r="5042" spans="1:4" x14ac:dyDescent="0.2">
      <c r="A5042" s="5">
        <v>43551</v>
      </c>
      <c r="B5042" s="1">
        <v>2.3664999999999998</v>
      </c>
      <c r="C5042" s="1">
        <v>1.19</v>
      </c>
      <c r="D5042" s="1">
        <v>2.8105000000000002</v>
      </c>
    </row>
    <row r="5043" spans="1:4" x14ac:dyDescent="0.2">
      <c r="A5043" s="5">
        <v>43552</v>
      </c>
      <c r="B5043" s="1">
        <v>2.3946000000000001</v>
      </c>
      <c r="C5043" s="1">
        <v>1.19</v>
      </c>
      <c r="D5043" s="1">
        <v>2.8226</v>
      </c>
    </row>
    <row r="5044" spans="1:4" x14ac:dyDescent="0.2">
      <c r="A5044" s="5">
        <v>43553</v>
      </c>
      <c r="B5044" s="1">
        <v>2.4049999999999998</v>
      </c>
      <c r="C5044" s="1">
        <v>1.19</v>
      </c>
      <c r="D5044" s="1">
        <v>2.8142999999999998</v>
      </c>
    </row>
    <row r="5045" spans="1:4" x14ac:dyDescent="0.2">
      <c r="A5045" s="5">
        <v>43556</v>
      </c>
      <c r="B5045" s="1">
        <v>2.5009000000000001</v>
      </c>
      <c r="C5045" s="1">
        <v>1.19</v>
      </c>
      <c r="D5045" s="1">
        <v>2.8900999999999999</v>
      </c>
    </row>
    <row r="5046" spans="1:4" x14ac:dyDescent="0.2">
      <c r="A5046" s="5">
        <v>43557</v>
      </c>
      <c r="B5046" s="1">
        <v>2.4741</v>
      </c>
      <c r="C5046" s="1">
        <v>1.19</v>
      </c>
      <c r="D5046" s="1">
        <v>2.8769</v>
      </c>
    </row>
    <row r="5047" spans="1:4" x14ac:dyDescent="0.2">
      <c r="A5047" s="5">
        <v>43558</v>
      </c>
      <c r="B5047" s="1">
        <v>2.5240999999999998</v>
      </c>
      <c r="C5047" s="1">
        <v>1.18</v>
      </c>
      <c r="D5047" s="1">
        <v>2.9336000000000002</v>
      </c>
    </row>
    <row r="5048" spans="1:4" x14ac:dyDescent="0.2">
      <c r="A5048" s="5">
        <v>43559</v>
      </c>
      <c r="B5048" s="1">
        <v>2.5150999999999999</v>
      </c>
      <c r="C5048" s="1">
        <v>1.17</v>
      </c>
      <c r="D5048" s="1">
        <v>2.9196</v>
      </c>
    </row>
    <row r="5049" spans="1:4" x14ac:dyDescent="0.2">
      <c r="A5049" s="5">
        <v>43560</v>
      </c>
      <c r="B5049" s="1">
        <v>2.4954000000000001</v>
      </c>
      <c r="C5049" s="1">
        <v>1.1599999999999999</v>
      </c>
      <c r="D5049" s="1">
        <v>2.9032</v>
      </c>
    </row>
    <row r="5050" spans="1:4" x14ac:dyDescent="0.2">
      <c r="A5050" s="5">
        <v>43563</v>
      </c>
      <c r="B5050" s="1">
        <v>2.5222000000000002</v>
      </c>
      <c r="C5050" s="1">
        <v>1.1499999999999999</v>
      </c>
      <c r="D5050" s="1">
        <v>2.9272999999999998</v>
      </c>
    </row>
    <row r="5051" spans="1:4" x14ac:dyDescent="0.2">
      <c r="A5051" s="5">
        <v>43564</v>
      </c>
      <c r="B5051" s="1">
        <v>2.5005999999999999</v>
      </c>
      <c r="C5051" s="1">
        <v>1.1499999999999999</v>
      </c>
      <c r="D5051" s="1">
        <v>2.9140999999999999</v>
      </c>
    </row>
    <row r="5052" spans="1:4" x14ac:dyDescent="0.2">
      <c r="A5052" s="5">
        <v>43565</v>
      </c>
      <c r="B5052" s="1">
        <v>2.4649000000000001</v>
      </c>
      <c r="C5052" s="1">
        <v>1.1399999999999999</v>
      </c>
      <c r="D5052" s="1">
        <v>2.8923000000000001</v>
      </c>
    </row>
    <row r="5053" spans="1:4" x14ac:dyDescent="0.2">
      <c r="A5053" s="5">
        <v>43566</v>
      </c>
      <c r="B5053" s="1">
        <v>2.4969999999999999</v>
      </c>
      <c r="C5053" s="1">
        <v>1.1200000000000001</v>
      </c>
      <c r="D5053" s="1">
        <v>2.9264999999999999</v>
      </c>
    </row>
    <row r="5054" spans="1:4" x14ac:dyDescent="0.2">
      <c r="A5054" s="5">
        <v>43567</v>
      </c>
      <c r="B5054" s="1">
        <v>2.5651000000000002</v>
      </c>
      <c r="C5054" s="1">
        <v>1.1000000000000001</v>
      </c>
      <c r="D5054" s="1">
        <v>2.9769000000000001</v>
      </c>
    </row>
    <row r="5055" spans="1:4" x14ac:dyDescent="0.2">
      <c r="A5055" s="5">
        <v>43570</v>
      </c>
      <c r="B5055" s="1">
        <v>2.5543</v>
      </c>
      <c r="C5055" s="1">
        <v>1.0900000000000001</v>
      </c>
      <c r="D5055" s="1">
        <v>2.9681999999999999</v>
      </c>
    </row>
    <row r="5056" spans="1:4" x14ac:dyDescent="0.2">
      <c r="A5056" s="5">
        <v>43571</v>
      </c>
      <c r="B5056" s="1">
        <v>2.5903999999999998</v>
      </c>
      <c r="C5056" s="1">
        <v>1.0900000000000001</v>
      </c>
      <c r="D5056" s="1">
        <v>2.9918999999999998</v>
      </c>
    </row>
    <row r="5057" spans="1:4" x14ac:dyDescent="0.2">
      <c r="A5057" s="5">
        <v>43572</v>
      </c>
      <c r="B5057" s="1">
        <v>2.5939999999999999</v>
      </c>
      <c r="C5057" s="1">
        <v>1.0900000000000001</v>
      </c>
      <c r="D5057" s="1">
        <v>2.9943</v>
      </c>
    </row>
    <row r="5058" spans="1:4" x14ac:dyDescent="0.2">
      <c r="A5058" s="5">
        <v>43573</v>
      </c>
      <c r="B5058" s="1">
        <v>2.5596000000000001</v>
      </c>
      <c r="C5058" s="1">
        <v>1.1000000000000001</v>
      </c>
      <c r="D5058" s="1">
        <v>2.9609999999999999</v>
      </c>
    </row>
    <row r="5059" spans="1:4" x14ac:dyDescent="0.2">
      <c r="A5059" s="5">
        <v>43574</v>
      </c>
      <c r="B5059" s="1">
        <v>2.5596000000000001</v>
      </c>
      <c r="C5059" s="1">
        <v>1.1000000000000001</v>
      </c>
      <c r="D5059" s="1">
        <v>2.9609999999999999</v>
      </c>
    </row>
    <row r="5060" spans="1:4" x14ac:dyDescent="0.2">
      <c r="A5060" s="5">
        <v>43577</v>
      </c>
      <c r="B5060" s="1">
        <v>2.5884999999999998</v>
      </c>
      <c r="C5060" s="1">
        <v>1.1100000000000001</v>
      </c>
      <c r="D5060" s="1">
        <v>2.9918999999999998</v>
      </c>
    </row>
    <row r="5061" spans="1:4" x14ac:dyDescent="0.2">
      <c r="A5061" s="5">
        <v>43578</v>
      </c>
      <c r="B5061" s="1">
        <v>2.5649999999999999</v>
      </c>
      <c r="C5061" s="1">
        <v>1.1100000000000001</v>
      </c>
      <c r="D5061" s="1">
        <v>2.98</v>
      </c>
    </row>
    <row r="5062" spans="1:4" x14ac:dyDescent="0.2">
      <c r="A5062" s="5">
        <v>43579</v>
      </c>
      <c r="B5062" s="1">
        <v>2.5181</v>
      </c>
      <c r="C5062" s="1">
        <v>1.1000000000000001</v>
      </c>
      <c r="D5062" s="1">
        <v>2.9342999999999999</v>
      </c>
    </row>
    <row r="5063" spans="1:4" x14ac:dyDescent="0.2">
      <c r="A5063" s="5">
        <v>43580</v>
      </c>
      <c r="B5063" s="1">
        <v>2.5325000000000002</v>
      </c>
      <c r="C5063" s="1">
        <v>1.1000000000000001</v>
      </c>
      <c r="D5063" s="1">
        <v>2.9420999999999999</v>
      </c>
    </row>
    <row r="5064" spans="1:4" x14ac:dyDescent="0.2">
      <c r="A5064" s="5">
        <v>43581</v>
      </c>
      <c r="B5064" s="1">
        <v>2.4982000000000002</v>
      </c>
      <c r="C5064" s="1">
        <v>1.1000000000000001</v>
      </c>
      <c r="D5064" s="1">
        <v>2.9232999999999998</v>
      </c>
    </row>
    <row r="5065" spans="1:4" x14ac:dyDescent="0.2">
      <c r="A5065" s="5">
        <v>43584</v>
      </c>
      <c r="B5065" s="1">
        <v>2.5251999999999999</v>
      </c>
      <c r="C5065" s="1">
        <v>1.1000000000000001</v>
      </c>
      <c r="D5065" s="1">
        <v>2.9546999999999999</v>
      </c>
    </row>
    <row r="5066" spans="1:4" x14ac:dyDescent="0.2">
      <c r="A5066" s="5">
        <v>43585</v>
      </c>
      <c r="B5066" s="1">
        <v>2.5017999999999998</v>
      </c>
      <c r="C5066" s="1">
        <v>1.1100000000000001</v>
      </c>
      <c r="D5066" s="1">
        <v>2.9287999999999998</v>
      </c>
    </row>
    <row r="5067" spans="1:4" x14ac:dyDescent="0.2">
      <c r="A5067" s="5">
        <v>43586</v>
      </c>
      <c r="B5067" s="1">
        <v>2.4998999999999998</v>
      </c>
      <c r="C5067" s="1">
        <v>1.1100000000000001</v>
      </c>
      <c r="D5067" s="1">
        <v>2.9037999999999999</v>
      </c>
    </row>
    <row r="5068" spans="1:4" x14ac:dyDescent="0.2">
      <c r="A5068" s="5">
        <v>43587</v>
      </c>
      <c r="B5068" s="1">
        <v>2.5413999999999999</v>
      </c>
      <c r="C5068" s="1">
        <v>1.1200000000000001</v>
      </c>
      <c r="D5068" s="1">
        <v>2.9296000000000002</v>
      </c>
    </row>
    <row r="5069" spans="1:4" x14ac:dyDescent="0.2">
      <c r="A5069" s="5">
        <v>43588</v>
      </c>
      <c r="B5069" s="1">
        <v>2.5249999999999999</v>
      </c>
      <c r="C5069" s="1">
        <v>1.1200000000000001</v>
      </c>
      <c r="D5069" s="1">
        <v>2.9186000000000001</v>
      </c>
    </row>
    <row r="5070" spans="1:4" x14ac:dyDescent="0.2">
      <c r="A5070" s="5">
        <v>43591</v>
      </c>
      <c r="B5070" s="1">
        <v>2.4691999999999998</v>
      </c>
      <c r="C5070" s="1">
        <v>1.1299999999999999</v>
      </c>
      <c r="D5070" s="1">
        <v>2.8883000000000001</v>
      </c>
    </row>
    <row r="5071" spans="1:4" x14ac:dyDescent="0.2">
      <c r="A5071" s="5">
        <v>43592</v>
      </c>
      <c r="B5071" s="1">
        <v>2.4565999999999999</v>
      </c>
      <c r="C5071" s="1">
        <v>1.1399999999999999</v>
      </c>
      <c r="D5071" s="1">
        <v>2.8643000000000001</v>
      </c>
    </row>
    <row r="5072" spans="1:4" x14ac:dyDescent="0.2">
      <c r="A5072" s="5">
        <v>43593</v>
      </c>
      <c r="B5072" s="1">
        <v>2.4834999999999998</v>
      </c>
      <c r="C5072" s="1">
        <v>1.1399999999999999</v>
      </c>
      <c r="D5072" s="1">
        <v>2.8936999999999999</v>
      </c>
    </row>
    <row r="5073" spans="1:4" x14ac:dyDescent="0.2">
      <c r="A5073" s="5">
        <v>43594</v>
      </c>
      <c r="B5073" s="1">
        <v>2.4422999999999999</v>
      </c>
      <c r="C5073" s="1">
        <v>1.1599999999999999</v>
      </c>
      <c r="D5073" s="1">
        <v>2.8612000000000002</v>
      </c>
    </row>
    <row r="5074" spans="1:4" x14ac:dyDescent="0.2">
      <c r="A5074" s="5">
        <v>43595</v>
      </c>
      <c r="B5074" s="1">
        <v>2.4672000000000001</v>
      </c>
      <c r="C5074" s="1">
        <v>1.17</v>
      </c>
      <c r="D5074" s="1">
        <v>2.8866999999999998</v>
      </c>
    </row>
    <row r="5075" spans="1:4" x14ac:dyDescent="0.2">
      <c r="A5075" s="5">
        <v>43598</v>
      </c>
      <c r="B5075" s="1">
        <v>2.4015</v>
      </c>
      <c r="C5075" s="1">
        <v>1.19</v>
      </c>
      <c r="D5075" s="1">
        <v>2.8361999999999998</v>
      </c>
    </row>
    <row r="5076" spans="1:4" x14ac:dyDescent="0.2">
      <c r="A5076" s="5">
        <v>43599</v>
      </c>
      <c r="B5076" s="1">
        <v>2.4104000000000001</v>
      </c>
      <c r="C5076" s="1">
        <v>1.18</v>
      </c>
      <c r="D5076" s="1">
        <v>2.8485</v>
      </c>
    </row>
    <row r="5077" spans="1:4" x14ac:dyDescent="0.2">
      <c r="A5077" s="5">
        <v>43600</v>
      </c>
      <c r="B5077" s="1">
        <v>2.3732000000000002</v>
      </c>
      <c r="C5077" s="1">
        <v>1.18</v>
      </c>
      <c r="D5077" s="1">
        <v>2.8199000000000001</v>
      </c>
    </row>
    <row r="5078" spans="1:4" x14ac:dyDescent="0.2">
      <c r="A5078" s="5">
        <v>43601</v>
      </c>
      <c r="B5078" s="1">
        <v>2.3944000000000001</v>
      </c>
      <c r="C5078" s="1">
        <v>1.17</v>
      </c>
      <c r="D5078" s="1">
        <v>2.8338000000000001</v>
      </c>
    </row>
    <row r="5079" spans="1:4" x14ac:dyDescent="0.2">
      <c r="A5079" s="5">
        <v>43602</v>
      </c>
      <c r="B5079" s="1">
        <v>2.3908999999999998</v>
      </c>
      <c r="C5079" s="1">
        <v>1.18</v>
      </c>
      <c r="D5079" s="1">
        <v>2.8252999999999999</v>
      </c>
    </row>
    <row r="5080" spans="1:4" x14ac:dyDescent="0.2">
      <c r="A5080" s="5">
        <v>43605</v>
      </c>
      <c r="B5080" s="1">
        <v>2.4157000000000002</v>
      </c>
      <c r="C5080" s="1">
        <v>1.18</v>
      </c>
      <c r="D5080" s="1">
        <v>2.8369</v>
      </c>
    </row>
    <row r="5081" spans="1:4" x14ac:dyDescent="0.2">
      <c r="A5081" s="5">
        <v>43606</v>
      </c>
      <c r="B5081" s="1">
        <v>2.4264000000000001</v>
      </c>
      <c r="C5081" s="1">
        <v>1.18</v>
      </c>
      <c r="D5081" s="1">
        <v>2.8439000000000001</v>
      </c>
    </row>
    <row r="5082" spans="1:4" x14ac:dyDescent="0.2">
      <c r="A5082" s="5">
        <v>43607</v>
      </c>
      <c r="B5082" s="1">
        <v>2.3820000000000001</v>
      </c>
      <c r="C5082" s="1">
        <v>1.19</v>
      </c>
      <c r="D5082" s="1">
        <v>2.8075999999999999</v>
      </c>
    </row>
    <row r="5083" spans="1:4" x14ac:dyDescent="0.2">
      <c r="A5083" s="5">
        <v>43608</v>
      </c>
      <c r="B5083" s="1">
        <v>2.3184999999999998</v>
      </c>
      <c r="C5083" s="1">
        <v>1.22</v>
      </c>
      <c r="D5083" s="1">
        <v>2.7534999999999998</v>
      </c>
    </row>
    <row r="5084" spans="1:4" x14ac:dyDescent="0.2">
      <c r="A5084" s="5">
        <v>43609</v>
      </c>
      <c r="B5084" s="1">
        <v>2.3201999999999998</v>
      </c>
      <c r="C5084" s="1">
        <v>1.22</v>
      </c>
      <c r="D5084" s="1">
        <v>2.7511999999999999</v>
      </c>
    </row>
    <row r="5085" spans="1:4" x14ac:dyDescent="0.2">
      <c r="A5085" s="5">
        <v>43612</v>
      </c>
      <c r="B5085" s="1">
        <v>2.3201999999999998</v>
      </c>
      <c r="C5085" s="1">
        <v>1.22</v>
      </c>
      <c r="D5085" s="1">
        <v>2.7511999999999999</v>
      </c>
    </row>
    <row r="5086" spans="1:4" x14ac:dyDescent="0.2">
      <c r="A5086" s="5">
        <v>43613</v>
      </c>
      <c r="B5086" s="1">
        <v>2.2658</v>
      </c>
      <c r="C5086" s="1">
        <v>1.24</v>
      </c>
      <c r="D5086" s="1">
        <v>2.7044999999999999</v>
      </c>
    </row>
    <row r="5087" spans="1:4" x14ac:dyDescent="0.2">
      <c r="A5087" s="5">
        <v>43614</v>
      </c>
      <c r="B5087" s="1">
        <v>2.2605</v>
      </c>
      <c r="C5087" s="1">
        <v>1.26</v>
      </c>
      <c r="D5087" s="1">
        <v>2.6926000000000001</v>
      </c>
    </row>
    <row r="5088" spans="1:4" x14ac:dyDescent="0.2">
      <c r="A5088" s="5">
        <v>43615</v>
      </c>
      <c r="B5088" s="1">
        <v>2.2132999999999998</v>
      </c>
      <c r="C5088" s="1">
        <v>1.25</v>
      </c>
      <c r="D5088" s="1">
        <v>2.64</v>
      </c>
    </row>
    <row r="5089" spans="1:4" x14ac:dyDescent="0.2">
      <c r="A5089" s="5">
        <v>43616</v>
      </c>
      <c r="B5089" s="1">
        <v>2.1246</v>
      </c>
      <c r="C5089" s="1">
        <v>1.28</v>
      </c>
      <c r="D5089" s="1">
        <v>2.5684999999999998</v>
      </c>
    </row>
    <row r="5090" spans="1:4" x14ac:dyDescent="0.2">
      <c r="A5090" s="5">
        <v>43619</v>
      </c>
      <c r="B5090" s="1">
        <v>2.0710000000000002</v>
      </c>
      <c r="C5090" s="1">
        <v>1.3</v>
      </c>
      <c r="D5090" s="1">
        <v>2.5310999999999999</v>
      </c>
    </row>
    <row r="5091" spans="1:4" x14ac:dyDescent="0.2">
      <c r="A5091" s="5">
        <v>43620</v>
      </c>
      <c r="B5091" s="1">
        <v>2.1295999999999999</v>
      </c>
      <c r="C5091" s="1">
        <v>1.28</v>
      </c>
      <c r="D5091" s="1">
        <v>2.6113</v>
      </c>
    </row>
    <row r="5092" spans="1:4" x14ac:dyDescent="0.2">
      <c r="A5092" s="5">
        <v>43621</v>
      </c>
      <c r="B5092" s="1">
        <v>2.1347999999999998</v>
      </c>
      <c r="C5092" s="1">
        <v>1.28</v>
      </c>
      <c r="D5092" s="1">
        <v>2.6465000000000001</v>
      </c>
    </row>
    <row r="5093" spans="1:4" x14ac:dyDescent="0.2">
      <c r="A5093" s="5">
        <v>43622</v>
      </c>
      <c r="B5093" s="1">
        <v>2.1173999999999999</v>
      </c>
      <c r="C5093" s="1">
        <v>1.28</v>
      </c>
      <c r="D5093" s="1">
        <v>2.6135000000000002</v>
      </c>
    </row>
    <row r="5094" spans="1:4" x14ac:dyDescent="0.2">
      <c r="A5094" s="5">
        <v>43623</v>
      </c>
      <c r="B5094" s="1">
        <v>2.0809000000000002</v>
      </c>
      <c r="C5094" s="1">
        <v>1.27</v>
      </c>
      <c r="D5094" s="1">
        <v>2.5720000000000001</v>
      </c>
    </row>
    <row r="5095" spans="1:4" x14ac:dyDescent="0.2">
      <c r="A5095" s="5">
        <v>43626</v>
      </c>
      <c r="B5095" s="1">
        <v>2.1484000000000001</v>
      </c>
      <c r="C5095" s="1">
        <v>1.25</v>
      </c>
      <c r="D5095" s="1">
        <v>2.6288</v>
      </c>
    </row>
    <row r="5096" spans="1:4" x14ac:dyDescent="0.2">
      <c r="A5096" s="5">
        <v>43627</v>
      </c>
      <c r="B5096" s="1">
        <v>2.1431</v>
      </c>
      <c r="C5096" s="1">
        <v>1.24</v>
      </c>
      <c r="D5096" s="1">
        <v>2.6149</v>
      </c>
    </row>
    <row r="5097" spans="1:4" x14ac:dyDescent="0.2">
      <c r="A5097" s="5">
        <v>43628</v>
      </c>
      <c r="B5097" s="1">
        <v>2.1204999999999998</v>
      </c>
      <c r="C5097" s="1">
        <v>1.26</v>
      </c>
      <c r="D5097" s="1">
        <v>2.6156000000000001</v>
      </c>
    </row>
    <row r="5098" spans="1:4" x14ac:dyDescent="0.2">
      <c r="A5098" s="5">
        <v>43629</v>
      </c>
      <c r="B5098" s="1">
        <v>2.0945</v>
      </c>
      <c r="C5098" s="1">
        <v>1.26</v>
      </c>
      <c r="D5098" s="1">
        <v>2.6002000000000001</v>
      </c>
    </row>
    <row r="5099" spans="1:4" x14ac:dyDescent="0.2">
      <c r="A5099" s="5">
        <v>43630</v>
      </c>
      <c r="B5099" s="1">
        <v>2.0804</v>
      </c>
      <c r="C5099" s="1">
        <v>1.26</v>
      </c>
      <c r="D5099" s="1">
        <v>2.5855999999999999</v>
      </c>
    </row>
    <row r="5100" spans="1:4" x14ac:dyDescent="0.2">
      <c r="A5100" s="5">
        <v>43633</v>
      </c>
      <c r="B5100" s="1">
        <v>2.0941999999999998</v>
      </c>
      <c r="C5100" s="1">
        <v>1.26</v>
      </c>
      <c r="D5100" s="1">
        <v>2.5827</v>
      </c>
    </row>
    <row r="5101" spans="1:4" x14ac:dyDescent="0.2">
      <c r="A5101" s="5">
        <v>43634</v>
      </c>
      <c r="B5101" s="1">
        <v>2.0594999999999999</v>
      </c>
      <c r="C5101" s="1">
        <v>1.24</v>
      </c>
      <c r="D5101" s="1">
        <v>2.5488</v>
      </c>
    </row>
    <row r="5102" spans="1:4" x14ac:dyDescent="0.2">
      <c r="A5102" s="5">
        <v>43635</v>
      </c>
      <c r="B5102" s="1">
        <v>2.0232999999999999</v>
      </c>
      <c r="C5102" s="1">
        <v>1.23</v>
      </c>
      <c r="D5102" s="1">
        <v>2.5350999999999999</v>
      </c>
    </row>
    <row r="5103" spans="1:4" x14ac:dyDescent="0.2">
      <c r="A5103" s="5">
        <v>43636</v>
      </c>
      <c r="B5103" s="1">
        <v>2.0284</v>
      </c>
      <c r="C5103" s="1">
        <v>1.19</v>
      </c>
      <c r="D5103" s="1">
        <v>2.5400999999999998</v>
      </c>
    </row>
    <row r="5104" spans="1:4" x14ac:dyDescent="0.2">
      <c r="A5104" s="5">
        <v>43637</v>
      </c>
      <c r="B5104" s="1">
        <v>2.0539999999999998</v>
      </c>
      <c r="C5104" s="1">
        <v>1.17</v>
      </c>
      <c r="D5104" s="1">
        <v>2.5840999999999998</v>
      </c>
    </row>
    <row r="5105" spans="1:4" x14ac:dyDescent="0.2">
      <c r="A5105" s="5">
        <v>43640</v>
      </c>
      <c r="B5105" s="1">
        <v>2.0143</v>
      </c>
      <c r="C5105" s="1">
        <v>1.1599999999999999</v>
      </c>
      <c r="D5105" s="1">
        <v>2.5442999999999998</v>
      </c>
    </row>
    <row r="5106" spans="1:4" x14ac:dyDescent="0.2">
      <c r="A5106" s="5">
        <v>43641</v>
      </c>
      <c r="B5106" s="1">
        <v>1.9850000000000001</v>
      </c>
      <c r="C5106" s="1">
        <v>1.17</v>
      </c>
      <c r="D5106" s="1">
        <v>2.5192000000000001</v>
      </c>
    </row>
    <row r="5107" spans="1:4" x14ac:dyDescent="0.2">
      <c r="A5107" s="5">
        <v>43642</v>
      </c>
      <c r="B5107" s="1">
        <v>2.0468000000000002</v>
      </c>
      <c r="C5107" s="1">
        <v>1.1599999999999999</v>
      </c>
      <c r="D5107" s="1">
        <v>2.5695000000000001</v>
      </c>
    </row>
    <row r="5108" spans="1:4" x14ac:dyDescent="0.2">
      <c r="A5108" s="5">
        <v>43643</v>
      </c>
      <c r="B5108" s="1">
        <v>2.0139999999999998</v>
      </c>
      <c r="C5108" s="1">
        <v>1.1599999999999999</v>
      </c>
      <c r="D5108" s="1">
        <v>2.5291999999999999</v>
      </c>
    </row>
    <row r="5109" spans="1:4" x14ac:dyDescent="0.2">
      <c r="A5109" s="5">
        <v>43644</v>
      </c>
      <c r="B5109" s="1">
        <v>2.0051000000000001</v>
      </c>
      <c r="C5109" s="1">
        <v>1.1499999999999999</v>
      </c>
      <c r="D5109" s="1">
        <v>2.5291000000000001</v>
      </c>
    </row>
    <row r="5110" spans="1:4" x14ac:dyDescent="0.2">
      <c r="A5110" s="5">
        <v>43647</v>
      </c>
      <c r="B5110" s="1">
        <v>2.024</v>
      </c>
      <c r="C5110" s="1">
        <v>1.1299999999999999</v>
      </c>
      <c r="D5110" s="1">
        <v>2.5478000000000001</v>
      </c>
    </row>
    <row r="5111" spans="1:4" x14ac:dyDescent="0.2">
      <c r="A5111" s="5">
        <v>43648</v>
      </c>
      <c r="B5111" s="1">
        <v>1.974</v>
      </c>
      <c r="C5111" s="1">
        <v>1.1299999999999999</v>
      </c>
      <c r="D5111" s="1">
        <v>2.5013000000000001</v>
      </c>
    </row>
    <row r="5112" spans="1:4" x14ac:dyDescent="0.2">
      <c r="A5112" s="5">
        <v>43649</v>
      </c>
      <c r="B5112" s="1">
        <v>1.9498</v>
      </c>
      <c r="C5112" s="1">
        <v>1.1299999999999999</v>
      </c>
      <c r="D5112" s="1">
        <v>2.4666000000000001</v>
      </c>
    </row>
    <row r="5113" spans="1:4" x14ac:dyDescent="0.2">
      <c r="A5113" s="5">
        <v>43650</v>
      </c>
      <c r="B5113" s="1">
        <v>1.9498</v>
      </c>
      <c r="C5113" s="1">
        <v>1.1299999999999999</v>
      </c>
      <c r="D5113" s="1">
        <v>2.4666000000000001</v>
      </c>
    </row>
    <row r="5114" spans="1:4" x14ac:dyDescent="0.2">
      <c r="A5114" s="5">
        <v>43651</v>
      </c>
      <c r="B5114" s="1">
        <v>2.0337999999999998</v>
      </c>
      <c r="C5114" s="1">
        <v>1.1200000000000001</v>
      </c>
      <c r="D5114" s="1">
        <v>2.5419</v>
      </c>
    </row>
    <row r="5115" spans="1:4" x14ac:dyDescent="0.2">
      <c r="A5115" s="5">
        <v>43654</v>
      </c>
      <c r="B5115" s="1">
        <v>2.0476000000000001</v>
      </c>
      <c r="C5115" s="1">
        <v>1.1200000000000001</v>
      </c>
      <c r="D5115" s="1">
        <v>2.5289999999999999</v>
      </c>
    </row>
    <row r="5116" spans="1:4" x14ac:dyDescent="0.2">
      <c r="A5116" s="5">
        <v>43655</v>
      </c>
      <c r="B5116" s="1">
        <v>2.0648</v>
      </c>
      <c r="C5116" s="1">
        <v>1.1299999999999999</v>
      </c>
      <c r="D5116" s="1">
        <v>2.5404</v>
      </c>
    </row>
    <row r="5117" spans="1:4" x14ac:dyDescent="0.2">
      <c r="A5117" s="5">
        <v>43656</v>
      </c>
      <c r="B5117" s="1">
        <v>2.0613000000000001</v>
      </c>
      <c r="C5117" s="1">
        <v>1.1299999999999999</v>
      </c>
      <c r="D5117" s="1">
        <v>2.5758000000000001</v>
      </c>
    </row>
    <row r="5118" spans="1:4" x14ac:dyDescent="0.2">
      <c r="A5118" s="5">
        <v>43657</v>
      </c>
      <c r="B5118" s="1">
        <v>2.1377999999999999</v>
      </c>
      <c r="C5118" s="1">
        <v>1.1200000000000001</v>
      </c>
      <c r="D5118" s="1">
        <v>2.6593</v>
      </c>
    </row>
    <row r="5119" spans="1:4" x14ac:dyDescent="0.2">
      <c r="A5119" s="5">
        <v>43658</v>
      </c>
      <c r="B5119" s="1">
        <v>2.1219000000000001</v>
      </c>
      <c r="C5119" s="1">
        <v>1.1200000000000001</v>
      </c>
      <c r="D5119" s="1">
        <v>2.6467000000000001</v>
      </c>
    </row>
    <row r="5120" spans="1:4" x14ac:dyDescent="0.2">
      <c r="A5120" s="5">
        <v>43661</v>
      </c>
      <c r="B5120" s="1">
        <v>2.0886999999999998</v>
      </c>
      <c r="C5120" s="1">
        <v>1.1200000000000001</v>
      </c>
      <c r="D5120" s="1">
        <v>2.6105999999999998</v>
      </c>
    </row>
    <row r="5121" spans="1:4" x14ac:dyDescent="0.2">
      <c r="A5121" s="5">
        <v>43662</v>
      </c>
      <c r="B5121" s="1">
        <v>2.1025999999999998</v>
      </c>
      <c r="C5121" s="1">
        <v>1.1200000000000001</v>
      </c>
      <c r="D5121" s="1">
        <v>2.6120999999999999</v>
      </c>
    </row>
    <row r="5122" spans="1:4" x14ac:dyDescent="0.2">
      <c r="A5122" s="5">
        <v>43663</v>
      </c>
      <c r="B5122" s="1">
        <v>2.0451000000000001</v>
      </c>
      <c r="C5122" s="1">
        <v>1.1299999999999999</v>
      </c>
      <c r="D5122" s="1">
        <v>2.5568</v>
      </c>
    </row>
    <row r="5123" spans="1:4" x14ac:dyDescent="0.2">
      <c r="A5123" s="5">
        <v>43664</v>
      </c>
      <c r="B5123" s="1">
        <v>2.0242</v>
      </c>
      <c r="C5123" s="1">
        <v>1.1299999999999999</v>
      </c>
      <c r="D5123" s="1">
        <v>2.5640000000000001</v>
      </c>
    </row>
    <row r="5124" spans="1:4" x14ac:dyDescent="0.2">
      <c r="A5124" s="5">
        <v>43665</v>
      </c>
      <c r="B5124" s="1">
        <v>2.0552000000000001</v>
      </c>
      <c r="C5124" s="1">
        <v>1.1200000000000001</v>
      </c>
      <c r="D5124" s="1">
        <v>2.5792000000000002</v>
      </c>
    </row>
    <row r="5125" spans="1:4" x14ac:dyDescent="0.2">
      <c r="A5125" s="5">
        <v>43668</v>
      </c>
      <c r="B5125" s="1">
        <v>2.0464000000000002</v>
      </c>
      <c r="C5125" s="1">
        <v>1.1100000000000001</v>
      </c>
      <c r="D5125" s="1">
        <v>2.5712000000000002</v>
      </c>
    </row>
    <row r="5126" spans="1:4" x14ac:dyDescent="0.2">
      <c r="A5126" s="5">
        <v>43669</v>
      </c>
      <c r="B5126" s="1">
        <v>2.0811999999999999</v>
      </c>
      <c r="C5126" s="1">
        <v>1.1000000000000001</v>
      </c>
      <c r="D5126" s="1">
        <v>2.6156000000000001</v>
      </c>
    </row>
    <row r="5127" spans="1:4" x14ac:dyDescent="0.2">
      <c r="A5127" s="5">
        <v>43670</v>
      </c>
      <c r="B5127" s="1">
        <v>2.0428000000000002</v>
      </c>
      <c r="C5127" s="1">
        <v>1.0900000000000001</v>
      </c>
      <c r="D5127" s="1">
        <v>2.5726</v>
      </c>
    </row>
    <row r="5128" spans="1:4" x14ac:dyDescent="0.2">
      <c r="A5128" s="5">
        <v>43671</v>
      </c>
      <c r="B5128" s="1">
        <v>2.081</v>
      </c>
      <c r="C5128" s="1">
        <v>1.08</v>
      </c>
      <c r="D5128" s="1">
        <v>2.6082999999999998</v>
      </c>
    </row>
    <row r="5129" spans="1:4" x14ac:dyDescent="0.2">
      <c r="A5129" s="5">
        <v>43672</v>
      </c>
      <c r="B5129" s="1">
        <v>2.0703</v>
      </c>
      <c r="C5129" s="1">
        <v>1.08</v>
      </c>
      <c r="D5129" s="1">
        <v>2.5922000000000001</v>
      </c>
    </row>
    <row r="5130" spans="1:4" x14ac:dyDescent="0.2">
      <c r="A5130" s="5">
        <v>43675</v>
      </c>
      <c r="B5130" s="1">
        <v>2.0649999999999999</v>
      </c>
      <c r="C5130" s="1">
        <v>1.07</v>
      </c>
      <c r="D5130" s="1">
        <v>2.5907</v>
      </c>
    </row>
    <row r="5131" spans="1:4" x14ac:dyDescent="0.2">
      <c r="A5131" s="5">
        <v>43676</v>
      </c>
      <c r="B5131" s="1">
        <v>2.0579999999999998</v>
      </c>
      <c r="C5131" s="1">
        <v>1.08</v>
      </c>
      <c r="D5131" s="1">
        <v>2.5798000000000001</v>
      </c>
    </row>
    <row r="5132" spans="1:4" x14ac:dyDescent="0.2">
      <c r="A5132" s="5">
        <v>43677</v>
      </c>
      <c r="B5132" s="1">
        <v>2.0144000000000002</v>
      </c>
      <c r="C5132" s="1">
        <v>1.08</v>
      </c>
      <c r="D5132" s="1">
        <v>2.5249000000000001</v>
      </c>
    </row>
    <row r="5133" spans="1:4" x14ac:dyDescent="0.2">
      <c r="A5133" s="5">
        <v>43678</v>
      </c>
      <c r="B5133" s="1">
        <v>1.8935</v>
      </c>
      <c r="C5133" s="1">
        <v>1.1100000000000001</v>
      </c>
      <c r="D5133" s="1">
        <v>2.4420000000000002</v>
      </c>
    </row>
    <row r="5134" spans="1:4" x14ac:dyDescent="0.2">
      <c r="A5134" s="5">
        <v>43679</v>
      </c>
      <c r="B5134" s="1">
        <v>1.8452</v>
      </c>
      <c r="C5134" s="1">
        <v>1.1299999999999999</v>
      </c>
      <c r="D5134" s="1">
        <v>2.3820000000000001</v>
      </c>
    </row>
    <row r="5135" spans="1:4" x14ac:dyDescent="0.2">
      <c r="A5135" s="5">
        <v>43682</v>
      </c>
      <c r="B5135" s="1">
        <v>1.7075</v>
      </c>
      <c r="C5135" s="1">
        <v>1.19</v>
      </c>
      <c r="D5135" s="1">
        <v>2.2543000000000002</v>
      </c>
    </row>
    <row r="5136" spans="1:4" x14ac:dyDescent="0.2">
      <c r="A5136" s="5">
        <v>43683</v>
      </c>
      <c r="B5136" s="1">
        <v>1.7022999999999999</v>
      </c>
      <c r="C5136" s="1">
        <v>1.19</v>
      </c>
      <c r="D5136" s="1">
        <v>2.2330000000000001</v>
      </c>
    </row>
    <row r="5137" spans="1:4" x14ac:dyDescent="0.2">
      <c r="A5137" s="5">
        <v>43684</v>
      </c>
      <c r="B5137" s="1">
        <v>1.7342</v>
      </c>
      <c r="C5137" s="1">
        <v>1.22</v>
      </c>
      <c r="D5137" s="1">
        <v>2.2522000000000002</v>
      </c>
    </row>
    <row r="5138" spans="1:4" x14ac:dyDescent="0.2">
      <c r="A5138" s="5">
        <v>43685</v>
      </c>
      <c r="B5138" s="1">
        <v>1.7172000000000001</v>
      </c>
      <c r="C5138" s="1">
        <v>1.19</v>
      </c>
      <c r="D5138" s="1">
        <v>2.2242999999999999</v>
      </c>
    </row>
    <row r="5139" spans="1:4" x14ac:dyDescent="0.2">
      <c r="A5139" s="5">
        <v>43686</v>
      </c>
      <c r="B5139" s="1">
        <v>1.7446999999999999</v>
      </c>
      <c r="C5139" s="1">
        <v>1.2</v>
      </c>
      <c r="D5139" s="1">
        <v>2.2585999999999999</v>
      </c>
    </row>
    <row r="5140" spans="1:4" x14ac:dyDescent="0.2">
      <c r="A5140" s="5">
        <v>43689</v>
      </c>
      <c r="B5140" s="1">
        <v>1.6454</v>
      </c>
      <c r="C5140" s="1">
        <v>1.21</v>
      </c>
      <c r="D5140" s="1">
        <v>2.1324999999999998</v>
      </c>
    </row>
    <row r="5141" spans="1:4" x14ac:dyDescent="0.2">
      <c r="A5141" s="5">
        <v>43690</v>
      </c>
      <c r="B5141" s="1">
        <v>1.7035</v>
      </c>
      <c r="C5141" s="1">
        <v>1.21</v>
      </c>
      <c r="D5141" s="1">
        <v>2.1633</v>
      </c>
    </row>
    <row r="5142" spans="1:4" x14ac:dyDescent="0.2">
      <c r="A5142" s="5">
        <v>43691</v>
      </c>
      <c r="B5142" s="1">
        <v>1.5791999999999999</v>
      </c>
      <c r="C5142" s="1">
        <v>1.23</v>
      </c>
      <c r="D5142" s="1">
        <v>2.0179999999999998</v>
      </c>
    </row>
    <row r="5143" spans="1:4" x14ac:dyDescent="0.2">
      <c r="A5143" s="5">
        <v>43692</v>
      </c>
      <c r="B5143" s="1">
        <v>1.5268999999999999</v>
      </c>
      <c r="C5143" s="1">
        <v>1.24</v>
      </c>
      <c r="D5143" s="1">
        <v>1.9729000000000001</v>
      </c>
    </row>
    <row r="5144" spans="1:4" x14ac:dyDescent="0.2">
      <c r="A5144" s="5">
        <v>43693</v>
      </c>
      <c r="B5144" s="1">
        <v>1.5538000000000001</v>
      </c>
      <c r="C5144" s="1">
        <v>1.24</v>
      </c>
      <c r="D5144" s="1">
        <v>2.0348000000000002</v>
      </c>
    </row>
    <row r="5145" spans="1:4" x14ac:dyDescent="0.2">
      <c r="A5145" s="5">
        <v>43696</v>
      </c>
      <c r="B5145" s="1">
        <v>1.6063000000000001</v>
      </c>
      <c r="C5145" s="1">
        <v>1.22</v>
      </c>
      <c r="D5145" s="1">
        <v>2.0874000000000001</v>
      </c>
    </row>
    <row r="5146" spans="1:4" x14ac:dyDescent="0.2">
      <c r="A5146" s="5">
        <v>43697</v>
      </c>
      <c r="B5146" s="1">
        <v>1.5555000000000001</v>
      </c>
      <c r="C5146" s="1">
        <v>1.22</v>
      </c>
      <c r="D5146" s="1">
        <v>2.0375000000000001</v>
      </c>
    </row>
    <row r="5147" spans="1:4" x14ac:dyDescent="0.2">
      <c r="A5147" s="5">
        <v>43698</v>
      </c>
      <c r="B5147" s="1">
        <v>1.5892999999999999</v>
      </c>
      <c r="C5147" s="1">
        <v>1.19</v>
      </c>
      <c r="D5147" s="1">
        <v>2.0722999999999998</v>
      </c>
    </row>
    <row r="5148" spans="1:4" x14ac:dyDescent="0.2">
      <c r="A5148" s="5">
        <v>43699</v>
      </c>
      <c r="B5148" s="1">
        <v>1.6131</v>
      </c>
      <c r="C5148" s="1">
        <v>1.18</v>
      </c>
      <c r="D5148" s="1">
        <v>2.1046999999999998</v>
      </c>
    </row>
    <row r="5149" spans="1:4" x14ac:dyDescent="0.2">
      <c r="A5149" s="5">
        <v>43700</v>
      </c>
      <c r="B5149" s="1">
        <v>1.5350999999999999</v>
      </c>
      <c r="C5149" s="1">
        <v>1.19</v>
      </c>
      <c r="D5149" s="1">
        <v>2.0251999999999999</v>
      </c>
    </row>
    <row r="5150" spans="1:4" x14ac:dyDescent="0.2">
      <c r="A5150" s="5">
        <v>43703</v>
      </c>
      <c r="B5150" s="1">
        <v>1.5350999999999999</v>
      </c>
      <c r="C5150" s="1">
        <v>1.19</v>
      </c>
      <c r="D5150" s="1">
        <v>2.0354000000000001</v>
      </c>
    </row>
    <row r="5151" spans="1:4" x14ac:dyDescent="0.2">
      <c r="A5151" s="5">
        <v>43704</v>
      </c>
      <c r="B5151" s="1">
        <v>1.4711000000000001</v>
      </c>
      <c r="C5151" s="1">
        <v>1.19</v>
      </c>
      <c r="D5151" s="1">
        <v>1.9500999999999999</v>
      </c>
    </row>
    <row r="5152" spans="1:4" x14ac:dyDescent="0.2">
      <c r="A5152" s="5">
        <v>43705</v>
      </c>
      <c r="B5152" s="1">
        <v>1.4794</v>
      </c>
      <c r="C5152" s="1">
        <v>1.2</v>
      </c>
      <c r="D5152" s="1">
        <v>1.9714</v>
      </c>
    </row>
    <row r="5153" spans="1:4" x14ac:dyDescent="0.2">
      <c r="A5153" s="5">
        <v>43706</v>
      </c>
      <c r="B5153" s="1">
        <v>1.4944999999999999</v>
      </c>
      <c r="C5153" s="1">
        <v>1.19</v>
      </c>
      <c r="D5153" s="1">
        <v>1.964</v>
      </c>
    </row>
    <row r="5154" spans="1:4" x14ac:dyDescent="0.2">
      <c r="A5154" s="5">
        <v>43707</v>
      </c>
      <c r="B5154" s="1">
        <v>1.4961</v>
      </c>
      <c r="C5154" s="1">
        <v>1.2</v>
      </c>
      <c r="D5154" s="1">
        <v>1.9625999999999999</v>
      </c>
    </row>
    <row r="5155" spans="1:4" x14ac:dyDescent="0.2">
      <c r="A5155" s="5">
        <v>43710</v>
      </c>
      <c r="B5155" s="1">
        <v>1.4961</v>
      </c>
      <c r="C5155" s="1">
        <v>1.21</v>
      </c>
      <c r="D5155" s="1">
        <v>1.9625999999999999</v>
      </c>
    </row>
    <row r="5156" spans="1:4" x14ac:dyDescent="0.2">
      <c r="A5156" s="5">
        <v>43711</v>
      </c>
      <c r="B5156" s="1">
        <v>1.4573</v>
      </c>
      <c r="C5156" s="1">
        <v>1.21</v>
      </c>
      <c r="D5156" s="1">
        <v>1.9525999999999999</v>
      </c>
    </row>
    <row r="5157" spans="1:4" x14ac:dyDescent="0.2">
      <c r="A5157" s="5">
        <v>43712</v>
      </c>
      <c r="B5157" s="1">
        <v>1.4657</v>
      </c>
      <c r="C5157" s="1">
        <v>1.22</v>
      </c>
      <c r="D5157" s="1">
        <v>1.9699</v>
      </c>
    </row>
    <row r="5158" spans="1:4" x14ac:dyDescent="0.2">
      <c r="A5158" s="5">
        <v>43713</v>
      </c>
      <c r="B5158" s="1">
        <v>1.5586</v>
      </c>
      <c r="C5158" s="1">
        <v>1.2</v>
      </c>
      <c r="D5158" s="1">
        <v>2.0495000000000001</v>
      </c>
    </row>
    <row r="5159" spans="1:4" x14ac:dyDescent="0.2">
      <c r="A5159" s="5">
        <v>43714</v>
      </c>
      <c r="B5159" s="1">
        <v>1.5602</v>
      </c>
      <c r="C5159" s="1">
        <v>1.19</v>
      </c>
      <c r="D5159" s="1">
        <v>2.0249999999999999</v>
      </c>
    </row>
    <row r="5160" spans="1:4" x14ac:dyDescent="0.2">
      <c r="A5160" s="5">
        <v>43717</v>
      </c>
      <c r="B5160" s="1">
        <v>1.6437999999999999</v>
      </c>
      <c r="C5160" s="1">
        <v>1.18</v>
      </c>
      <c r="D5160" s="1">
        <v>2.1280999999999999</v>
      </c>
    </row>
    <row r="5161" spans="1:4" x14ac:dyDescent="0.2">
      <c r="A5161" s="5">
        <v>43718</v>
      </c>
      <c r="B5161" s="1">
        <v>1.7316</v>
      </c>
      <c r="C5161" s="1">
        <v>1.18</v>
      </c>
      <c r="D5161" s="1">
        <v>2.2162999999999999</v>
      </c>
    </row>
    <row r="5162" spans="1:4" x14ac:dyDescent="0.2">
      <c r="A5162" s="5">
        <v>43719</v>
      </c>
      <c r="B5162" s="1">
        <v>1.7384999999999999</v>
      </c>
      <c r="C5162" s="1">
        <v>1.18</v>
      </c>
      <c r="D5162" s="1">
        <v>2.2212999999999998</v>
      </c>
    </row>
    <row r="5163" spans="1:4" x14ac:dyDescent="0.2">
      <c r="A5163" s="5">
        <v>43720</v>
      </c>
      <c r="B5163" s="1">
        <v>1.7715000000000001</v>
      </c>
      <c r="C5163" s="1">
        <v>1.17</v>
      </c>
      <c r="D5163" s="1">
        <v>2.2557</v>
      </c>
    </row>
    <row r="5164" spans="1:4" x14ac:dyDescent="0.2">
      <c r="A5164" s="5">
        <v>43721</v>
      </c>
      <c r="B5164" s="1">
        <v>1.8957999999999999</v>
      </c>
      <c r="C5164" s="1">
        <v>1.1599999999999999</v>
      </c>
      <c r="D5164" s="1">
        <v>2.3708</v>
      </c>
    </row>
    <row r="5165" spans="1:4" x14ac:dyDescent="0.2">
      <c r="A5165" s="5">
        <v>43724</v>
      </c>
      <c r="B5165" s="1">
        <v>1.8467</v>
      </c>
      <c r="C5165" s="1">
        <v>1.1599999999999999</v>
      </c>
      <c r="D5165" s="1">
        <v>2.3182999999999998</v>
      </c>
    </row>
    <row r="5166" spans="1:4" x14ac:dyDescent="0.2">
      <c r="A5166" s="5">
        <v>43725</v>
      </c>
      <c r="B5166" s="1">
        <v>1.8012999999999999</v>
      </c>
      <c r="C5166" s="1">
        <v>1.1599999999999999</v>
      </c>
      <c r="D5166" s="1">
        <v>2.2679999999999998</v>
      </c>
    </row>
    <row r="5167" spans="1:4" x14ac:dyDescent="0.2">
      <c r="A5167" s="5">
        <v>43726</v>
      </c>
      <c r="B5167" s="1">
        <v>1.7961</v>
      </c>
      <c r="C5167" s="1">
        <v>1.1399999999999999</v>
      </c>
      <c r="D5167" s="1">
        <v>2.242</v>
      </c>
    </row>
    <row r="5168" spans="1:4" x14ac:dyDescent="0.2">
      <c r="A5168" s="5">
        <v>43727</v>
      </c>
      <c r="B5168" s="1">
        <v>1.784</v>
      </c>
      <c r="C5168" s="1">
        <v>1.1399999999999999</v>
      </c>
      <c r="D5168" s="1">
        <v>2.2277</v>
      </c>
    </row>
    <row r="5169" spans="1:4" x14ac:dyDescent="0.2">
      <c r="A5169" s="5">
        <v>43728</v>
      </c>
      <c r="B5169" s="1">
        <v>1.7215</v>
      </c>
      <c r="C5169" s="1">
        <v>1.1399999999999999</v>
      </c>
      <c r="D5169" s="1">
        <v>2.1616</v>
      </c>
    </row>
    <row r="5170" spans="1:4" x14ac:dyDescent="0.2">
      <c r="A5170" s="5">
        <v>43731</v>
      </c>
      <c r="B5170" s="1">
        <v>1.7266999999999999</v>
      </c>
      <c r="C5170" s="1">
        <v>1.1299999999999999</v>
      </c>
      <c r="D5170" s="1">
        <v>2.1728999999999998</v>
      </c>
    </row>
    <row r="5171" spans="1:4" x14ac:dyDescent="0.2">
      <c r="A5171" s="5">
        <v>43732</v>
      </c>
      <c r="B5171" s="1">
        <v>1.6456</v>
      </c>
      <c r="C5171" s="1">
        <v>1.1399999999999999</v>
      </c>
      <c r="D5171" s="1">
        <v>2.1036000000000001</v>
      </c>
    </row>
    <row r="5172" spans="1:4" x14ac:dyDescent="0.2">
      <c r="A5172" s="5">
        <v>43733</v>
      </c>
      <c r="B5172" s="1">
        <v>1.7372000000000001</v>
      </c>
      <c r="C5172" s="1">
        <v>1.1499999999999999</v>
      </c>
      <c r="D5172" s="1">
        <v>2.1863000000000001</v>
      </c>
    </row>
    <row r="5173" spans="1:4" x14ac:dyDescent="0.2">
      <c r="A5173" s="5">
        <v>43734</v>
      </c>
      <c r="B5173" s="1">
        <v>1.6920999999999999</v>
      </c>
      <c r="C5173" s="1">
        <v>1.1499999999999999</v>
      </c>
      <c r="D5173" s="1">
        <v>2.1419000000000001</v>
      </c>
    </row>
    <row r="5174" spans="1:4" x14ac:dyDescent="0.2">
      <c r="A5174" s="5">
        <v>43735</v>
      </c>
      <c r="B5174" s="1">
        <v>1.6800999999999999</v>
      </c>
      <c r="C5174" s="1">
        <v>1.1499999999999999</v>
      </c>
      <c r="D5174" s="1">
        <v>2.1286</v>
      </c>
    </row>
    <row r="5175" spans="1:4" x14ac:dyDescent="0.2">
      <c r="A5175" s="5">
        <v>43738</v>
      </c>
      <c r="B5175" s="1">
        <v>1.6646000000000001</v>
      </c>
      <c r="C5175" s="1">
        <v>1.1499999999999999</v>
      </c>
      <c r="D5175" s="1">
        <v>2.1105</v>
      </c>
    </row>
    <row r="5176" spans="1:4" x14ac:dyDescent="0.2">
      <c r="A5176" s="5">
        <v>43739</v>
      </c>
      <c r="B5176" s="1">
        <v>1.6353</v>
      </c>
      <c r="C5176" s="1">
        <v>1.1599999999999999</v>
      </c>
      <c r="D5176" s="1">
        <v>2.0924999999999998</v>
      </c>
    </row>
    <row r="5177" spans="1:4" x14ac:dyDescent="0.2">
      <c r="A5177" s="5">
        <v>43740</v>
      </c>
      <c r="B5177" s="1">
        <v>1.5992</v>
      </c>
      <c r="C5177" s="1">
        <v>1.19</v>
      </c>
      <c r="D5177" s="1">
        <v>2.0876000000000001</v>
      </c>
    </row>
    <row r="5178" spans="1:4" x14ac:dyDescent="0.2">
      <c r="A5178" s="5">
        <v>43741</v>
      </c>
      <c r="B5178" s="1">
        <v>1.5341</v>
      </c>
      <c r="C5178" s="1">
        <v>1.21</v>
      </c>
      <c r="D5178" s="1">
        <v>2.0320999999999998</v>
      </c>
    </row>
    <row r="5179" spans="1:4" x14ac:dyDescent="0.2">
      <c r="A5179" s="5">
        <v>43742</v>
      </c>
      <c r="B5179" s="1">
        <v>1.5289999999999999</v>
      </c>
      <c r="C5179" s="1">
        <v>1.2</v>
      </c>
      <c r="D5179" s="1">
        <v>2.0150999999999999</v>
      </c>
    </row>
    <row r="5180" spans="1:4" x14ac:dyDescent="0.2">
      <c r="A5180" s="5">
        <v>43745</v>
      </c>
      <c r="B5180" s="1">
        <v>1.5580000000000001</v>
      </c>
      <c r="C5180" s="1">
        <v>1.19</v>
      </c>
      <c r="D5180" s="1">
        <v>2.0484</v>
      </c>
    </row>
    <row r="5181" spans="1:4" x14ac:dyDescent="0.2">
      <c r="A5181" s="5">
        <v>43746</v>
      </c>
      <c r="B5181" s="1">
        <v>1.5288999999999999</v>
      </c>
      <c r="C5181" s="1">
        <v>1.21</v>
      </c>
      <c r="D5181" s="1">
        <v>2.0293000000000001</v>
      </c>
    </row>
    <row r="5182" spans="1:4" x14ac:dyDescent="0.2">
      <c r="A5182" s="5">
        <v>43747</v>
      </c>
      <c r="B5182" s="1">
        <v>1.5835999999999999</v>
      </c>
      <c r="C5182" s="1">
        <v>1.2</v>
      </c>
      <c r="D5182" s="1">
        <v>2.0840999999999998</v>
      </c>
    </row>
    <row r="5183" spans="1:4" x14ac:dyDescent="0.2">
      <c r="A5183" s="5">
        <v>43748</v>
      </c>
      <c r="B5183" s="1">
        <v>1.6680999999999999</v>
      </c>
      <c r="C5183" s="1">
        <v>1.19</v>
      </c>
      <c r="D5183" s="1">
        <v>2.1615000000000002</v>
      </c>
    </row>
    <row r="5184" spans="1:4" x14ac:dyDescent="0.2">
      <c r="A5184" s="5">
        <v>43749</v>
      </c>
      <c r="B5184" s="1">
        <v>1.7290000000000001</v>
      </c>
      <c r="C5184" s="1">
        <v>1.1499999999999999</v>
      </c>
      <c r="D5184" s="1">
        <v>2.1941000000000002</v>
      </c>
    </row>
    <row r="5185" spans="1:4" x14ac:dyDescent="0.2">
      <c r="A5185" s="5">
        <v>43752</v>
      </c>
      <c r="B5185" s="1">
        <v>1.7290000000000001</v>
      </c>
      <c r="C5185" s="1">
        <v>1.1499999999999999</v>
      </c>
      <c r="D5185" s="1">
        <v>2.1941000000000002</v>
      </c>
    </row>
    <row r="5186" spans="1:4" x14ac:dyDescent="0.2">
      <c r="A5186" s="5">
        <v>43753</v>
      </c>
      <c r="B5186" s="1">
        <v>1.7709999999999999</v>
      </c>
      <c r="C5186" s="1">
        <v>1.1399999999999999</v>
      </c>
      <c r="D5186" s="1">
        <v>2.2347999999999999</v>
      </c>
    </row>
    <row r="5187" spans="1:4" x14ac:dyDescent="0.2">
      <c r="A5187" s="5">
        <v>43754</v>
      </c>
      <c r="B5187" s="1">
        <v>1.7395</v>
      </c>
      <c r="C5187" s="1">
        <v>1.1399999999999999</v>
      </c>
      <c r="D5187" s="1">
        <v>2.2248000000000001</v>
      </c>
    </row>
    <row r="5188" spans="1:4" x14ac:dyDescent="0.2">
      <c r="A5188" s="5">
        <v>43755</v>
      </c>
      <c r="B5188" s="1">
        <v>1.7518</v>
      </c>
      <c r="C5188" s="1">
        <v>1.1299999999999999</v>
      </c>
      <c r="D5188" s="1">
        <v>2.2341000000000002</v>
      </c>
    </row>
    <row r="5189" spans="1:4" x14ac:dyDescent="0.2">
      <c r="A5189" s="5">
        <v>43756</v>
      </c>
      <c r="B5189" s="1">
        <v>1.7536</v>
      </c>
      <c r="C5189" s="1">
        <v>1.1200000000000001</v>
      </c>
      <c r="D5189" s="1">
        <v>2.2492000000000001</v>
      </c>
    </row>
    <row r="5190" spans="1:4" x14ac:dyDescent="0.2">
      <c r="A5190" s="5">
        <v>43759</v>
      </c>
      <c r="B5190" s="1">
        <v>1.7992999999999999</v>
      </c>
      <c r="C5190" s="1">
        <v>1.1000000000000001</v>
      </c>
      <c r="D5190" s="1">
        <v>2.2913000000000001</v>
      </c>
    </row>
    <row r="5191" spans="1:4" x14ac:dyDescent="0.2">
      <c r="A5191" s="5">
        <v>43760</v>
      </c>
      <c r="B5191" s="1">
        <v>1.7606999999999999</v>
      </c>
      <c r="C5191" s="1">
        <v>1.1000000000000001</v>
      </c>
      <c r="D5191" s="1">
        <v>2.2521</v>
      </c>
    </row>
    <row r="5192" spans="1:4" x14ac:dyDescent="0.2">
      <c r="A5192" s="5">
        <v>43761</v>
      </c>
      <c r="B5192" s="1">
        <v>1.7642</v>
      </c>
      <c r="C5192" s="1">
        <v>1.1000000000000001</v>
      </c>
      <c r="D5192" s="1">
        <v>2.2543000000000002</v>
      </c>
    </row>
    <row r="5193" spans="1:4" x14ac:dyDescent="0.2">
      <c r="A5193" s="5">
        <v>43762</v>
      </c>
      <c r="B5193" s="1">
        <v>1.766</v>
      </c>
      <c r="C5193" s="1">
        <v>1.1000000000000001</v>
      </c>
      <c r="D5193" s="1">
        <v>2.2622</v>
      </c>
    </row>
    <row r="5194" spans="1:4" x14ac:dyDescent="0.2">
      <c r="A5194" s="5">
        <v>43763</v>
      </c>
      <c r="B5194" s="1">
        <v>1.7943</v>
      </c>
      <c r="C5194" s="1">
        <v>1.08</v>
      </c>
      <c r="D5194" s="1">
        <v>2.2869999999999999</v>
      </c>
    </row>
    <row r="5195" spans="1:4" x14ac:dyDescent="0.2">
      <c r="A5195" s="5">
        <v>43766</v>
      </c>
      <c r="B5195" s="1">
        <v>1.8420000000000001</v>
      </c>
      <c r="C5195" s="1">
        <v>1.06</v>
      </c>
      <c r="D5195" s="1">
        <v>2.3338999999999999</v>
      </c>
    </row>
    <row r="5196" spans="1:4" x14ac:dyDescent="0.2">
      <c r="A5196" s="5">
        <v>43767</v>
      </c>
      <c r="B5196" s="1">
        <v>1.8385</v>
      </c>
      <c r="C5196" s="1">
        <v>1.07</v>
      </c>
      <c r="D5196" s="1">
        <v>2.3347000000000002</v>
      </c>
    </row>
    <row r="5197" spans="1:4" x14ac:dyDescent="0.2">
      <c r="A5197" s="5">
        <v>43768</v>
      </c>
      <c r="B5197" s="1">
        <v>1.7715000000000001</v>
      </c>
      <c r="C5197" s="1">
        <v>1.0900000000000001</v>
      </c>
      <c r="D5197" s="1">
        <v>2.2521</v>
      </c>
    </row>
    <row r="5198" spans="1:4" x14ac:dyDescent="0.2">
      <c r="A5198" s="5">
        <v>43769</v>
      </c>
      <c r="B5198" s="1">
        <v>1.6910000000000001</v>
      </c>
      <c r="C5198" s="1">
        <v>1.1000000000000001</v>
      </c>
      <c r="D5198" s="1">
        <v>2.1791</v>
      </c>
    </row>
    <row r="5199" spans="1:4" x14ac:dyDescent="0.2">
      <c r="A5199" s="5">
        <v>43770</v>
      </c>
      <c r="B5199" s="1">
        <v>1.7102999999999999</v>
      </c>
      <c r="C5199" s="1">
        <v>1.1000000000000001</v>
      </c>
      <c r="D5199" s="1">
        <v>2.1897000000000002</v>
      </c>
    </row>
    <row r="5200" spans="1:4" x14ac:dyDescent="0.2">
      <c r="A5200" s="5">
        <v>43773</v>
      </c>
      <c r="B5200" s="1">
        <v>1.7769999999999999</v>
      </c>
      <c r="C5200" s="1">
        <v>1.08</v>
      </c>
      <c r="D5200" s="1">
        <v>2.2629999999999999</v>
      </c>
    </row>
    <row r="5201" spans="1:4" x14ac:dyDescent="0.2">
      <c r="A5201" s="5">
        <v>43774</v>
      </c>
      <c r="B5201" s="1">
        <v>1.8584000000000001</v>
      </c>
      <c r="C5201" s="1">
        <v>1.07</v>
      </c>
      <c r="D5201" s="1">
        <v>2.3384</v>
      </c>
    </row>
    <row r="5202" spans="1:4" x14ac:dyDescent="0.2">
      <c r="A5202" s="5">
        <v>43775</v>
      </c>
      <c r="B5202" s="1">
        <v>1.8283</v>
      </c>
      <c r="C5202" s="1">
        <v>1.07</v>
      </c>
      <c r="D5202" s="1">
        <v>2.3155999999999999</v>
      </c>
    </row>
    <row r="5203" spans="1:4" x14ac:dyDescent="0.2">
      <c r="A5203" s="5">
        <v>43776</v>
      </c>
      <c r="B5203" s="1">
        <v>1.9173</v>
      </c>
      <c r="C5203" s="1">
        <v>1.05</v>
      </c>
      <c r="D5203" s="1">
        <v>2.3974000000000002</v>
      </c>
    </row>
    <row r="5204" spans="1:4" x14ac:dyDescent="0.2">
      <c r="A5204" s="5">
        <v>43777</v>
      </c>
      <c r="B5204" s="1">
        <v>1.9417</v>
      </c>
      <c r="C5204" s="1">
        <v>1.05</v>
      </c>
      <c r="D5204" s="1">
        <v>2.4243000000000001</v>
      </c>
    </row>
    <row r="5205" spans="1:4" x14ac:dyDescent="0.2">
      <c r="A5205" s="5">
        <v>43780</v>
      </c>
      <c r="B5205" s="1">
        <v>1.9417</v>
      </c>
      <c r="C5205" s="1">
        <v>1.05</v>
      </c>
      <c r="D5205" s="1">
        <v>2.4243000000000001</v>
      </c>
    </row>
    <row r="5206" spans="1:4" x14ac:dyDescent="0.2">
      <c r="A5206" s="5">
        <v>43781</v>
      </c>
      <c r="B5206" s="1">
        <v>1.9347000000000001</v>
      </c>
      <c r="C5206" s="1">
        <v>1.04</v>
      </c>
      <c r="D5206" s="1">
        <v>2.4161999999999999</v>
      </c>
    </row>
    <row r="5207" spans="1:4" x14ac:dyDescent="0.2">
      <c r="A5207" s="5">
        <v>43782</v>
      </c>
      <c r="B5207" s="1">
        <v>1.8859999999999999</v>
      </c>
      <c r="C5207" s="1">
        <v>1.05</v>
      </c>
      <c r="D5207" s="1">
        <v>2.3647999999999998</v>
      </c>
    </row>
    <row r="5208" spans="1:4" x14ac:dyDescent="0.2">
      <c r="A5208" s="5">
        <v>43783</v>
      </c>
      <c r="B5208" s="1">
        <v>1.8186</v>
      </c>
      <c r="C5208" s="1">
        <v>1.06</v>
      </c>
      <c r="D5208" s="1">
        <v>2.2997000000000001</v>
      </c>
    </row>
    <row r="5209" spans="1:4" x14ac:dyDescent="0.2">
      <c r="A5209" s="5">
        <v>43784</v>
      </c>
      <c r="B5209" s="1">
        <v>1.8308</v>
      </c>
      <c r="C5209" s="1">
        <v>1.06</v>
      </c>
      <c r="D5209" s="1">
        <v>2.3047</v>
      </c>
    </row>
    <row r="5210" spans="1:4" x14ac:dyDescent="0.2">
      <c r="A5210" s="5">
        <v>43787</v>
      </c>
      <c r="B5210" s="1">
        <v>1.8152999999999999</v>
      </c>
      <c r="C5210" s="1">
        <v>1.06</v>
      </c>
      <c r="D5210" s="1">
        <v>2.2989999999999999</v>
      </c>
    </row>
    <row r="5211" spans="1:4" x14ac:dyDescent="0.2">
      <c r="A5211" s="5">
        <v>43788</v>
      </c>
      <c r="B5211" s="1">
        <v>1.7826</v>
      </c>
      <c r="C5211" s="1">
        <v>1.07</v>
      </c>
      <c r="D5211" s="1">
        <v>2.2513000000000001</v>
      </c>
    </row>
    <row r="5212" spans="1:4" x14ac:dyDescent="0.2">
      <c r="A5212" s="5">
        <v>43789</v>
      </c>
      <c r="B5212" s="1">
        <v>1.7448999999999999</v>
      </c>
      <c r="C5212" s="1">
        <v>1.08</v>
      </c>
      <c r="D5212" s="1">
        <v>2.2090000000000001</v>
      </c>
    </row>
    <row r="5213" spans="1:4" x14ac:dyDescent="0.2">
      <c r="A5213" s="5">
        <v>43790</v>
      </c>
      <c r="B5213" s="1">
        <v>1.7723</v>
      </c>
      <c r="C5213" s="1">
        <v>1.0900000000000001</v>
      </c>
      <c r="D5213" s="1">
        <v>2.2315</v>
      </c>
    </row>
    <row r="5214" spans="1:4" x14ac:dyDescent="0.2">
      <c r="A5214" s="5">
        <v>43791</v>
      </c>
      <c r="B5214" s="1">
        <v>1.7706</v>
      </c>
      <c r="C5214" s="1">
        <v>1.08</v>
      </c>
      <c r="D5214" s="1">
        <v>2.2208999999999999</v>
      </c>
    </row>
    <row r="5215" spans="1:4" x14ac:dyDescent="0.2">
      <c r="A5215" s="5">
        <v>43794</v>
      </c>
      <c r="B5215" s="1">
        <v>1.7551000000000001</v>
      </c>
      <c r="C5215" s="1">
        <v>1.06</v>
      </c>
      <c r="D5215" s="1">
        <v>2.2012999999999998</v>
      </c>
    </row>
    <row r="5216" spans="1:4" x14ac:dyDescent="0.2">
      <c r="A5216" s="5">
        <v>43795</v>
      </c>
      <c r="B5216" s="1">
        <v>1.7414000000000001</v>
      </c>
      <c r="C5216" s="1">
        <v>1.06</v>
      </c>
      <c r="D5216" s="1">
        <v>2.1789999999999998</v>
      </c>
    </row>
    <row r="5217" spans="1:4" x14ac:dyDescent="0.2">
      <c r="A5217" s="5">
        <v>43796</v>
      </c>
      <c r="B5217" s="1">
        <v>1.7654000000000001</v>
      </c>
      <c r="C5217" s="1">
        <v>1.05</v>
      </c>
      <c r="D5217" s="1">
        <v>2.1901000000000002</v>
      </c>
    </row>
    <row r="5218" spans="1:4" x14ac:dyDescent="0.2">
      <c r="A5218" s="5">
        <v>43797</v>
      </c>
      <c r="B5218" s="1">
        <v>1.7654000000000001</v>
      </c>
      <c r="C5218" s="1">
        <v>1.05</v>
      </c>
      <c r="D5218" s="1">
        <v>2.1901000000000002</v>
      </c>
    </row>
    <row r="5219" spans="1:4" x14ac:dyDescent="0.2">
      <c r="A5219" s="5">
        <v>43798</v>
      </c>
      <c r="B5219" s="1">
        <v>1.7758</v>
      </c>
      <c r="C5219" s="1">
        <v>1.05</v>
      </c>
      <c r="D5219" s="1">
        <v>2.2054</v>
      </c>
    </row>
    <row r="5220" spans="1:4" x14ac:dyDescent="0.2">
      <c r="A5220" s="5">
        <v>43801</v>
      </c>
      <c r="B5220" s="1">
        <v>1.8189</v>
      </c>
      <c r="C5220" s="1">
        <v>1.05</v>
      </c>
      <c r="D5220" s="1">
        <v>2.266</v>
      </c>
    </row>
    <row r="5221" spans="1:4" x14ac:dyDescent="0.2">
      <c r="A5221" s="5">
        <v>43802</v>
      </c>
      <c r="B5221" s="1">
        <v>1.7157</v>
      </c>
      <c r="C5221" s="1">
        <v>1.06</v>
      </c>
      <c r="D5221" s="1">
        <v>2.1636000000000002</v>
      </c>
    </row>
    <row r="5222" spans="1:4" x14ac:dyDescent="0.2">
      <c r="A5222" s="5">
        <v>43803</v>
      </c>
      <c r="B5222" s="1">
        <v>1.774</v>
      </c>
      <c r="C5222" s="1">
        <v>1.05</v>
      </c>
      <c r="D5222" s="1">
        <v>2.2271000000000001</v>
      </c>
    </row>
    <row r="5223" spans="1:4" x14ac:dyDescent="0.2">
      <c r="A5223" s="5">
        <v>43804</v>
      </c>
      <c r="B5223" s="1">
        <v>1.8103</v>
      </c>
      <c r="C5223" s="1">
        <v>1.03</v>
      </c>
      <c r="D5223" s="1">
        <v>2.2595999999999998</v>
      </c>
    </row>
    <row r="5224" spans="1:4" x14ac:dyDescent="0.2">
      <c r="A5224" s="5">
        <v>43805</v>
      </c>
      <c r="B5224" s="1">
        <v>1.8363</v>
      </c>
      <c r="C5224" s="1">
        <v>1.02</v>
      </c>
      <c r="D5224" s="1">
        <v>2.2774000000000001</v>
      </c>
    </row>
    <row r="5225" spans="1:4" x14ac:dyDescent="0.2">
      <c r="A5225" s="5">
        <v>43808</v>
      </c>
      <c r="B5225" s="1">
        <v>1.819</v>
      </c>
      <c r="C5225" s="1">
        <v>1.01</v>
      </c>
      <c r="D5225" s="1">
        <v>2.2545999999999999</v>
      </c>
    </row>
    <row r="5226" spans="1:4" x14ac:dyDescent="0.2">
      <c r="A5226" s="5">
        <v>43809</v>
      </c>
      <c r="B5226" s="1">
        <v>1.8415999999999999</v>
      </c>
      <c r="C5226" s="1">
        <v>1.01</v>
      </c>
      <c r="D5226" s="1">
        <v>2.2645</v>
      </c>
    </row>
    <row r="5227" spans="1:4" x14ac:dyDescent="0.2">
      <c r="A5227" s="5">
        <v>43810</v>
      </c>
      <c r="B5227" s="1">
        <v>1.7914000000000001</v>
      </c>
      <c r="C5227" s="1">
        <v>1.02</v>
      </c>
      <c r="D5227" s="1">
        <v>2.2263000000000002</v>
      </c>
    </row>
    <row r="5228" spans="1:4" x14ac:dyDescent="0.2">
      <c r="A5228" s="5">
        <v>43811</v>
      </c>
      <c r="B5228" s="1">
        <v>1.8922000000000001</v>
      </c>
      <c r="C5228" s="1">
        <v>0.99</v>
      </c>
      <c r="D5228" s="1">
        <v>2.3102999999999998</v>
      </c>
    </row>
    <row r="5229" spans="1:4" x14ac:dyDescent="0.2">
      <c r="A5229" s="5">
        <v>43812</v>
      </c>
      <c r="B5229" s="1">
        <v>1.8226</v>
      </c>
      <c r="C5229" s="1">
        <v>0.99</v>
      </c>
      <c r="D5229" s="1">
        <v>2.2524000000000002</v>
      </c>
    </row>
    <row r="5230" spans="1:4" x14ac:dyDescent="0.2">
      <c r="A5230" s="5">
        <v>43815</v>
      </c>
      <c r="B5230" s="1">
        <v>1.8713</v>
      </c>
      <c r="C5230" s="1">
        <v>0.97</v>
      </c>
      <c r="D5230" s="1">
        <v>2.2866</v>
      </c>
    </row>
    <row r="5231" spans="1:4" x14ac:dyDescent="0.2">
      <c r="A5231" s="5">
        <v>43816</v>
      </c>
      <c r="B5231" s="1">
        <v>1.8801000000000001</v>
      </c>
      <c r="C5231" s="1">
        <v>0.96</v>
      </c>
      <c r="D5231" s="1">
        <v>2.306</v>
      </c>
    </row>
    <row r="5232" spans="1:4" x14ac:dyDescent="0.2">
      <c r="A5232" s="5">
        <v>43817</v>
      </c>
      <c r="B5232" s="1">
        <v>1.9169</v>
      </c>
      <c r="C5232" s="1">
        <v>0.96</v>
      </c>
      <c r="D5232" s="1">
        <v>2.3472</v>
      </c>
    </row>
    <row r="5233" spans="1:4" x14ac:dyDescent="0.2">
      <c r="A5233" s="5">
        <v>43818</v>
      </c>
      <c r="B5233" s="1">
        <v>1.9204000000000001</v>
      </c>
      <c r="C5233" s="1">
        <v>0.95</v>
      </c>
      <c r="D5233" s="1">
        <v>2.3538000000000001</v>
      </c>
    </row>
    <row r="5234" spans="1:4" x14ac:dyDescent="0.2">
      <c r="A5234" s="5">
        <v>43819</v>
      </c>
      <c r="B5234" s="1">
        <v>1.9171</v>
      </c>
      <c r="C5234" s="1">
        <v>0.95</v>
      </c>
      <c r="D5234" s="1">
        <v>2.3420999999999998</v>
      </c>
    </row>
    <row r="5235" spans="1:4" x14ac:dyDescent="0.2">
      <c r="A5235" s="5">
        <v>43822</v>
      </c>
      <c r="B5235" s="1">
        <v>1.9294</v>
      </c>
      <c r="C5235" s="1">
        <v>0.95</v>
      </c>
      <c r="D5235" s="1">
        <v>2.3567</v>
      </c>
    </row>
    <row r="5236" spans="1:4" x14ac:dyDescent="0.2">
      <c r="A5236" s="5">
        <v>43823</v>
      </c>
      <c r="B5236" s="1">
        <v>1.8996</v>
      </c>
      <c r="C5236" s="1">
        <v>0.95</v>
      </c>
      <c r="D5236" s="1">
        <v>2.3290000000000002</v>
      </c>
    </row>
    <row r="5237" spans="1:4" x14ac:dyDescent="0.2">
      <c r="A5237" s="5">
        <v>43824</v>
      </c>
      <c r="B5237" s="1">
        <v>1.8996</v>
      </c>
      <c r="C5237" s="1">
        <v>0.95</v>
      </c>
      <c r="D5237" s="1">
        <v>2.3290000000000002</v>
      </c>
    </row>
    <row r="5238" spans="1:4" x14ac:dyDescent="0.2">
      <c r="A5238" s="5">
        <v>43825</v>
      </c>
      <c r="B5238" s="1">
        <v>1.8944000000000001</v>
      </c>
      <c r="C5238" s="1">
        <v>0.95</v>
      </c>
      <c r="D5238" s="1">
        <v>2.3218000000000001</v>
      </c>
    </row>
    <row r="5239" spans="1:4" x14ac:dyDescent="0.2">
      <c r="A5239" s="5">
        <v>43826</v>
      </c>
      <c r="B5239" s="1">
        <v>1.8752</v>
      </c>
      <c r="C5239" s="1">
        <v>0.94</v>
      </c>
      <c r="D5239" s="1">
        <v>2.3159999999999998</v>
      </c>
    </row>
    <row r="5240" spans="1:4" x14ac:dyDescent="0.2">
      <c r="A5240" s="5">
        <v>43829</v>
      </c>
      <c r="B5240" s="1">
        <v>1.8788</v>
      </c>
      <c r="C5240" s="1">
        <v>0.94</v>
      </c>
      <c r="D5240" s="1">
        <v>2.3296999999999999</v>
      </c>
    </row>
    <row r="5241" spans="1:4" x14ac:dyDescent="0.2">
      <c r="A5241" s="5">
        <v>43830</v>
      </c>
      <c r="B5241" s="1">
        <v>1.9175</v>
      </c>
      <c r="C5241" s="1">
        <v>0.93</v>
      </c>
      <c r="D5241" s="1">
        <v>2.3896000000000002</v>
      </c>
    </row>
    <row r="5242" spans="1:4" x14ac:dyDescent="0.2">
      <c r="A5242" s="5">
        <v>43831</v>
      </c>
      <c r="B5242" s="1">
        <v>1.9175</v>
      </c>
      <c r="C5242" s="1">
        <v>0.93</v>
      </c>
      <c r="D5242" s="1">
        <v>2.3896000000000002</v>
      </c>
    </row>
    <row r="5243" spans="1:4" x14ac:dyDescent="0.2">
      <c r="A5243" s="5">
        <v>43832</v>
      </c>
      <c r="B5243" s="1">
        <v>1.8771</v>
      </c>
      <c r="C5243" s="1">
        <v>0.95</v>
      </c>
      <c r="D5243" s="1">
        <v>2.3311999999999999</v>
      </c>
    </row>
    <row r="5244" spans="1:4" x14ac:dyDescent="0.2">
      <c r="A5244" s="5">
        <v>43833</v>
      </c>
      <c r="B5244" s="1">
        <v>1.7881</v>
      </c>
      <c r="C5244" s="1">
        <v>0.96</v>
      </c>
      <c r="D5244" s="1">
        <v>2.2444000000000002</v>
      </c>
    </row>
    <row r="5245" spans="1:4" x14ac:dyDescent="0.2">
      <c r="A5245" s="5">
        <v>43836</v>
      </c>
      <c r="B5245" s="1">
        <v>1.8089999999999999</v>
      </c>
      <c r="C5245" s="1">
        <v>0.98</v>
      </c>
      <c r="D5245" s="1">
        <v>2.2858000000000001</v>
      </c>
    </row>
    <row r="5246" spans="1:4" x14ac:dyDescent="0.2">
      <c r="A5246" s="5">
        <v>43837</v>
      </c>
      <c r="B5246" s="1">
        <v>1.8177000000000001</v>
      </c>
      <c r="C5246" s="1">
        <v>0.98</v>
      </c>
      <c r="D5246" s="1">
        <v>2.3052000000000001</v>
      </c>
    </row>
    <row r="5247" spans="1:4" x14ac:dyDescent="0.2">
      <c r="A5247" s="5">
        <v>43838</v>
      </c>
      <c r="B5247" s="1">
        <v>1.8737999999999999</v>
      </c>
      <c r="C5247" s="1">
        <v>0.97</v>
      </c>
      <c r="D5247" s="1">
        <v>2.3624999999999998</v>
      </c>
    </row>
    <row r="5248" spans="1:4" x14ac:dyDescent="0.2">
      <c r="A5248" s="5">
        <v>43839</v>
      </c>
      <c r="B5248" s="1">
        <v>1.8545</v>
      </c>
      <c r="C5248" s="1">
        <v>0.96</v>
      </c>
      <c r="D5248" s="1">
        <v>2.3296999999999999</v>
      </c>
    </row>
    <row r="5249" spans="1:4" x14ac:dyDescent="0.2">
      <c r="A5249" s="5">
        <v>43840</v>
      </c>
      <c r="B5249" s="1">
        <v>1.8196000000000001</v>
      </c>
      <c r="C5249" s="1">
        <v>0.96</v>
      </c>
      <c r="D5249" s="1">
        <v>2.2786</v>
      </c>
    </row>
    <row r="5250" spans="1:4" x14ac:dyDescent="0.2">
      <c r="A5250" s="5">
        <v>43843</v>
      </c>
      <c r="B5250" s="1">
        <v>1.8459000000000001</v>
      </c>
      <c r="C5250" s="1">
        <v>0.95</v>
      </c>
      <c r="D5250" s="1">
        <v>2.3014999999999999</v>
      </c>
    </row>
    <row r="5251" spans="1:4" x14ac:dyDescent="0.2">
      <c r="A5251" s="5">
        <v>43844</v>
      </c>
      <c r="B5251" s="1">
        <v>1.8109</v>
      </c>
      <c r="C5251" s="1">
        <v>0.96</v>
      </c>
      <c r="D5251" s="1">
        <v>2.27</v>
      </c>
    </row>
    <row r="5252" spans="1:4" x14ac:dyDescent="0.2">
      <c r="A5252" s="5">
        <v>43845</v>
      </c>
      <c r="B5252" s="1">
        <v>1.7829999999999999</v>
      </c>
      <c r="C5252" s="1">
        <v>0.96</v>
      </c>
      <c r="D5252" s="1">
        <v>2.2359</v>
      </c>
    </row>
    <row r="5253" spans="1:4" x14ac:dyDescent="0.2">
      <c r="A5253" s="5">
        <v>43846</v>
      </c>
      <c r="B5253" s="1">
        <v>1.8073999999999999</v>
      </c>
      <c r="C5253" s="1">
        <v>0.95</v>
      </c>
      <c r="D5253" s="1">
        <v>2.2578</v>
      </c>
    </row>
    <row r="5254" spans="1:4" x14ac:dyDescent="0.2">
      <c r="A5254" s="5">
        <v>43847</v>
      </c>
      <c r="B5254" s="1">
        <v>1.8214999999999999</v>
      </c>
      <c r="C5254" s="1">
        <v>0.93</v>
      </c>
      <c r="D5254" s="1">
        <v>2.2806999999999999</v>
      </c>
    </row>
    <row r="5255" spans="1:4" x14ac:dyDescent="0.2">
      <c r="A5255" s="5">
        <v>43850</v>
      </c>
      <c r="B5255" s="1">
        <v>1.8214999999999999</v>
      </c>
      <c r="C5255" s="1">
        <v>0.93</v>
      </c>
      <c r="D5255" s="1">
        <v>2.2806999999999999</v>
      </c>
    </row>
    <row r="5256" spans="1:4" x14ac:dyDescent="0.2">
      <c r="A5256" s="5">
        <v>43851</v>
      </c>
      <c r="B5256" s="1">
        <v>1.7743</v>
      </c>
      <c r="C5256" s="1">
        <v>0.93</v>
      </c>
      <c r="D5256" s="1">
        <v>2.2357999999999998</v>
      </c>
    </row>
    <row r="5257" spans="1:4" x14ac:dyDescent="0.2">
      <c r="A5257" s="5">
        <v>43852</v>
      </c>
      <c r="B5257" s="1">
        <v>1.7690999999999999</v>
      </c>
      <c r="C5257" s="1">
        <v>0.93</v>
      </c>
      <c r="D5257" s="1">
        <v>2.2216999999999998</v>
      </c>
    </row>
    <row r="5258" spans="1:4" x14ac:dyDescent="0.2">
      <c r="A5258" s="5">
        <v>43853</v>
      </c>
      <c r="B5258" s="1">
        <v>1.7324999999999999</v>
      </c>
      <c r="C5258" s="1">
        <v>0.95</v>
      </c>
      <c r="D5258" s="1">
        <v>2.1781999999999999</v>
      </c>
    </row>
    <row r="5259" spans="1:4" x14ac:dyDescent="0.2">
      <c r="A5259" s="5">
        <v>43854</v>
      </c>
      <c r="B5259" s="1">
        <v>1.6839</v>
      </c>
      <c r="C5259" s="1">
        <v>0.95</v>
      </c>
      <c r="D5259" s="1">
        <v>2.1324000000000001</v>
      </c>
    </row>
    <row r="5260" spans="1:4" x14ac:dyDescent="0.2">
      <c r="A5260" s="5">
        <v>43857</v>
      </c>
      <c r="B5260" s="1">
        <v>1.6080000000000001</v>
      </c>
      <c r="C5260" s="1">
        <v>0.99</v>
      </c>
      <c r="D5260" s="1">
        <v>2.0567000000000002</v>
      </c>
    </row>
    <row r="5261" spans="1:4" x14ac:dyDescent="0.2">
      <c r="A5261" s="5">
        <v>43858</v>
      </c>
      <c r="B5261" s="1">
        <v>1.6561999999999999</v>
      </c>
      <c r="C5261" s="1">
        <v>0.99</v>
      </c>
      <c r="D5261" s="1">
        <v>2.1118000000000001</v>
      </c>
    </row>
    <row r="5262" spans="1:4" x14ac:dyDescent="0.2">
      <c r="A5262" s="5">
        <v>43859</v>
      </c>
      <c r="B5262" s="1">
        <v>1.5839000000000001</v>
      </c>
      <c r="C5262" s="1">
        <v>0.99</v>
      </c>
      <c r="D5262" s="1">
        <v>2.0392000000000001</v>
      </c>
    </row>
    <row r="5263" spans="1:4" x14ac:dyDescent="0.2">
      <c r="A5263" s="5">
        <v>43860</v>
      </c>
      <c r="B5263" s="1">
        <v>1.5855999999999999</v>
      </c>
      <c r="C5263" s="1">
        <v>1</v>
      </c>
      <c r="D5263" s="1">
        <v>2.0506000000000002</v>
      </c>
    </row>
    <row r="5264" spans="1:4" x14ac:dyDescent="0.2">
      <c r="A5264" s="5">
        <v>43861</v>
      </c>
      <c r="B5264" s="1">
        <v>1.5067999999999999</v>
      </c>
      <c r="C5264" s="1">
        <v>1.02</v>
      </c>
      <c r="D5264" s="1">
        <v>1.9996</v>
      </c>
    </row>
    <row r="5265" spans="1:4" x14ac:dyDescent="0.2">
      <c r="A5265" s="5">
        <v>43864</v>
      </c>
      <c r="B5265" s="1">
        <v>1.5271999999999999</v>
      </c>
      <c r="C5265" s="1">
        <v>1.02</v>
      </c>
      <c r="D5265" s="1">
        <v>2.0068999999999999</v>
      </c>
    </row>
    <row r="5266" spans="1:4" x14ac:dyDescent="0.2">
      <c r="A5266" s="5">
        <v>43865</v>
      </c>
      <c r="B5266" s="1">
        <v>1.5991</v>
      </c>
      <c r="C5266" s="1">
        <v>0.99</v>
      </c>
      <c r="D5266" s="1">
        <v>2.0769000000000002</v>
      </c>
    </row>
    <row r="5267" spans="1:4" x14ac:dyDescent="0.2">
      <c r="A5267" s="5">
        <v>43866</v>
      </c>
      <c r="B5267" s="1">
        <v>1.6508</v>
      </c>
      <c r="C5267" s="1">
        <v>0.97</v>
      </c>
      <c r="D5267" s="1">
        <v>2.1385000000000001</v>
      </c>
    </row>
    <row r="5268" spans="1:4" x14ac:dyDescent="0.2">
      <c r="A5268" s="5">
        <v>43867</v>
      </c>
      <c r="B5268" s="1">
        <v>1.6422000000000001</v>
      </c>
      <c r="C5268" s="1">
        <v>0.96</v>
      </c>
      <c r="D5268" s="1">
        <v>2.1089000000000002</v>
      </c>
    </row>
    <row r="5269" spans="1:4" x14ac:dyDescent="0.2">
      <c r="A5269" s="5">
        <v>43868</v>
      </c>
      <c r="B5269" s="1">
        <v>1.5833999999999999</v>
      </c>
      <c r="C5269" s="1">
        <v>0.96</v>
      </c>
      <c r="D5269" s="1">
        <v>2.0484</v>
      </c>
    </row>
    <row r="5270" spans="1:4" x14ac:dyDescent="0.2">
      <c r="A5270" s="5">
        <v>43871</v>
      </c>
      <c r="B5270" s="1">
        <v>1.5696000000000001</v>
      </c>
      <c r="C5270" s="1">
        <v>0.97</v>
      </c>
      <c r="D5270" s="1">
        <v>2.0388999999999999</v>
      </c>
    </row>
    <row r="5271" spans="1:4" x14ac:dyDescent="0.2">
      <c r="A5271" s="5">
        <v>43872</v>
      </c>
      <c r="B5271" s="1">
        <v>1.6006</v>
      </c>
      <c r="C5271" s="1">
        <v>0.97</v>
      </c>
      <c r="D5271" s="1">
        <v>2.0659000000000001</v>
      </c>
    </row>
    <row r="5272" spans="1:4" x14ac:dyDescent="0.2">
      <c r="A5272" s="5">
        <v>43873</v>
      </c>
      <c r="B5272" s="1">
        <v>1.6333</v>
      </c>
      <c r="C5272" s="1">
        <v>0.95</v>
      </c>
      <c r="D5272" s="1">
        <v>2.089</v>
      </c>
    </row>
    <row r="5273" spans="1:4" x14ac:dyDescent="0.2">
      <c r="A5273" s="5">
        <v>43874</v>
      </c>
      <c r="B5273" s="1">
        <v>1.6173</v>
      </c>
      <c r="C5273" s="1">
        <v>0.96</v>
      </c>
      <c r="D5273" s="1">
        <v>2.0706000000000002</v>
      </c>
    </row>
    <row r="5274" spans="1:4" x14ac:dyDescent="0.2">
      <c r="A5274" s="5">
        <v>43875</v>
      </c>
      <c r="B5274" s="1">
        <v>1.5848</v>
      </c>
      <c r="C5274" s="1">
        <v>0.96</v>
      </c>
      <c r="D5274" s="1">
        <v>2.0390999999999999</v>
      </c>
    </row>
    <row r="5275" spans="1:4" x14ac:dyDescent="0.2">
      <c r="A5275" s="5">
        <v>43878</v>
      </c>
      <c r="B5275" s="1">
        <v>1.5848</v>
      </c>
      <c r="C5275" s="1">
        <v>0.96</v>
      </c>
      <c r="D5275" s="1">
        <v>2.0390999999999999</v>
      </c>
    </row>
    <row r="5276" spans="1:4" x14ac:dyDescent="0.2">
      <c r="A5276" s="5">
        <v>43879</v>
      </c>
      <c r="B5276" s="1">
        <v>1.5609999999999999</v>
      </c>
      <c r="C5276" s="1">
        <v>0.96</v>
      </c>
      <c r="D5276" s="1">
        <v>2.0110999999999999</v>
      </c>
    </row>
    <row r="5277" spans="1:4" x14ac:dyDescent="0.2">
      <c r="A5277" s="5">
        <v>43880</v>
      </c>
      <c r="B5277" s="1">
        <v>1.5661</v>
      </c>
      <c r="C5277" s="1">
        <v>0.96</v>
      </c>
      <c r="D5277" s="1">
        <v>2.0139</v>
      </c>
    </row>
    <row r="5278" spans="1:4" x14ac:dyDescent="0.2">
      <c r="A5278" s="5">
        <v>43881</v>
      </c>
      <c r="B5278" s="1">
        <v>1.5152000000000001</v>
      </c>
      <c r="C5278" s="1">
        <v>0.97</v>
      </c>
      <c r="D5278" s="1">
        <v>1.9605999999999999</v>
      </c>
    </row>
    <row r="5279" spans="1:4" x14ac:dyDescent="0.2">
      <c r="A5279" s="5">
        <v>43882</v>
      </c>
      <c r="B5279" s="1">
        <v>1.4713000000000001</v>
      </c>
      <c r="C5279" s="1">
        <v>0.99</v>
      </c>
      <c r="D5279" s="1">
        <v>1.9147000000000001</v>
      </c>
    </row>
    <row r="5280" spans="1:4" x14ac:dyDescent="0.2">
      <c r="A5280" s="5">
        <v>43885</v>
      </c>
      <c r="B5280" s="1">
        <v>1.3705000000000001</v>
      </c>
      <c r="C5280" s="1">
        <v>1.05</v>
      </c>
      <c r="D5280" s="1">
        <v>1.8347</v>
      </c>
    </row>
    <row r="5281" spans="1:4" x14ac:dyDescent="0.2">
      <c r="A5281" s="5">
        <v>43886</v>
      </c>
      <c r="B5281" s="1">
        <v>1.3521000000000001</v>
      </c>
      <c r="C5281" s="1">
        <v>1.07</v>
      </c>
      <c r="D5281" s="1">
        <v>1.8253999999999999</v>
      </c>
    </row>
    <row r="5282" spans="1:4" x14ac:dyDescent="0.2">
      <c r="A5282" s="5">
        <v>43887</v>
      </c>
      <c r="B5282" s="1">
        <v>1.3371</v>
      </c>
      <c r="C5282" s="1">
        <v>1.08</v>
      </c>
      <c r="D5282" s="1">
        <v>1.8241000000000001</v>
      </c>
    </row>
    <row r="5283" spans="1:4" x14ac:dyDescent="0.2">
      <c r="A5283" s="5">
        <v>43888</v>
      </c>
      <c r="B5283" s="1">
        <v>1.2606999999999999</v>
      </c>
      <c r="C5283" s="1">
        <v>1.1599999999999999</v>
      </c>
      <c r="D5283" s="1">
        <v>1.7577</v>
      </c>
    </row>
    <row r="5284" spans="1:4" x14ac:dyDescent="0.2">
      <c r="A5284" s="5">
        <v>43889</v>
      </c>
      <c r="B5284" s="1">
        <v>1.1486000000000001</v>
      </c>
      <c r="C5284" s="1">
        <v>1.22</v>
      </c>
      <c r="D5284" s="1">
        <v>1.6752</v>
      </c>
    </row>
    <row r="5285" spans="1:4" x14ac:dyDescent="0.2">
      <c r="A5285" s="5">
        <v>43892</v>
      </c>
      <c r="B5285" s="1">
        <v>1.1632</v>
      </c>
      <c r="C5285" s="1">
        <v>1.26</v>
      </c>
      <c r="D5285" s="1">
        <v>1.7213000000000001</v>
      </c>
    </row>
    <row r="5286" spans="1:4" x14ac:dyDescent="0.2">
      <c r="A5286" s="5">
        <v>43893</v>
      </c>
      <c r="B5286" s="1">
        <v>0.999</v>
      </c>
      <c r="C5286" s="1">
        <v>1.26</v>
      </c>
      <c r="D5286" s="1">
        <v>1.6145</v>
      </c>
    </row>
    <row r="5287" spans="1:4" x14ac:dyDescent="0.2">
      <c r="A5287" s="5">
        <v>43894</v>
      </c>
      <c r="B5287" s="1">
        <v>1.0522</v>
      </c>
      <c r="C5287" s="1">
        <v>1.24</v>
      </c>
      <c r="D5287" s="1">
        <v>1.7014</v>
      </c>
    </row>
    <row r="5288" spans="1:4" x14ac:dyDescent="0.2">
      <c r="A5288" s="5">
        <v>43895</v>
      </c>
      <c r="B5288" s="1">
        <v>0.91200000000000003</v>
      </c>
      <c r="C5288" s="1">
        <v>1.28</v>
      </c>
      <c r="D5288" s="1">
        <v>1.5407</v>
      </c>
    </row>
    <row r="5289" spans="1:4" x14ac:dyDescent="0.2">
      <c r="A5289" s="5">
        <v>43896</v>
      </c>
      <c r="B5289" s="1">
        <v>0.76229999999999998</v>
      </c>
      <c r="C5289" s="1">
        <v>1.44</v>
      </c>
      <c r="D5289" s="1">
        <v>1.2874000000000001</v>
      </c>
    </row>
    <row r="5290" spans="1:4" x14ac:dyDescent="0.2">
      <c r="A5290" s="5">
        <v>43899</v>
      </c>
      <c r="B5290" s="1">
        <v>0.54069999999999996</v>
      </c>
      <c r="C5290" s="1">
        <v>1.71</v>
      </c>
      <c r="D5290" s="1">
        <v>0.99529999999999996</v>
      </c>
    </row>
    <row r="5291" spans="1:4" x14ac:dyDescent="0.2">
      <c r="A5291" s="5">
        <v>43900</v>
      </c>
      <c r="B5291" s="1">
        <v>0.80300000000000005</v>
      </c>
      <c r="C5291" s="1">
        <v>1.72</v>
      </c>
      <c r="D5291" s="1">
        <v>1.2799</v>
      </c>
    </row>
    <row r="5292" spans="1:4" x14ac:dyDescent="0.2">
      <c r="A5292" s="5">
        <v>43901</v>
      </c>
      <c r="B5292" s="1">
        <v>0.86950000000000005</v>
      </c>
      <c r="C5292" s="1">
        <v>1.83</v>
      </c>
      <c r="D5292" s="1">
        <v>1.3918999999999999</v>
      </c>
    </row>
    <row r="5293" spans="1:4" x14ac:dyDescent="0.2">
      <c r="A5293" s="5">
        <v>43902</v>
      </c>
      <c r="B5293" s="1">
        <v>0.80420000000000003</v>
      </c>
      <c r="C5293" s="1">
        <v>2.09</v>
      </c>
      <c r="D5293" s="1">
        <v>1.4399</v>
      </c>
    </row>
    <row r="5294" spans="1:4" x14ac:dyDescent="0.2">
      <c r="A5294" s="5">
        <v>43903</v>
      </c>
      <c r="B5294" s="1">
        <v>0.96030000000000004</v>
      </c>
      <c r="C5294" s="1">
        <v>2.16</v>
      </c>
      <c r="D5294" s="1">
        <v>1.5293000000000001</v>
      </c>
    </row>
    <row r="5295" spans="1:4" x14ac:dyDescent="0.2">
      <c r="A5295" s="5">
        <v>43906</v>
      </c>
      <c r="B5295" s="1">
        <v>0.71819999999999995</v>
      </c>
      <c r="C5295" s="1">
        <v>2.42</v>
      </c>
      <c r="D5295" s="1">
        <v>1.2841</v>
      </c>
    </row>
    <row r="5296" spans="1:4" x14ac:dyDescent="0.2">
      <c r="A5296" s="5">
        <v>43907</v>
      </c>
      <c r="B5296" s="1">
        <v>1.0784</v>
      </c>
      <c r="C5296" s="1">
        <v>2.5499999999999998</v>
      </c>
      <c r="D5296" s="1">
        <v>1.6843999999999999</v>
      </c>
    </row>
    <row r="5297" spans="1:4" x14ac:dyDescent="0.2">
      <c r="A5297" s="5">
        <v>43908</v>
      </c>
      <c r="B5297" s="1">
        <v>1.1915</v>
      </c>
      <c r="C5297" s="1">
        <v>2.85</v>
      </c>
      <c r="D5297" s="1">
        <v>1.7875000000000001</v>
      </c>
    </row>
    <row r="5298" spans="1:4" x14ac:dyDescent="0.2">
      <c r="A5298" s="5">
        <v>43909</v>
      </c>
      <c r="B5298" s="1">
        <v>1.1404000000000001</v>
      </c>
      <c r="C5298" s="1">
        <v>3.29</v>
      </c>
      <c r="D5298" s="1">
        <v>1.7847999999999999</v>
      </c>
    </row>
    <row r="5299" spans="1:4" x14ac:dyDescent="0.2">
      <c r="A5299" s="5">
        <v>43910</v>
      </c>
      <c r="B5299" s="1">
        <v>0.84540000000000004</v>
      </c>
      <c r="C5299" s="1">
        <v>3.63</v>
      </c>
      <c r="D5299" s="1">
        <v>1.4169</v>
      </c>
    </row>
    <row r="5300" spans="1:4" x14ac:dyDescent="0.2">
      <c r="A5300" s="5">
        <v>43913</v>
      </c>
      <c r="B5300" s="1">
        <v>0.7863</v>
      </c>
      <c r="C5300" s="1">
        <v>3.73</v>
      </c>
      <c r="D5300" s="1">
        <v>1.3509</v>
      </c>
    </row>
    <row r="5301" spans="1:4" x14ac:dyDescent="0.2">
      <c r="A5301" s="5">
        <v>43914</v>
      </c>
      <c r="B5301" s="1">
        <v>0.84660000000000002</v>
      </c>
      <c r="C5301" s="1">
        <v>3.53</v>
      </c>
      <c r="D5301" s="1">
        <v>1.3954</v>
      </c>
    </row>
    <row r="5302" spans="1:4" x14ac:dyDescent="0.2">
      <c r="A5302" s="5">
        <v>43915</v>
      </c>
      <c r="B5302" s="1">
        <v>0.86729999999999996</v>
      </c>
      <c r="C5302" s="1">
        <v>3.24</v>
      </c>
      <c r="D5302" s="1">
        <v>1.4448000000000001</v>
      </c>
    </row>
    <row r="5303" spans="1:4" x14ac:dyDescent="0.2">
      <c r="A5303" s="5">
        <v>43916</v>
      </c>
      <c r="B5303" s="1">
        <v>0.84470000000000001</v>
      </c>
      <c r="C5303" s="1">
        <v>3.02</v>
      </c>
      <c r="D5303" s="1">
        <v>1.431</v>
      </c>
    </row>
    <row r="5304" spans="1:4" x14ac:dyDescent="0.2">
      <c r="A5304" s="5">
        <v>43917</v>
      </c>
      <c r="B5304" s="1">
        <v>0.67459999999999998</v>
      </c>
      <c r="C5304" s="1">
        <v>2.95</v>
      </c>
      <c r="D5304" s="1">
        <v>1.2635000000000001</v>
      </c>
    </row>
    <row r="5305" spans="1:4" x14ac:dyDescent="0.2">
      <c r="A5305" s="5">
        <v>43920</v>
      </c>
      <c r="B5305" s="1">
        <v>0.72640000000000005</v>
      </c>
      <c r="C5305" s="1">
        <v>2.84</v>
      </c>
      <c r="D5305" s="1">
        <v>1.3366</v>
      </c>
    </row>
    <row r="5306" spans="1:4" x14ac:dyDescent="0.2">
      <c r="A5306" s="5">
        <v>43921</v>
      </c>
      <c r="B5306" s="1">
        <v>0.66949999999999998</v>
      </c>
      <c r="C5306" s="1">
        <v>2.72</v>
      </c>
      <c r="D5306" s="1">
        <v>1.3213999999999999</v>
      </c>
    </row>
    <row r="5307" spans="1:4" x14ac:dyDescent="0.2">
      <c r="A5307" s="5">
        <v>43922</v>
      </c>
      <c r="B5307" s="1">
        <v>0.58320000000000005</v>
      </c>
      <c r="C5307" s="1">
        <v>2.78</v>
      </c>
      <c r="D5307" s="1">
        <v>1.2191000000000001</v>
      </c>
    </row>
    <row r="5308" spans="1:4" x14ac:dyDescent="0.2">
      <c r="A5308" s="5">
        <v>43923</v>
      </c>
      <c r="B5308" s="1">
        <v>0.59699999999999998</v>
      </c>
      <c r="C5308" s="1">
        <v>2.79</v>
      </c>
      <c r="D5308" s="1">
        <v>1.2394000000000001</v>
      </c>
    </row>
    <row r="5309" spans="1:4" x14ac:dyDescent="0.2">
      <c r="A5309" s="5">
        <v>43924</v>
      </c>
      <c r="B5309" s="1">
        <v>0.5948</v>
      </c>
      <c r="C5309" s="1">
        <v>2.83</v>
      </c>
      <c r="D5309" s="1">
        <v>1.2094</v>
      </c>
    </row>
    <row r="5310" spans="1:4" x14ac:dyDescent="0.2">
      <c r="A5310" s="5">
        <v>43927</v>
      </c>
      <c r="B5310" s="1">
        <v>0.66979999999999995</v>
      </c>
      <c r="C5310" s="1">
        <v>2.74</v>
      </c>
      <c r="D5310" s="1">
        <v>1.2785</v>
      </c>
    </row>
    <row r="5311" spans="1:4" x14ac:dyDescent="0.2">
      <c r="A5311" s="5">
        <v>43928</v>
      </c>
      <c r="B5311" s="1">
        <v>0.71220000000000006</v>
      </c>
      <c r="C5311" s="1">
        <v>2.63</v>
      </c>
      <c r="D5311" s="1">
        <v>1.2945</v>
      </c>
    </row>
    <row r="5312" spans="1:4" x14ac:dyDescent="0.2">
      <c r="A5312" s="5">
        <v>43929</v>
      </c>
      <c r="B5312" s="1">
        <v>0.7722</v>
      </c>
      <c r="C5312" s="1">
        <v>2.5299999999999998</v>
      </c>
      <c r="D5312" s="1">
        <v>1.3765000000000001</v>
      </c>
    </row>
    <row r="5313" spans="1:4" x14ac:dyDescent="0.2">
      <c r="A5313" s="5">
        <v>43930</v>
      </c>
      <c r="B5313" s="1">
        <v>0.71909999999999996</v>
      </c>
      <c r="C5313" s="1">
        <v>2.33</v>
      </c>
      <c r="D5313" s="1">
        <v>1.3434999999999999</v>
      </c>
    </row>
    <row r="5314" spans="1:4" x14ac:dyDescent="0.2">
      <c r="A5314" s="5">
        <v>43931</v>
      </c>
      <c r="B5314" s="1">
        <v>0.71909999999999996</v>
      </c>
      <c r="C5314" s="1">
        <v>2.33</v>
      </c>
      <c r="D5314" s="1">
        <v>1.3434999999999999</v>
      </c>
    </row>
    <row r="5315" spans="1:4" x14ac:dyDescent="0.2">
      <c r="A5315" s="5">
        <v>43934</v>
      </c>
      <c r="B5315" s="1">
        <v>0.77129999999999999</v>
      </c>
      <c r="C5315" s="1">
        <v>2.13</v>
      </c>
      <c r="D5315" s="1">
        <v>1.4071</v>
      </c>
    </row>
    <row r="5316" spans="1:4" x14ac:dyDescent="0.2">
      <c r="A5316" s="5">
        <v>43935</v>
      </c>
      <c r="B5316" s="1">
        <v>0.752</v>
      </c>
      <c r="C5316" s="1">
        <v>2.04</v>
      </c>
      <c r="D5316" s="1">
        <v>1.4016999999999999</v>
      </c>
    </row>
    <row r="5317" spans="1:4" x14ac:dyDescent="0.2">
      <c r="A5317" s="5">
        <v>43936</v>
      </c>
      <c r="B5317" s="1">
        <v>0.63160000000000005</v>
      </c>
      <c r="C5317" s="1">
        <v>2.09</v>
      </c>
      <c r="D5317" s="1">
        <v>1.2655000000000001</v>
      </c>
    </row>
    <row r="5318" spans="1:4" x14ac:dyDescent="0.2">
      <c r="A5318" s="5">
        <v>43937</v>
      </c>
      <c r="B5318" s="1">
        <v>0.62670000000000003</v>
      </c>
      <c r="C5318" s="1">
        <v>2.1</v>
      </c>
      <c r="D5318" s="1">
        <v>1.2234</v>
      </c>
    </row>
    <row r="5319" spans="1:4" x14ac:dyDescent="0.2">
      <c r="A5319" s="5">
        <v>43938</v>
      </c>
      <c r="B5319" s="1">
        <v>0.64170000000000005</v>
      </c>
      <c r="C5319" s="1">
        <v>2.06</v>
      </c>
      <c r="D5319" s="1">
        <v>1.2601</v>
      </c>
    </row>
    <row r="5320" spans="1:4" x14ac:dyDescent="0.2">
      <c r="A5320" s="5">
        <v>43941</v>
      </c>
      <c r="B5320" s="1">
        <v>0.60529999999999995</v>
      </c>
      <c r="C5320" s="1">
        <v>2.09</v>
      </c>
      <c r="D5320" s="1">
        <v>1.2163999999999999</v>
      </c>
    </row>
    <row r="5321" spans="1:4" x14ac:dyDescent="0.2">
      <c r="A5321" s="5">
        <v>43942</v>
      </c>
      <c r="B5321" s="1">
        <v>0.56910000000000005</v>
      </c>
      <c r="C5321" s="1">
        <v>2.14</v>
      </c>
      <c r="D5321" s="1">
        <v>1.1626000000000001</v>
      </c>
    </row>
    <row r="5322" spans="1:4" x14ac:dyDescent="0.2">
      <c r="A5322" s="5">
        <v>43943</v>
      </c>
      <c r="B5322" s="1">
        <v>0.61899999999999999</v>
      </c>
      <c r="C5322" s="1">
        <v>2.11</v>
      </c>
      <c r="D5322" s="1">
        <v>1.2145999999999999</v>
      </c>
    </row>
    <row r="5323" spans="1:4" x14ac:dyDescent="0.2">
      <c r="A5323" s="5">
        <v>43944</v>
      </c>
      <c r="B5323" s="1">
        <v>0.60150000000000003</v>
      </c>
      <c r="C5323" s="1">
        <v>2.08</v>
      </c>
      <c r="D5323" s="1">
        <v>1.1803999999999999</v>
      </c>
    </row>
    <row r="5324" spans="1:4" x14ac:dyDescent="0.2">
      <c r="A5324" s="5">
        <v>43945</v>
      </c>
      <c r="B5324" s="1">
        <v>0.6008</v>
      </c>
      <c r="C5324" s="1">
        <v>2.09</v>
      </c>
      <c r="D5324" s="1">
        <v>1.1696</v>
      </c>
    </row>
    <row r="5325" spans="1:4" x14ac:dyDescent="0.2">
      <c r="A5325" s="5">
        <v>43948</v>
      </c>
      <c r="B5325" s="1">
        <v>0.66049999999999998</v>
      </c>
      <c r="C5325" s="1">
        <v>2.0699999999999998</v>
      </c>
      <c r="D5325" s="1">
        <v>1.2557</v>
      </c>
    </row>
    <row r="5326" spans="1:4" x14ac:dyDescent="0.2">
      <c r="A5326" s="5">
        <v>43949</v>
      </c>
      <c r="B5326" s="1">
        <v>0.6129</v>
      </c>
      <c r="C5326" s="1">
        <v>2.0699999999999998</v>
      </c>
      <c r="D5326" s="1">
        <v>1.2041999999999999</v>
      </c>
    </row>
    <row r="5327" spans="1:4" x14ac:dyDescent="0.2">
      <c r="A5327" s="5">
        <v>43950</v>
      </c>
      <c r="B5327" s="1">
        <v>0.62690000000000001</v>
      </c>
      <c r="C5327" s="1">
        <v>2.04</v>
      </c>
      <c r="D5327" s="1">
        <v>1.2499</v>
      </c>
    </row>
    <row r="5328" spans="1:4" x14ac:dyDescent="0.2">
      <c r="A5328" s="5">
        <v>43951</v>
      </c>
      <c r="B5328" s="1">
        <v>0.63929999999999998</v>
      </c>
      <c r="C5328" s="1">
        <v>2.02</v>
      </c>
      <c r="D5328" s="1">
        <v>1.2847999999999999</v>
      </c>
    </row>
    <row r="5329" spans="1:4" x14ac:dyDescent="0.2">
      <c r="A5329" s="5">
        <v>43952</v>
      </c>
      <c r="B5329" s="1">
        <v>0.61180000000000001</v>
      </c>
      <c r="C5329" s="1">
        <v>2.06</v>
      </c>
      <c r="D5329" s="1">
        <v>1.2485999999999999</v>
      </c>
    </row>
    <row r="5330" spans="1:4" x14ac:dyDescent="0.2">
      <c r="A5330" s="5">
        <v>43955</v>
      </c>
      <c r="B5330" s="1">
        <v>0.63360000000000005</v>
      </c>
      <c r="C5330" s="1">
        <v>2.0699999999999998</v>
      </c>
      <c r="D5330" s="1">
        <v>1.2765</v>
      </c>
    </row>
    <row r="5331" spans="1:4" x14ac:dyDescent="0.2">
      <c r="A5331" s="5">
        <v>43956</v>
      </c>
      <c r="B5331" s="1">
        <v>0.66190000000000004</v>
      </c>
      <c r="C5331" s="1">
        <v>2.06</v>
      </c>
      <c r="D5331" s="1">
        <v>1.3320000000000001</v>
      </c>
    </row>
    <row r="5332" spans="1:4" x14ac:dyDescent="0.2">
      <c r="A5332" s="5">
        <v>43957</v>
      </c>
      <c r="B5332" s="1">
        <v>0.70299999999999996</v>
      </c>
      <c r="C5332" s="1">
        <v>2.0699999999999998</v>
      </c>
      <c r="D5332" s="1">
        <v>1.3936999999999999</v>
      </c>
    </row>
    <row r="5333" spans="1:4" x14ac:dyDescent="0.2">
      <c r="A5333" s="5">
        <v>43958</v>
      </c>
      <c r="B5333" s="1">
        <v>0.64090000000000003</v>
      </c>
      <c r="C5333" s="1">
        <v>2.1</v>
      </c>
      <c r="D5333" s="1">
        <v>1.329</v>
      </c>
    </row>
    <row r="5334" spans="1:4" x14ac:dyDescent="0.2">
      <c r="A5334" s="5">
        <v>43959</v>
      </c>
      <c r="B5334" s="1">
        <v>0.68310000000000004</v>
      </c>
      <c r="C5334" s="1">
        <v>2.12</v>
      </c>
      <c r="D5334" s="1">
        <v>1.3828</v>
      </c>
    </row>
    <row r="5335" spans="1:4" x14ac:dyDescent="0.2">
      <c r="A5335" s="5">
        <v>43962</v>
      </c>
      <c r="B5335" s="1">
        <v>0.70989999999999998</v>
      </c>
      <c r="C5335" s="1">
        <v>2.13</v>
      </c>
      <c r="D5335" s="1">
        <v>1.4159999999999999</v>
      </c>
    </row>
    <row r="5336" spans="1:4" x14ac:dyDescent="0.2">
      <c r="A5336" s="5">
        <v>43963</v>
      </c>
      <c r="B5336" s="1">
        <v>0.66510000000000002</v>
      </c>
      <c r="C5336" s="1">
        <v>2.11</v>
      </c>
      <c r="D5336" s="1">
        <v>1.3697999999999999</v>
      </c>
    </row>
    <row r="5337" spans="1:4" x14ac:dyDescent="0.2">
      <c r="A5337" s="5">
        <v>43964</v>
      </c>
      <c r="B5337" s="1">
        <v>0.65249999999999997</v>
      </c>
      <c r="C5337" s="1">
        <v>2.11</v>
      </c>
      <c r="D5337" s="1">
        <v>1.3451</v>
      </c>
    </row>
    <row r="5338" spans="1:4" x14ac:dyDescent="0.2">
      <c r="A5338" s="5">
        <v>43965</v>
      </c>
      <c r="B5338" s="1">
        <v>0.62180000000000002</v>
      </c>
      <c r="C5338" s="1">
        <v>2.12</v>
      </c>
      <c r="D5338" s="1">
        <v>1.2908999999999999</v>
      </c>
    </row>
    <row r="5339" spans="1:4" x14ac:dyDescent="0.2">
      <c r="A5339" s="5">
        <v>43966</v>
      </c>
      <c r="B5339" s="1">
        <v>0.64280000000000004</v>
      </c>
      <c r="C5339" s="1">
        <v>2.08</v>
      </c>
      <c r="D5339" s="1">
        <v>1.3266</v>
      </c>
    </row>
    <row r="5340" spans="1:4" x14ac:dyDescent="0.2">
      <c r="A5340" s="5">
        <v>43969</v>
      </c>
      <c r="B5340" s="1">
        <v>0.72570000000000001</v>
      </c>
      <c r="C5340" s="1">
        <v>1.98</v>
      </c>
      <c r="D5340" s="1">
        <v>1.4365000000000001</v>
      </c>
    </row>
    <row r="5341" spans="1:4" x14ac:dyDescent="0.2">
      <c r="A5341" s="5">
        <v>43970</v>
      </c>
      <c r="B5341" s="1">
        <v>0.68820000000000003</v>
      </c>
      <c r="C5341" s="1">
        <v>1.93</v>
      </c>
      <c r="D5341" s="1">
        <v>1.4089</v>
      </c>
    </row>
    <row r="5342" spans="1:4" x14ac:dyDescent="0.2">
      <c r="A5342" s="5">
        <v>43971</v>
      </c>
      <c r="B5342" s="1">
        <v>0.68010000000000004</v>
      </c>
      <c r="C5342" s="1">
        <v>1.87</v>
      </c>
      <c r="D5342" s="1">
        <v>1.3977999999999999</v>
      </c>
    </row>
    <row r="5343" spans="1:4" x14ac:dyDescent="0.2">
      <c r="A5343" s="5">
        <v>43972</v>
      </c>
      <c r="B5343" s="1">
        <v>0.67200000000000004</v>
      </c>
      <c r="C5343" s="1">
        <v>1.85</v>
      </c>
      <c r="D5343" s="1">
        <v>1.3859999999999999</v>
      </c>
    </row>
    <row r="5344" spans="1:4" x14ac:dyDescent="0.2">
      <c r="A5344" s="5">
        <v>43973</v>
      </c>
      <c r="B5344" s="1">
        <v>0.65910000000000002</v>
      </c>
      <c r="C5344" s="1">
        <v>1.86</v>
      </c>
      <c r="D5344" s="1">
        <v>1.3705000000000001</v>
      </c>
    </row>
    <row r="5345" spans="1:4" x14ac:dyDescent="0.2">
      <c r="A5345" s="5">
        <v>43976</v>
      </c>
      <c r="B5345" s="1">
        <v>0.65910000000000002</v>
      </c>
      <c r="C5345" s="1">
        <v>1.86</v>
      </c>
      <c r="D5345" s="1">
        <v>1.3705000000000001</v>
      </c>
    </row>
    <row r="5346" spans="1:4" x14ac:dyDescent="0.2">
      <c r="A5346" s="5">
        <v>43977</v>
      </c>
      <c r="B5346" s="1">
        <v>0.69650000000000001</v>
      </c>
      <c r="C5346" s="1">
        <v>1.8</v>
      </c>
      <c r="D5346" s="1">
        <v>1.4446000000000001</v>
      </c>
    </row>
    <row r="5347" spans="1:4" x14ac:dyDescent="0.2">
      <c r="A5347" s="5">
        <v>43978</v>
      </c>
      <c r="B5347" s="1">
        <v>0.68189999999999995</v>
      </c>
      <c r="C5347" s="1">
        <v>1.78</v>
      </c>
      <c r="D5347" s="1">
        <v>1.4399</v>
      </c>
    </row>
    <row r="5348" spans="1:4" x14ac:dyDescent="0.2">
      <c r="A5348" s="5">
        <v>43979</v>
      </c>
      <c r="B5348" s="1">
        <v>0.69</v>
      </c>
      <c r="C5348" s="1">
        <v>1.75</v>
      </c>
      <c r="D5348" s="1">
        <v>1.4519</v>
      </c>
    </row>
    <row r="5349" spans="1:4" x14ac:dyDescent="0.2">
      <c r="A5349" s="5">
        <v>43980</v>
      </c>
      <c r="B5349" s="1">
        <v>0.65259999999999996</v>
      </c>
      <c r="C5349" s="1">
        <v>1.74</v>
      </c>
      <c r="D5349" s="1">
        <v>1.4064000000000001</v>
      </c>
    </row>
    <row r="5350" spans="1:4" x14ac:dyDescent="0.2">
      <c r="A5350" s="5">
        <v>43983</v>
      </c>
      <c r="B5350" s="1">
        <v>0.65910000000000002</v>
      </c>
      <c r="C5350" s="1">
        <v>1.71</v>
      </c>
      <c r="D5350" s="1">
        <v>1.4505999999999999</v>
      </c>
    </row>
    <row r="5351" spans="1:4" x14ac:dyDescent="0.2">
      <c r="A5351" s="5">
        <v>43984</v>
      </c>
      <c r="B5351" s="1">
        <v>0.68520000000000003</v>
      </c>
      <c r="C5351" s="1">
        <v>1.67</v>
      </c>
      <c r="D5351" s="1">
        <v>1.4873000000000001</v>
      </c>
    </row>
    <row r="5352" spans="1:4" x14ac:dyDescent="0.2">
      <c r="A5352" s="5">
        <v>43985</v>
      </c>
      <c r="B5352" s="1">
        <v>0.74580000000000002</v>
      </c>
      <c r="C5352" s="1">
        <v>1.6</v>
      </c>
      <c r="D5352" s="1">
        <v>1.5305</v>
      </c>
    </row>
    <row r="5353" spans="1:4" x14ac:dyDescent="0.2">
      <c r="A5353" s="5">
        <v>43986</v>
      </c>
      <c r="B5353" s="1">
        <v>0.82340000000000002</v>
      </c>
      <c r="C5353" s="1">
        <v>1.56</v>
      </c>
      <c r="D5353" s="1">
        <v>1.6317999999999999</v>
      </c>
    </row>
    <row r="5354" spans="1:4" x14ac:dyDescent="0.2">
      <c r="A5354" s="5">
        <v>43987</v>
      </c>
      <c r="B5354" s="1">
        <v>0.89510000000000001</v>
      </c>
      <c r="C5354" s="1">
        <v>1.46</v>
      </c>
      <c r="D5354" s="1">
        <v>1.6656</v>
      </c>
    </row>
    <row r="5355" spans="1:4" x14ac:dyDescent="0.2">
      <c r="A5355" s="5">
        <v>43990</v>
      </c>
      <c r="B5355" s="1">
        <v>0.87519999999999998</v>
      </c>
      <c r="C5355" s="1">
        <v>1.44</v>
      </c>
      <c r="D5355" s="1">
        <v>1.6416999999999999</v>
      </c>
    </row>
    <row r="5356" spans="1:4" x14ac:dyDescent="0.2">
      <c r="A5356" s="5">
        <v>43991</v>
      </c>
      <c r="B5356" s="1">
        <v>0.82530000000000003</v>
      </c>
      <c r="C5356" s="1">
        <v>1.48</v>
      </c>
      <c r="D5356" s="1">
        <v>1.5758000000000001</v>
      </c>
    </row>
    <row r="5357" spans="1:4" x14ac:dyDescent="0.2">
      <c r="A5357" s="5">
        <v>43992</v>
      </c>
      <c r="B5357" s="1">
        <v>0.72629999999999995</v>
      </c>
      <c r="C5357" s="1">
        <v>1.51</v>
      </c>
      <c r="D5357" s="1">
        <v>1.5063</v>
      </c>
    </row>
    <row r="5358" spans="1:4" x14ac:dyDescent="0.2">
      <c r="A5358" s="5">
        <v>43993</v>
      </c>
      <c r="B5358" s="1">
        <v>0.66900000000000004</v>
      </c>
      <c r="C5358" s="1">
        <v>1.61</v>
      </c>
      <c r="D5358" s="1">
        <v>1.4018999999999999</v>
      </c>
    </row>
    <row r="5359" spans="1:4" x14ac:dyDescent="0.2">
      <c r="A5359" s="5">
        <v>43994</v>
      </c>
      <c r="B5359" s="1">
        <v>0.70340000000000003</v>
      </c>
      <c r="C5359" s="1">
        <v>1.59</v>
      </c>
      <c r="D5359" s="1">
        <v>1.4568000000000001</v>
      </c>
    </row>
    <row r="5360" spans="1:4" x14ac:dyDescent="0.2">
      <c r="A5360" s="5">
        <v>43997</v>
      </c>
      <c r="B5360" s="1">
        <v>0.72150000000000003</v>
      </c>
      <c r="C5360" s="1">
        <v>1.57</v>
      </c>
      <c r="D5360" s="1">
        <v>1.4608000000000001</v>
      </c>
    </row>
    <row r="5361" spans="1:4" x14ac:dyDescent="0.2">
      <c r="A5361" s="5">
        <v>43998</v>
      </c>
      <c r="B5361" s="1">
        <v>0.75280000000000002</v>
      </c>
      <c r="C5361" s="1">
        <v>1.44</v>
      </c>
      <c r="D5361" s="1">
        <v>1.5430999999999999</v>
      </c>
    </row>
    <row r="5362" spans="1:4" x14ac:dyDescent="0.2">
      <c r="A5362" s="5">
        <v>43999</v>
      </c>
      <c r="B5362" s="1">
        <v>0.73799999999999999</v>
      </c>
      <c r="C5362" s="1">
        <v>1.45</v>
      </c>
      <c r="D5362" s="1">
        <v>1.5295000000000001</v>
      </c>
    </row>
    <row r="5363" spans="1:4" x14ac:dyDescent="0.2">
      <c r="A5363" s="5">
        <v>44000</v>
      </c>
      <c r="B5363" s="1">
        <v>0.70840000000000003</v>
      </c>
      <c r="C5363" s="1">
        <v>1.47</v>
      </c>
      <c r="D5363" s="1">
        <v>1.4816</v>
      </c>
    </row>
    <row r="5364" spans="1:4" x14ac:dyDescent="0.2">
      <c r="A5364" s="5">
        <v>44001</v>
      </c>
      <c r="B5364" s="1">
        <v>0.69369999999999998</v>
      </c>
      <c r="C5364" s="1">
        <v>1.46</v>
      </c>
      <c r="D5364" s="1">
        <v>1.4581999999999999</v>
      </c>
    </row>
    <row r="5365" spans="1:4" x14ac:dyDescent="0.2">
      <c r="A5365" s="5">
        <v>44004</v>
      </c>
      <c r="B5365" s="1">
        <v>0.70850000000000002</v>
      </c>
      <c r="C5365" s="1">
        <v>1.47</v>
      </c>
      <c r="D5365" s="1">
        <v>1.4641999999999999</v>
      </c>
    </row>
    <row r="5366" spans="1:4" x14ac:dyDescent="0.2">
      <c r="A5366" s="5">
        <v>44005</v>
      </c>
      <c r="B5366" s="1">
        <v>0.71179999999999999</v>
      </c>
      <c r="C5366" s="1">
        <v>1.47</v>
      </c>
      <c r="D5366" s="1">
        <v>1.4917</v>
      </c>
    </row>
    <row r="5367" spans="1:4" x14ac:dyDescent="0.2">
      <c r="A5367" s="5">
        <v>44006</v>
      </c>
      <c r="B5367" s="1">
        <v>0.67900000000000005</v>
      </c>
      <c r="C5367" s="1">
        <v>1.51</v>
      </c>
      <c r="D5367" s="1">
        <v>1.4291</v>
      </c>
    </row>
    <row r="5368" spans="1:4" x14ac:dyDescent="0.2">
      <c r="A5368" s="5">
        <v>44007</v>
      </c>
      <c r="B5368" s="1">
        <v>0.68559999999999999</v>
      </c>
      <c r="C5368" s="1">
        <v>1.52</v>
      </c>
      <c r="D5368" s="1">
        <v>1.4343999999999999</v>
      </c>
    </row>
    <row r="5369" spans="1:4" x14ac:dyDescent="0.2">
      <c r="A5369" s="5">
        <v>44008</v>
      </c>
      <c r="B5369" s="1">
        <v>0.64129999999999998</v>
      </c>
      <c r="C5369" s="1">
        <v>1.53</v>
      </c>
      <c r="D5369" s="1">
        <v>1.3701000000000001</v>
      </c>
    </row>
    <row r="5370" spans="1:4" x14ac:dyDescent="0.2">
      <c r="A5370" s="5">
        <v>44011</v>
      </c>
      <c r="B5370" s="1">
        <v>0.62339999999999995</v>
      </c>
      <c r="C5370" s="1">
        <v>1.53</v>
      </c>
      <c r="D5370" s="1">
        <v>1.3734</v>
      </c>
    </row>
    <row r="5371" spans="1:4" x14ac:dyDescent="0.2">
      <c r="A5371" s="5">
        <v>44012</v>
      </c>
      <c r="B5371" s="1">
        <v>0.65610000000000002</v>
      </c>
      <c r="C5371" s="1">
        <v>1.5</v>
      </c>
      <c r="D5371" s="1">
        <v>1.4107000000000001</v>
      </c>
    </row>
    <row r="5372" spans="1:4" x14ac:dyDescent="0.2">
      <c r="A5372" s="5">
        <v>44013</v>
      </c>
      <c r="B5372" s="1">
        <v>0.67579999999999996</v>
      </c>
      <c r="C5372" s="1">
        <v>1.47</v>
      </c>
      <c r="D5372" s="1">
        <v>1.4232</v>
      </c>
    </row>
    <row r="5373" spans="1:4" x14ac:dyDescent="0.2">
      <c r="A5373" s="5">
        <v>44014</v>
      </c>
      <c r="B5373" s="1">
        <v>0.66930000000000001</v>
      </c>
      <c r="C5373" s="1">
        <v>1.44</v>
      </c>
      <c r="D5373" s="1">
        <v>1.4272</v>
      </c>
    </row>
    <row r="5374" spans="1:4" x14ac:dyDescent="0.2">
      <c r="A5374" s="5">
        <v>44015</v>
      </c>
      <c r="B5374" s="1">
        <v>0.66930000000000001</v>
      </c>
      <c r="C5374" s="1">
        <v>1.44</v>
      </c>
      <c r="D5374" s="1">
        <v>1.4272</v>
      </c>
    </row>
    <row r="5375" spans="1:4" x14ac:dyDescent="0.2">
      <c r="A5375" s="5">
        <v>44018</v>
      </c>
      <c r="B5375" s="1">
        <v>0.67589999999999995</v>
      </c>
      <c r="C5375" s="1">
        <v>1.4</v>
      </c>
      <c r="D5375" s="1">
        <v>1.4392</v>
      </c>
    </row>
    <row r="5376" spans="1:4" x14ac:dyDescent="0.2">
      <c r="A5376" s="5">
        <v>44019</v>
      </c>
      <c r="B5376" s="1">
        <v>0.63970000000000005</v>
      </c>
      <c r="C5376" s="1">
        <v>1.41</v>
      </c>
      <c r="D5376" s="1">
        <v>1.3748</v>
      </c>
    </row>
    <row r="5377" spans="1:4" x14ac:dyDescent="0.2">
      <c r="A5377" s="5">
        <v>44020</v>
      </c>
      <c r="B5377" s="1">
        <v>0.66439999999999999</v>
      </c>
      <c r="C5377" s="1">
        <v>1.42</v>
      </c>
      <c r="D5377" s="1">
        <v>1.3996</v>
      </c>
    </row>
    <row r="5378" spans="1:4" x14ac:dyDescent="0.2">
      <c r="A5378" s="5">
        <v>44021</v>
      </c>
      <c r="B5378" s="1">
        <v>0.61350000000000005</v>
      </c>
      <c r="C5378" s="1">
        <v>1.43</v>
      </c>
      <c r="D5378" s="1">
        <v>1.3133999999999999</v>
      </c>
    </row>
    <row r="5379" spans="1:4" x14ac:dyDescent="0.2">
      <c r="A5379" s="5">
        <v>44022</v>
      </c>
      <c r="B5379" s="1">
        <v>0.64470000000000005</v>
      </c>
      <c r="C5379" s="1">
        <v>1.43</v>
      </c>
      <c r="D5379" s="1">
        <v>1.3359000000000001</v>
      </c>
    </row>
    <row r="5380" spans="1:4" x14ac:dyDescent="0.2">
      <c r="A5380" s="5">
        <v>44025</v>
      </c>
      <c r="B5380" s="1">
        <v>0.61839999999999995</v>
      </c>
      <c r="C5380" s="1">
        <v>1.41</v>
      </c>
      <c r="D5380" s="1">
        <v>1.3077000000000001</v>
      </c>
    </row>
    <row r="5381" spans="1:4" x14ac:dyDescent="0.2">
      <c r="A5381" s="5">
        <v>44026</v>
      </c>
      <c r="B5381" s="1">
        <v>0.62329999999999997</v>
      </c>
      <c r="C5381" s="1">
        <v>1.41</v>
      </c>
      <c r="D5381" s="1">
        <v>1.3109</v>
      </c>
    </row>
    <row r="5382" spans="1:4" x14ac:dyDescent="0.2">
      <c r="A5382" s="5">
        <v>44027</v>
      </c>
      <c r="B5382" s="1">
        <v>0.62990000000000002</v>
      </c>
      <c r="C5382" s="1">
        <v>1.38</v>
      </c>
      <c r="D5382" s="1">
        <v>1.3321000000000001</v>
      </c>
    </row>
    <row r="5383" spans="1:4" x14ac:dyDescent="0.2">
      <c r="A5383" s="5">
        <v>44028</v>
      </c>
      <c r="B5383" s="1">
        <v>0.61680000000000001</v>
      </c>
      <c r="C5383" s="1">
        <v>1.38</v>
      </c>
      <c r="D5383" s="1">
        <v>1.3083</v>
      </c>
    </row>
    <row r="5384" spans="1:4" x14ac:dyDescent="0.2">
      <c r="A5384" s="5">
        <v>44029</v>
      </c>
      <c r="B5384" s="1">
        <v>0.62660000000000005</v>
      </c>
      <c r="C5384" s="1">
        <v>1.36</v>
      </c>
      <c r="D5384" s="1">
        <v>1.3289</v>
      </c>
    </row>
    <row r="5385" spans="1:4" x14ac:dyDescent="0.2">
      <c r="A5385" s="5">
        <v>44032</v>
      </c>
      <c r="B5385" s="1">
        <v>0.61019999999999996</v>
      </c>
      <c r="C5385" s="1">
        <v>1.33</v>
      </c>
      <c r="D5385" s="1">
        <v>1.3116000000000001</v>
      </c>
    </row>
    <row r="5386" spans="1:4" x14ac:dyDescent="0.2">
      <c r="A5386" s="5">
        <v>44033</v>
      </c>
      <c r="B5386" s="1">
        <v>0.60040000000000004</v>
      </c>
      <c r="C5386" s="1">
        <v>1.3</v>
      </c>
      <c r="D5386" s="1">
        <v>1.3089999999999999</v>
      </c>
    </row>
    <row r="5387" spans="1:4" x14ac:dyDescent="0.2">
      <c r="A5387" s="5">
        <v>44034</v>
      </c>
      <c r="B5387" s="1">
        <v>0.59709999999999996</v>
      </c>
      <c r="C5387" s="1">
        <v>1.29</v>
      </c>
      <c r="D5387" s="1">
        <v>1.2929999999999999</v>
      </c>
    </row>
    <row r="5388" spans="1:4" x14ac:dyDescent="0.2">
      <c r="A5388" s="5">
        <v>44035</v>
      </c>
      <c r="B5388" s="1">
        <v>0.57740000000000002</v>
      </c>
      <c r="C5388" s="1">
        <v>1.3</v>
      </c>
      <c r="D5388" s="1">
        <v>1.2311000000000001</v>
      </c>
    </row>
    <row r="5389" spans="1:4" x14ac:dyDescent="0.2">
      <c r="A5389" s="5">
        <v>44036</v>
      </c>
      <c r="B5389" s="1">
        <v>0.58879999999999999</v>
      </c>
      <c r="C5389" s="1">
        <v>1.31</v>
      </c>
      <c r="D5389" s="1">
        <v>1.2293000000000001</v>
      </c>
    </row>
    <row r="5390" spans="1:4" x14ac:dyDescent="0.2">
      <c r="A5390" s="5">
        <v>44039</v>
      </c>
      <c r="B5390" s="1">
        <v>0.61509999999999998</v>
      </c>
      <c r="C5390" s="1">
        <v>1.31</v>
      </c>
      <c r="D5390" s="1">
        <v>1.2601</v>
      </c>
    </row>
    <row r="5391" spans="1:4" x14ac:dyDescent="0.2">
      <c r="A5391" s="5">
        <v>44040</v>
      </c>
      <c r="B5391" s="1">
        <v>0.57899999999999996</v>
      </c>
      <c r="C5391" s="1">
        <v>1.32</v>
      </c>
      <c r="D5391" s="1">
        <v>1.2168000000000001</v>
      </c>
    </row>
    <row r="5392" spans="1:4" x14ac:dyDescent="0.2">
      <c r="A5392" s="5">
        <v>44041</v>
      </c>
      <c r="B5392" s="1">
        <v>0.57410000000000005</v>
      </c>
      <c r="C5392" s="1">
        <v>1.32</v>
      </c>
      <c r="D5392" s="1">
        <v>1.2362</v>
      </c>
    </row>
    <row r="5393" spans="1:4" x14ac:dyDescent="0.2">
      <c r="A5393" s="5">
        <v>44042</v>
      </c>
      <c r="B5393" s="1">
        <v>0.54620000000000002</v>
      </c>
      <c r="C5393" s="1">
        <v>1.33</v>
      </c>
      <c r="D5393" s="1">
        <v>1.2068000000000001</v>
      </c>
    </row>
    <row r="5394" spans="1:4" x14ac:dyDescent="0.2">
      <c r="A5394" s="5">
        <v>44043</v>
      </c>
      <c r="B5394" s="1">
        <v>0.5282</v>
      </c>
      <c r="C5394" s="1">
        <v>1.33</v>
      </c>
      <c r="D5394" s="1">
        <v>1.1924999999999999</v>
      </c>
    </row>
    <row r="5395" spans="1:4" x14ac:dyDescent="0.2">
      <c r="A5395" s="5">
        <v>44046</v>
      </c>
      <c r="B5395" s="1">
        <v>0.55430000000000001</v>
      </c>
      <c r="C5395" s="1">
        <v>1.31</v>
      </c>
      <c r="D5395" s="1">
        <v>1.2318</v>
      </c>
    </row>
    <row r="5396" spans="1:4" x14ac:dyDescent="0.2">
      <c r="A5396" s="5">
        <v>44047</v>
      </c>
      <c r="B5396" s="1">
        <v>0.50690000000000002</v>
      </c>
      <c r="C5396" s="1">
        <v>1.31</v>
      </c>
      <c r="D5396" s="1">
        <v>1.1857</v>
      </c>
    </row>
    <row r="5397" spans="1:4" x14ac:dyDescent="0.2">
      <c r="A5397" s="5">
        <v>44048</v>
      </c>
      <c r="B5397" s="1">
        <v>0.54769999999999996</v>
      </c>
      <c r="C5397" s="1">
        <v>1.28</v>
      </c>
      <c r="D5397" s="1">
        <v>1.2217</v>
      </c>
    </row>
    <row r="5398" spans="1:4" x14ac:dyDescent="0.2">
      <c r="A5398" s="5">
        <v>44049</v>
      </c>
      <c r="B5398" s="1">
        <v>0.53620000000000001</v>
      </c>
      <c r="C5398" s="1">
        <v>1.27</v>
      </c>
      <c r="D5398" s="1">
        <v>1.1980999999999999</v>
      </c>
    </row>
    <row r="5399" spans="1:4" x14ac:dyDescent="0.2">
      <c r="A5399" s="5">
        <v>44050</v>
      </c>
      <c r="B5399" s="1">
        <v>0.56399999999999995</v>
      </c>
      <c r="C5399" s="1">
        <v>1.26</v>
      </c>
      <c r="D5399" s="1">
        <v>1.2336</v>
      </c>
    </row>
    <row r="5400" spans="1:4" x14ac:dyDescent="0.2">
      <c r="A5400" s="5">
        <v>44053</v>
      </c>
      <c r="B5400" s="1">
        <v>0.57550000000000001</v>
      </c>
      <c r="C5400" s="1">
        <v>1.26</v>
      </c>
      <c r="D5400" s="1">
        <v>1.2538</v>
      </c>
    </row>
    <row r="5401" spans="1:4" x14ac:dyDescent="0.2">
      <c r="A5401" s="5">
        <v>44054</v>
      </c>
      <c r="B5401" s="1">
        <v>0.64149999999999996</v>
      </c>
      <c r="C5401" s="1">
        <v>1.24</v>
      </c>
      <c r="D5401" s="1">
        <v>1.329</v>
      </c>
    </row>
    <row r="5402" spans="1:4" x14ac:dyDescent="0.2">
      <c r="A5402" s="5">
        <v>44055</v>
      </c>
      <c r="B5402" s="1">
        <v>0.67469999999999997</v>
      </c>
      <c r="C5402" s="1">
        <v>1.24</v>
      </c>
      <c r="D5402" s="1">
        <v>1.3737999999999999</v>
      </c>
    </row>
    <row r="5403" spans="1:4" x14ac:dyDescent="0.2">
      <c r="A5403" s="5">
        <v>44056</v>
      </c>
      <c r="B5403" s="1">
        <v>0.7208</v>
      </c>
      <c r="C5403" s="1">
        <v>1.26</v>
      </c>
      <c r="D5403" s="1">
        <v>1.4277</v>
      </c>
    </row>
    <row r="5404" spans="1:4" x14ac:dyDescent="0.2">
      <c r="A5404" s="5">
        <v>44057</v>
      </c>
      <c r="B5404" s="1">
        <v>0.70940000000000003</v>
      </c>
      <c r="C5404" s="1">
        <v>1.28</v>
      </c>
      <c r="D5404" s="1">
        <v>1.4471000000000001</v>
      </c>
    </row>
    <row r="5405" spans="1:4" x14ac:dyDescent="0.2">
      <c r="A5405" s="5">
        <v>44060</v>
      </c>
      <c r="B5405" s="1">
        <v>0.68820000000000003</v>
      </c>
      <c r="C5405" s="1">
        <v>1.29</v>
      </c>
      <c r="D5405" s="1">
        <v>1.4340999999999999</v>
      </c>
    </row>
    <row r="5406" spans="1:4" x14ac:dyDescent="0.2">
      <c r="A5406" s="5">
        <v>44061</v>
      </c>
      <c r="B5406" s="1">
        <v>0.66869999999999996</v>
      </c>
      <c r="C5406" s="1">
        <v>1.31</v>
      </c>
      <c r="D5406" s="1">
        <v>1.3955</v>
      </c>
    </row>
    <row r="5407" spans="1:4" x14ac:dyDescent="0.2">
      <c r="A5407" s="5">
        <v>44062</v>
      </c>
      <c r="B5407" s="1">
        <v>0.68010000000000004</v>
      </c>
      <c r="C5407" s="1">
        <v>1.3</v>
      </c>
      <c r="D5407" s="1">
        <v>1.4238</v>
      </c>
    </row>
    <row r="5408" spans="1:4" x14ac:dyDescent="0.2">
      <c r="A5408" s="5">
        <v>44063</v>
      </c>
      <c r="B5408" s="1">
        <v>0.65090000000000003</v>
      </c>
      <c r="C5408" s="1">
        <v>1.31</v>
      </c>
      <c r="D5408" s="1">
        <v>1.3833</v>
      </c>
    </row>
    <row r="5409" spans="1:4" x14ac:dyDescent="0.2">
      <c r="A5409" s="5">
        <v>44064</v>
      </c>
      <c r="B5409" s="1">
        <v>0.62819999999999998</v>
      </c>
      <c r="C5409" s="1">
        <v>1.31</v>
      </c>
      <c r="D5409" s="1">
        <v>1.3407</v>
      </c>
    </row>
    <row r="5410" spans="1:4" x14ac:dyDescent="0.2">
      <c r="A5410" s="5">
        <v>44067</v>
      </c>
      <c r="B5410" s="1">
        <v>0.6542</v>
      </c>
      <c r="C5410" s="1">
        <v>1.3</v>
      </c>
      <c r="D5410" s="1">
        <v>1.3559000000000001</v>
      </c>
    </row>
    <row r="5411" spans="1:4" x14ac:dyDescent="0.2">
      <c r="A5411" s="5">
        <v>44068</v>
      </c>
      <c r="B5411" s="1">
        <v>0.6835</v>
      </c>
      <c r="C5411" s="1">
        <v>1.3</v>
      </c>
      <c r="D5411" s="1">
        <v>1.3935</v>
      </c>
    </row>
    <row r="5412" spans="1:4" x14ac:dyDescent="0.2">
      <c r="A5412" s="5">
        <v>44069</v>
      </c>
      <c r="B5412" s="1">
        <v>0.68840000000000001</v>
      </c>
      <c r="C5412" s="1">
        <v>1.31</v>
      </c>
      <c r="D5412" s="1">
        <v>1.4135</v>
      </c>
    </row>
    <row r="5413" spans="1:4" x14ac:dyDescent="0.2">
      <c r="A5413" s="5">
        <v>44070</v>
      </c>
      <c r="B5413" s="1">
        <v>0.75219999999999998</v>
      </c>
      <c r="C5413" s="1">
        <v>1.3</v>
      </c>
      <c r="D5413" s="1">
        <v>1.5096000000000001</v>
      </c>
    </row>
    <row r="5414" spans="1:4" x14ac:dyDescent="0.2">
      <c r="A5414" s="5">
        <v>44071</v>
      </c>
      <c r="B5414" s="1">
        <v>0.72109999999999996</v>
      </c>
      <c r="C5414" s="1">
        <v>1.3</v>
      </c>
      <c r="D5414" s="1">
        <v>1.5009999999999999</v>
      </c>
    </row>
    <row r="5415" spans="1:4" x14ac:dyDescent="0.2">
      <c r="A5415" s="5">
        <v>44074</v>
      </c>
      <c r="B5415" s="1">
        <v>0.70479999999999998</v>
      </c>
      <c r="C5415" s="1">
        <v>1.29</v>
      </c>
      <c r="D5415" s="1">
        <v>1.4746999999999999</v>
      </c>
    </row>
    <row r="5416" spans="1:4" x14ac:dyDescent="0.2">
      <c r="A5416" s="5">
        <v>44075</v>
      </c>
      <c r="B5416" s="1">
        <v>0.66890000000000005</v>
      </c>
      <c r="C5416" s="1">
        <v>1.28</v>
      </c>
      <c r="D5416" s="1">
        <v>1.42</v>
      </c>
    </row>
    <row r="5417" spans="1:4" x14ac:dyDescent="0.2">
      <c r="A5417" s="5">
        <v>44076</v>
      </c>
      <c r="B5417" s="1">
        <v>0.64770000000000005</v>
      </c>
      <c r="C5417" s="1">
        <v>1.26</v>
      </c>
      <c r="D5417" s="1">
        <v>1.3788</v>
      </c>
    </row>
    <row r="5418" spans="1:4" x14ac:dyDescent="0.2">
      <c r="A5418" s="5">
        <v>44077</v>
      </c>
      <c r="B5418" s="1">
        <v>0.63470000000000004</v>
      </c>
      <c r="C5418" s="1">
        <v>1.28</v>
      </c>
      <c r="D5418" s="1">
        <v>1.3615999999999999</v>
      </c>
    </row>
    <row r="5419" spans="1:4" x14ac:dyDescent="0.2">
      <c r="A5419" s="5">
        <v>44078</v>
      </c>
      <c r="B5419" s="1">
        <v>0.71799999999999997</v>
      </c>
      <c r="C5419" s="1">
        <v>1.29</v>
      </c>
      <c r="D5419" s="1">
        <v>1.4714</v>
      </c>
    </row>
    <row r="5420" spans="1:4" x14ac:dyDescent="0.2">
      <c r="A5420" s="5">
        <v>44081</v>
      </c>
      <c r="B5420" s="1">
        <v>0.71799999999999997</v>
      </c>
      <c r="C5420" s="1">
        <v>1.29</v>
      </c>
      <c r="D5420" s="1">
        <v>1.4714</v>
      </c>
    </row>
    <row r="5421" spans="1:4" x14ac:dyDescent="0.2">
      <c r="A5421" s="5">
        <v>44082</v>
      </c>
      <c r="B5421" s="1">
        <v>0.67879999999999996</v>
      </c>
      <c r="C5421" s="1">
        <v>1.31</v>
      </c>
      <c r="D5421" s="1">
        <v>1.4213</v>
      </c>
    </row>
    <row r="5422" spans="1:4" x14ac:dyDescent="0.2">
      <c r="A5422" s="5">
        <v>44083</v>
      </c>
      <c r="B5422" s="1">
        <v>0.70009999999999994</v>
      </c>
      <c r="C5422" s="1">
        <v>1.3</v>
      </c>
      <c r="D5422" s="1">
        <v>1.4570000000000001</v>
      </c>
    </row>
    <row r="5423" spans="1:4" x14ac:dyDescent="0.2">
      <c r="A5423" s="5">
        <v>44084</v>
      </c>
      <c r="B5423" s="1">
        <v>0.67720000000000002</v>
      </c>
      <c r="C5423" s="1">
        <v>1.31</v>
      </c>
      <c r="D5423" s="1">
        <v>1.4187000000000001</v>
      </c>
    </row>
    <row r="5424" spans="1:4" x14ac:dyDescent="0.2">
      <c r="A5424" s="5">
        <v>44085</v>
      </c>
      <c r="B5424" s="1">
        <v>0.66579999999999995</v>
      </c>
      <c r="C5424" s="1">
        <v>1.31</v>
      </c>
      <c r="D5424" s="1">
        <v>1.4116</v>
      </c>
    </row>
    <row r="5425" spans="1:4" x14ac:dyDescent="0.2">
      <c r="A5425" s="5">
        <v>44088</v>
      </c>
      <c r="B5425" s="1">
        <v>0.67230000000000001</v>
      </c>
      <c r="C5425" s="1">
        <v>1.29</v>
      </c>
      <c r="D5425" s="1">
        <v>1.4116</v>
      </c>
    </row>
    <row r="5426" spans="1:4" x14ac:dyDescent="0.2">
      <c r="A5426" s="5">
        <v>44089</v>
      </c>
      <c r="B5426" s="1">
        <v>0.67889999999999995</v>
      </c>
      <c r="C5426" s="1">
        <v>1.29</v>
      </c>
      <c r="D5426" s="1">
        <v>1.431</v>
      </c>
    </row>
    <row r="5427" spans="1:4" x14ac:dyDescent="0.2">
      <c r="A5427" s="5">
        <v>44090</v>
      </c>
      <c r="B5427" s="1">
        <v>0.69689999999999996</v>
      </c>
      <c r="C5427" s="1">
        <v>1.28</v>
      </c>
      <c r="D5427" s="1">
        <v>1.4590000000000001</v>
      </c>
    </row>
    <row r="5428" spans="1:4" x14ac:dyDescent="0.2">
      <c r="A5428" s="5">
        <v>44091</v>
      </c>
      <c r="B5428" s="1">
        <v>0.68869999999999998</v>
      </c>
      <c r="C5428" s="1">
        <v>1.28</v>
      </c>
      <c r="D5428" s="1">
        <v>1.4388000000000001</v>
      </c>
    </row>
    <row r="5429" spans="1:4" x14ac:dyDescent="0.2">
      <c r="A5429" s="5">
        <v>44092</v>
      </c>
      <c r="B5429" s="1">
        <v>0.69369999999999998</v>
      </c>
      <c r="C5429" s="1">
        <v>1.28</v>
      </c>
      <c r="D5429" s="1">
        <v>1.4532</v>
      </c>
    </row>
    <row r="5430" spans="1:4" x14ac:dyDescent="0.2">
      <c r="A5430" s="5">
        <v>44095</v>
      </c>
      <c r="B5430" s="1">
        <v>0.66579999999999995</v>
      </c>
      <c r="C5430" s="1">
        <v>1.3</v>
      </c>
      <c r="D5430" s="1">
        <v>1.4148000000000001</v>
      </c>
    </row>
    <row r="5431" spans="1:4" x14ac:dyDescent="0.2">
      <c r="A5431" s="5">
        <v>44096</v>
      </c>
      <c r="B5431" s="1">
        <v>0.67079999999999995</v>
      </c>
      <c r="C5431" s="1">
        <v>1.3</v>
      </c>
      <c r="D5431" s="1">
        <v>1.4233</v>
      </c>
    </row>
    <row r="5432" spans="1:4" x14ac:dyDescent="0.2">
      <c r="A5432" s="5">
        <v>44097</v>
      </c>
      <c r="B5432" s="1">
        <v>0.6724</v>
      </c>
      <c r="C5432" s="1">
        <v>1.32</v>
      </c>
      <c r="D5432" s="1">
        <v>1.4168000000000001</v>
      </c>
    </row>
    <row r="5433" spans="1:4" x14ac:dyDescent="0.2">
      <c r="A5433" s="5">
        <v>44098</v>
      </c>
      <c r="B5433" s="1">
        <v>0.66590000000000005</v>
      </c>
      <c r="C5433" s="1">
        <v>1.36</v>
      </c>
      <c r="D5433" s="1">
        <v>1.4077</v>
      </c>
    </row>
    <row r="5434" spans="1:4" x14ac:dyDescent="0.2">
      <c r="A5434" s="5">
        <v>44099</v>
      </c>
      <c r="B5434" s="1">
        <v>0.65439999999999998</v>
      </c>
      <c r="C5434" s="1">
        <v>1.4</v>
      </c>
      <c r="D5434" s="1">
        <v>1.4007000000000001</v>
      </c>
    </row>
    <row r="5435" spans="1:4" x14ac:dyDescent="0.2">
      <c r="A5435" s="5">
        <v>44102</v>
      </c>
      <c r="B5435" s="1">
        <v>0.65280000000000005</v>
      </c>
      <c r="C5435" s="1">
        <v>1.38</v>
      </c>
      <c r="D5435" s="1">
        <v>1.4149</v>
      </c>
    </row>
    <row r="5436" spans="1:4" x14ac:dyDescent="0.2">
      <c r="A5436" s="5">
        <v>44103</v>
      </c>
      <c r="B5436" s="1">
        <v>0.64949999999999997</v>
      </c>
      <c r="C5436" s="1">
        <v>1.37</v>
      </c>
      <c r="D5436" s="1">
        <v>1.4149</v>
      </c>
    </row>
    <row r="5437" spans="1:4" x14ac:dyDescent="0.2">
      <c r="A5437" s="5">
        <v>44104</v>
      </c>
      <c r="B5437" s="1">
        <v>0.68400000000000005</v>
      </c>
      <c r="C5437" s="1">
        <v>1.36</v>
      </c>
      <c r="D5437" s="1">
        <v>1.4552</v>
      </c>
    </row>
    <row r="5438" spans="1:4" x14ac:dyDescent="0.2">
      <c r="A5438" s="5">
        <v>44105</v>
      </c>
      <c r="B5438" s="1">
        <v>0.6774</v>
      </c>
      <c r="C5438" s="1">
        <v>1.35</v>
      </c>
      <c r="D5438" s="1">
        <v>1.4552</v>
      </c>
    </row>
    <row r="5439" spans="1:4" x14ac:dyDescent="0.2">
      <c r="A5439" s="5">
        <v>44106</v>
      </c>
      <c r="B5439" s="1">
        <v>0.70050000000000001</v>
      </c>
      <c r="C5439" s="1">
        <v>1.34</v>
      </c>
      <c r="D5439" s="1">
        <v>1.4867999999999999</v>
      </c>
    </row>
    <row r="5440" spans="1:4" x14ac:dyDescent="0.2">
      <c r="A5440" s="5">
        <v>44109</v>
      </c>
      <c r="B5440" s="1">
        <v>0.78169999999999995</v>
      </c>
      <c r="C5440" s="1">
        <v>1.31</v>
      </c>
      <c r="D5440" s="1">
        <v>1.5891999999999999</v>
      </c>
    </row>
    <row r="5441" spans="1:4" x14ac:dyDescent="0.2">
      <c r="A5441" s="5">
        <v>44110</v>
      </c>
      <c r="B5441" s="1">
        <v>0.73529999999999995</v>
      </c>
      <c r="C5441" s="1">
        <v>1.29</v>
      </c>
      <c r="D5441" s="1">
        <v>1.5366</v>
      </c>
    </row>
    <row r="5442" spans="1:4" x14ac:dyDescent="0.2">
      <c r="A5442" s="5">
        <v>44111</v>
      </c>
      <c r="B5442" s="1">
        <v>0.78680000000000005</v>
      </c>
      <c r="C5442" s="1">
        <v>1.28</v>
      </c>
      <c r="D5442" s="1">
        <v>1.5859000000000001</v>
      </c>
    </row>
    <row r="5443" spans="1:4" x14ac:dyDescent="0.2">
      <c r="A5443" s="5">
        <v>44112</v>
      </c>
      <c r="B5443" s="1">
        <v>0.78520000000000001</v>
      </c>
      <c r="C5443" s="1">
        <v>1.28</v>
      </c>
      <c r="D5443" s="1">
        <v>1.5866</v>
      </c>
    </row>
    <row r="5444" spans="1:4" x14ac:dyDescent="0.2">
      <c r="A5444" s="5">
        <v>44113</v>
      </c>
      <c r="B5444" s="1">
        <v>0.77370000000000005</v>
      </c>
      <c r="C5444" s="1">
        <v>1.26</v>
      </c>
      <c r="D5444" s="1">
        <v>1.5717000000000001</v>
      </c>
    </row>
    <row r="5445" spans="1:4" x14ac:dyDescent="0.2">
      <c r="A5445" s="5">
        <v>44116</v>
      </c>
      <c r="B5445" s="1">
        <v>0.77370000000000005</v>
      </c>
      <c r="C5445" s="1">
        <v>1.26</v>
      </c>
      <c r="D5445" s="1">
        <v>1.5717000000000001</v>
      </c>
    </row>
    <row r="5446" spans="1:4" x14ac:dyDescent="0.2">
      <c r="A5446" s="5">
        <v>44117</v>
      </c>
      <c r="B5446" s="1">
        <v>0.72719999999999996</v>
      </c>
      <c r="C5446" s="1">
        <v>1.26</v>
      </c>
      <c r="D5446" s="1">
        <v>1.5106999999999999</v>
      </c>
    </row>
    <row r="5447" spans="1:4" x14ac:dyDescent="0.2">
      <c r="A5447" s="5">
        <v>44118</v>
      </c>
      <c r="B5447" s="1">
        <v>0.72560000000000002</v>
      </c>
      <c r="C5447" s="1">
        <v>1.26</v>
      </c>
      <c r="D5447" s="1">
        <v>1.5054000000000001</v>
      </c>
    </row>
    <row r="5448" spans="1:4" x14ac:dyDescent="0.2">
      <c r="A5448" s="5">
        <v>44119</v>
      </c>
      <c r="B5448" s="1">
        <v>0.73219999999999996</v>
      </c>
      <c r="C5448" s="1">
        <v>1.26</v>
      </c>
      <c r="D5448" s="1">
        <v>1.5134000000000001</v>
      </c>
    </row>
    <row r="5449" spans="1:4" x14ac:dyDescent="0.2">
      <c r="A5449" s="5">
        <v>44120</v>
      </c>
      <c r="B5449" s="1">
        <v>0.74560000000000004</v>
      </c>
      <c r="C5449" s="1">
        <v>1.25</v>
      </c>
      <c r="D5449" s="1">
        <v>1.5286999999999999</v>
      </c>
    </row>
    <row r="5450" spans="1:4" x14ac:dyDescent="0.2">
      <c r="A5450" s="5">
        <v>44123</v>
      </c>
      <c r="B5450" s="1">
        <v>0.76900000000000002</v>
      </c>
      <c r="C5450" s="1">
        <v>1.24</v>
      </c>
      <c r="D5450" s="1">
        <v>1.5597000000000001</v>
      </c>
    </row>
    <row r="5451" spans="1:4" x14ac:dyDescent="0.2">
      <c r="A5451" s="5">
        <v>44124</v>
      </c>
      <c r="B5451" s="1">
        <v>0.78569999999999995</v>
      </c>
      <c r="C5451" s="1">
        <v>1.24</v>
      </c>
      <c r="D5451" s="1">
        <v>1.5914999999999999</v>
      </c>
    </row>
    <row r="5452" spans="1:4" x14ac:dyDescent="0.2">
      <c r="A5452" s="5">
        <v>44125</v>
      </c>
      <c r="B5452" s="1">
        <v>0.8226</v>
      </c>
      <c r="C5452" s="1">
        <v>1.24</v>
      </c>
      <c r="D5452" s="1">
        <v>1.6354</v>
      </c>
    </row>
    <row r="5453" spans="1:4" x14ac:dyDescent="0.2">
      <c r="A5453" s="5">
        <v>44126</v>
      </c>
      <c r="B5453" s="1">
        <v>0.85619999999999996</v>
      </c>
      <c r="C5453" s="1">
        <v>1.23</v>
      </c>
      <c r="D5453" s="1">
        <v>1.6756</v>
      </c>
    </row>
    <row r="5454" spans="1:4" x14ac:dyDescent="0.2">
      <c r="A5454" s="5">
        <v>44127</v>
      </c>
      <c r="B5454" s="1">
        <v>0.84289999999999998</v>
      </c>
      <c r="C5454" s="1">
        <v>1.23</v>
      </c>
      <c r="D5454" s="1">
        <v>1.641</v>
      </c>
    </row>
    <row r="5455" spans="1:4" x14ac:dyDescent="0.2">
      <c r="A5455" s="5">
        <v>44130</v>
      </c>
      <c r="B5455" s="1">
        <v>0.80100000000000005</v>
      </c>
      <c r="C5455" s="1">
        <v>1.23</v>
      </c>
      <c r="D5455" s="1">
        <v>1.5909</v>
      </c>
    </row>
    <row r="5456" spans="1:4" x14ac:dyDescent="0.2">
      <c r="A5456" s="5">
        <v>44131</v>
      </c>
      <c r="B5456" s="1">
        <v>0.76759999999999995</v>
      </c>
      <c r="C5456" s="1">
        <v>1.23</v>
      </c>
      <c r="D5456" s="1">
        <v>1.5529999999999999</v>
      </c>
    </row>
    <row r="5457" spans="1:4" x14ac:dyDescent="0.2">
      <c r="A5457" s="5">
        <v>44132</v>
      </c>
      <c r="B5457" s="1">
        <v>0.77100000000000002</v>
      </c>
      <c r="C5457" s="1">
        <v>1.25</v>
      </c>
      <c r="D5457" s="1">
        <v>1.5537000000000001</v>
      </c>
    </row>
    <row r="5458" spans="1:4" x14ac:dyDescent="0.2">
      <c r="A5458" s="5">
        <v>44133</v>
      </c>
      <c r="B5458" s="1">
        <v>0.82299999999999995</v>
      </c>
      <c r="C5458" s="1">
        <v>1.25</v>
      </c>
      <c r="D5458" s="1">
        <v>1.6019000000000001</v>
      </c>
    </row>
    <row r="5459" spans="1:4" x14ac:dyDescent="0.2">
      <c r="A5459" s="5">
        <v>44134</v>
      </c>
      <c r="B5459" s="1">
        <v>0.87370000000000003</v>
      </c>
      <c r="C5459" s="1">
        <v>1.25</v>
      </c>
      <c r="D5459" s="1">
        <v>1.6597999999999999</v>
      </c>
    </row>
    <row r="5460" spans="1:4" x14ac:dyDescent="0.2">
      <c r="A5460" s="5">
        <v>44137</v>
      </c>
      <c r="B5460" s="1">
        <v>0.84340000000000004</v>
      </c>
      <c r="C5460" s="1">
        <v>1.26</v>
      </c>
      <c r="D5460" s="1">
        <v>1.6163000000000001</v>
      </c>
    </row>
    <row r="5461" spans="1:4" x14ac:dyDescent="0.2">
      <c r="A5461" s="5">
        <v>44138</v>
      </c>
      <c r="B5461" s="1">
        <v>0.89929999999999999</v>
      </c>
      <c r="C5461" s="1">
        <v>1.24</v>
      </c>
      <c r="D5461" s="1">
        <v>1.68</v>
      </c>
    </row>
    <row r="5462" spans="1:4" x14ac:dyDescent="0.2">
      <c r="A5462" s="5">
        <v>44139</v>
      </c>
      <c r="B5462" s="1">
        <v>0.76290000000000002</v>
      </c>
      <c r="C5462" s="1">
        <v>1.22</v>
      </c>
      <c r="D5462" s="1">
        <v>1.5409999999999999</v>
      </c>
    </row>
    <row r="5463" spans="1:4" x14ac:dyDescent="0.2">
      <c r="A5463" s="5">
        <v>44140</v>
      </c>
      <c r="B5463" s="1">
        <v>0.76290000000000002</v>
      </c>
      <c r="C5463" s="1">
        <v>1.19</v>
      </c>
      <c r="D5463" s="1">
        <v>1.5236000000000001</v>
      </c>
    </row>
    <row r="5464" spans="1:4" x14ac:dyDescent="0.2">
      <c r="A5464" s="5">
        <v>44141</v>
      </c>
      <c r="B5464" s="1">
        <v>0.81850000000000001</v>
      </c>
      <c r="C5464" s="1">
        <v>1.17</v>
      </c>
      <c r="D5464" s="1">
        <v>1.6</v>
      </c>
    </row>
    <row r="5465" spans="1:4" x14ac:dyDescent="0.2">
      <c r="A5465" s="5">
        <v>44144</v>
      </c>
      <c r="B5465" s="1">
        <v>0.92349999999999999</v>
      </c>
      <c r="C5465" s="1">
        <v>1.1000000000000001</v>
      </c>
      <c r="D5465" s="1">
        <v>1.7089000000000001</v>
      </c>
    </row>
    <row r="5466" spans="1:4" x14ac:dyDescent="0.2">
      <c r="A5466" s="5">
        <v>44145</v>
      </c>
      <c r="B5466" s="1">
        <v>0.95950000000000002</v>
      </c>
      <c r="C5466" s="1">
        <v>1.1100000000000001</v>
      </c>
      <c r="D5466" s="1">
        <v>1.7415</v>
      </c>
    </row>
    <row r="5467" spans="1:4" x14ac:dyDescent="0.2">
      <c r="A5467" s="5">
        <v>44146</v>
      </c>
      <c r="B5467" s="1">
        <v>0.97529999999999994</v>
      </c>
      <c r="C5467" s="1">
        <v>1.1100000000000001</v>
      </c>
      <c r="D5467" s="1">
        <v>1.7415</v>
      </c>
    </row>
    <row r="5468" spans="1:4" x14ac:dyDescent="0.2">
      <c r="A5468" s="5">
        <v>44147</v>
      </c>
      <c r="B5468" s="1">
        <v>0.88149999999999995</v>
      </c>
      <c r="C5468" s="1">
        <v>1.1499999999999999</v>
      </c>
      <c r="D5468" s="1">
        <v>1.6385000000000001</v>
      </c>
    </row>
    <row r="5469" spans="1:4" x14ac:dyDescent="0.2">
      <c r="A5469" s="5">
        <v>44148</v>
      </c>
      <c r="B5469" s="1">
        <v>0.89629999999999999</v>
      </c>
      <c r="C5469" s="1">
        <v>1.1399999999999999</v>
      </c>
      <c r="D5469" s="1">
        <v>1.6469</v>
      </c>
    </row>
    <row r="5470" spans="1:4" x14ac:dyDescent="0.2">
      <c r="A5470" s="5">
        <v>44151</v>
      </c>
      <c r="B5470" s="1">
        <v>0.90610000000000002</v>
      </c>
      <c r="C5470" s="1">
        <v>1.1200000000000001</v>
      </c>
      <c r="D5470" s="1">
        <v>1.6628000000000001</v>
      </c>
    </row>
    <row r="5471" spans="1:4" x14ac:dyDescent="0.2">
      <c r="A5471" s="5">
        <v>44152</v>
      </c>
      <c r="B5471" s="1">
        <v>0.85699999999999998</v>
      </c>
      <c r="C5471" s="1">
        <v>1.1200000000000001</v>
      </c>
      <c r="D5471" s="1">
        <v>1.6059000000000001</v>
      </c>
    </row>
    <row r="5472" spans="1:4" x14ac:dyDescent="0.2">
      <c r="A5472" s="5">
        <v>44153</v>
      </c>
      <c r="B5472" s="1">
        <v>0.87009999999999998</v>
      </c>
      <c r="C5472" s="1">
        <v>1.1000000000000001</v>
      </c>
      <c r="D5472" s="1">
        <v>1.6</v>
      </c>
    </row>
    <row r="5473" spans="1:4" x14ac:dyDescent="0.2">
      <c r="A5473" s="5">
        <v>44154</v>
      </c>
      <c r="B5473" s="1">
        <v>0.82930000000000004</v>
      </c>
      <c r="C5473" s="1">
        <v>1.0900000000000001</v>
      </c>
      <c r="D5473" s="1">
        <v>1.5452999999999999</v>
      </c>
    </row>
    <row r="5474" spans="1:4" x14ac:dyDescent="0.2">
      <c r="A5474" s="5">
        <v>44155</v>
      </c>
      <c r="B5474" s="1">
        <v>0.82430000000000003</v>
      </c>
      <c r="C5474" s="1">
        <v>1.1000000000000001</v>
      </c>
      <c r="D5474" s="1">
        <v>1.5196000000000001</v>
      </c>
    </row>
    <row r="5475" spans="1:4" x14ac:dyDescent="0.2">
      <c r="A5475" s="5">
        <v>44158</v>
      </c>
      <c r="B5475" s="1">
        <v>0.85370000000000001</v>
      </c>
      <c r="C5475" s="1">
        <v>1.0900000000000001</v>
      </c>
      <c r="D5475" s="1">
        <v>1.5530999999999999</v>
      </c>
    </row>
    <row r="5476" spans="1:4" x14ac:dyDescent="0.2">
      <c r="A5476" s="5">
        <v>44159</v>
      </c>
      <c r="B5476" s="1">
        <v>0.87990000000000002</v>
      </c>
      <c r="C5476" s="1">
        <v>1.07</v>
      </c>
      <c r="D5476" s="1">
        <v>1.6052</v>
      </c>
    </row>
    <row r="5477" spans="1:4" x14ac:dyDescent="0.2">
      <c r="A5477" s="5">
        <v>44160</v>
      </c>
      <c r="B5477" s="1">
        <v>0.88160000000000005</v>
      </c>
      <c r="C5477" s="1">
        <v>1.07</v>
      </c>
      <c r="D5477" s="1">
        <v>1.6236999999999999</v>
      </c>
    </row>
    <row r="5478" spans="1:4" x14ac:dyDescent="0.2">
      <c r="A5478" s="5">
        <v>44161</v>
      </c>
      <c r="B5478" s="1">
        <v>0.88160000000000005</v>
      </c>
      <c r="C5478" s="1">
        <v>1.07</v>
      </c>
      <c r="D5478" s="1">
        <v>1.6236999999999999</v>
      </c>
    </row>
    <row r="5479" spans="1:4" x14ac:dyDescent="0.2">
      <c r="A5479" s="5">
        <v>44162</v>
      </c>
      <c r="B5479" s="1">
        <v>0.83730000000000004</v>
      </c>
      <c r="C5479" s="1">
        <v>1.06</v>
      </c>
      <c r="D5479" s="1">
        <v>1.5699000000000001</v>
      </c>
    </row>
    <row r="5480" spans="1:4" x14ac:dyDescent="0.2">
      <c r="A5480" s="5">
        <v>44165</v>
      </c>
      <c r="B5480" s="1">
        <v>0.83889999999999998</v>
      </c>
      <c r="C5480" s="1">
        <v>1.04</v>
      </c>
      <c r="D5480" s="1">
        <v>1.5672999999999999</v>
      </c>
    </row>
    <row r="5481" spans="1:4" x14ac:dyDescent="0.2">
      <c r="A5481" s="5">
        <v>44166</v>
      </c>
      <c r="B5481" s="1">
        <v>0.92600000000000005</v>
      </c>
      <c r="C5481" s="1">
        <v>1.01</v>
      </c>
      <c r="D5481" s="1">
        <v>1.6681999999999999</v>
      </c>
    </row>
    <row r="5482" spans="1:4" x14ac:dyDescent="0.2">
      <c r="A5482" s="5">
        <v>44167</v>
      </c>
      <c r="B5482" s="1">
        <v>0.93600000000000005</v>
      </c>
      <c r="C5482" s="1">
        <v>1</v>
      </c>
      <c r="D5482" s="1">
        <v>1.6856</v>
      </c>
    </row>
    <row r="5483" spans="1:4" x14ac:dyDescent="0.2">
      <c r="A5483" s="5">
        <v>44168</v>
      </c>
      <c r="B5483" s="1">
        <v>0.90629999999999999</v>
      </c>
      <c r="C5483" s="1">
        <v>0.99</v>
      </c>
      <c r="D5483" s="1">
        <v>1.6529</v>
      </c>
    </row>
    <row r="5484" spans="1:4" x14ac:dyDescent="0.2">
      <c r="A5484" s="5">
        <v>44169</v>
      </c>
      <c r="B5484" s="1">
        <v>0.96589999999999998</v>
      </c>
      <c r="C5484" s="1">
        <v>1</v>
      </c>
      <c r="D5484" s="1">
        <v>1.7343999999999999</v>
      </c>
    </row>
    <row r="5485" spans="1:4" x14ac:dyDescent="0.2">
      <c r="A5485" s="5">
        <v>44172</v>
      </c>
      <c r="B5485" s="1">
        <v>0.92279999999999995</v>
      </c>
      <c r="C5485" s="1">
        <v>1</v>
      </c>
      <c r="D5485" s="1">
        <v>1.6796</v>
      </c>
    </row>
    <row r="5486" spans="1:4" x14ac:dyDescent="0.2">
      <c r="A5486" s="5">
        <v>44173</v>
      </c>
      <c r="B5486" s="1">
        <v>0.91790000000000005</v>
      </c>
      <c r="C5486" s="1">
        <v>1.02</v>
      </c>
      <c r="D5486" s="1">
        <v>1.6621999999999999</v>
      </c>
    </row>
    <row r="5487" spans="1:4" x14ac:dyDescent="0.2">
      <c r="A5487" s="5">
        <v>44174</v>
      </c>
      <c r="B5487" s="1">
        <v>0.93610000000000004</v>
      </c>
      <c r="C5487" s="1">
        <v>1.04</v>
      </c>
      <c r="D5487" s="1">
        <v>1.6842999999999999</v>
      </c>
    </row>
    <row r="5488" spans="1:4" x14ac:dyDescent="0.2">
      <c r="A5488" s="5">
        <v>44175</v>
      </c>
      <c r="B5488" s="1">
        <v>0.90629999999999999</v>
      </c>
      <c r="C5488" s="1">
        <v>1.03</v>
      </c>
      <c r="D5488" s="1">
        <v>1.627</v>
      </c>
    </row>
    <row r="5489" spans="1:4" x14ac:dyDescent="0.2">
      <c r="A5489" s="5">
        <v>44176</v>
      </c>
      <c r="B5489" s="1">
        <v>0.89639999999999997</v>
      </c>
      <c r="C5489" s="1">
        <v>1.05</v>
      </c>
      <c r="D5489" s="1">
        <v>1.627</v>
      </c>
    </row>
    <row r="5490" spans="1:4" x14ac:dyDescent="0.2">
      <c r="A5490" s="5">
        <v>44179</v>
      </c>
      <c r="B5490" s="1">
        <v>0.8931</v>
      </c>
      <c r="C5490" s="1">
        <v>1.04</v>
      </c>
      <c r="D5490" s="1">
        <v>1.629</v>
      </c>
    </row>
    <row r="5491" spans="1:4" x14ac:dyDescent="0.2">
      <c r="A5491" s="5">
        <v>44180</v>
      </c>
      <c r="B5491" s="1">
        <v>0.90800000000000003</v>
      </c>
      <c r="C5491" s="1">
        <v>1.03</v>
      </c>
      <c r="D5491" s="1">
        <v>1.6501999999999999</v>
      </c>
    </row>
    <row r="5492" spans="1:4" x14ac:dyDescent="0.2">
      <c r="A5492" s="5">
        <v>44181</v>
      </c>
      <c r="B5492" s="1">
        <v>0.9163</v>
      </c>
      <c r="C5492" s="1">
        <v>1.02</v>
      </c>
      <c r="D5492" s="1">
        <v>1.6555</v>
      </c>
    </row>
    <row r="5493" spans="1:4" x14ac:dyDescent="0.2">
      <c r="A5493" s="5">
        <v>44182</v>
      </c>
      <c r="B5493" s="1">
        <v>0.93289999999999995</v>
      </c>
      <c r="C5493" s="1">
        <v>1</v>
      </c>
      <c r="D5493" s="1">
        <v>1.6802999999999999</v>
      </c>
    </row>
    <row r="5494" spans="1:4" x14ac:dyDescent="0.2">
      <c r="A5494" s="5">
        <v>44183</v>
      </c>
      <c r="B5494" s="1">
        <v>0.94620000000000004</v>
      </c>
      <c r="C5494" s="1">
        <v>1</v>
      </c>
      <c r="D5494" s="1">
        <v>1.6918</v>
      </c>
    </row>
    <row r="5495" spans="1:4" x14ac:dyDescent="0.2">
      <c r="A5495" s="5">
        <v>44186</v>
      </c>
      <c r="B5495" s="1">
        <v>0.93459999999999999</v>
      </c>
      <c r="C5495" s="1">
        <v>1.01</v>
      </c>
      <c r="D5495" s="1">
        <v>1.673</v>
      </c>
    </row>
    <row r="5496" spans="1:4" x14ac:dyDescent="0.2">
      <c r="A5496" s="5">
        <v>44187</v>
      </c>
      <c r="B5496" s="1">
        <v>0.91639999999999999</v>
      </c>
      <c r="C5496" s="1">
        <v>1.01</v>
      </c>
      <c r="D5496" s="1">
        <v>1.6482000000000001</v>
      </c>
    </row>
    <row r="5497" spans="1:4" x14ac:dyDescent="0.2">
      <c r="A5497" s="5">
        <v>44188</v>
      </c>
      <c r="B5497" s="1">
        <v>0.94299999999999995</v>
      </c>
      <c r="C5497" s="1">
        <v>0.99</v>
      </c>
      <c r="D5497" s="1">
        <v>1.681</v>
      </c>
    </row>
    <row r="5498" spans="1:4" x14ac:dyDescent="0.2">
      <c r="A5498" s="5">
        <v>44189</v>
      </c>
      <c r="B5498" s="1">
        <v>0.92310000000000003</v>
      </c>
      <c r="C5498" s="1">
        <v>1</v>
      </c>
      <c r="D5498" s="1">
        <v>1.6601999999999999</v>
      </c>
    </row>
    <row r="5499" spans="1:4" x14ac:dyDescent="0.2">
      <c r="A5499" s="5">
        <v>44190</v>
      </c>
      <c r="B5499" s="1">
        <v>0.92310000000000003</v>
      </c>
      <c r="C5499" s="1">
        <v>1</v>
      </c>
      <c r="D5499" s="1">
        <v>1.6601999999999999</v>
      </c>
    </row>
    <row r="5500" spans="1:4" x14ac:dyDescent="0.2">
      <c r="A5500" s="5">
        <v>44193</v>
      </c>
      <c r="B5500" s="1">
        <v>0.92310000000000003</v>
      </c>
      <c r="C5500" s="1">
        <v>0.98</v>
      </c>
      <c r="D5500" s="1">
        <v>1.6589</v>
      </c>
    </row>
    <row r="5501" spans="1:4" x14ac:dyDescent="0.2">
      <c r="A5501" s="5">
        <v>44194</v>
      </c>
      <c r="B5501" s="1">
        <v>0.93640000000000001</v>
      </c>
      <c r="C5501" s="1">
        <v>0.97</v>
      </c>
      <c r="D5501" s="1">
        <v>1.675</v>
      </c>
    </row>
    <row r="5502" spans="1:4" x14ac:dyDescent="0.2">
      <c r="A5502" s="5">
        <v>44195</v>
      </c>
      <c r="B5502" s="1">
        <v>0.92310000000000003</v>
      </c>
      <c r="C5502" s="1">
        <v>0.96</v>
      </c>
      <c r="D5502" s="1">
        <v>1.6556</v>
      </c>
    </row>
    <row r="5503" spans="1:4" x14ac:dyDescent="0.2">
      <c r="A5503" s="5">
        <v>44196</v>
      </c>
      <c r="B5503" s="1">
        <v>0.91320000000000001</v>
      </c>
      <c r="C5503" s="1">
        <v>0.96</v>
      </c>
      <c r="D5503" s="1">
        <v>1.6449</v>
      </c>
    </row>
    <row r="5504" spans="1:4" x14ac:dyDescent="0.2">
      <c r="A5504" s="5">
        <v>44197</v>
      </c>
      <c r="B5504" s="1">
        <v>0.91320000000000001</v>
      </c>
      <c r="C5504" s="1">
        <v>0.96</v>
      </c>
      <c r="D5504" s="1">
        <v>1.6449</v>
      </c>
    </row>
    <row r="5505" spans="1:4" x14ac:dyDescent="0.2">
      <c r="A5505" s="5">
        <v>44200</v>
      </c>
      <c r="B5505" s="1">
        <v>0.91320000000000001</v>
      </c>
      <c r="C5505" s="1">
        <v>0.98</v>
      </c>
      <c r="D5505" s="1">
        <v>1.6556</v>
      </c>
    </row>
    <row r="5506" spans="1:4" x14ac:dyDescent="0.2">
      <c r="A5506" s="5">
        <v>44201</v>
      </c>
      <c r="B5506" s="1">
        <v>0.95489999999999997</v>
      </c>
      <c r="C5506" s="1">
        <v>0.99</v>
      </c>
      <c r="D5506" s="1">
        <v>1.7081</v>
      </c>
    </row>
    <row r="5507" spans="1:4" x14ac:dyDescent="0.2">
      <c r="A5507" s="5">
        <v>44202</v>
      </c>
      <c r="B5507" s="1">
        <v>1.0355000000000001</v>
      </c>
      <c r="C5507" s="1">
        <v>0.98</v>
      </c>
      <c r="D5507" s="1">
        <v>1.8140000000000001</v>
      </c>
    </row>
    <row r="5508" spans="1:4" x14ac:dyDescent="0.2">
      <c r="A5508" s="5">
        <v>44203</v>
      </c>
      <c r="B5508" s="1">
        <v>1.0794999999999999</v>
      </c>
      <c r="C5508" s="1">
        <v>0.96</v>
      </c>
      <c r="D5508" s="1">
        <v>1.8527</v>
      </c>
    </row>
    <row r="5509" spans="1:4" x14ac:dyDescent="0.2">
      <c r="A5509" s="5">
        <v>44204</v>
      </c>
      <c r="B5509" s="1">
        <v>1.1153</v>
      </c>
      <c r="C5509" s="1">
        <v>0.95</v>
      </c>
      <c r="D5509" s="1">
        <v>1.8733</v>
      </c>
    </row>
    <row r="5510" spans="1:4" x14ac:dyDescent="0.2">
      <c r="A5510" s="5">
        <v>44207</v>
      </c>
      <c r="B5510" s="1">
        <v>1.1459999999999999</v>
      </c>
      <c r="C5510" s="1">
        <v>0.95</v>
      </c>
      <c r="D5510" s="1">
        <v>1.8832</v>
      </c>
    </row>
    <row r="5511" spans="1:4" x14ac:dyDescent="0.2">
      <c r="A5511" s="5">
        <v>44208</v>
      </c>
      <c r="B5511" s="1">
        <v>1.1291</v>
      </c>
      <c r="C5511" s="1">
        <v>0.95</v>
      </c>
      <c r="D5511" s="1">
        <v>1.8718999999999999</v>
      </c>
    </row>
    <row r="5512" spans="1:4" x14ac:dyDescent="0.2">
      <c r="A5512" s="5">
        <v>44209</v>
      </c>
      <c r="B5512" s="1">
        <v>1.0831999999999999</v>
      </c>
      <c r="C5512" s="1">
        <v>0.93</v>
      </c>
      <c r="D5512" s="1">
        <v>1.8154999999999999</v>
      </c>
    </row>
    <row r="5513" spans="1:4" x14ac:dyDescent="0.2">
      <c r="A5513" s="5">
        <v>44210</v>
      </c>
      <c r="B5513" s="1">
        <v>1.1292</v>
      </c>
      <c r="C5513" s="1">
        <v>0.93</v>
      </c>
      <c r="D5513" s="1">
        <v>1.8718999999999999</v>
      </c>
    </row>
    <row r="5514" spans="1:4" x14ac:dyDescent="0.2">
      <c r="A5514" s="5">
        <v>44211</v>
      </c>
      <c r="B5514" s="1">
        <v>1.0834999999999999</v>
      </c>
      <c r="C5514" s="1">
        <v>0.94</v>
      </c>
      <c r="D5514" s="1">
        <v>1.8331</v>
      </c>
    </row>
    <row r="5515" spans="1:4" x14ac:dyDescent="0.2">
      <c r="A5515" s="5">
        <v>44214</v>
      </c>
      <c r="B5515" s="1">
        <v>1.0834999999999999</v>
      </c>
      <c r="C5515" s="1">
        <v>0.94</v>
      </c>
      <c r="D5515" s="1">
        <v>1.8331</v>
      </c>
    </row>
    <row r="5516" spans="1:4" x14ac:dyDescent="0.2">
      <c r="A5516" s="5">
        <v>44215</v>
      </c>
      <c r="B5516" s="1">
        <v>1.0886</v>
      </c>
      <c r="C5516" s="1">
        <v>0.92</v>
      </c>
      <c r="D5516" s="1">
        <v>1.8338000000000001</v>
      </c>
    </row>
    <row r="5517" spans="1:4" x14ac:dyDescent="0.2">
      <c r="A5517" s="5">
        <v>44216</v>
      </c>
      <c r="B5517" s="1">
        <v>1.0802</v>
      </c>
      <c r="C5517" s="1">
        <v>0.93</v>
      </c>
      <c r="D5517" s="1">
        <v>1.8295999999999999</v>
      </c>
    </row>
    <row r="5518" spans="1:4" x14ac:dyDescent="0.2">
      <c r="A5518" s="5">
        <v>44217</v>
      </c>
      <c r="B5518" s="1">
        <v>1.1057999999999999</v>
      </c>
      <c r="C5518" s="1">
        <v>0.94</v>
      </c>
      <c r="D5518" s="1">
        <v>1.8692</v>
      </c>
    </row>
    <row r="5519" spans="1:4" x14ac:dyDescent="0.2">
      <c r="A5519" s="5">
        <v>44218</v>
      </c>
      <c r="B5519" s="1">
        <v>1.0854999999999999</v>
      </c>
      <c r="C5519" s="1">
        <v>0.95</v>
      </c>
      <c r="D5519" s="1">
        <v>1.8466</v>
      </c>
    </row>
    <row r="5520" spans="1:4" x14ac:dyDescent="0.2">
      <c r="A5520" s="5">
        <v>44221</v>
      </c>
      <c r="B5520" s="1">
        <v>1.0295000000000001</v>
      </c>
      <c r="C5520" s="1">
        <v>0.96</v>
      </c>
      <c r="D5520" s="1">
        <v>1.792</v>
      </c>
    </row>
    <row r="5521" spans="1:4" x14ac:dyDescent="0.2">
      <c r="A5521" s="5">
        <v>44222</v>
      </c>
      <c r="B5521" s="1">
        <v>1.0347</v>
      </c>
      <c r="C5521" s="1">
        <v>0.96</v>
      </c>
      <c r="D5521" s="1">
        <v>1.7906</v>
      </c>
    </row>
    <row r="5522" spans="1:4" x14ac:dyDescent="0.2">
      <c r="A5522" s="5">
        <v>44223</v>
      </c>
      <c r="B5522" s="1">
        <v>1.0161</v>
      </c>
      <c r="C5522" s="1">
        <v>0.98</v>
      </c>
      <c r="D5522" s="1">
        <v>1.774</v>
      </c>
    </row>
    <row r="5523" spans="1:4" x14ac:dyDescent="0.2">
      <c r="A5523" s="5">
        <v>44224</v>
      </c>
      <c r="B5523" s="1">
        <v>1.0448999999999999</v>
      </c>
      <c r="C5523" s="1">
        <v>0.97</v>
      </c>
      <c r="D5523" s="1">
        <v>1.8046</v>
      </c>
    </row>
    <row r="5524" spans="1:4" x14ac:dyDescent="0.2">
      <c r="A5524" s="5">
        <v>44225</v>
      </c>
      <c r="B5524" s="1">
        <v>1.0654999999999999</v>
      </c>
      <c r="C5524" s="1">
        <v>0.97</v>
      </c>
      <c r="D5524" s="1">
        <v>1.8290999999999999</v>
      </c>
    </row>
    <row r="5525" spans="1:4" x14ac:dyDescent="0.2">
      <c r="A5525" s="5">
        <v>44228</v>
      </c>
      <c r="B5525" s="1">
        <v>1.0791999999999999</v>
      </c>
      <c r="C5525" s="1">
        <v>0.97</v>
      </c>
      <c r="D5525" s="1">
        <v>1.8537999999999999</v>
      </c>
    </row>
    <row r="5526" spans="1:4" x14ac:dyDescent="0.2">
      <c r="A5526" s="5">
        <v>44229</v>
      </c>
      <c r="B5526" s="1">
        <v>1.0963000000000001</v>
      </c>
      <c r="C5526" s="1">
        <v>0.96</v>
      </c>
      <c r="D5526" s="1">
        <v>1.8694</v>
      </c>
    </row>
    <row r="5527" spans="1:4" x14ac:dyDescent="0.2">
      <c r="A5527" s="5">
        <v>44230</v>
      </c>
      <c r="B5527" s="1">
        <v>1.1374</v>
      </c>
      <c r="C5527" s="1">
        <v>0.95</v>
      </c>
      <c r="D5527" s="1">
        <v>1.9252</v>
      </c>
    </row>
    <row r="5528" spans="1:4" x14ac:dyDescent="0.2">
      <c r="A5528" s="5">
        <v>44231</v>
      </c>
      <c r="B5528" s="1">
        <v>1.1392</v>
      </c>
      <c r="C5528" s="1">
        <v>0.94</v>
      </c>
      <c r="D5528" s="1">
        <v>1.9382999999999999</v>
      </c>
    </row>
    <row r="5529" spans="1:4" x14ac:dyDescent="0.2">
      <c r="A5529" s="5">
        <v>44232</v>
      </c>
      <c r="B5529" s="1">
        <v>1.1635</v>
      </c>
      <c r="C5529" s="1">
        <v>0.93</v>
      </c>
      <c r="D5529" s="1">
        <v>1.9711000000000001</v>
      </c>
    </row>
    <row r="5530" spans="1:4" x14ac:dyDescent="0.2">
      <c r="A5530" s="5">
        <v>44235</v>
      </c>
      <c r="B5530" s="1">
        <v>1.1705000000000001</v>
      </c>
      <c r="C5530" s="1">
        <v>0.91</v>
      </c>
      <c r="D5530" s="1">
        <v>1.9529000000000001</v>
      </c>
    </row>
    <row r="5531" spans="1:4" x14ac:dyDescent="0.2">
      <c r="A5531" s="5">
        <v>44236</v>
      </c>
      <c r="B5531" s="1">
        <v>1.1568000000000001</v>
      </c>
      <c r="C5531" s="1">
        <v>0.92</v>
      </c>
      <c r="D5531" s="1">
        <v>1.9478</v>
      </c>
    </row>
    <row r="5532" spans="1:4" x14ac:dyDescent="0.2">
      <c r="A5532" s="5">
        <v>44237</v>
      </c>
      <c r="B5532" s="1">
        <v>1.1225000000000001</v>
      </c>
      <c r="C5532" s="1">
        <v>0.92</v>
      </c>
      <c r="D5532" s="1">
        <v>1.9074</v>
      </c>
    </row>
    <row r="5533" spans="1:4" x14ac:dyDescent="0.2">
      <c r="A5533" s="5">
        <v>44238</v>
      </c>
      <c r="B5533" s="1">
        <v>1.1632</v>
      </c>
      <c r="C5533" s="1">
        <v>0.92</v>
      </c>
      <c r="D5533" s="1">
        <v>1.95</v>
      </c>
    </row>
    <row r="5534" spans="1:4" x14ac:dyDescent="0.2">
      <c r="A5534" s="5">
        <v>44239</v>
      </c>
      <c r="B5534" s="1">
        <v>1.2081999999999999</v>
      </c>
      <c r="C5534" s="1">
        <v>0.92</v>
      </c>
      <c r="D5534" s="1">
        <v>2.0085999999999999</v>
      </c>
    </row>
    <row r="5535" spans="1:4" x14ac:dyDescent="0.2">
      <c r="A5535" s="5">
        <v>44242</v>
      </c>
      <c r="B5535" s="1">
        <v>1.2081999999999999</v>
      </c>
      <c r="C5535" s="1">
        <v>0.92</v>
      </c>
      <c r="D5535" s="1">
        <v>2.0085999999999999</v>
      </c>
    </row>
    <row r="5536" spans="1:4" x14ac:dyDescent="0.2">
      <c r="A5536" s="5">
        <v>44243</v>
      </c>
      <c r="B5536" s="1">
        <v>1.3141</v>
      </c>
      <c r="C5536" s="1">
        <v>0.9</v>
      </c>
      <c r="D5536" s="1">
        <v>2.0918000000000001</v>
      </c>
    </row>
    <row r="5537" spans="1:4" x14ac:dyDescent="0.2">
      <c r="A5537" s="5">
        <v>44244</v>
      </c>
      <c r="B5537" s="1">
        <v>1.2703</v>
      </c>
      <c r="C5537" s="1">
        <v>0.89</v>
      </c>
      <c r="D5537" s="1">
        <v>2.0371000000000001</v>
      </c>
    </row>
    <row r="5538" spans="1:4" x14ac:dyDescent="0.2">
      <c r="A5538" s="5">
        <v>44245</v>
      </c>
      <c r="B5538" s="1">
        <v>1.2956000000000001</v>
      </c>
      <c r="C5538" s="1">
        <v>0.88</v>
      </c>
      <c r="D5538" s="1">
        <v>2.0817000000000001</v>
      </c>
    </row>
    <row r="5539" spans="1:4" x14ac:dyDescent="0.2">
      <c r="A5539" s="5">
        <v>44246</v>
      </c>
      <c r="B5539" s="1">
        <v>1.3364</v>
      </c>
      <c r="C5539" s="1">
        <v>0.89</v>
      </c>
      <c r="D5539" s="1">
        <v>2.1335000000000002</v>
      </c>
    </row>
    <row r="5540" spans="1:4" x14ac:dyDescent="0.2">
      <c r="A5540" s="5">
        <v>44249</v>
      </c>
      <c r="B5540" s="1">
        <v>1.3653</v>
      </c>
      <c r="C5540" s="1">
        <v>0.91</v>
      </c>
      <c r="D5540" s="1">
        <v>2.1732999999999998</v>
      </c>
    </row>
    <row r="5541" spans="1:4" x14ac:dyDescent="0.2">
      <c r="A5541" s="5">
        <v>44250</v>
      </c>
      <c r="B5541" s="1">
        <v>1.3415999999999999</v>
      </c>
      <c r="C5541" s="1">
        <v>0.92</v>
      </c>
      <c r="D5541" s="1">
        <v>2.1800000000000002</v>
      </c>
    </row>
    <row r="5542" spans="1:4" x14ac:dyDescent="0.2">
      <c r="A5542" s="5">
        <v>44251</v>
      </c>
      <c r="B5542" s="1">
        <v>1.3755999999999999</v>
      </c>
      <c r="C5542" s="1">
        <v>0.91</v>
      </c>
      <c r="D5542" s="1">
        <v>2.2324999999999999</v>
      </c>
    </row>
    <row r="5543" spans="1:4" x14ac:dyDescent="0.2">
      <c r="A5543" s="5">
        <v>44252</v>
      </c>
      <c r="B5543" s="1">
        <v>1.5199</v>
      </c>
      <c r="C5543" s="1">
        <v>0.91</v>
      </c>
      <c r="D5543" s="1">
        <v>2.2734000000000001</v>
      </c>
    </row>
    <row r="5544" spans="1:4" x14ac:dyDescent="0.2">
      <c r="A5544" s="5">
        <v>44253</v>
      </c>
      <c r="B5544" s="1">
        <v>1.4049</v>
      </c>
      <c r="C5544" s="1">
        <v>0.9</v>
      </c>
      <c r="D5544" s="1">
        <v>2.1513</v>
      </c>
    </row>
    <row r="5545" spans="1:4" x14ac:dyDescent="0.2">
      <c r="A5545" s="5">
        <v>44256</v>
      </c>
      <c r="B5545" s="1">
        <v>1.417</v>
      </c>
      <c r="C5545" s="1">
        <v>0.9</v>
      </c>
      <c r="D5545" s="1">
        <v>2.1905999999999999</v>
      </c>
    </row>
    <row r="5546" spans="1:4" x14ac:dyDescent="0.2">
      <c r="A5546" s="5">
        <v>44257</v>
      </c>
      <c r="B5546" s="1">
        <v>1.3914</v>
      </c>
      <c r="C5546" s="1">
        <v>0.9</v>
      </c>
      <c r="D5546" s="1">
        <v>2.1913</v>
      </c>
    </row>
    <row r="5547" spans="1:4" x14ac:dyDescent="0.2">
      <c r="A5547" s="5">
        <v>44258</v>
      </c>
      <c r="B5547" s="1">
        <v>1.4807999999999999</v>
      </c>
      <c r="C5547" s="1">
        <v>0.91</v>
      </c>
      <c r="D5547" s="1">
        <v>2.2759</v>
      </c>
    </row>
    <row r="5548" spans="1:4" x14ac:dyDescent="0.2">
      <c r="A5548" s="5">
        <v>44259</v>
      </c>
      <c r="B5548" s="1">
        <v>1.5640000000000001</v>
      </c>
      <c r="C5548" s="1">
        <v>0.92</v>
      </c>
      <c r="D5548" s="1">
        <v>2.3205</v>
      </c>
    </row>
    <row r="5549" spans="1:4" x14ac:dyDescent="0.2">
      <c r="A5549" s="5">
        <v>44260</v>
      </c>
      <c r="B5549" s="1">
        <v>1.5661</v>
      </c>
      <c r="C5549" s="1">
        <v>0.96</v>
      </c>
      <c r="D5549" s="1">
        <v>2.2974000000000001</v>
      </c>
    </row>
    <row r="5550" spans="1:4" x14ac:dyDescent="0.2">
      <c r="A5550" s="5">
        <v>44263</v>
      </c>
      <c r="B5550" s="1">
        <v>1.5907</v>
      </c>
      <c r="C5550" s="1">
        <v>0.98</v>
      </c>
      <c r="D5550" s="1">
        <v>2.3159000000000001</v>
      </c>
    </row>
    <row r="5551" spans="1:4" x14ac:dyDescent="0.2">
      <c r="A5551" s="5">
        <v>44264</v>
      </c>
      <c r="B5551" s="1">
        <v>1.5263</v>
      </c>
      <c r="C5551" s="1">
        <v>1</v>
      </c>
      <c r="D5551" s="1">
        <v>2.2334999999999998</v>
      </c>
    </row>
    <row r="5552" spans="1:4" x14ac:dyDescent="0.2">
      <c r="A5552" s="5">
        <v>44265</v>
      </c>
      <c r="B5552" s="1">
        <v>1.5178</v>
      </c>
      <c r="C5552" s="1">
        <v>0.99</v>
      </c>
      <c r="D5552" s="1">
        <v>2.2381000000000002</v>
      </c>
    </row>
    <row r="5553" spans="1:4" x14ac:dyDescent="0.2">
      <c r="A5553" s="5">
        <v>44266</v>
      </c>
      <c r="B5553" s="1">
        <v>1.5369999999999999</v>
      </c>
      <c r="C5553" s="1">
        <v>0.98</v>
      </c>
      <c r="D5553" s="1">
        <v>2.2945000000000002</v>
      </c>
    </row>
    <row r="5554" spans="1:4" x14ac:dyDescent="0.2">
      <c r="A5554" s="5">
        <v>44267</v>
      </c>
      <c r="B5554" s="1">
        <v>1.6247</v>
      </c>
      <c r="C5554" s="1">
        <v>0.98</v>
      </c>
      <c r="D5554" s="1">
        <v>2.3776000000000002</v>
      </c>
    </row>
    <row r="5555" spans="1:4" x14ac:dyDescent="0.2">
      <c r="A5555" s="5">
        <v>44270</v>
      </c>
      <c r="B5555" s="1">
        <v>1.6054999999999999</v>
      </c>
      <c r="C5555" s="1">
        <v>0.98</v>
      </c>
      <c r="D5555" s="1">
        <v>2.3573</v>
      </c>
    </row>
    <row r="5556" spans="1:4" x14ac:dyDescent="0.2">
      <c r="A5556" s="5">
        <v>44271</v>
      </c>
      <c r="B5556" s="1">
        <v>1.6178999999999999</v>
      </c>
      <c r="C5556" s="1">
        <v>0.97</v>
      </c>
      <c r="D5556" s="1">
        <v>2.3784999999999998</v>
      </c>
    </row>
    <row r="5557" spans="1:4" x14ac:dyDescent="0.2">
      <c r="A5557" s="5">
        <v>44272</v>
      </c>
      <c r="B5557" s="1">
        <v>1.6427</v>
      </c>
      <c r="C5557" s="1">
        <v>0.97</v>
      </c>
      <c r="D5557" s="1">
        <v>2.4180000000000001</v>
      </c>
    </row>
    <row r="5558" spans="1:4" x14ac:dyDescent="0.2">
      <c r="A5558" s="5">
        <v>44273</v>
      </c>
      <c r="B5558" s="1">
        <v>1.7081999999999999</v>
      </c>
      <c r="C5558" s="1">
        <v>0.96</v>
      </c>
      <c r="D5558" s="1">
        <v>2.4483000000000001</v>
      </c>
    </row>
    <row r="5559" spans="1:4" x14ac:dyDescent="0.2">
      <c r="A5559" s="5">
        <v>44274</v>
      </c>
      <c r="B5559" s="1">
        <v>1.7210000000000001</v>
      </c>
      <c r="C5559" s="1">
        <v>0.95</v>
      </c>
      <c r="D5559" s="1">
        <v>2.4333</v>
      </c>
    </row>
    <row r="5560" spans="1:4" x14ac:dyDescent="0.2">
      <c r="A5560" s="5">
        <v>44277</v>
      </c>
      <c r="B5560" s="1">
        <v>1.6946000000000001</v>
      </c>
      <c r="C5560" s="1">
        <v>0.96</v>
      </c>
      <c r="D5560" s="1">
        <v>2.3984000000000001</v>
      </c>
    </row>
    <row r="5561" spans="1:4" x14ac:dyDescent="0.2">
      <c r="A5561" s="5">
        <v>44278</v>
      </c>
      <c r="B5561" s="1">
        <v>1.6206</v>
      </c>
      <c r="C5561" s="1">
        <v>0.97</v>
      </c>
      <c r="D5561" s="1">
        <v>2.3264</v>
      </c>
    </row>
    <row r="5562" spans="1:4" x14ac:dyDescent="0.2">
      <c r="A5562" s="5">
        <v>44279</v>
      </c>
      <c r="B5562" s="1">
        <v>1.6084000000000001</v>
      </c>
      <c r="C5562" s="1">
        <v>0.97</v>
      </c>
      <c r="D5562" s="1">
        <v>2.3094999999999999</v>
      </c>
    </row>
    <row r="5563" spans="1:4" x14ac:dyDescent="0.2">
      <c r="A5563" s="5">
        <v>44280</v>
      </c>
      <c r="B5563" s="1">
        <v>1.6332</v>
      </c>
      <c r="C5563" s="1">
        <v>0.99</v>
      </c>
      <c r="D5563" s="1">
        <v>2.3567999999999998</v>
      </c>
    </row>
    <row r="5564" spans="1:4" x14ac:dyDescent="0.2">
      <c r="A5564" s="5">
        <v>44281</v>
      </c>
      <c r="B5564" s="1">
        <v>1.6759999999999999</v>
      </c>
      <c r="C5564" s="1">
        <v>0.96</v>
      </c>
      <c r="D5564" s="1">
        <v>2.3780999999999999</v>
      </c>
    </row>
    <row r="5565" spans="1:4" x14ac:dyDescent="0.2">
      <c r="A5565" s="5">
        <v>44284</v>
      </c>
      <c r="B5565" s="1">
        <v>1.7081</v>
      </c>
      <c r="C5565" s="1">
        <v>0.95</v>
      </c>
      <c r="D5565" s="1">
        <v>2.4049999999999998</v>
      </c>
    </row>
    <row r="5566" spans="1:4" x14ac:dyDescent="0.2">
      <c r="A5566" s="5">
        <v>44285</v>
      </c>
      <c r="B5566" s="1">
        <v>1.7029000000000001</v>
      </c>
      <c r="C5566" s="1">
        <v>0.94</v>
      </c>
      <c r="D5566" s="1">
        <v>2.3687</v>
      </c>
    </row>
    <row r="5567" spans="1:4" x14ac:dyDescent="0.2">
      <c r="A5567" s="5">
        <v>44286</v>
      </c>
      <c r="B5567" s="1">
        <v>1.7403999999999999</v>
      </c>
      <c r="C5567" s="1">
        <v>0.91</v>
      </c>
      <c r="D5567" s="1">
        <v>2.4106000000000001</v>
      </c>
    </row>
    <row r="5568" spans="1:4" x14ac:dyDescent="0.2">
      <c r="A5568" s="5">
        <v>44287</v>
      </c>
      <c r="B5568" s="1">
        <v>1.6698999999999999</v>
      </c>
      <c r="C5568" s="1">
        <v>0.89</v>
      </c>
      <c r="D5568" s="1">
        <v>2.3321999999999998</v>
      </c>
    </row>
    <row r="5569" spans="1:4" x14ac:dyDescent="0.2">
      <c r="A5569" s="5">
        <v>44288</v>
      </c>
      <c r="B5569" s="1">
        <v>1.7216</v>
      </c>
      <c r="C5569" s="1">
        <v>0.89</v>
      </c>
      <c r="D5569" s="1">
        <v>2.3563999999999998</v>
      </c>
    </row>
    <row r="5570" spans="1:4" x14ac:dyDescent="0.2">
      <c r="A5570" s="5">
        <v>44291</v>
      </c>
      <c r="B5570" s="1">
        <v>1.7002999999999999</v>
      </c>
      <c r="C5570" s="1">
        <v>0.89</v>
      </c>
      <c r="D5570" s="1">
        <v>2.3462999999999998</v>
      </c>
    </row>
    <row r="5571" spans="1:4" x14ac:dyDescent="0.2">
      <c r="A5571" s="5">
        <v>44292</v>
      </c>
      <c r="B5571" s="1">
        <v>1.6559999999999999</v>
      </c>
      <c r="C5571" s="1">
        <v>0.9</v>
      </c>
      <c r="D5571" s="1">
        <v>2.323</v>
      </c>
    </row>
    <row r="5572" spans="1:4" x14ac:dyDescent="0.2">
      <c r="A5572" s="5">
        <v>44293</v>
      </c>
      <c r="B5572" s="1">
        <v>1.6738999999999999</v>
      </c>
      <c r="C5572" s="1">
        <v>0.89</v>
      </c>
      <c r="D5572" s="1">
        <v>2.3612000000000002</v>
      </c>
    </row>
    <row r="5573" spans="1:4" x14ac:dyDescent="0.2">
      <c r="A5573" s="5">
        <v>44294</v>
      </c>
      <c r="B5573" s="1">
        <v>1.6192</v>
      </c>
      <c r="C5573" s="1">
        <v>0.89</v>
      </c>
      <c r="D5573" s="1">
        <v>2.3068</v>
      </c>
    </row>
    <row r="5574" spans="1:4" x14ac:dyDescent="0.2">
      <c r="A5574" s="5">
        <v>44295</v>
      </c>
      <c r="B5574" s="1">
        <v>1.6585000000000001</v>
      </c>
      <c r="C5574" s="1">
        <v>0.89</v>
      </c>
      <c r="D5574" s="1">
        <v>2.3292999999999999</v>
      </c>
    </row>
    <row r="5575" spans="1:4" x14ac:dyDescent="0.2">
      <c r="A5575" s="5">
        <v>44298</v>
      </c>
      <c r="B5575" s="1">
        <v>1.6657</v>
      </c>
      <c r="C5575" s="1">
        <v>0.88</v>
      </c>
      <c r="D5575" s="1">
        <v>2.3332000000000002</v>
      </c>
    </row>
    <row r="5576" spans="1:4" x14ac:dyDescent="0.2">
      <c r="A5576" s="5">
        <v>44299</v>
      </c>
      <c r="B5576" s="1">
        <v>1.6145</v>
      </c>
      <c r="C5576" s="1">
        <v>0.89</v>
      </c>
      <c r="D5576" s="1">
        <v>2.2938999999999998</v>
      </c>
    </row>
    <row r="5577" spans="1:4" x14ac:dyDescent="0.2">
      <c r="A5577" s="5">
        <v>44300</v>
      </c>
      <c r="B5577" s="1">
        <v>1.6323000000000001</v>
      </c>
      <c r="C5577" s="1">
        <v>0.88</v>
      </c>
      <c r="D5577" s="1">
        <v>2.3115999999999999</v>
      </c>
    </row>
    <row r="5578" spans="1:4" x14ac:dyDescent="0.2">
      <c r="A5578" s="5">
        <v>44301</v>
      </c>
      <c r="B5578" s="1">
        <v>1.5759000000000001</v>
      </c>
      <c r="C5578" s="1">
        <v>0.88</v>
      </c>
      <c r="D5578" s="1">
        <v>2.2694000000000001</v>
      </c>
    </row>
    <row r="5579" spans="1:4" x14ac:dyDescent="0.2">
      <c r="A5579" s="5">
        <v>44302</v>
      </c>
      <c r="B5579" s="1">
        <v>1.5798000000000001</v>
      </c>
      <c r="C5579" s="1">
        <v>0.89</v>
      </c>
      <c r="D5579" s="1">
        <v>2.2648999999999999</v>
      </c>
    </row>
    <row r="5580" spans="1:4" x14ac:dyDescent="0.2">
      <c r="A5580" s="5">
        <v>44305</v>
      </c>
      <c r="B5580" s="1">
        <v>1.6047</v>
      </c>
      <c r="C5580" s="1">
        <v>0.91</v>
      </c>
      <c r="D5580" s="1">
        <v>2.2963</v>
      </c>
    </row>
    <row r="5581" spans="1:4" x14ac:dyDescent="0.2">
      <c r="A5581" s="5">
        <v>44306</v>
      </c>
      <c r="B5581" s="1">
        <v>1.5589</v>
      </c>
      <c r="C5581" s="1">
        <v>0.92</v>
      </c>
      <c r="D5581" s="1">
        <v>2.2511999999999999</v>
      </c>
    </row>
    <row r="5582" spans="1:4" x14ac:dyDescent="0.2">
      <c r="A5582" s="5">
        <v>44307</v>
      </c>
      <c r="B5582" s="1">
        <v>1.5555000000000001</v>
      </c>
      <c r="C5582" s="1">
        <v>0.91</v>
      </c>
      <c r="D5582" s="1">
        <v>2.2505000000000002</v>
      </c>
    </row>
    <row r="5583" spans="1:4" x14ac:dyDescent="0.2">
      <c r="A5583" s="5">
        <v>44308</v>
      </c>
      <c r="B5583" s="1">
        <v>1.538</v>
      </c>
      <c r="C5583" s="1">
        <v>0.91</v>
      </c>
      <c r="D5583" s="1">
        <v>2.218</v>
      </c>
    </row>
    <row r="5584" spans="1:4" x14ac:dyDescent="0.2">
      <c r="A5584" s="5">
        <v>44309</v>
      </c>
      <c r="B5584" s="1">
        <v>1.5577000000000001</v>
      </c>
      <c r="C5584" s="1">
        <v>0.9</v>
      </c>
      <c r="D5584" s="1">
        <v>2.2339000000000002</v>
      </c>
    </row>
    <row r="5585" spans="1:4" x14ac:dyDescent="0.2">
      <c r="A5585" s="5">
        <v>44312</v>
      </c>
      <c r="B5585" s="1">
        <v>1.5667</v>
      </c>
      <c r="C5585" s="1">
        <v>0.89</v>
      </c>
      <c r="D5585" s="1">
        <v>2.2400000000000002</v>
      </c>
    </row>
    <row r="5586" spans="1:4" x14ac:dyDescent="0.2">
      <c r="A5586" s="5">
        <v>44313</v>
      </c>
      <c r="B5586" s="1">
        <v>1.6215999999999999</v>
      </c>
      <c r="C5586" s="1">
        <v>0.88</v>
      </c>
      <c r="D5586" s="1">
        <v>2.2942</v>
      </c>
    </row>
    <row r="5587" spans="1:4" x14ac:dyDescent="0.2">
      <c r="A5587" s="5">
        <v>44314</v>
      </c>
      <c r="B5587" s="1">
        <v>1.6093999999999999</v>
      </c>
      <c r="C5587" s="1">
        <v>0.88</v>
      </c>
      <c r="D5587" s="1">
        <v>2.2888999999999999</v>
      </c>
    </row>
    <row r="5588" spans="1:4" x14ac:dyDescent="0.2">
      <c r="A5588" s="5">
        <v>44315</v>
      </c>
      <c r="B5588" s="1">
        <v>1.6343000000000001</v>
      </c>
      <c r="C5588" s="1">
        <v>0.88</v>
      </c>
      <c r="D5588" s="1">
        <v>2.2982</v>
      </c>
    </row>
    <row r="5589" spans="1:4" x14ac:dyDescent="0.2">
      <c r="A5589" s="5">
        <v>44316</v>
      </c>
      <c r="B5589" s="1">
        <v>1.6258999999999999</v>
      </c>
      <c r="C5589" s="1">
        <v>0.88</v>
      </c>
      <c r="D5589" s="1">
        <v>2.2967</v>
      </c>
    </row>
    <row r="5590" spans="1:4" x14ac:dyDescent="0.2">
      <c r="A5590" s="5">
        <v>44319</v>
      </c>
      <c r="B5590" s="1">
        <v>1.5975999999999999</v>
      </c>
      <c r="C5590" s="1">
        <v>0.89</v>
      </c>
      <c r="D5590" s="1">
        <v>2.2837000000000001</v>
      </c>
    </row>
    <row r="5591" spans="1:4" x14ac:dyDescent="0.2">
      <c r="A5591" s="5">
        <v>44320</v>
      </c>
      <c r="B5591" s="1">
        <v>1.5924</v>
      </c>
      <c r="C5591" s="1">
        <v>0.89</v>
      </c>
      <c r="D5591" s="1">
        <v>2.2614999999999998</v>
      </c>
    </row>
    <row r="5592" spans="1:4" x14ac:dyDescent="0.2">
      <c r="A5592" s="5">
        <v>44321</v>
      </c>
      <c r="B5592" s="1">
        <v>1.5660000000000001</v>
      </c>
      <c r="C5592" s="1">
        <v>0.89</v>
      </c>
      <c r="D5592" s="1">
        <v>2.2425000000000002</v>
      </c>
    </row>
    <row r="5593" spans="1:4" x14ac:dyDescent="0.2">
      <c r="A5593" s="5">
        <v>44322</v>
      </c>
      <c r="B5593" s="1">
        <v>1.5696000000000001</v>
      </c>
      <c r="C5593" s="1">
        <v>0.88</v>
      </c>
      <c r="D5593" s="1">
        <v>2.2416999999999998</v>
      </c>
    </row>
    <row r="5594" spans="1:4" x14ac:dyDescent="0.2">
      <c r="A5594" s="5">
        <v>44323</v>
      </c>
      <c r="B5594" s="1">
        <v>1.5770999999999999</v>
      </c>
      <c r="C5594" s="1">
        <v>0.87</v>
      </c>
      <c r="D5594" s="1">
        <v>2.2768999999999999</v>
      </c>
    </row>
    <row r="5595" spans="1:4" x14ac:dyDescent="0.2">
      <c r="A5595" s="5">
        <v>44326</v>
      </c>
      <c r="B5595" s="1">
        <v>1.6020000000000001</v>
      </c>
      <c r="C5595" s="1">
        <v>0.88</v>
      </c>
      <c r="D5595" s="1">
        <v>2.3256000000000001</v>
      </c>
    </row>
    <row r="5596" spans="1:4" x14ac:dyDescent="0.2">
      <c r="A5596" s="5">
        <v>44327</v>
      </c>
      <c r="B5596" s="1">
        <v>1.6216999999999999</v>
      </c>
      <c r="C5596" s="1">
        <v>0.88</v>
      </c>
      <c r="D5596" s="1">
        <v>2.3451</v>
      </c>
    </row>
    <row r="5597" spans="1:4" x14ac:dyDescent="0.2">
      <c r="A5597" s="5">
        <v>44328</v>
      </c>
      <c r="B5597" s="1">
        <v>1.6916</v>
      </c>
      <c r="C5597" s="1">
        <v>0.87</v>
      </c>
      <c r="D5597" s="1">
        <v>2.4113000000000002</v>
      </c>
    </row>
    <row r="5598" spans="1:4" x14ac:dyDescent="0.2">
      <c r="A5598" s="5">
        <v>44329</v>
      </c>
      <c r="B5598" s="1">
        <v>1.6574</v>
      </c>
      <c r="C5598" s="1">
        <v>0.87</v>
      </c>
      <c r="D5598" s="1">
        <v>2.3955000000000002</v>
      </c>
    </row>
    <row r="5599" spans="1:4" x14ac:dyDescent="0.2">
      <c r="A5599" s="5">
        <v>44330</v>
      </c>
      <c r="B5599" s="1">
        <v>1.6284000000000001</v>
      </c>
      <c r="C5599" s="1">
        <v>0.86</v>
      </c>
      <c r="D5599" s="1">
        <v>2.3401000000000001</v>
      </c>
    </row>
    <row r="5600" spans="1:4" x14ac:dyDescent="0.2">
      <c r="A5600" s="5">
        <v>44333</v>
      </c>
      <c r="B5600" s="1">
        <v>1.6488</v>
      </c>
      <c r="C5600" s="1">
        <v>0.86</v>
      </c>
      <c r="D5600" s="1">
        <v>2.3626</v>
      </c>
    </row>
    <row r="5601" spans="1:4" x14ac:dyDescent="0.2">
      <c r="A5601" s="5">
        <v>44334</v>
      </c>
      <c r="B5601" s="1">
        <v>1.6369</v>
      </c>
      <c r="C5601" s="1">
        <v>0.87</v>
      </c>
      <c r="D5601" s="1">
        <v>2.3597000000000001</v>
      </c>
    </row>
    <row r="5602" spans="1:4" x14ac:dyDescent="0.2">
      <c r="A5602" s="5">
        <v>44335</v>
      </c>
      <c r="B5602" s="1">
        <v>1.671</v>
      </c>
      <c r="C5602" s="1">
        <v>0.87</v>
      </c>
      <c r="D5602" s="1">
        <v>2.3691</v>
      </c>
    </row>
    <row r="5603" spans="1:4" x14ac:dyDescent="0.2">
      <c r="A5603" s="5">
        <v>44336</v>
      </c>
      <c r="B5603" s="1">
        <v>1.625</v>
      </c>
      <c r="C5603" s="1">
        <v>0.86</v>
      </c>
      <c r="D5603" s="1">
        <v>2.3306</v>
      </c>
    </row>
    <row r="5604" spans="1:4" x14ac:dyDescent="0.2">
      <c r="A5604" s="5">
        <v>44337</v>
      </c>
      <c r="B5604" s="1">
        <v>1.6215999999999999</v>
      </c>
      <c r="C5604" s="1">
        <v>0.86</v>
      </c>
      <c r="D5604" s="1">
        <v>2.3176000000000001</v>
      </c>
    </row>
    <row r="5605" spans="1:4" x14ac:dyDescent="0.2">
      <c r="A5605" s="5">
        <v>44340</v>
      </c>
      <c r="B5605" s="1">
        <v>1.6012</v>
      </c>
      <c r="C5605" s="1">
        <v>0.85</v>
      </c>
      <c r="D5605" s="1">
        <v>2.2989000000000002</v>
      </c>
    </row>
    <row r="5606" spans="1:4" x14ac:dyDescent="0.2">
      <c r="A5606" s="5">
        <v>44341</v>
      </c>
      <c r="B5606" s="1">
        <v>1.5588</v>
      </c>
      <c r="C5606" s="1">
        <v>0.85</v>
      </c>
      <c r="D5606" s="1">
        <v>2.2477</v>
      </c>
    </row>
    <row r="5607" spans="1:4" x14ac:dyDescent="0.2">
      <c r="A5607" s="5">
        <v>44342</v>
      </c>
      <c r="B5607" s="1">
        <v>1.5757000000000001</v>
      </c>
      <c r="C5607" s="1">
        <v>0.85</v>
      </c>
      <c r="D5607" s="1">
        <v>2.2561</v>
      </c>
    </row>
    <row r="5608" spans="1:4" x14ac:dyDescent="0.2">
      <c r="A5608" s="5">
        <v>44343</v>
      </c>
      <c r="B5608" s="1">
        <v>1.6062000000000001</v>
      </c>
      <c r="C5608" s="1">
        <v>0.85</v>
      </c>
      <c r="D5608" s="1">
        <v>2.2825000000000002</v>
      </c>
    </row>
    <row r="5609" spans="1:4" x14ac:dyDescent="0.2">
      <c r="A5609" s="5">
        <v>44344</v>
      </c>
      <c r="B5609" s="1">
        <v>1.5943000000000001</v>
      </c>
      <c r="C5609" s="1">
        <v>0.84</v>
      </c>
      <c r="D5609" s="1">
        <v>2.2824</v>
      </c>
    </row>
    <row r="5610" spans="1:4" x14ac:dyDescent="0.2">
      <c r="A5610" s="5">
        <v>44347</v>
      </c>
      <c r="B5610" s="1">
        <v>1.5943000000000001</v>
      </c>
      <c r="C5610" s="1">
        <v>0.84</v>
      </c>
      <c r="D5610" s="1">
        <v>2.2824</v>
      </c>
    </row>
    <row r="5611" spans="1:4" x14ac:dyDescent="0.2">
      <c r="A5611" s="5">
        <v>44348</v>
      </c>
      <c r="B5611" s="1">
        <v>1.6062000000000001</v>
      </c>
      <c r="C5611" s="1">
        <v>0.85</v>
      </c>
      <c r="D5611" s="1">
        <v>2.2867000000000002</v>
      </c>
    </row>
    <row r="5612" spans="1:4" x14ac:dyDescent="0.2">
      <c r="A5612" s="5">
        <v>44349</v>
      </c>
      <c r="B5612" s="1">
        <v>1.5874999999999999</v>
      </c>
      <c r="C5612" s="1">
        <v>0.85</v>
      </c>
      <c r="D5612" s="1">
        <v>2.2717000000000001</v>
      </c>
    </row>
    <row r="5613" spans="1:4" x14ac:dyDescent="0.2">
      <c r="A5613" s="5">
        <v>44350</v>
      </c>
      <c r="B5613" s="1">
        <v>1.625</v>
      </c>
      <c r="C5613" s="1">
        <v>0.85</v>
      </c>
      <c r="D5613" s="1">
        <v>2.2959999999999998</v>
      </c>
    </row>
    <row r="5614" spans="1:4" x14ac:dyDescent="0.2">
      <c r="A5614" s="5">
        <v>44351</v>
      </c>
      <c r="B5614" s="1">
        <v>1.5533999999999999</v>
      </c>
      <c r="C5614" s="1">
        <v>0.85</v>
      </c>
      <c r="D5614" s="1">
        <v>2.2313000000000001</v>
      </c>
    </row>
    <row r="5615" spans="1:4" x14ac:dyDescent="0.2">
      <c r="A5615" s="5">
        <v>44354</v>
      </c>
      <c r="B5615" s="1">
        <v>1.5687</v>
      </c>
      <c r="C5615" s="1">
        <v>0.85</v>
      </c>
      <c r="D5615" s="1">
        <v>2.2467999999999999</v>
      </c>
    </row>
    <row r="5616" spans="1:4" x14ac:dyDescent="0.2">
      <c r="A5616" s="5">
        <v>44355</v>
      </c>
      <c r="B5616" s="1">
        <v>1.5330999999999999</v>
      </c>
      <c r="C5616" s="1">
        <v>0.85</v>
      </c>
      <c r="D5616" s="1">
        <v>2.2151000000000001</v>
      </c>
    </row>
    <row r="5617" spans="1:4" x14ac:dyDescent="0.2">
      <c r="A5617" s="5">
        <v>44356</v>
      </c>
      <c r="B5617" s="1">
        <v>1.4907999999999999</v>
      </c>
      <c r="C5617" s="1">
        <v>0.85</v>
      </c>
      <c r="D5617" s="1">
        <v>2.1684000000000001</v>
      </c>
    </row>
    <row r="5618" spans="1:4" x14ac:dyDescent="0.2">
      <c r="A5618" s="5">
        <v>44357</v>
      </c>
      <c r="B5618" s="1">
        <v>1.4318</v>
      </c>
      <c r="C5618" s="1">
        <v>0.85</v>
      </c>
      <c r="D5618" s="1">
        <v>2.1269999999999998</v>
      </c>
    </row>
    <row r="5619" spans="1:4" x14ac:dyDescent="0.2">
      <c r="A5619" s="5">
        <v>44358</v>
      </c>
      <c r="B5619" s="1">
        <v>1.4518</v>
      </c>
      <c r="C5619" s="1">
        <v>0.84</v>
      </c>
      <c r="D5619" s="1">
        <v>2.1379000000000001</v>
      </c>
    </row>
    <row r="5620" spans="1:4" x14ac:dyDescent="0.2">
      <c r="A5620" s="5">
        <v>44361</v>
      </c>
      <c r="B5620" s="1">
        <v>1.494</v>
      </c>
      <c r="C5620" s="1">
        <v>0.83</v>
      </c>
      <c r="D5620" s="1">
        <v>2.1821999999999999</v>
      </c>
    </row>
    <row r="5621" spans="1:4" x14ac:dyDescent="0.2">
      <c r="A5621" s="5">
        <v>44362</v>
      </c>
      <c r="B5621" s="1">
        <v>1.4922</v>
      </c>
      <c r="C5621" s="1">
        <v>0.83</v>
      </c>
      <c r="D5621" s="1">
        <v>2.1863999999999999</v>
      </c>
    </row>
    <row r="5622" spans="1:4" x14ac:dyDescent="0.2">
      <c r="A5622" s="5">
        <v>44363</v>
      </c>
      <c r="B5622" s="1">
        <v>1.5753999999999999</v>
      </c>
      <c r="C5622" s="1">
        <v>0.81</v>
      </c>
      <c r="D5622" s="1">
        <v>2.2073</v>
      </c>
    </row>
    <row r="5623" spans="1:4" x14ac:dyDescent="0.2">
      <c r="A5623" s="5">
        <v>44364</v>
      </c>
      <c r="B5623" s="1">
        <v>1.504</v>
      </c>
      <c r="C5623" s="1">
        <v>0.82</v>
      </c>
      <c r="D5623" s="1">
        <v>2.0926999999999998</v>
      </c>
    </row>
    <row r="5624" spans="1:4" x14ac:dyDescent="0.2">
      <c r="A5624" s="5">
        <v>44365</v>
      </c>
      <c r="B5624" s="1">
        <v>1.4380999999999999</v>
      </c>
      <c r="C5624" s="1">
        <v>0.82</v>
      </c>
      <c r="D5624" s="1">
        <v>2.0127000000000002</v>
      </c>
    </row>
    <row r="5625" spans="1:4" x14ac:dyDescent="0.2">
      <c r="A5625" s="5">
        <v>44368</v>
      </c>
      <c r="B5625" s="1">
        <v>1.4885999999999999</v>
      </c>
      <c r="C5625" s="1">
        <v>0.82</v>
      </c>
      <c r="D5625" s="1">
        <v>2.1097000000000001</v>
      </c>
    </row>
    <row r="5626" spans="1:4" x14ac:dyDescent="0.2">
      <c r="A5626" s="5">
        <v>44369</v>
      </c>
      <c r="B5626" s="1">
        <v>1.4632000000000001</v>
      </c>
      <c r="C5626" s="1">
        <v>0.82</v>
      </c>
      <c r="D5626" s="1">
        <v>2.0859000000000001</v>
      </c>
    </row>
    <row r="5627" spans="1:4" x14ac:dyDescent="0.2">
      <c r="A5627" s="5">
        <v>44370</v>
      </c>
      <c r="B5627" s="1">
        <v>1.4852000000000001</v>
      </c>
      <c r="C5627" s="1">
        <v>0.82</v>
      </c>
      <c r="D5627" s="1">
        <v>2.1082999999999998</v>
      </c>
    </row>
    <row r="5628" spans="1:4" x14ac:dyDescent="0.2">
      <c r="A5628" s="5">
        <v>44371</v>
      </c>
      <c r="B5628" s="1">
        <v>1.4919</v>
      </c>
      <c r="C5628" s="1">
        <v>0.82</v>
      </c>
      <c r="D5628" s="1">
        <v>2.0981000000000001</v>
      </c>
    </row>
    <row r="5629" spans="1:4" x14ac:dyDescent="0.2">
      <c r="A5629" s="5">
        <v>44372</v>
      </c>
      <c r="B5629" s="1">
        <v>1.5241</v>
      </c>
      <c r="C5629" s="1">
        <v>0.81</v>
      </c>
      <c r="D5629" s="1">
        <v>2.1486999999999998</v>
      </c>
    </row>
    <row r="5630" spans="1:4" x14ac:dyDescent="0.2">
      <c r="A5630" s="5">
        <v>44375</v>
      </c>
      <c r="B5630" s="1">
        <v>1.4764999999999999</v>
      </c>
      <c r="C5630" s="1">
        <v>0.81</v>
      </c>
      <c r="D5630" s="1">
        <v>2.0945999999999998</v>
      </c>
    </row>
    <row r="5631" spans="1:4" x14ac:dyDescent="0.2">
      <c r="A5631" s="5">
        <v>44376</v>
      </c>
      <c r="B5631" s="1">
        <v>1.4697</v>
      </c>
      <c r="C5631" s="1">
        <v>0.81</v>
      </c>
      <c r="D5631" s="1">
        <v>2.0836999999999999</v>
      </c>
    </row>
    <row r="5632" spans="1:4" x14ac:dyDescent="0.2">
      <c r="A5632" s="5">
        <v>44377</v>
      </c>
      <c r="B5632" s="1">
        <v>1.468</v>
      </c>
      <c r="C5632" s="1">
        <v>0.8</v>
      </c>
      <c r="D5632" s="1">
        <v>2.0857000000000001</v>
      </c>
    </row>
    <row r="5633" spans="1:4" x14ac:dyDescent="0.2">
      <c r="A5633" s="5">
        <v>44378</v>
      </c>
      <c r="B5633" s="1">
        <v>1.4578</v>
      </c>
      <c r="C5633" s="1">
        <v>0.81</v>
      </c>
      <c r="D5633" s="1">
        <v>2.0607000000000002</v>
      </c>
    </row>
    <row r="5634" spans="1:4" x14ac:dyDescent="0.2">
      <c r="A5634" s="5">
        <v>44379</v>
      </c>
      <c r="B5634" s="1">
        <v>1.4238</v>
      </c>
      <c r="C5634" s="1">
        <v>0.82</v>
      </c>
      <c r="D5634" s="1">
        <v>2.0404</v>
      </c>
    </row>
    <row r="5635" spans="1:4" x14ac:dyDescent="0.2">
      <c r="A5635" s="5">
        <v>44382</v>
      </c>
      <c r="B5635" s="1">
        <v>1.4238</v>
      </c>
      <c r="C5635" s="1">
        <v>0.82</v>
      </c>
      <c r="D5635" s="1">
        <v>2.0404</v>
      </c>
    </row>
    <row r="5636" spans="1:4" x14ac:dyDescent="0.2">
      <c r="A5636" s="5">
        <v>44383</v>
      </c>
      <c r="B5636" s="1">
        <v>1.3481000000000001</v>
      </c>
      <c r="C5636" s="1">
        <v>0.82</v>
      </c>
      <c r="D5636" s="1">
        <v>1.9739</v>
      </c>
    </row>
    <row r="5637" spans="1:4" x14ac:dyDescent="0.2">
      <c r="A5637" s="5">
        <v>44384</v>
      </c>
      <c r="B5637" s="1">
        <v>1.3163</v>
      </c>
      <c r="C5637" s="1">
        <v>0.83</v>
      </c>
      <c r="D5637" s="1">
        <v>1.9378</v>
      </c>
    </row>
    <row r="5638" spans="1:4" x14ac:dyDescent="0.2">
      <c r="A5638" s="5">
        <v>44385</v>
      </c>
      <c r="B5638" s="1">
        <v>1.2927999999999999</v>
      </c>
      <c r="C5638" s="1">
        <v>0.85</v>
      </c>
      <c r="D5638" s="1">
        <v>1.9266000000000001</v>
      </c>
    </row>
    <row r="5639" spans="1:4" x14ac:dyDescent="0.2">
      <c r="A5639" s="5">
        <v>44386</v>
      </c>
      <c r="B5639" s="1">
        <v>1.3594999999999999</v>
      </c>
      <c r="C5639" s="1">
        <v>0.85</v>
      </c>
      <c r="D5639" s="1">
        <v>1.9888999999999999</v>
      </c>
    </row>
    <row r="5640" spans="1:4" x14ac:dyDescent="0.2">
      <c r="A5640" s="5">
        <v>44389</v>
      </c>
      <c r="B5640" s="1">
        <v>1.3645</v>
      </c>
      <c r="C5640" s="1">
        <v>0.84</v>
      </c>
      <c r="D5640" s="1">
        <v>1.9975000000000001</v>
      </c>
    </row>
    <row r="5641" spans="1:4" x14ac:dyDescent="0.2">
      <c r="A5641" s="5">
        <v>44390</v>
      </c>
      <c r="B5641" s="1">
        <v>1.4166000000000001</v>
      </c>
      <c r="C5641" s="1">
        <v>0.84</v>
      </c>
      <c r="D5641" s="1">
        <v>2.0468999999999999</v>
      </c>
    </row>
    <row r="5642" spans="1:4" x14ac:dyDescent="0.2">
      <c r="A5642" s="5">
        <v>44391</v>
      </c>
      <c r="B5642" s="1">
        <v>1.3459000000000001</v>
      </c>
      <c r="C5642" s="1">
        <v>0.84</v>
      </c>
      <c r="D5642" s="1">
        <v>1.9710000000000001</v>
      </c>
    </row>
    <row r="5643" spans="1:4" x14ac:dyDescent="0.2">
      <c r="A5643" s="5">
        <v>44392</v>
      </c>
      <c r="B5643" s="1">
        <v>1.2988999999999999</v>
      </c>
      <c r="C5643" s="1">
        <v>0.85</v>
      </c>
      <c r="D5643" s="1">
        <v>1.9206000000000001</v>
      </c>
    </row>
    <row r="5644" spans="1:4" x14ac:dyDescent="0.2">
      <c r="A5644" s="5">
        <v>44393</v>
      </c>
      <c r="B5644" s="1">
        <v>1.2903</v>
      </c>
      <c r="C5644" s="1">
        <v>0.86</v>
      </c>
      <c r="D5644" s="1">
        <v>1.9192</v>
      </c>
    </row>
    <row r="5645" spans="1:4" x14ac:dyDescent="0.2">
      <c r="A5645" s="5">
        <v>44396</v>
      </c>
      <c r="B5645" s="1">
        <v>1.1888000000000001</v>
      </c>
      <c r="C5645" s="1">
        <v>0.89</v>
      </c>
      <c r="D5645" s="1">
        <v>1.8197000000000001</v>
      </c>
    </row>
    <row r="5646" spans="1:4" x14ac:dyDescent="0.2">
      <c r="A5646" s="5">
        <v>44397</v>
      </c>
      <c r="B5646" s="1">
        <v>1.2218</v>
      </c>
      <c r="C5646" s="1">
        <v>0.89</v>
      </c>
      <c r="D5646" s="1">
        <v>1.8771</v>
      </c>
    </row>
    <row r="5647" spans="1:4" x14ac:dyDescent="0.2">
      <c r="A5647" s="5">
        <v>44398</v>
      </c>
      <c r="B5647" s="1">
        <v>1.2884</v>
      </c>
      <c r="C5647" s="1">
        <v>0.87</v>
      </c>
      <c r="D5647" s="1">
        <v>1.9387000000000001</v>
      </c>
    </row>
    <row r="5648" spans="1:4" x14ac:dyDescent="0.2">
      <c r="A5648" s="5">
        <v>44399</v>
      </c>
      <c r="B5648" s="1">
        <v>1.2783</v>
      </c>
      <c r="C5648" s="1">
        <v>0.87</v>
      </c>
      <c r="D5648" s="1">
        <v>1.9165000000000001</v>
      </c>
    </row>
    <row r="5649" spans="1:4" x14ac:dyDescent="0.2">
      <c r="A5649" s="5">
        <v>44400</v>
      </c>
      <c r="B5649" s="1">
        <v>1.2763</v>
      </c>
      <c r="C5649" s="1">
        <v>0.86</v>
      </c>
      <c r="D5649" s="1">
        <v>1.9151</v>
      </c>
    </row>
    <row r="5650" spans="1:4" x14ac:dyDescent="0.2">
      <c r="A5650" s="5">
        <v>44403</v>
      </c>
      <c r="B5650" s="1">
        <v>1.2896000000000001</v>
      </c>
      <c r="C5650" s="1">
        <v>0.86</v>
      </c>
      <c r="D5650" s="1">
        <v>1.9418</v>
      </c>
    </row>
    <row r="5651" spans="1:4" x14ac:dyDescent="0.2">
      <c r="A5651" s="5">
        <v>44404</v>
      </c>
      <c r="B5651" s="1">
        <v>1.2411000000000001</v>
      </c>
      <c r="C5651" s="1">
        <v>0.86</v>
      </c>
      <c r="D5651" s="1">
        <v>1.8935999999999999</v>
      </c>
    </row>
    <row r="5652" spans="1:4" x14ac:dyDescent="0.2">
      <c r="A5652" s="5">
        <v>44405</v>
      </c>
      <c r="B5652" s="1">
        <v>1.2326999999999999</v>
      </c>
      <c r="C5652" s="1">
        <v>0.85</v>
      </c>
      <c r="D5652" s="1">
        <v>1.8801000000000001</v>
      </c>
    </row>
    <row r="5653" spans="1:4" x14ac:dyDescent="0.2">
      <c r="A5653" s="5">
        <v>44406</v>
      </c>
      <c r="B5653" s="1">
        <v>1.2693000000000001</v>
      </c>
      <c r="C5653" s="1">
        <v>0.85</v>
      </c>
      <c r="D5653" s="1">
        <v>1.9195</v>
      </c>
    </row>
    <row r="5654" spans="1:4" x14ac:dyDescent="0.2">
      <c r="A5654" s="5">
        <v>44407</v>
      </c>
      <c r="B5654" s="1">
        <v>1.2222999999999999</v>
      </c>
      <c r="C5654" s="1">
        <v>0.86</v>
      </c>
      <c r="D5654" s="1">
        <v>1.8922000000000001</v>
      </c>
    </row>
    <row r="5655" spans="1:4" x14ac:dyDescent="0.2">
      <c r="A5655" s="5">
        <v>44410</v>
      </c>
      <c r="B5655" s="1">
        <v>1.1773</v>
      </c>
      <c r="C5655" s="1">
        <v>0.87</v>
      </c>
      <c r="D5655" s="1">
        <v>1.8498000000000001</v>
      </c>
    </row>
    <row r="5656" spans="1:4" x14ac:dyDescent="0.2">
      <c r="A5656" s="5">
        <v>44411</v>
      </c>
      <c r="B5656" s="1">
        <v>1.1721999999999999</v>
      </c>
      <c r="C5656" s="1">
        <v>0.88</v>
      </c>
      <c r="D5656" s="1">
        <v>1.8408</v>
      </c>
    </row>
    <row r="5657" spans="1:4" x14ac:dyDescent="0.2">
      <c r="A5657" s="5">
        <v>44412</v>
      </c>
      <c r="B5657" s="1">
        <v>1.1819999999999999</v>
      </c>
      <c r="C5657" s="1">
        <v>0.88</v>
      </c>
      <c r="D5657" s="1">
        <v>1.8389</v>
      </c>
    </row>
    <row r="5658" spans="1:4" x14ac:dyDescent="0.2">
      <c r="A5658" s="5">
        <v>44413</v>
      </c>
      <c r="B5658" s="1">
        <v>1.2235</v>
      </c>
      <c r="C5658" s="1">
        <v>0.88</v>
      </c>
      <c r="D5658" s="1">
        <v>1.8612</v>
      </c>
    </row>
    <row r="5659" spans="1:4" x14ac:dyDescent="0.2">
      <c r="A5659" s="5">
        <v>44414</v>
      </c>
      <c r="B5659" s="1">
        <v>1.2968999999999999</v>
      </c>
      <c r="C5659" s="1">
        <v>0.88</v>
      </c>
      <c r="D5659" s="1">
        <v>1.9454</v>
      </c>
    </row>
    <row r="5660" spans="1:4" x14ac:dyDescent="0.2">
      <c r="A5660" s="5">
        <v>44417</v>
      </c>
      <c r="B5660" s="1">
        <v>1.3237000000000001</v>
      </c>
      <c r="C5660" s="1">
        <v>0.89</v>
      </c>
      <c r="D5660" s="1">
        <v>1.9702999999999999</v>
      </c>
    </row>
    <row r="5661" spans="1:4" x14ac:dyDescent="0.2">
      <c r="A5661" s="5">
        <v>44418</v>
      </c>
      <c r="B5661" s="1">
        <v>1.349</v>
      </c>
      <c r="C5661" s="1">
        <v>0.89</v>
      </c>
      <c r="D5661" s="1">
        <v>1.9987999999999999</v>
      </c>
    </row>
    <row r="5662" spans="1:4" x14ac:dyDescent="0.2">
      <c r="A5662" s="5">
        <v>44419</v>
      </c>
      <c r="B5662" s="1">
        <v>1.3303</v>
      </c>
      <c r="C5662" s="1">
        <v>0.89</v>
      </c>
      <c r="D5662" s="1">
        <v>1.9987999999999999</v>
      </c>
    </row>
    <row r="5663" spans="1:4" x14ac:dyDescent="0.2">
      <c r="A5663" s="5">
        <v>44420</v>
      </c>
      <c r="B5663" s="1">
        <v>1.359</v>
      </c>
      <c r="C5663" s="1">
        <v>0.88</v>
      </c>
      <c r="D5663" s="1">
        <v>1.9987999999999999</v>
      </c>
    </row>
    <row r="5664" spans="1:4" x14ac:dyDescent="0.2">
      <c r="A5664" s="5">
        <v>44421</v>
      </c>
      <c r="B5664" s="1">
        <v>1.2766999999999999</v>
      </c>
      <c r="C5664" s="1">
        <v>0.88</v>
      </c>
      <c r="D5664" s="1">
        <v>1.9291</v>
      </c>
    </row>
    <row r="5665" spans="1:4" x14ac:dyDescent="0.2">
      <c r="A5665" s="5">
        <v>44424</v>
      </c>
      <c r="B5665" s="1">
        <v>1.2649999999999999</v>
      </c>
      <c r="C5665" s="1">
        <v>0.89</v>
      </c>
      <c r="D5665" s="1">
        <v>1.927</v>
      </c>
    </row>
    <row r="5666" spans="1:4" x14ac:dyDescent="0.2">
      <c r="A5666" s="5">
        <v>44425</v>
      </c>
      <c r="B5666" s="1">
        <v>1.2617</v>
      </c>
      <c r="C5666" s="1">
        <v>0.9</v>
      </c>
      <c r="D5666" s="1">
        <v>1.9189000000000001</v>
      </c>
    </row>
    <row r="5667" spans="1:4" x14ac:dyDescent="0.2">
      <c r="A5667" s="5">
        <v>44426</v>
      </c>
      <c r="B5667" s="1">
        <v>1.2583</v>
      </c>
      <c r="C5667" s="1">
        <v>0.9</v>
      </c>
      <c r="D5667" s="1">
        <v>1.8972</v>
      </c>
    </row>
    <row r="5668" spans="1:4" x14ac:dyDescent="0.2">
      <c r="A5668" s="5">
        <v>44427</v>
      </c>
      <c r="B5668" s="1">
        <v>1.2433000000000001</v>
      </c>
      <c r="C5668" s="1">
        <v>0.91</v>
      </c>
      <c r="D5668" s="1">
        <v>1.8709</v>
      </c>
    </row>
    <row r="5669" spans="1:4" x14ac:dyDescent="0.2">
      <c r="A5669" s="5">
        <v>44428</v>
      </c>
      <c r="B5669" s="1">
        <v>1.2549999999999999</v>
      </c>
      <c r="C5669" s="1">
        <v>0.91</v>
      </c>
      <c r="D5669" s="1">
        <v>1.8688</v>
      </c>
    </row>
    <row r="5670" spans="1:4" x14ac:dyDescent="0.2">
      <c r="A5670" s="5">
        <v>44431</v>
      </c>
      <c r="B5670" s="1">
        <v>1.2517</v>
      </c>
      <c r="C5670" s="1">
        <v>0.9</v>
      </c>
      <c r="D5670" s="1">
        <v>1.8708</v>
      </c>
    </row>
    <row r="5671" spans="1:4" x14ac:dyDescent="0.2">
      <c r="A5671" s="5">
        <v>44432</v>
      </c>
      <c r="B5671" s="1">
        <v>1.2935000000000001</v>
      </c>
      <c r="C5671" s="1">
        <v>0.89</v>
      </c>
      <c r="D5671" s="1">
        <v>1.9160999999999999</v>
      </c>
    </row>
    <row r="5672" spans="1:4" x14ac:dyDescent="0.2">
      <c r="A5672" s="5">
        <v>44433</v>
      </c>
      <c r="B5672" s="1">
        <v>1.339</v>
      </c>
      <c r="C5672" s="1">
        <v>0.88</v>
      </c>
      <c r="D5672" s="1">
        <v>1.9481999999999999</v>
      </c>
    </row>
    <row r="5673" spans="1:4" x14ac:dyDescent="0.2">
      <c r="A5673" s="5">
        <v>44434</v>
      </c>
      <c r="B5673" s="1">
        <v>1.3491</v>
      </c>
      <c r="C5673" s="1">
        <v>0.88</v>
      </c>
      <c r="D5673" s="1">
        <v>1.9468000000000001</v>
      </c>
    </row>
    <row r="5674" spans="1:4" x14ac:dyDescent="0.2">
      <c r="A5674" s="5">
        <v>44435</v>
      </c>
      <c r="B5674" s="1">
        <v>1.3069999999999999</v>
      </c>
      <c r="C5674" s="1">
        <v>0.88</v>
      </c>
      <c r="D5674" s="1">
        <v>1.9167000000000001</v>
      </c>
    </row>
    <row r="5675" spans="1:4" x14ac:dyDescent="0.2">
      <c r="A5675" s="5">
        <v>44438</v>
      </c>
      <c r="B5675" s="1">
        <v>1.2785</v>
      </c>
      <c r="C5675" s="1">
        <v>0.88</v>
      </c>
      <c r="D5675" s="1">
        <v>1.8964000000000001</v>
      </c>
    </row>
    <row r="5676" spans="1:4" x14ac:dyDescent="0.2">
      <c r="A5676" s="5">
        <v>44439</v>
      </c>
      <c r="B5676" s="1">
        <v>1.3088</v>
      </c>
      <c r="C5676" s="1">
        <v>0.87</v>
      </c>
      <c r="D5676" s="1">
        <v>1.9323999999999999</v>
      </c>
    </row>
    <row r="5677" spans="1:4" x14ac:dyDescent="0.2">
      <c r="A5677" s="5">
        <v>44440</v>
      </c>
      <c r="B5677" s="1">
        <v>1.2936000000000001</v>
      </c>
      <c r="C5677" s="1">
        <v>0.88</v>
      </c>
      <c r="D5677" s="1">
        <v>1.9133</v>
      </c>
    </row>
    <row r="5678" spans="1:4" x14ac:dyDescent="0.2">
      <c r="A5678" s="5">
        <v>44441</v>
      </c>
      <c r="B5678" s="1">
        <v>1.2835000000000001</v>
      </c>
      <c r="C5678" s="1">
        <v>0.88</v>
      </c>
      <c r="D5678" s="1">
        <v>1.897</v>
      </c>
    </row>
    <row r="5679" spans="1:4" x14ac:dyDescent="0.2">
      <c r="A5679" s="5">
        <v>44442</v>
      </c>
      <c r="B5679" s="1">
        <v>1.3223</v>
      </c>
      <c r="C5679" s="1">
        <v>0.88</v>
      </c>
      <c r="D5679" s="1">
        <v>1.9419999999999999</v>
      </c>
    </row>
    <row r="5680" spans="1:4" x14ac:dyDescent="0.2">
      <c r="A5680" s="5">
        <v>44445</v>
      </c>
      <c r="B5680" s="1">
        <v>1.3223</v>
      </c>
      <c r="C5680" s="1">
        <v>0.88</v>
      </c>
      <c r="D5680" s="1">
        <v>1.9419999999999999</v>
      </c>
    </row>
    <row r="5681" spans="1:4" x14ac:dyDescent="0.2">
      <c r="A5681" s="5">
        <v>44446</v>
      </c>
      <c r="B5681" s="1">
        <v>1.3732</v>
      </c>
      <c r="C5681" s="1">
        <v>0.88</v>
      </c>
      <c r="D5681" s="1">
        <v>1.9867999999999999</v>
      </c>
    </row>
    <row r="5682" spans="1:4" x14ac:dyDescent="0.2">
      <c r="A5682" s="5">
        <v>44447</v>
      </c>
      <c r="B5682" s="1">
        <v>1.3375999999999999</v>
      </c>
      <c r="C5682" s="1">
        <v>0.88</v>
      </c>
      <c r="D5682" s="1">
        <v>1.9557</v>
      </c>
    </row>
    <row r="5683" spans="1:4" x14ac:dyDescent="0.2">
      <c r="A5683" s="5">
        <v>44448</v>
      </c>
      <c r="B5683" s="1">
        <v>1.2970999999999999</v>
      </c>
      <c r="C5683" s="1">
        <v>0.87</v>
      </c>
      <c r="D5683" s="1">
        <v>1.8976999999999999</v>
      </c>
    </row>
    <row r="5684" spans="1:4" x14ac:dyDescent="0.2">
      <c r="A5684" s="5">
        <v>44449</v>
      </c>
      <c r="B5684" s="1">
        <v>1.3411</v>
      </c>
      <c r="C5684" s="1">
        <v>0.86</v>
      </c>
      <c r="D5684" s="1">
        <v>1.9337</v>
      </c>
    </row>
    <row r="5685" spans="1:4" x14ac:dyDescent="0.2">
      <c r="A5685" s="5">
        <v>44452</v>
      </c>
      <c r="B5685" s="1">
        <v>1.3259000000000001</v>
      </c>
      <c r="C5685" s="1">
        <v>0.86</v>
      </c>
      <c r="D5685" s="1">
        <v>1.9044000000000001</v>
      </c>
    </row>
    <row r="5686" spans="1:4" x14ac:dyDescent="0.2">
      <c r="A5686" s="5">
        <v>44453</v>
      </c>
      <c r="B5686" s="1">
        <v>1.2836000000000001</v>
      </c>
      <c r="C5686" s="1">
        <v>0.86</v>
      </c>
      <c r="D5686" s="1">
        <v>1.8592</v>
      </c>
    </row>
    <row r="5687" spans="1:4" x14ac:dyDescent="0.2">
      <c r="A5687" s="5">
        <v>44454</v>
      </c>
      <c r="B5687" s="1">
        <v>1.2988</v>
      </c>
      <c r="C5687" s="1">
        <v>0.86</v>
      </c>
      <c r="D5687" s="1">
        <v>1.8592</v>
      </c>
    </row>
    <row r="5688" spans="1:4" x14ac:dyDescent="0.2">
      <c r="A5688" s="5">
        <v>44455</v>
      </c>
      <c r="B5688" s="1">
        <v>1.3378000000000001</v>
      </c>
      <c r="C5688" s="1">
        <v>0.86</v>
      </c>
      <c r="D5688" s="1">
        <v>1.8834</v>
      </c>
    </row>
    <row r="5689" spans="1:4" x14ac:dyDescent="0.2">
      <c r="A5689" s="5">
        <v>44456</v>
      </c>
      <c r="B5689" s="1">
        <v>1.3615999999999999</v>
      </c>
      <c r="C5689" s="1">
        <v>0.85</v>
      </c>
      <c r="D5689" s="1">
        <v>1.8989</v>
      </c>
    </row>
    <row r="5690" spans="1:4" x14ac:dyDescent="0.2">
      <c r="A5690" s="5">
        <v>44459</v>
      </c>
      <c r="B5690" s="1">
        <v>1.3107</v>
      </c>
      <c r="C5690" s="1">
        <v>0.87</v>
      </c>
      <c r="D5690" s="1">
        <v>1.8471</v>
      </c>
    </row>
    <row r="5691" spans="1:4" x14ac:dyDescent="0.2">
      <c r="A5691" s="5">
        <v>44460</v>
      </c>
      <c r="B5691" s="1">
        <v>1.3226</v>
      </c>
      <c r="C5691" s="1">
        <v>0.86</v>
      </c>
      <c r="D5691" s="1">
        <v>1.8557999999999999</v>
      </c>
    </row>
    <row r="5692" spans="1:4" x14ac:dyDescent="0.2">
      <c r="A5692" s="5">
        <v>44461</v>
      </c>
      <c r="B5692" s="1">
        <v>1.3006</v>
      </c>
      <c r="C5692" s="1">
        <v>0.86</v>
      </c>
      <c r="D5692" s="1">
        <v>1.8078000000000001</v>
      </c>
    </row>
    <row r="5693" spans="1:4" x14ac:dyDescent="0.2">
      <c r="A5693" s="5">
        <v>44462</v>
      </c>
      <c r="B5693" s="1">
        <v>1.4300999999999999</v>
      </c>
      <c r="C5693" s="1">
        <v>0.84</v>
      </c>
      <c r="D5693" s="1">
        <v>1.9398</v>
      </c>
    </row>
    <row r="5694" spans="1:4" x14ac:dyDescent="0.2">
      <c r="A5694" s="5">
        <v>44463</v>
      </c>
      <c r="B5694" s="1">
        <v>1.4509000000000001</v>
      </c>
      <c r="C5694" s="1">
        <v>0.82</v>
      </c>
      <c r="D5694" s="1">
        <v>1.9833000000000001</v>
      </c>
    </row>
    <row r="5695" spans="1:4" x14ac:dyDescent="0.2">
      <c r="A5695" s="5">
        <v>44466</v>
      </c>
      <c r="B5695" s="1">
        <v>1.4871000000000001</v>
      </c>
      <c r="C5695" s="1">
        <v>0.82</v>
      </c>
      <c r="D5695" s="1">
        <v>1.9944</v>
      </c>
    </row>
    <row r="5696" spans="1:4" x14ac:dyDescent="0.2">
      <c r="A5696" s="5">
        <v>44467</v>
      </c>
      <c r="B5696" s="1">
        <v>1.5374000000000001</v>
      </c>
      <c r="C5696" s="1">
        <v>0.83</v>
      </c>
      <c r="D5696" s="1">
        <v>2.0859999999999999</v>
      </c>
    </row>
    <row r="5697" spans="1:4" x14ac:dyDescent="0.2">
      <c r="A5697" s="5">
        <v>44468</v>
      </c>
      <c r="B5697" s="1">
        <v>1.5166999999999999</v>
      </c>
      <c r="C5697" s="1">
        <v>0.83</v>
      </c>
      <c r="D5697" s="1">
        <v>2.0604</v>
      </c>
    </row>
    <row r="5698" spans="1:4" x14ac:dyDescent="0.2">
      <c r="A5698" s="5">
        <v>44469</v>
      </c>
      <c r="B5698" s="1">
        <v>1.4873000000000001</v>
      </c>
      <c r="C5698" s="1">
        <v>0.84</v>
      </c>
      <c r="D5698" s="1">
        <v>2.0449000000000002</v>
      </c>
    </row>
    <row r="5699" spans="1:4" x14ac:dyDescent="0.2">
      <c r="A5699" s="5">
        <v>44470</v>
      </c>
      <c r="B5699" s="1">
        <v>1.4616</v>
      </c>
      <c r="C5699" s="1">
        <v>0.84</v>
      </c>
      <c r="D5699" s="1">
        <v>2.0287000000000002</v>
      </c>
    </row>
    <row r="5700" spans="1:4" x14ac:dyDescent="0.2">
      <c r="A5700" s="5">
        <v>44473</v>
      </c>
      <c r="B5700" s="1">
        <v>1.4789000000000001</v>
      </c>
      <c r="C5700" s="1">
        <v>0.85</v>
      </c>
      <c r="D5700" s="1">
        <v>2.0442</v>
      </c>
    </row>
    <row r="5701" spans="1:4" x14ac:dyDescent="0.2">
      <c r="A5701" s="5">
        <v>44474</v>
      </c>
      <c r="B5701" s="1">
        <v>1.5258</v>
      </c>
      <c r="C5701" s="1">
        <v>0.84</v>
      </c>
      <c r="D5701" s="1">
        <v>2.0952999999999999</v>
      </c>
    </row>
    <row r="5702" spans="1:4" x14ac:dyDescent="0.2">
      <c r="A5702" s="5">
        <v>44475</v>
      </c>
      <c r="B5702" s="1">
        <v>1.5206</v>
      </c>
      <c r="C5702" s="1">
        <v>0.86</v>
      </c>
      <c r="D5702" s="1">
        <v>2.0789</v>
      </c>
    </row>
    <row r="5703" spans="1:4" x14ac:dyDescent="0.2">
      <c r="A5703" s="5">
        <v>44476</v>
      </c>
      <c r="B5703" s="1">
        <v>1.5729</v>
      </c>
      <c r="C5703" s="1">
        <v>0.85</v>
      </c>
      <c r="D5703" s="1">
        <v>2.1263000000000001</v>
      </c>
    </row>
    <row r="5704" spans="1:4" x14ac:dyDescent="0.2">
      <c r="A5704" s="5">
        <v>44477</v>
      </c>
      <c r="B5704" s="1">
        <v>1.6117999999999999</v>
      </c>
      <c r="C5704" s="1">
        <v>0.86</v>
      </c>
      <c r="D5704" s="1">
        <v>2.1640000000000001</v>
      </c>
    </row>
    <row r="5705" spans="1:4" x14ac:dyDescent="0.2">
      <c r="A5705" s="5">
        <v>44480</v>
      </c>
      <c r="B5705" s="1">
        <v>1.6117999999999999</v>
      </c>
      <c r="C5705" s="1">
        <v>0.86</v>
      </c>
      <c r="D5705" s="1">
        <v>2.1640000000000001</v>
      </c>
    </row>
    <row r="5706" spans="1:4" x14ac:dyDescent="0.2">
      <c r="A5706" s="5">
        <v>44481</v>
      </c>
      <c r="B5706" s="1">
        <v>1.5769</v>
      </c>
      <c r="C5706" s="1">
        <v>0.87</v>
      </c>
      <c r="D5706" s="1">
        <v>2.0954000000000002</v>
      </c>
    </row>
    <row r="5707" spans="1:4" x14ac:dyDescent="0.2">
      <c r="A5707" s="5">
        <v>44482</v>
      </c>
      <c r="B5707" s="1">
        <v>1.5367999999999999</v>
      </c>
      <c r="C5707" s="1">
        <v>0.86</v>
      </c>
      <c r="D5707" s="1">
        <v>2.0287000000000002</v>
      </c>
    </row>
    <row r="5708" spans="1:4" x14ac:dyDescent="0.2">
      <c r="A5708" s="5">
        <v>44483</v>
      </c>
      <c r="B5708" s="1">
        <v>1.5106999999999999</v>
      </c>
      <c r="C5708" s="1">
        <v>0.86</v>
      </c>
      <c r="D5708" s="1">
        <v>2.0146000000000002</v>
      </c>
    </row>
    <row r="5709" spans="1:4" x14ac:dyDescent="0.2">
      <c r="A5709" s="5">
        <v>44484</v>
      </c>
      <c r="B5709" s="1">
        <v>1.5703</v>
      </c>
      <c r="C5709" s="1">
        <v>0.85</v>
      </c>
      <c r="D5709" s="1">
        <v>2.0413999999999999</v>
      </c>
    </row>
    <row r="5710" spans="1:4" x14ac:dyDescent="0.2">
      <c r="A5710" s="5">
        <v>44487</v>
      </c>
      <c r="B5710" s="1">
        <v>1.6002000000000001</v>
      </c>
      <c r="C5710" s="1">
        <v>0.85</v>
      </c>
      <c r="D5710" s="1">
        <v>2.0335999999999999</v>
      </c>
    </row>
    <row r="5711" spans="1:4" x14ac:dyDescent="0.2">
      <c r="A5711" s="5">
        <v>44488</v>
      </c>
      <c r="B5711" s="1">
        <v>1.6372</v>
      </c>
      <c r="C5711" s="1">
        <v>0.85</v>
      </c>
      <c r="D5711" s="1">
        <v>2.0847000000000002</v>
      </c>
    </row>
    <row r="5712" spans="1:4" x14ac:dyDescent="0.2">
      <c r="A5712" s="5">
        <v>44489</v>
      </c>
      <c r="B5712" s="1">
        <v>1.6567000000000001</v>
      </c>
      <c r="C5712" s="1">
        <v>0.85</v>
      </c>
      <c r="D5712" s="1">
        <v>2.1343000000000001</v>
      </c>
    </row>
    <row r="5713" spans="1:4" x14ac:dyDescent="0.2">
      <c r="A5713" s="5">
        <v>44490</v>
      </c>
      <c r="B5713" s="1">
        <v>1.7011000000000001</v>
      </c>
      <c r="C5713" s="1">
        <v>0.85</v>
      </c>
      <c r="D5713" s="1">
        <v>2.1474000000000002</v>
      </c>
    </row>
    <row r="5714" spans="1:4" x14ac:dyDescent="0.2">
      <c r="A5714" s="5">
        <v>44491</v>
      </c>
      <c r="B5714" s="1">
        <v>1.6324000000000001</v>
      </c>
      <c r="C5714" s="1">
        <v>0.86</v>
      </c>
      <c r="D5714" s="1">
        <v>2.0682999999999998</v>
      </c>
    </row>
    <row r="5715" spans="1:4" x14ac:dyDescent="0.2">
      <c r="A5715" s="5">
        <v>44494</v>
      </c>
      <c r="B5715" s="1">
        <v>1.6307</v>
      </c>
      <c r="C5715" s="1">
        <v>0.86</v>
      </c>
      <c r="D5715" s="1">
        <v>2.0811999999999999</v>
      </c>
    </row>
    <row r="5716" spans="1:4" x14ac:dyDescent="0.2">
      <c r="A5716" s="5">
        <v>44495</v>
      </c>
      <c r="B5716" s="1">
        <v>1.6079000000000001</v>
      </c>
      <c r="C5716" s="1">
        <v>0.85</v>
      </c>
      <c r="D5716" s="1">
        <v>2.0407000000000002</v>
      </c>
    </row>
    <row r="5717" spans="1:4" x14ac:dyDescent="0.2">
      <c r="A5717" s="5">
        <v>44496</v>
      </c>
      <c r="B5717" s="1">
        <v>1.5412999999999999</v>
      </c>
      <c r="C5717" s="1">
        <v>0.85</v>
      </c>
      <c r="D5717" s="1">
        <v>1.9507000000000001</v>
      </c>
    </row>
    <row r="5718" spans="1:4" x14ac:dyDescent="0.2">
      <c r="A5718" s="5">
        <v>44497</v>
      </c>
      <c r="B5718" s="1">
        <v>1.58</v>
      </c>
      <c r="C5718" s="1">
        <v>0.85</v>
      </c>
      <c r="D5718" s="1">
        <v>1.9811000000000001</v>
      </c>
    </row>
    <row r="5719" spans="1:4" x14ac:dyDescent="0.2">
      <c r="A5719" s="5">
        <v>44498</v>
      </c>
      <c r="B5719" s="1">
        <v>1.5521</v>
      </c>
      <c r="C5719" s="1">
        <v>0.87</v>
      </c>
      <c r="D5719" s="1">
        <v>1.9328000000000001</v>
      </c>
    </row>
    <row r="5720" spans="1:4" x14ac:dyDescent="0.2">
      <c r="A5720" s="5">
        <v>44501</v>
      </c>
      <c r="B5720" s="1">
        <v>1.5557000000000001</v>
      </c>
      <c r="C5720" s="1">
        <v>0.88</v>
      </c>
      <c r="D5720" s="1">
        <v>1.9576</v>
      </c>
    </row>
    <row r="5721" spans="1:4" x14ac:dyDescent="0.2">
      <c r="A5721" s="5">
        <v>44502</v>
      </c>
      <c r="B5721" s="1">
        <v>1.5488</v>
      </c>
      <c r="C5721" s="1">
        <v>0.87</v>
      </c>
      <c r="D5721" s="1">
        <v>1.9589000000000001</v>
      </c>
    </row>
    <row r="5722" spans="1:4" x14ac:dyDescent="0.2">
      <c r="A5722" s="5">
        <v>44503</v>
      </c>
      <c r="B5722" s="1">
        <v>1.6033999999999999</v>
      </c>
      <c r="C5722" s="1">
        <v>0.85</v>
      </c>
      <c r="D5722" s="1">
        <v>2.0203000000000002</v>
      </c>
    </row>
    <row r="5723" spans="1:4" x14ac:dyDescent="0.2">
      <c r="A5723" s="5">
        <v>44504</v>
      </c>
      <c r="B5723" s="1">
        <v>1.5262</v>
      </c>
      <c r="C5723" s="1">
        <v>0.86</v>
      </c>
      <c r="D5723" s="1">
        <v>1.9631000000000001</v>
      </c>
    </row>
    <row r="5724" spans="1:4" x14ac:dyDescent="0.2">
      <c r="A5724" s="5">
        <v>44505</v>
      </c>
      <c r="B5724" s="1">
        <v>1.4513</v>
      </c>
      <c r="C5724" s="1">
        <v>0.86</v>
      </c>
      <c r="D5724" s="1">
        <v>1.887</v>
      </c>
    </row>
    <row r="5725" spans="1:4" x14ac:dyDescent="0.2">
      <c r="A5725" s="5">
        <v>44508</v>
      </c>
      <c r="B5725" s="1">
        <v>1.4897</v>
      </c>
      <c r="C5725" s="1">
        <v>0.86</v>
      </c>
      <c r="D5725" s="1">
        <v>1.8815999999999999</v>
      </c>
    </row>
    <row r="5726" spans="1:4" x14ac:dyDescent="0.2">
      <c r="A5726" s="5">
        <v>44509</v>
      </c>
      <c r="B5726" s="1">
        <v>1.4358</v>
      </c>
      <c r="C5726" s="1">
        <v>0.87</v>
      </c>
      <c r="D5726" s="1">
        <v>1.8178000000000001</v>
      </c>
    </row>
    <row r="5727" spans="1:4" x14ac:dyDescent="0.2">
      <c r="A5727" s="5">
        <v>44510</v>
      </c>
      <c r="B5727" s="1">
        <v>1.5492999999999999</v>
      </c>
      <c r="C5727" s="1">
        <v>0.87</v>
      </c>
      <c r="D5727" s="1">
        <v>1.9039999999999999</v>
      </c>
    </row>
    <row r="5728" spans="1:4" x14ac:dyDescent="0.2">
      <c r="A5728" s="5">
        <v>44511</v>
      </c>
      <c r="B5728" s="1">
        <v>1.5492999999999999</v>
      </c>
      <c r="C5728" s="1">
        <v>0.87</v>
      </c>
      <c r="D5728" s="1">
        <v>1.8996999999999999</v>
      </c>
    </row>
    <row r="5729" spans="1:4" x14ac:dyDescent="0.2">
      <c r="A5729" s="5">
        <v>44512</v>
      </c>
      <c r="B5729" s="1">
        <v>1.5612999999999999</v>
      </c>
      <c r="C5729" s="1">
        <v>0.88</v>
      </c>
      <c r="D5729" s="1">
        <v>1.9308000000000001</v>
      </c>
    </row>
    <row r="5730" spans="1:4" x14ac:dyDescent="0.2">
      <c r="A5730" s="5">
        <v>44515</v>
      </c>
      <c r="B5730" s="1">
        <v>1.6145</v>
      </c>
      <c r="C5730" s="1">
        <v>0.89</v>
      </c>
      <c r="D5730" s="1">
        <v>1.9959</v>
      </c>
    </row>
    <row r="5731" spans="1:4" x14ac:dyDescent="0.2">
      <c r="A5731" s="5">
        <v>44516</v>
      </c>
      <c r="B5731" s="1">
        <v>1.6335</v>
      </c>
      <c r="C5731" s="1">
        <v>0.9</v>
      </c>
      <c r="D5731" s="1">
        <v>2.0285000000000002</v>
      </c>
    </row>
    <row r="5732" spans="1:4" x14ac:dyDescent="0.2">
      <c r="A5732" s="5">
        <v>44517</v>
      </c>
      <c r="B5732" s="1">
        <v>1.5889</v>
      </c>
      <c r="C5732" s="1">
        <v>0.91</v>
      </c>
      <c r="D5732" s="1">
        <v>1.9755</v>
      </c>
    </row>
    <row r="5733" spans="1:4" x14ac:dyDescent="0.2">
      <c r="A5733" s="5">
        <v>44518</v>
      </c>
      <c r="B5733" s="1">
        <v>1.5854999999999999</v>
      </c>
      <c r="C5733" s="1">
        <v>0.91</v>
      </c>
      <c r="D5733" s="1">
        <v>1.9684999999999999</v>
      </c>
    </row>
    <row r="5734" spans="1:4" x14ac:dyDescent="0.2">
      <c r="A5734" s="5">
        <v>44519</v>
      </c>
      <c r="B5734" s="1">
        <v>1.5462</v>
      </c>
      <c r="C5734" s="1">
        <v>0.92</v>
      </c>
      <c r="D5734" s="1">
        <v>1.91</v>
      </c>
    </row>
    <row r="5735" spans="1:4" x14ac:dyDescent="0.2">
      <c r="A5735" s="5">
        <v>44522</v>
      </c>
      <c r="B5735" s="1">
        <v>1.6235999999999999</v>
      </c>
      <c r="C5735" s="1">
        <v>0.91</v>
      </c>
      <c r="D5735" s="1">
        <v>1.9615</v>
      </c>
    </row>
    <row r="5736" spans="1:4" x14ac:dyDescent="0.2">
      <c r="A5736" s="5">
        <v>44523</v>
      </c>
      <c r="B5736" s="1">
        <v>1.6651</v>
      </c>
      <c r="C5736" s="1">
        <v>0.93</v>
      </c>
      <c r="D5736" s="1">
        <v>2.0228999999999999</v>
      </c>
    </row>
    <row r="5737" spans="1:4" x14ac:dyDescent="0.2">
      <c r="A5737" s="5">
        <v>44524</v>
      </c>
      <c r="B5737" s="1">
        <v>1.6341000000000001</v>
      </c>
      <c r="C5737" s="1">
        <v>0.94</v>
      </c>
      <c r="D5737" s="1">
        <v>1.9594</v>
      </c>
    </row>
    <row r="5738" spans="1:4" x14ac:dyDescent="0.2">
      <c r="A5738" s="5">
        <v>44525</v>
      </c>
      <c r="B5738" s="1">
        <v>1.6341000000000001</v>
      </c>
      <c r="C5738" s="1">
        <v>0.94</v>
      </c>
      <c r="D5738" s="1">
        <v>1.9594</v>
      </c>
    </row>
    <row r="5739" spans="1:4" x14ac:dyDescent="0.2">
      <c r="A5739" s="5">
        <v>44526</v>
      </c>
      <c r="B5739" s="1">
        <v>1.4731000000000001</v>
      </c>
      <c r="C5739" s="1">
        <v>0.98</v>
      </c>
      <c r="D5739" s="1">
        <v>1.8212999999999999</v>
      </c>
    </row>
    <row r="5740" spans="1:4" x14ac:dyDescent="0.2">
      <c r="A5740" s="5">
        <v>44529</v>
      </c>
      <c r="B5740" s="1">
        <v>1.4986999999999999</v>
      </c>
      <c r="C5740" s="1">
        <v>0.99</v>
      </c>
      <c r="D5740" s="1">
        <v>1.8545</v>
      </c>
    </row>
    <row r="5741" spans="1:4" x14ac:dyDescent="0.2">
      <c r="A5741" s="5">
        <v>44530</v>
      </c>
      <c r="B5741" s="1">
        <v>1.4442999999999999</v>
      </c>
      <c r="C5741" s="1">
        <v>0.99</v>
      </c>
      <c r="D5741" s="1">
        <v>1.7910999999999999</v>
      </c>
    </row>
    <row r="5742" spans="1:4" x14ac:dyDescent="0.2">
      <c r="A5742" s="5">
        <v>44531</v>
      </c>
      <c r="B5742" s="1">
        <v>1.4036999999999999</v>
      </c>
      <c r="C5742" s="1">
        <v>1.01</v>
      </c>
      <c r="D5742" s="1">
        <v>1.7393000000000001</v>
      </c>
    </row>
    <row r="5743" spans="1:4" x14ac:dyDescent="0.2">
      <c r="A5743" s="5">
        <v>44532</v>
      </c>
      <c r="B5743" s="1">
        <v>1.4442999999999999</v>
      </c>
      <c r="C5743" s="1">
        <v>1.01</v>
      </c>
      <c r="D5743" s="1">
        <v>1.7625</v>
      </c>
    </row>
    <row r="5744" spans="1:4" x14ac:dyDescent="0.2">
      <c r="A5744" s="5">
        <v>44533</v>
      </c>
      <c r="B5744" s="1">
        <v>1.343</v>
      </c>
      <c r="C5744" s="1">
        <v>1</v>
      </c>
      <c r="D5744" s="1">
        <v>1.6727000000000001</v>
      </c>
    </row>
    <row r="5745" spans="1:4" x14ac:dyDescent="0.2">
      <c r="A5745" s="5">
        <v>44536</v>
      </c>
      <c r="B5745" s="1">
        <v>1.4341999999999999</v>
      </c>
      <c r="C5745" s="1">
        <v>0.97</v>
      </c>
      <c r="D5745" s="1">
        <v>1.7704</v>
      </c>
    </row>
    <row r="5746" spans="1:4" x14ac:dyDescent="0.2">
      <c r="A5746" s="5">
        <v>44537</v>
      </c>
      <c r="B5746" s="1">
        <v>1.4733000000000001</v>
      </c>
      <c r="C5746" s="1">
        <v>0.95</v>
      </c>
      <c r="D5746" s="1">
        <v>1.8025</v>
      </c>
    </row>
    <row r="5747" spans="1:4" x14ac:dyDescent="0.2">
      <c r="A5747" s="5">
        <v>44538</v>
      </c>
      <c r="B5747" s="1">
        <v>1.5212000000000001</v>
      </c>
      <c r="C5747" s="1">
        <v>0.95</v>
      </c>
      <c r="D5747" s="1">
        <v>1.8928</v>
      </c>
    </row>
    <row r="5748" spans="1:4" x14ac:dyDescent="0.2">
      <c r="A5748" s="5">
        <v>44539</v>
      </c>
      <c r="B5748" s="1">
        <v>1.4990000000000001</v>
      </c>
      <c r="C5748" s="1">
        <v>0.96</v>
      </c>
      <c r="D5748" s="1">
        <v>1.8763000000000001</v>
      </c>
    </row>
    <row r="5749" spans="1:4" x14ac:dyDescent="0.2">
      <c r="A5749" s="5">
        <v>44540</v>
      </c>
      <c r="B5749" s="1">
        <v>1.4837</v>
      </c>
      <c r="C5749" s="1">
        <v>0.96</v>
      </c>
      <c r="D5749" s="1">
        <v>1.8776999999999999</v>
      </c>
    </row>
    <row r="5750" spans="1:4" x14ac:dyDescent="0.2">
      <c r="A5750" s="5">
        <v>44543</v>
      </c>
      <c r="B5750" s="1">
        <v>1.4156</v>
      </c>
      <c r="C5750" s="1">
        <v>0.97</v>
      </c>
      <c r="D5750" s="1">
        <v>1.7998000000000001</v>
      </c>
    </row>
    <row r="5751" spans="1:4" x14ac:dyDescent="0.2">
      <c r="A5751" s="5">
        <v>44544</v>
      </c>
      <c r="B5751" s="1">
        <v>1.4411</v>
      </c>
      <c r="C5751" s="1">
        <v>0.98</v>
      </c>
      <c r="D5751" s="1">
        <v>1.8280000000000001</v>
      </c>
    </row>
    <row r="5752" spans="1:4" x14ac:dyDescent="0.2">
      <c r="A5752" s="5">
        <v>44545</v>
      </c>
      <c r="B5752" s="1">
        <v>1.4564999999999999</v>
      </c>
      <c r="C5752" s="1">
        <v>0.98</v>
      </c>
      <c r="D5752" s="1">
        <v>1.8599000000000001</v>
      </c>
    </row>
    <row r="5753" spans="1:4" x14ac:dyDescent="0.2">
      <c r="A5753" s="5">
        <v>44546</v>
      </c>
      <c r="B5753" s="1">
        <v>1.4106000000000001</v>
      </c>
      <c r="C5753" s="1">
        <v>0.98</v>
      </c>
      <c r="D5753" s="1">
        <v>1.8524</v>
      </c>
    </row>
    <row r="5754" spans="1:4" x14ac:dyDescent="0.2">
      <c r="A5754" s="5">
        <v>44547</v>
      </c>
      <c r="B5754" s="1">
        <v>1.4020999999999999</v>
      </c>
      <c r="C5754" s="1">
        <v>0.98</v>
      </c>
      <c r="D5754" s="1">
        <v>1.8064</v>
      </c>
    </row>
    <row r="5755" spans="1:4" x14ac:dyDescent="0.2">
      <c r="A5755" s="5">
        <v>44550</v>
      </c>
      <c r="B5755" s="1">
        <v>1.4225000000000001</v>
      </c>
      <c r="C5755" s="1">
        <v>1</v>
      </c>
      <c r="D5755" s="1">
        <v>1.8511</v>
      </c>
    </row>
    <row r="5756" spans="1:4" x14ac:dyDescent="0.2">
      <c r="A5756" s="5">
        <v>44551</v>
      </c>
      <c r="B5756" s="1">
        <v>1.4617</v>
      </c>
      <c r="C5756" s="1">
        <v>0.98</v>
      </c>
      <c r="D5756" s="1">
        <v>1.8627</v>
      </c>
    </row>
    <row r="5757" spans="1:4" x14ac:dyDescent="0.2">
      <c r="A5757" s="5">
        <v>44552</v>
      </c>
      <c r="B5757" s="1">
        <v>1.4515</v>
      </c>
      <c r="C5757" s="1">
        <v>0.97</v>
      </c>
      <c r="D5757" s="1">
        <v>1.849</v>
      </c>
    </row>
    <row r="5758" spans="1:4" x14ac:dyDescent="0.2">
      <c r="A5758" s="5">
        <v>44553</v>
      </c>
      <c r="B5758" s="1">
        <v>1.4926999999999999</v>
      </c>
      <c r="C5758" s="1">
        <v>0.96</v>
      </c>
      <c r="D5758" s="1">
        <v>1.9052</v>
      </c>
    </row>
    <row r="5759" spans="1:4" x14ac:dyDescent="0.2">
      <c r="A5759" s="5">
        <v>44554</v>
      </c>
      <c r="B5759" s="1">
        <v>1.4926999999999999</v>
      </c>
      <c r="C5759" s="1">
        <v>0.96</v>
      </c>
      <c r="D5759" s="1">
        <v>1.9052</v>
      </c>
    </row>
    <row r="5760" spans="1:4" x14ac:dyDescent="0.2">
      <c r="A5760" s="5">
        <v>44557</v>
      </c>
      <c r="B5760" s="1">
        <v>1.4756</v>
      </c>
      <c r="C5760" s="1">
        <v>0.94</v>
      </c>
      <c r="D5760" s="1">
        <v>1.8838999999999999</v>
      </c>
    </row>
    <row r="5761" spans="1:4" x14ac:dyDescent="0.2">
      <c r="A5761" s="5">
        <v>44558</v>
      </c>
      <c r="B5761" s="1">
        <v>1.4806999999999999</v>
      </c>
      <c r="C5761" s="1">
        <v>0.93</v>
      </c>
      <c r="D5761" s="1">
        <v>1.8996999999999999</v>
      </c>
    </row>
    <row r="5762" spans="1:4" x14ac:dyDescent="0.2">
      <c r="A5762" s="5">
        <v>44559</v>
      </c>
      <c r="B5762" s="1">
        <v>1.5496000000000001</v>
      </c>
      <c r="C5762" s="1">
        <v>0.93</v>
      </c>
      <c r="D5762" s="1">
        <v>1.9610000000000001</v>
      </c>
    </row>
    <row r="5763" spans="1:4" x14ac:dyDescent="0.2">
      <c r="A5763" s="5">
        <v>44560</v>
      </c>
      <c r="B5763" s="1">
        <v>1.5083</v>
      </c>
      <c r="C5763" s="1">
        <v>0.93</v>
      </c>
      <c r="D5763" s="1">
        <v>1.917</v>
      </c>
    </row>
    <row r="5764" spans="1:4" x14ac:dyDescent="0.2">
      <c r="A5764" s="5">
        <v>44561</v>
      </c>
      <c r="B5764" s="1">
        <v>1.5101</v>
      </c>
      <c r="C5764" s="1">
        <v>0.92</v>
      </c>
      <c r="D5764" s="1">
        <v>1.9032</v>
      </c>
    </row>
    <row r="5765" spans="1:4" x14ac:dyDescent="0.2">
      <c r="A5765" s="5">
        <v>44564</v>
      </c>
      <c r="B5765" s="1">
        <v>1.6279999999999999</v>
      </c>
      <c r="C5765" s="1">
        <v>0.93</v>
      </c>
      <c r="D5765" s="1">
        <v>2.024</v>
      </c>
    </row>
    <row r="5766" spans="1:4" x14ac:dyDescent="0.2">
      <c r="A5766" s="5">
        <v>44565</v>
      </c>
      <c r="B5766" s="1">
        <v>1.6473</v>
      </c>
      <c r="C5766" s="1">
        <v>0.92</v>
      </c>
      <c r="D5766" s="1">
        <v>2.0649999999999999</v>
      </c>
    </row>
    <row r="5767" spans="1:4" x14ac:dyDescent="0.2">
      <c r="A5767" s="5">
        <v>44566</v>
      </c>
      <c r="B5767" s="1">
        <v>1.7052</v>
      </c>
      <c r="C5767" s="1">
        <v>0.91</v>
      </c>
      <c r="D5767" s="1">
        <v>2.0947</v>
      </c>
    </row>
    <row r="5768" spans="1:4" x14ac:dyDescent="0.2">
      <c r="A5768" s="5">
        <v>44567</v>
      </c>
      <c r="B5768" s="1">
        <v>1.7211000000000001</v>
      </c>
      <c r="C5768" s="1">
        <v>0.92</v>
      </c>
      <c r="D5768" s="1">
        <v>2.0758000000000001</v>
      </c>
    </row>
    <row r="5769" spans="1:4" x14ac:dyDescent="0.2">
      <c r="A5769" s="5">
        <v>44568</v>
      </c>
      <c r="B5769" s="1">
        <v>1.762</v>
      </c>
      <c r="C5769" s="1">
        <v>0.92</v>
      </c>
      <c r="D5769" s="1">
        <v>2.1158999999999999</v>
      </c>
    </row>
    <row r="5770" spans="1:4" x14ac:dyDescent="0.2">
      <c r="A5770" s="5">
        <v>44571</v>
      </c>
      <c r="B5770" s="1">
        <v>1.7603</v>
      </c>
      <c r="C5770" s="1">
        <v>0.94</v>
      </c>
      <c r="D5770" s="1">
        <v>2.089</v>
      </c>
    </row>
    <row r="5771" spans="1:4" x14ac:dyDescent="0.2">
      <c r="A5771" s="5">
        <v>44572</v>
      </c>
      <c r="B5771" s="1">
        <v>1.7357</v>
      </c>
      <c r="C5771" s="1">
        <v>0.94</v>
      </c>
      <c r="D5771" s="1">
        <v>2.0621999999999998</v>
      </c>
    </row>
    <row r="5772" spans="1:4" x14ac:dyDescent="0.2">
      <c r="A5772" s="5">
        <v>44573</v>
      </c>
      <c r="B5772" s="1">
        <v>1.7427999999999999</v>
      </c>
      <c r="C5772" s="1">
        <v>0.94</v>
      </c>
      <c r="D5772" s="1">
        <v>2.0861000000000001</v>
      </c>
    </row>
    <row r="5773" spans="1:4" x14ac:dyDescent="0.2">
      <c r="A5773" s="5">
        <v>44574</v>
      </c>
      <c r="B5773" s="1">
        <v>1.7040999999999999</v>
      </c>
      <c r="C5773" s="1">
        <v>0.96</v>
      </c>
      <c r="D5773" s="1">
        <v>2.0427</v>
      </c>
    </row>
    <row r="5774" spans="1:4" x14ac:dyDescent="0.2">
      <c r="A5774" s="5">
        <v>44575</v>
      </c>
      <c r="B5774" s="1">
        <v>1.7841</v>
      </c>
      <c r="C5774" s="1">
        <v>0.96</v>
      </c>
      <c r="D5774" s="1">
        <v>2.1219000000000001</v>
      </c>
    </row>
    <row r="5775" spans="1:4" x14ac:dyDescent="0.2">
      <c r="A5775" s="5">
        <v>44578</v>
      </c>
      <c r="B5775" s="1">
        <v>1.7841</v>
      </c>
      <c r="C5775" s="1">
        <v>0.96</v>
      </c>
      <c r="D5775" s="1">
        <v>2.1219000000000001</v>
      </c>
    </row>
    <row r="5776" spans="1:4" x14ac:dyDescent="0.2">
      <c r="A5776" s="5">
        <v>44579</v>
      </c>
      <c r="B5776" s="1">
        <v>1.8734999999999999</v>
      </c>
      <c r="C5776" s="1">
        <v>0.96</v>
      </c>
      <c r="D5776" s="1">
        <v>2.1879</v>
      </c>
    </row>
    <row r="5777" spans="1:4" x14ac:dyDescent="0.2">
      <c r="A5777" s="5">
        <v>44580</v>
      </c>
      <c r="B5777" s="1">
        <v>1.8646</v>
      </c>
      <c r="C5777" s="1">
        <v>0.97</v>
      </c>
      <c r="D5777" s="1">
        <v>2.1760000000000002</v>
      </c>
    </row>
    <row r="5778" spans="1:4" x14ac:dyDescent="0.2">
      <c r="A5778" s="5">
        <v>44581</v>
      </c>
      <c r="B5778" s="1">
        <v>1.804</v>
      </c>
      <c r="C5778" s="1">
        <v>0.98</v>
      </c>
      <c r="D5778" s="1">
        <v>2.1168999999999998</v>
      </c>
    </row>
    <row r="5779" spans="1:4" x14ac:dyDescent="0.2">
      <c r="A5779" s="5">
        <v>44582</v>
      </c>
      <c r="B5779" s="1">
        <v>1.7581</v>
      </c>
      <c r="C5779" s="1">
        <v>1</v>
      </c>
      <c r="D5779" s="1">
        <v>2.0710000000000002</v>
      </c>
    </row>
    <row r="5780" spans="1:4" x14ac:dyDescent="0.2">
      <c r="A5780" s="5">
        <v>44585</v>
      </c>
      <c r="B5780" s="1">
        <v>1.7706</v>
      </c>
      <c r="C5780" s="1">
        <v>1.02</v>
      </c>
      <c r="D5780" s="1">
        <v>2.1118000000000001</v>
      </c>
    </row>
    <row r="5781" spans="1:4" x14ac:dyDescent="0.2">
      <c r="A5781" s="5">
        <v>44586</v>
      </c>
      <c r="B5781" s="1">
        <v>1.7688999999999999</v>
      </c>
      <c r="C5781" s="1">
        <v>1.01</v>
      </c>
      <c r="D5781" s="1">
        <v>2.1118000000000001</v>
      </c>
    </row>
    <row r="5782" spans="1:4" x14ac:dyDescent="0.2">
      <c r="A5782" s="5">
        <v>44587</v>
      </c>
      <c r="B5782" s="1">
        <v>1.8636999999999999</v>
      </c>
      <c r="C5782" s="1">
        <v>1</v>
      </c>
      <c r="D5782" s="1">
        <v>2.1648999999999998</v>
      </c>
    </row>
    <row r="5783" spans="1:4" x14ac:dyDescent="0.2">
      <c r="A5783" s="5">
        <v>44588</v>
      </c>
      <c r="B5783" s="1">
        <v>1.7994000000000001</v>
      </c>
      <c r="C5783" s="1">
        <v>1.04</v>
      </c>
      <c r="D5783" s="1">
        <v>2.0928</v>
      </c>
    </row>
    <row r="5784" spans="1:4" x14ac:dyDescent="0.2">
      <c r="A5784" s="5">
        <v>44589</v>
      </c>
      <c r="B5784" s="1">
        <v>1.7694000000000001</v>
      </c>
      <c r="C5784" s="1">
        <v>1.06</v>
      </c>
      <c r="D5784" s="1">
        <v>2.0733000000000001</v>
      </c>
    </row>
    <row r="5785" spans="1:4" x14ac:dyDescent="0.2">
      <c r="A5785" s="5">
        <v>44592</v>
      </c>
      <c r="B5785" s="1">
        <v>1.7766999999999999</v>
      </c>
      <c r="C5785" s="1">
        <v>1.06</v>
      </c>
      <c r="D5785" s="1">
        <v>2.1074999999999999</v>
      </c>
    </row>
    <row r="5786" spans="1:4" x14ac:dyDescent="0.2">
      <c r="A5786" s="5">
        <v>44593</v>
      </c>
      <c r="B5786" s="1">
        <v>1.7875000000000001</v>
      </c>
      <c r="C5786" s="1">
        <v>1.05</v>
      </c>
      <c r="D5786" s="1">
        <v>2.109</v>
      </c>
    </row>
    <row r="5787" spans="1:4" x14ac:dyDescent="0.2">
      <c r="A5787" s="5">
        <v>44594</v>
      </c>
      <c r="B5787" s="1">
        <v>1.7750999999999999</v>
      </c>
      <c r="C5787" s="1">
        <v>1.05</v>
      </c>
      <c r="D5787" s="1">
        <v>2.1082999999999998</v>
      </c>
    </row>
    <row r="5788" spans="1:4" x14ac:dyDescent="0.2">
      <c r="A5788" s="5">
        <v>44595</v>
      </c>
      <c r="B5788" s="1">
        <v>1.8306</v>
      </c>
      <c r="C5788" s="1">
        <v>1.06</v>
      </c>
      <c r="D5788" s="1">
        <v>2.1516999999999999</v>
      </c>
    </row>
    <row r="5789" spans="1:4" x14ac:dyDescent="0.2">
      <c r="A5789" s="5">
        <v>44596</v>
      </c>
      <c r="B5789" s="1">
        <v>1.9085000000000001</v>
      </c>
      <c r="C5789" s="1">
        <v>1.08</v>
      </c>
      <c r="D5789" s="1">
        <v>2.2101000000000002</v>
      </c>
    </row>
    <row r="5790" spans="1:4" x14ac:dyDescent="0.2">
      <c r="A5790" s="5">
        <v>44599</v>
      </c>
      <c r="B5790" s="1">
        <v>1.9158999999999999</v>
      </c>
      <c r="C5790" s="1">
        <v>1.07</v>
      </c>
      <c r="D5790" s="1">
        <v>2.2168999999999999</v>
      </c>
    </row>
    <row r="5791" spans="1:4" x14ac:dyDescent="0.2">
      <c r="A5791" s="5">
        <v>44600</v>
      </c>
      <c r="B5791" s="1">
        <v>1.9632000000000001</v>
      </c>
      <c r="C5791" s="1">
        <v>1.07</v>
      </c>
      <c r="D5791" s="1">
        <v>2.2570999999999999</v>
      </c>
    </row>
    <row r="5792" spans="1:4" x14ac:dyDescent="0.2">
      <c r="A5792" s="5">
        <v>44601</v>
      </c>
      <c r="B5792" s="1">
        <v>1.9415</v>
      </c>
      <c r="C5792" s="1">
        <v>1.05</v>
      </c>
      <c r="D5792" s="1">
        <v>2.2448999999999999</v>
      </c>
    </row>
    <row r="5793" spans="1:4" x14ac:dyDescent="0.2">
      <c r="A5793" s="5">
        <v>44602</v>
      </c>
      <c r="B5793" s="1">
        <v>2.0293999999999999</v>
      </c>
      <c r="C5793" s="1">
        <v>1.06</v>
      </c>
      <c r="D5793" s="1">
        <v>2.3163</v>
      </c>
    </row>
    <row r="5794" spans="1:4" x14ac:dyDescent="0.2">
      <c r="A5794" s="5">
        <v>44603</v>
      </c>
      <c r="B5794" s="1">
        <v>1.9371</v>
      </c>
      <c r="C5794" s="1">
        <v>1.08</v>
      </c>
      <c r="D5794" s="1">
        <v>2.2385000000000002</v>
      </c>
    </row>
    <row r="5795" spans="1:4" x14ac:dyDescent="0.2">
      <c r="A5795" s="5">
        <v>44606</v>
      </c>
      <c r="B5795" s="1">
        <v>1.9875</v>
      </c>
      <c r="C5795" s="1">
        <v>1.0900000000000001</v>
      </c>
      <c r="D5795" s="1">
        <v>2.2860999999999998</v>
      </c>
    </row>
    <row r="5796" spans="1:4" x14ac:dyDescent="0.2">
      <c r="A5796" s="5">
        <v>44607</v>
      </c>
      <c r="B5796" s="1">
        <v>2.0434000000000001</v>
      </c>
      <c r="C5796" s="1">
        <v>1.08</v>
      </c>
      <c r="D5796" s="1">
        <v>2.3572000000000002</v>
      </c>
    </row>
    <row r="5797" spans="1:4" x14ac:dyDescent="0.2">
      <c r="A5797" s="5">
        <v>44608</v>
      </c>
      <c r="B5797" s="1">
        <v>2.0381999999999998</v>
      </c>
      <c r="C5797" s="1">
        <v>1.1200000000000001</v>
      </c>
      <c r="D5797" s="1">
        <v>2.3454000000000002</v>
      </c>
    </row>
    <row r="5798" spans="1:4" x14ac:dyDescent="0.2">
      <c r="A5798" s="5">
        <v>44609</v>
      </c>
      <c r="B5798" s="1">
        <v>1.9615</v>
      </c>
      <c r="C5798" s="1">
        <v>1.1499999999999999</v>
      </c>
      <c r="D5798" s="1">
        <v>2.2940999999999998</v>
      </c>
    </row>
    <row r="5799" spans="1:4" x14ac:dyDescent="0.2">
      <c r="A5799" s="5">
        <v>44610</v>
      </c>
      <c r="B5799" s="1">
        <v>1.9286000000000001</v>
      </c>
      <c r="C5799" s="1">
        <v>1.18</v>
      </c>
      <c r="D5799" s="1">
        <v>2.2399</v>
      </c>
    </row>
    <row r="5800" spans="1:4" x14ac:dyDescent="0.2">
      <c r="A5800" s="5">
        <v>44613</v>
      </c>
      <c r="B5800" s="1">
        <v>1.9286000000000001</v>
      </c>
      <c r="C5800" s="1">
        <v>1.18</v>
      </c>
      <c r="D5800" s="1">
        <v>2.2399</v>
      </c>
    </row>
    <row r="5801" spans="1:4" x14ac:dyDescent="0.2">
      <c r="A5801" s="5">
        <v>44614</v>
      </c>
      <c r="B5801" s="1">
        <v>1.9390000000000001</v>
      </c>
      <c r="C5801" s="1">
        <v>1.19</v>
      </c>
      <c r="D5801" s="1">
        <v>2.2370999999999999</v>
      </c>
    </row>
    <row r="5802" spans="1:4" x14ac:dyDescent="0.2">
      <c r="A5802" s="5">
        <v>44615</v>
      </c>
      <c r="B5802" s="1">
        <v>1.9912000000000001</v>
      </c>
      <c r="C5802" s="1">
        <v>1.21</v>
      </c>
      <c r="D5802" s="1">
        <v>2.2940999999999998</v>
      </c>
    </row>
    <row r="5803" spans="1:4" x14ac:dyDescent="0.2">
      <c r="A5803" s="5">
        <v>44616</v>
      </c>
      <c r="B5803" s="1">
        <v>1.9633</v>
      </c>
      <c r="C5803" s="1">
        <v>1.24</v>
      </c>
      <c r="D5803" s="1">
        <v>2.2782</v>
      </c>
    </row>
    <row r="5804" spans="1:4" x14ac:dyDescent="0.2">
      <c r="A5804" s="5">
        <v>44617</v>
      </c>
      <c r="B5804" s="1">
        <v>1.9617</v>
      </c>
      <c r="C5804" s="1">
        <v>1.21</v>
      </c>
      <c r="D5804" s="1">
        <v>2.2738</v>
      </c>
    </row>
    <row r="5805" spans="1:4" x14ac:dyDescent="0.2">
      <c r="A5805" s="5">
        <v>44620</v>
      </c>
      <c r="B5805" s="1">
        <v>1.825</v>
      </c>
      <c r="C5805" s="1">
        <v>1.22</v>
      </c>
      <c r="D5805" s="1">
        <v>2.1610999999999998</v>
      </c>
    </row>
    <row r="5806" spans="1:4" x14ac:dyDescent="0.2">
      <c r="A5806" s="5">
        <v>44621</v>
      </c>
      <c r="B5806" s="1">
        <v>1.7275</v>
      </c>
      <c r="C5806" s="1">
        <v>1.24</v>
      </c>
      <c r="D5806" s="1">
        <v>2.1046</v>
      </c>
    </row>
    <row r="5807" spans="1:4" x14ac:dyDescent="0.2">
      <c r="A5807" s="5">
        <v>44622</v>
      </c>
      <c r="B5807" s="1">
        <v>1.8767</v>
      </c>
      <c r="C5807" s="1">
        <v>1.24</v>
      </c>
      <c r="D5807" s="1">
        <v>2.2484999999999999</v>
      </c>
    </row>
    <row r="5808" spans="1:4" x14ac:dyDescent="0.2">
      <c r="A5808" s="5">
        <v>44623</v>
      </c>
      <c r="B5808" s="1">
        <v>1.8405</v>
      </c>
      <c r="C5808" s="1">
        <v>1.25</v>
      </c>
      <c r="D5808" s="1">
        <v>2.2199</v>
      </c>
    </row>
    <row r="5809" spans="1:4" x14ac:dyDescent="0.2">
      <c r="A5809" s="5">
        <v>44624</v>
      </c>
      <c r="B5809" s="1">
        <v>1.7306999999999999</v>
      </c>
      <c r="C5809" s="1">
        <v>1.3</v>
      </c>
      <c r="D5809" s="1">
        <v>2.1554000000000002</v>
      </c>
    </row>
    <row r="5810" spans="1:4" x14ac:dyDescent="0.2">
      <c r="A5810" s="5">
        <v>44627</v>
      </c>
      <c r="B5810" s="1">
        <v>1.7734000000000001</v>
      </c>
      <c r="C5810" s="1">
        <v>1.37</v>
      </c>
      <c r="D5810" s="1">
        <v>2.1857000000000002</v>
      </c>
    </row>
    <row r="5811" spans="1:4" x14ac:dyDescent="0.2">
      <c r="A5811" s="5">
        <v>44628</v>
      </c>
      <c r="B5811" s="1">
        <v>1.8455999999999999</v>
      </c>
      <c r="C5811" s="1">
        <v>1.42</v>
      </c>
      <c r="D5811" s="1">
        <v>2.2269999999999999</v>
      </c>
    </row>
    <row r="5812" spans="1:4" x14ac:dyDescent="0.2">
      <c r="A5812" s="5">
        <v>44629</v>
      </c>
      <c r="B5812" s="1">
        <v>1.9531000000000001</v>
      </c>
      <c r="C5812" s="1">
        <v>1.38</v>
      </c>
      <c r="D5812" s="1">
        <v>2.3351999999999999</v>
      </c>
    </row>
    <row r="5813" spans="1:4" x14ac:dyDescent="0.2">
      <c r="A5813" s="5">
        <v>44630</v>
      </c>
      <c r="B5813" s="1">
        <v>1.9863999999999999</v>
      </c>
      <c r="C5813" s="1">
        <v>1.41</v>
      </c>
      <c r="D5813" s="1">
        <v>2.367</v>
      </c>
    </row>
    <row r="5814" spans="1:4" x14ac:dyDescent="0.2">
      <c r="A5814" s="5">
        <v>44631</v>
      </c>
      <c r="B5814" s="1">
        <v>1.9917</v>
      </c>
      <c r="C5814" s="1">
        <v>1.43</v>
      </c>
      <c r="D5814" s="1">
        <v>2.3536999999999999</v>
      </c>
    </row>
    <row r="5815" spans="1:4" x14ac:dyDescent="0.2">
      <c r="A5815" s="5">
        <v>44634</v>
      </c>
      <c r="B5815" s="1">
        <v>2.133</v>
      </c>
      <c r="C5815" s="1">
        <v>1.45</v>
      </c>
      <c r="D5815" s="1">
        <v>2.4710000000000001</v>
      </c>
    </row>
    <row r="5816" spans="1:4" x14ac:dyDescent="0.2">
      <c r="A5816" s="5">
        <v>44635</v>
      </c>
      <c r="B5816" s="1">
        <v>2.1436999999999999</v>
      </c>
      <c r="C5816" s="1">
        <v>1.43</v>
      </c>
      <c r="D5816" s="1">
        <v>2.4779</v>
      </c>
    </row>
    <row r="5817" spans="1:4" x14ac:dyDescent="0.2">
      <c r="A5817" s="5">
        <v>44636</v>
      </c>
      <c r="B5817" s="1">
        <v>2.1848999999999998</v>
      </c>
      <c r="C5817" s="1">
        <v>1.36</v>
      </c>
      <c r="D5817" s="1">
        <v>2.4527999999999999</v>
      </c>
    </row>
    <row r="5818" spans="1:4" x14ac:dyDescent="0.2">
      <c r="A5818" s="5">
        <v>44637</v>
      </c>
      <c r="B5818" s="1">
        <v>2.1705999999999999</v>
      </c>
      <c r="C5818" s="1">
        <v>1.27</v>
      </c>
      <c r="D5818" s="1">
        <v>2.4687999999999999</v>
      </c>
    </row>
    <row r="5819" spans="1:4" x14ac:dyDescent="0.2">
      <c r="A5819" s="5">
        <v>44638</v>
      </c>
      <c r="B5819" s="1">
        <v>2.1494</v>
      </c>
      <c r="C5819" s="1">
        <v>1.27</v>
      </c>
      <c r="D5819" s="1">
        <v>2.4201999999999999</v>
      </c>
    </row>
    <row r="5820" spans="1:4" x14ac:dyDescent="0.2">
      <c r="A5820" s="5">
        <v>44641</v>
      </c>
      <c r="B5820" s="1">
        <v>2.2896000000000001</v>
      </c>
      <c r="C5820" s="1">
        <v>1.25</v>
      </c>
      <c r="D5820" s="1">
        <v>2.5173000000000001</v>
      </c>
    </row>
    <row r="5821" spans="1:4" x14ac:dyDescent="0.2">
      <c r="A5821" s="5">
        <v>44642</v>
      </c>
      <c r="B5821" s="1">
        <v>2.3824999999999998</v>
      </c>
      <c r="C5821" s="1">
        <v>1.21</v>
      </c>
      <c r="D5821" s="1">
        <v>2.6011000000000002</v>
      </c>
    </row>
    <row r="5822" spans="1:4" x14ac:dyDescent="0.2">
      <c r="A5822" s="5">
        <v>44643</v>
      </c>
      <c r="B5822" s="1">
        <v>2.2917000000000001</v>
      </c>
      <c r="C5822" s="1">
        <v>1.23</v>
      </c>
      <c r="D5822" s="1">
        <v>2.4842</v>
      </c>
    </row>
    <row r="5823" spans="1:4" x14ac:dyDescent="0.2">
      <c r="A5823" s="5">
        <v>44644</v>
      </c>
      <c r="B5823" s="1">
        <v>2.3717999999999999</v>
      </c>
      <c r="C5823" s="1">
        <v>1.23</v>
      </c>
      <c r="D5823" s="1">
        <v>2.5383</v>
      </c>
    </row>
    <row r="5824" spans="1:4" x14ac:dyDescent="0.2">
      <c r="A5824" s="5">
        <v>44645</v>
      </c>
      <c r="B5824" s="1">
        <v>2.4731000000000001</v>
      </c>
      <c r="C5824" s="1">
        <v>1.21</v>
      </c>
      <c r="D5824" s="1">
        <v>2.5846</v>
      </c>
    </row>
    <row r="5825" spans="1:4" x14ac:dyDescent="0.2">
      <c r="A5825" s="5">
        <v>44648</v>
      </c>
      <c r="B5825" s="1">
        <v>2.4584999999999999</v>
      </c>
      <c r="C5825" s="1">
        <v>1.2</v>
      </c>
      <c r="D5825" s="1">
        <v>2.5398999999999998</v>
      </c>
    </row>
    <row r="5826" spans="1:4" x14ac:dyDescent="0.2">
      <c r="A5826" s="5">
        <v>44649</v>
      </c>
      <c r="B5826" s="1">
        <v>2.3944000000000001</v>
      </c>
      <c r="C5826" s="1">
        <v>1.1599999999999999</v>
      </c>
      <c r="D5826" s="1">
        <v>2.5011999999999999</v>
      </c>
    </row>
    <row r="5827" spans="1:4" x14ac:dyDescent="0.2">
      <c r="A5827" s="5">
        <v>44650</v>
      </c>
      <c r="B5827" s="1">
        <v>2.3488000000000002</v>
      </c>
      <c r="C5827" s="1">
        <v>1.1599999999999999</v>
      </c>
      <c r="D5827" s="1">
        <v>2.4742999999999999</v>
      </c>
    </row>
    <row r="5828" spans="1:4" x14ac:dyDescent="0.2">
      <c r="A5828" s="5">
        <v>44651</v>
      </c>
      <c r="B5828" s="1">
        <v>2.3380000000000001</v>
      </c>
      <c r="C5828" s="1">
        <v>1.1599999999999999</v>
      </c>
      <c r="D5828" s="1">
        <v>2.4476</v>
      </c>
    </row>
    <row r="5829" spans="1:4" x14ac:dyDescent="0.2">
      <c r="A5829" s="5">
        <v>44652</v>
      </c>
      <c r="B5829" s="1">
        <v>2.3822000000000001</v>
      </c>
      <c r="C5829" s="1">
        <v>1.1499999999999999</v>
      </c>
      <c r="D5829" s="1">
        <v>2.4317000000000002</v>
      </c>
    </row>
    <row r="5830" spans="1:4" x14ac:dyDescent="0.2">
      <c r="A5830" s="5">
        <v>44655</v>
      </c>
      <c r="B5830" s="1">
        <v>2.3950999999999998</v>
      </c>
      <c r="C5830" s="1">
        <v>1.1100000000000001</v>
      </c>
      <c r="D5830" s="1">
        <v>2.456</v>
      </c>
    </row>
    <row r="5831" spans="1:4" x14ac:dyDescent="0.2">
      <c r="A5831" s="5">
        <v>44656</v>
      </c>
      <c r="B5831" s="1">
        <v>2.5468999999999999</v>
      </c>
      <c r="C5831" s="1">
        <v>1.0900000000000001</v>
      </c>
      <c r="D5831" s="1">
        <v>2.5729000000000002</v>
      </c>
    </row>
    <row r="5832" spans="1:4" x14ac:dyDescent="0.2">
      <c r="A5832" s="5">
        <v>44657</v>
      </c>
      <c r="B5832" s="1">
        <v>2.5975000000000001</v>
      </c>
      <c r="C5832" s="1">
        <v>1.1299999999999999</v>
      </c>
      <c r="D5832" s="1">
        <v>2.6259999999999999</v>
      </c>
    </row>
    <row r="5833" spans="1:4" x14ac:dyDescent="0.2">
      <c r="A5833" s="5">
        <v>44658</v>
      </c>
      <c r="B5833" s="1">
        <v>2.6577999999999999</v>
      </c>
      <c r="C5833" s="1">
        <v>1.1299999999999999</v>
      </c>
      <c r="D5833" s="1">
        <v>2.6789999999999998</v>
      </c>
    </row>
    <row r="5834" spans="1:4" x14ac:dyDescent="0.2">
      <c r="A5834" s="5">
        <v>44659</v>
      </c>
      <c r="B5834" s="1">
        <v>2.7</v>
      </c>
      <c r="C5834" s="1">
        <v>1.1599999999999999</v>
      </c>
      <c r="D5834" s="1">
        <v>2.7181999999999999</v>
      </c>
    </row>
    <row r="5835" spans="1:4" x14ac:dyDescent="0.2">
      <c r="A5835" s="5">
        <v>44662</v>
      </c>
      <c r="B5835" s="1">
        <v>2.7801</v>
      </c>
      <c r="C5835" s="1">
        <v>1.19</v>
      </c>
      <c r="D5835" s="1">
        <v>2.8083999999999998</v>
      </c>
    </row>
    <row r="5836" spans="1:4" x14ac:dyDescent="0.2">
      <c r="A5836" s="5">
        <v>44663</v>
      </c>
      <c r="B5836" s="1">
        <v>2.7212999999999998</v>
      </c>
      <c r="C5836" s="1">
        <v>1.22</v>
      </c>
      <c r="D5836" s="1">
        <v>2.8092000000000001</v>
      </c>
    </row>
    <row r="5837" spans="1:4" x14ac:dyDescent="0.2">
      <c r="A5837" s="5">
        <v>44664</v>
      </c>
      <c r="B5837" s="1">
        <v>2.6987000000000001</v>
      </c>
      <c r="C5837" s="1">
        <v>1.23</v>
      </c>
      <c r="D5837" s="1">
        <v>2.8109000000000002</v>
      </c>
    </row>
    <row r="5838" spans="1:4" x14ac:dyDescent="0.2">
      <c r="A5838" s="5">
        <v>44665</v>
      </c>
      <c r="B5838" s="1">
        <v>2.8275000000000001</v>
      </c>
      <c r="C5838" s="1">
        <v>1.21</v>
      </c>
      <c r="D5838" s="1">
        <v>2.9146999999999998</v>
      </c>
    </row>
    <row r="5839" spans="1:4" x14ac:dyDescent="0.2">
      <c r="A5839" s="5">
        <v>44666</v>
      </c>
      <c r="B5839" s="1">
        <v>2.8275000000000001</v>
      </c>
      <c r="C5839" s="1">
        <v>1.21</v>
      </c>
      <c r="D5839" s="1">
        <v>2.9146999999999998</v>
      </c>
    </row>
    <row r="5840" spans="1:4" x14ac:dyDescent="0.2">
      <c r="A5840" s="5">
        <v>44669</v>
      </c>
      <c r="B5840" s="1">
        <v>2.8527</v>
      </c>
      <c r="C5840" s="1">
        <v>1.23</v>
      </c>
      <c r="D5840" s="1">
        <v>2.9407000000000001</v>
      </c>
    </row>
    <row r="5841" spans="1:4" x14ac:dyDescent="0.2">
      <c r="A5841" s="5">
        <v>44670</v>
      </c>
      <c r="B5841" s="1">
        <v>2.9361000000000002</v>
      </c>
      <c r="C5841" s="1">
        <v>1.25</v>
      </c>
      <c r="D5841" s="1">
        <v>2.9948999999999999</v>
      </c>
    </row>
    <row r="5842" spans="1:4" x14ac:dyDescent="0.2">
      <c r="A5842" s="5">
        <v>44671</v>
      </c>
      <c r="B5842" s="1">
        <v>2.8319999999999999</v>
      </c>
      <c r="C5842" s="1">
        <v>1.25</v>
      </c>
      <c r="D5842" s="1">
        <v>2.8719999999999999</v>
      </c>
    </row>
    <row r="5843" spans="1:4" x14ac:dyDescent="0.2">
      <c r="A5843" s="5">
        <v>44672</v>
      </c>
      <c r="B5843" s="1">
        <v>2.9095</v>
      </c>
      <c r="C5843" s="1">
        <v>1.28</v>
      </c>
      <c r="D5843" s="1">
        <v>2.9278</v>
      </c>
    </row>
    <row r="5844" spans="1:4" x14ac:dyDescent="0.2">
      <c r="A5844" s="5">
        <v>44673</v>
      </c>
      <c r="B5844" s="1">
        <v>2.8986999999999998</v>
      </c>
      <c r="C5844" s="1">
        <v>1.32</v>
      </c>
      <c r="D5844" s="1">
        <v>2.9443999999999999</v>
      </c>
    </row>
    <row r="5845" spans="1:4" x14ac:dyDescent="0.2">
      <c r="A5845" s="5">
        <v>44676</v>
      </c>
      <c r="B5845" s="1">
        <v>2.8197999999999999</v>
      </c>
      <c r="C5845" s="1">
        <v>1.32</v>
      </c>
      <c r="D5845" s="1">
        <v>2.8883999999999999</v>
      </c>
    </row>
    <row r="5846" spans="1:4" x14ac:dyDescent="0.2">
      <c r="A5846" s="5">
        <v>44677</v>
      </c>
      <c r="B5846" s="1">
        <v>2.7204999999999999</v>
      </c>
      <c r="C5846" s="1">
        <v>1.32</v>
      </c>
      <c r="D5846" s="1">
        <v>2.8273999999999999</v>
      </c>
    </row>
    <row r="5847" spans="1:4" x14ac:dyDescent="0.2">
      <c r="A5847" s="5">
        <v>44678</v>
      </c>
      <c r="B5847" s="1">
        <v>2.8317999999999999</v>
      </c>
      <c r="C5847" s="1">
        <v>1.33</v>
      </c>
      <c r="D5847" s="1">
        <v>2.9211999999999998</v>
      </c>
    </row>
    <row r="5848" spans="1:4" x14ac:dyDescent="0.2">
      <c r="A5848" s="5">
        <v>44679</v>
      </c>
      <c r="B5848" s="1">
        <v>2.8224</v>
      </c>
      <c r="C5848" s="1">
        <v>1.35</v>
      </c>
      <c r="D5848" s="1">
        <v>2.8927999999999998</v>
      </c>
    </row>
    <row r="5849" spans="1:4" x14ac:dyDescent="0.2">
      <c r="A5849" s="5">
        <v>44680</v>
      </c>
      <c r="B5849" s="1">
        <v>2.9336000000000002</v>
      </c>
      <c r="C5849" s="1">
        <v>1.35</v>
      </c>
      <c r="D5849" s="1">
        <v>2.9971999999999999</v>
      </c>
    </row>
    <row r="5850" spans="1:4" x14ac:dyDescent="0.2">
      <c r="A5850" s="5">
        <v>44683</v>
      </c>
      <c r="B5850" s="1">
        <v>2.9807000000000001</v>
      </c>
      <c r="C5850" s="1">
        <v>1.38</v>
      </c>
      <c r="D5850" s="1">
        <v>3.0327000000000002</v>
      </c>
    </row>
    <row r="5851" spans="1:4" x14ac:dyDescent="0.2">
      <c r="A5851" s="5">
        <v>44684</v>
      </c>
      <c r="B5851" s="1">
        <v>2.9712000000000001</v>
      </c>
      <c r="C5851" s="1">
        <v>1.36</v>
      </c>
      <c r="D5851" s="1">
        <v>3.0087999999999999</v>
      </c>
    </row>
    <row r="5852" spans="1:4" x14ac:dyDescent="0.2">
      <c r="A5852" s="5">
        <v>44685</v>
      </c>
      <c r="B5852" s="1">
        <v>2.9344000000000001</v>
      </c>
      <c r="C5852" s="1">
        <v>1.34</v>
      </c>
      <c r="D5852" s="1">
        <v>3.0345</v>
      </c>
    </row>
    <row r="5853" spans="1:4" x14ac:dyDescent="0.2">
      <c r="A5853" s="5">
        <v>44686</v>
      </c>
      <c r="B5853" s="1">
        <v>3.0365000000000002</v>
      </c>
      <c r="C5853" s="1">
        <v>1.34</v>
      </c>
      <c r="D5853" s="1">
        <v>3.1192000000000002</v>
      </c>
    </row>
    <row r="5854" spans="1:4" x14ac:dyDescent="0.2">
      <c r="A5854" s="5">
        <v>44687</v>
      </c>
      <c r="B5854" s="1">
        <v>3.1265000000000001</v>
      </c>
      <c r="C5854" s="1">
        <v>1.34</v>
      </c>
      <c r="D5854" s="1">
        <v>3.2254</v>
      </c>
    </row>
    <row r="5855" spans="1:4" x14ac:dyDescent="0.2">
      <c r="A5855" s="5">
        <v>44690</v>
      </c>
      <c r="B5855" s="1">
        <v>3.0337999999999998</v>
      </c>
      <c r="C5855" s="1">
        <v>1.39</v>
      </c>
      <c r="D5855" s="1">
        <v>3.1503999999999999</v>
      </c>
    </row>
    <row r="5856" spans="1:4" x14ac:dyDescent="0.2">
      <c r="A5856" s="5">
        <v>44691</v>
      </c>
      <c r="B5856" s="1">
        <v>2.9908000000000001</v>
      </c>
      <c r="C5856" s="1">
        <v>1.39</v>
      </c>
      <c r="D5856" s="1">
        <v>3.1231</v>
      </c>
    </row>
    <row r="5857" spans="1:4" x14ac:dyDescent="0.2">
      <c r="A5857" s="5">
        <v>44692</v>
      </c>
      <c r="B5857" s="1">
        <v>2.9207000000000001</v>
      </c>
      <c r="C5857" s="1">
        <v>1.39</v>
      </c>
      <c r="D5857" s="1">
        <v>3.0455999999999999</v>
      </c>
    </row>
    <row r="5858" spans="1:4" x14ac:dyDescent="0.2">
      <c r="A5858" s="5">
        <v>44693</v>
      </c>
      <c r="B5858" s="1">
        <v>2.8479000000000001</v>
      </c>
      <c r="C5858" s="1">
        <v>1.41</v>
      </c>
      <c r="D5858" s="1">
        <v>3.0154000000000001</v>
      </c>
    </row>
    <row r="5859" spans="1:4" x14ac:dyDescent="0.2">
      <c r="A5859" s="5">
        <v>44694</v>
      </c>
      <c r="B5859" s="1">
        <v>2.9184999999999999</v>
      </c>
      <c r="C5859" s="1">
        <v>1.41</v>
      </c>
      <c r="D5859" s="1">
        <v>3.0785999999999998</v>
      </c>
    </row>
    <row r="5860" spans="1:4" x14ac:dyDescent="0.2">
      <c r="A5860" s="5">
        <v>44697</v>
      </c>
      <c r="B5860" s="1">
        <v>2.8822000000000001</v>
      </c>
      <c r="C5860" s="1">
        <v>1.43</v>
      </c>
      <c r="D5860" s="1">
        <v>3.0983999999999998</v>
      </c>
    </row>
    <row r="5861" spans="1:4" x14ac:dyDescent="0.2">
      <c r="A5861" s="5">
        <v>44698</v>
      </c>
      <c r="B5861" s="1">
        <v>2.9860000000000002</v>
      </c>
      <c r="C5861" s="1">
        <v>1.42</v>
      </c>
      <c r="D5861" s="1">
        <v>3.1778</v>
      </c>
    </row>
    <row r="5862" spans="1:4" x14ac:dyDescent="0.2">
      <c r="A5862" s="5">
        <v>44699</v>
      </c>
      <c r="B5862" s="1">
        <v>2.8839999999999999</v>
      </c>
      <c r="C5862" s="1">
        <v>1.47</v>
      </c>
      <c r="D5862" s="1">
        <v>3.0647000000000002</v>
      </c>
    </row>
    <row r="5863" spans="1:4" x14ac:dyDescent="0.2">
      <c r="A5863" s="5">
        <v>44700</v>
      </c>
      <c r="B5863" s="1">
        <v>2.8370000000000002</v>
      </c>
      <c r="C5863" s="1">
        <v>1.48</v>
      </c>
      <c r="D5863" s="1">
        <v>3.0491000000000001</v>
      </c>
    </row>
    <row r="5864" spans="1:4" x14ac:dyDescent="0.2">
      <c r="A5864" s="5">
        <v>44701</v>
      </c>
      <c r="B5864" s="1">
        <v>2.7810999999999999</v>
      </c>
      <c r="C5864" s="1">
        <v>1.49</v>
      </c>
      <c r="D5864" s="1">
        <v>2.9859</v>
      </c>
    </row>
    <row r="5865" spans="1:4" x14ac:dyDescent="0.2">
      <c r="A5865" s="5">
        <v>44704</v>
      </c>
      <c r="B5865" s="1">
        <v>2.8513999999999999</v>
      </c>
      <c r="C5865" s="1">
        <v>1.47</v>
      </c>
      <c r="D5865" s="1">
        <v>3.0524</v>
      </c>
    </row>
    <row r="5866" spans="1:4" x14ac:dyDescent="0.2">
      <c r="A5866" s="5">
        <v>44705</v>
      </c>
      <c r="B5866" s="1">
        <v>2.7505999999999999</v>
      </c>
      <c r="C5866" s="1">
        <v>1.46</v>
      </c>
      <c r="D5866" s="1">
        <v>2.9666999999999999</v>
      </c>
    </row>
    <row r="5867" spans="1:4" x14ac:dyDescent="0.2">
      <c r="A5867" s="5">
        <v>44706</v>
      </c>
      <c r="B5867" s="1">
        <v>2.7452000000000001</v>
      </c>
      <c r="C5867" s="1">
        <v>1.4</v>
      </c>
      <c r="D5867" s="1">
        <v>2.9691000000000001</v>
      </c>
    </row>
    <row r="5868" spans="1:4" x14ac:dyDescent="0.2">
      <c r="A5868" s="5">
        <v>44707</v>
      </c>
      <c r="B5868" s="1">
        <v>2.7469000000000001</v>
      </c>
      <c r="C5868" s="1">
        <v>1.36</v>
      </c>
      <c r="D5868" s="1">
        <v>2.9819</v>
      </c>
    </row>
    <row r="5869" spans="1:4" x14ac:dyDescent="0.2">
      <c r="A5869" s="5">
        <v>44708</v>
      </c>
      <c r="B5869" s="1">
        <v>2.7378</v>
      </c>
      <c r="C5869" s="1">
        <v>1.34</v>
      </c>
      <c r="D5869" s="1">
        <v>2.9634999999999998</v>
      </c>
    </row>
    <row r="5870" spans="1:4" x14ac:dyDescent="0.2">
      <c r="A5870" s="5">
        <v>44711</v>
      </c>
      <c r="B5870" s="1">
        <v>2.7378</v>
      </c>
      <c r="C5870" s="1">
        <v>1.34</v>
      </c>
      <c r="D5870" s="1">
        <v>2.9634999999999998</v>
      </c>
    </row>
    <row r="5871" spans="1:4" x14ac:dyDescent="0.2">
      <c r="A5871" s="5">
        <v>44712</v>
      </c>
      <c r="B5871" s="1">
        <v>2.8441000000000001</v>
      </c>
      <c r="C5871" s="1">
        <v>1.3</v>
      </c>
      <c r="D5871" s="1">
        <v>3.0451000000000001</v>
      </c>
    </row>
    <row r="5872" spans="1:4" x14ac:dyDescent="0.2">
      <c r="A5872" s="5">
        <v>44713</v>
      </c>
      <c r="B5872" s="1">
        <v>2.9058000000000002</v>
      </c>
      <c r="C5872" s="1">
        <v>1.31</v>
      </c>
      <c r="D5872" s="1">
        <v>3.0566</v>
      </c>
    </row>
    <row r="5873" spans="1:4" x14ac:dyDescent="0.2">
      <c r="A5873" s="5">
        <v>44714</v>
      </c>
      <c r="B5873" s="1">
        <v>2.9076</v>
      </c>
      <c r="C5873" s="1">
        <v>1.3</v>
      </c>
      <c r="D5873" s="1">
        <v>3.0747</v>
      </c>
    </row>
    <row r="5874" spans="1:4" x14ac:dyDescent="0.2">
      <c r="A5874" s="5">
        <v>44715</v>
      </c>
      <c r="B5874" s="1">
        <v>2.9331999999999998</v>
      </c>
      <c r="C5874" s="1">
        <v>1.31</v>
      </c>
      <c r="D5874" s="1">
        <v>3.0861999999999998</v>
      </c>
    </row>
    <row r="5875" spans="1:4" x14ac:dyDescent="0.2">
      <c r="A5875" s="5">
        <v>44718</v>
      </c>
      <c r="B5875" s="1">
        <v>3.0398999999999998</v>
      </c>
      <c r="C5875" s="1">
        <v>1.3</v>
      </c>
      <c r="D5875" s="1">
        <v>3.1959</v>
      </c>
    </row>
    <row r="5876" spans="1:4" x14ac:dyDescent="0.2">
      <c r="A5876" s="5">
        <v>44719</v>
      </c>
      <c r="B5876" s="1">
        <v>2.9735999999999998</v>
      </c>
      <c r="C5876" s="1">
        <v>1.31</v>
      </c>
      <c r="D5876" s="1">
        <v>3.1236000000000002</v>
      </c>
    </row>
    <row r="5877" spans="1:4" x14ac:dyDescent="0.2">
      <c r="A5877" s="5">
        <v>44720</v>
      </c>
      <c r="B5877" s="1">
        <v>3.0215000000000001</v>
      </c>
      <c r="C5877" s="1">
        <v>1.3</v>
      </c>
      <c r="D5877" s="1">
        <v>3.1714000000000002</v>
      </c>
    </row>
    <row r="5878" spans="1:4" x14ac:dyDescent="0.2">
      <c r="A5878" s="5">
        <v>44721</v>
      </c>
      <c r="B5878" s="1">
        <v>3.0417999999999998</v>
      </c>
      <c r="C5878" s="1">
        <v>1.32</v>
      </c>
      <c r="D5878" s="1">
        <v>3.1629999999999998</v>
      </c>
    </row>
    <row r="5879" spans="1:4" x14ac:dyDescent="0.2">
      <c r="A5879" s="5">
        <v>44722</v>
      </c>
      <c r="B5879" s="1">
        <v>3.1555</v>
      </c>
      <c r="C5879" s="1">
        <v>1.36</v>
      </c>
      <c r="D5879" s="1">
        <v>3.1934999999999998</v>
      </c>
    </row>
    <row r="5880" spans="1:4" x14ac:dyDescent="0.2">
      <c r="A5880" s="5">
        <v>44725</v>
      </c>
      <c r="B5880" s="1">
        <v>3.3597999999999999</v>
      </c>
      <c r="C5880" s="1">
        <v>1.41</v>
      </c>
      <c r="D5880" s="1">
        <v>3.3475999999999999</v>
      </c>
    </row>
    <row r="5881" spans="1:4" x14ac:dyDescent="0.2">
      <c r="A5881" s="5">
        <v>44726</v>
      </c>
      <c r="B5881" s="1">
        <v>3.4733000000000001</v>
      </c>
      <c r="C5881" s="1">
        <v>1.42</v>
      </c>
      <c r="D5881" s="1">
        <v>3.4243000000000001</v>
      </c>
    </row>
    <row r="5882" spans="1:4" x14ac:dyDescent="0.2">
      <c r="A5882" s="5">
        <v>44727</v>
      </c>
      <c r="B5882" s="1">
        <v>3.2839</v>
      </c>
      <c r="C5882" s="1">
        <v>1.4</v>
      </c>
      <c r="D5882" s="1">
        <v>3.3283</v>
      </c>
    </row>
    <row r="5883" spans="1:4" x14ac:dyDescent="0.2">
      <c r="A5883" s="5">
        <v>44728</v>
      </c>
      <c r="B5883" s="1">
        <v>3.1951999999999998</v>
      </c>
      <c r="C5883" s="1">
        <v>1.44</v>
      </c>
      <c r="D5883" s="1">
        <v>3.2473999999999998</v>
      </c>
    </row>
    <row r="5884" spans="1:4" x14ac:dyDescent="0.2">
      <c r="A5884" s="5">
        <v>44729</v>
      </c>
      <c r="B5884" s="1">
        <v>3.2256</v>
      </c>
      <c r="C5884" s="1">
        <v>1.44</v>
      </c>
      <c r="D5884" s="1">
        <v>3.2795000000000001</v>
      </c>
    </row>
    <row r="5885" spans="1:4" x14ac:dyDescent="0.2">
      <c r="A5885" s="5">
        <v>44732</v>
      </c>
      <c r="B5885" s="1">
        <v>3.2256</v>
      </c>
      <c r="C5885" s="1">
        <v>1.44</v>
      </c>
      <c r="D5885" s="1">
        <v>3.2795000000000001</v>
      </c>
    </row>
    <row r="5886" spans="1:4" x14ac:dyDescent="0.2">
      <c r="A5886" s="5">
        <v>44733</v>
      </c>
      <c r="B5886" s="1">
        <v>3.2749000000000001</v>
      </c>
      <c r="C5886" s="1">
        <v>1.43</v>
      </c>
      <c r="D5886" s="1">
        <v>3.3372000000000002</v>
      </c>
    </row>
    <row r="5887" spans="1:4" x14ac:dyDescent="0.2">
      <c r="A5887" s="5">
        <v>44734</v>
      </c>
      <c r="B5887" s="1">
        <v>3.1560999999999999</v>
      </c>
      <c r="C5887" s="1">
        <v>1.49</v>
      </c>
      <c r="D5887" s="1">
        <v>3.2492000000000001</v>
      </c>
    </row>
    <row r="5888" spans="1:4" x14ac:dyDescent="0.2">
      <c r="A5888" s="5">
        <v>44735</v>
      </c>
      <c r="B5888" s="1">
        <v>3.0870000000000002</v>
      </c>
      <c r="C5888" s="1">
        <v>1.49</v>
      </c>
      <c r="D5888" s="1">
        <v>3.1996000000000002</v>
      </c>
    </row>
    <row r="5889" spans="1:4" x14ac:dyDescent="0.2">
      <c r="A5889" s="5">
        <v>44736</v>
      </c>
      <c r="B5889" s="1">
        <v>3.1301000000000001</v>
      </c>
      <c r="C5889" s="1">
        <v>1.48</v>
      </c>
      <c r="D5889" s="1">
        <v>3.2570999999999999</v>
      </c>
    </row>
    <row r="5890" spans="1:4" x14ac:dyDescent="0.2">
      <c r="A5890" s="5">
        <v>44739</v>
      </c>
      <c r="B5890" s="1">
        <v>3.1997</v>
      </c>
      <c r="C5890" s="1">
        <v>1.48</v>
      </c>
      <c r="D5890" s="1">
        <v>3.3119000000000001</v>
      </c>
    </row>
    <row r="5891" spans="1:4" x14ac:dyDescent="0.2">
      <c r="A5891" s="5">
        <v>44740</v>
      </c>
      <c r="B5891" s="1">
        <v>3.1715</v>
      </c>
      <c r="C5891" s="1">
        <v>1.51</v>
      </c>
      <c r="D5891" s="1">
        <v>3.2787999999999999</v>
      </c>
    </row>
    <row r="5892" spans="1:4" x14ac:dyDescent="0.2">
      <c r="A5892" s="5">
        <v>44741</v>
      </c>
      <c r="B5892" s="1">
        <v>3.0891000000000002</v>
      </c>
      <c r="C5892" s="1">
        <v>1.53</v>
      </c>
      <c r="D5892" s="1">
        <v>3.2185000000000001</v>
      </c>
    </row>
    <row r="5893" spans="1:4" x14ac:dyDescent="0.2">
      <c r="A5893" s="5">
        <v>44742</v>
      </c>
      <c r="B5893" s="1">
        <v>3.0129000000000001</v>
      </c>
      <c r="C5893" s="1">
        <v>1.55</v>
      </c>
      <c r="D5893" s="1">
        <v>3.1827000000000001</v>
      </c>
    </row>
    <row r="5894" spans="1:4" x14ac:dyDescent="0.2">
      <c r="A5894" s="5">
        <v>44743</v>
      </c>
      <c r="B5894" s="1">
        <v>2.8803000000000001</v>
      </c>
      <c r="C5894" s="1">
        <v>1.58</v>
      </c>
      <c r="D5894" s="1">
        <v>3.1031</v>
      </c>
    </row>
    <row r="5895" spans="1:4" x14ac:dyDescent="0.2">
      <c r="A5895" s="5">
        <v>44746</v>
      </c>
      <c r="B5895" s="1">
        <v>2.8803000000000001</v>
      </c>
      <c r="C5895" s="1">
        <v>1.58</v>
      </c>
      <c r="D5895" s="1">
        <v>3.1031</v>
      </c>
    </row>
    <row r="5896" spans="1:4" x14ac:dyDescent="0.2">
      <c r="A5896" s="5">
        <v>44747</v>
      </c>
      <c r="B5896" s="1">
        <v>2.8054000000000001</v>
      </c>
      <c r="C5896" s="1">
        <v>1.6</v>
      </c>
      <c r="D5896" s="1">
        <v>3.0396999999999998</v>
      </c>
    </row>
    <row r="5897" spans="1:4" x14ac:dyDescent="0.2">
      <c r="A5897" s="5">
        <v>44748</v>
      </c>
      <c r="B5897" s="1">
        <v>2.9279999999999999</v>
      </c>
      <c r="C5897" s="1">
        <v>1.57</v>
      </c>
      <c r="D5897" s="1">
        <v>3.1181000000000001</v>
      </c>
    </row>
    <row r="5898" spans="1:4" x14ac:dyDescent="0.2">
      <c r="A5898" s="5">
        <v>44749</v>
      </c>
      <c r="B5898" s="1">
        <v>2.9944999999999999</v>
      </c>
      <c r="C5898" s="1">
        <v>1.51</v>
      </c>
      <c r="D5898" s="1">
        <v>3.1844999999999999</v>
      </c>
    </row>
    <row r="5899" spans="1:4" x14ac:dyDescent="0.2">
      <c r="A5899" s="5">
        <v>44750</v>
      </c>
      <c r="B5899" s="1">
        <v>3.0802999999999998</v>
      </c>
      <c r="C5899" s="1">
        <v>1.47</v>
      </c>
      <c r="D5899" s="1">
        <v>3.2435999999999998</v>
      </c>
    </row>
    <row r="5900" spans="1:4" x14ac:dyDescent="0.2">
      <c r="A5900" s="5">
        <v>44753</v>
      </c>
      <c r="B5900" s="1">
        <v>2.9927999999999999</v>
      </c>
      <c r="C5900" s="1">
        <v>1.5</v>
      </c>
      <c r="D5900" s="1">
        <v>3.1743999999999999</v>
      </c>
    </row>
    <row r="5901" spans="1:4" x14ac:dyDescent="0.2">
      <c r="A5901" s="5">
        <v>44754</v>
      </c>
      <c r="B5901" s="1">
        <v>2.9687000000000001</v>
      </c>
      <c r="C5901" s="1">
        <v>1.51</v>
      </c>
      <c r="D5901" s="1">
        <v>3.1617999999999999</v>
      </c>
    </row>
    <row r="5902" spans="1:4" x14ac:dyDescent="0.2">
      <c r="A5902" s="5">
        <v>44755</v>
      </c>
      <c r="B5902" s="1">
        <v>2.9336000000000002</v>
      </c>
      <c r="C5902" s="1">
        <v>1.51</v>
      </c>
      <c r="D5902" s="1">
        <v>3.1181999999999999</v>
      </c>
    </row>
    <row r="5903" spans="1:4" x14ac:dyDescent="0.2">
      <c r="A5903" s="5">
        <v>44756</v>
      </c>
      <c r="B5903" s="1">
        <v>2.9594999999999998</v>
      </c>
      <c r="C5903" s="1">
        <v>1.53</v>
      </c>
      <c r="D5903" s="1">
        <v>3.1040000000000001</v>
      </c>
    </row>
    <row r="5904" spans="1:4" x14ac:dyDescent="0.2">
      <c r="A5904" s="5">
        <v>44757</v>
      </c>
      <c r="B5904" s="1">
        <v>2.9152</v>
      </c>
      <c r="C5904" s="1">
        <v>1.5</v>
      </c>
      <c r="D5904" s="1">
        <v>3.0750999999999999</v>
      </c>
    </row>
    <row r="5905" spans="1:4" x14ac:dyDescent="0.2">
      <c r="A5905" s="5">
        <v>44760</v>
      </c>
      <c r="B5905" s="1">
        <v>2.9855</v>
      </c>
      <c r="C5905" s="1">
        <v>1.47</v>
      </c>
      <c r="D5905" s="1">
        <v>3.1551</v>
      </c>
    </row>
    <row r="5906" spans="1:4" x14ac:dyDescent="0.2">
      <c r="A5906" s="5">
        <v>44761</v>
      </c>
      <c r="B5906" s="1">
        <v>3.0209000000000001</v>
      </c>
      <c r="C5906" s="1">
        <v>1.45</v>
      </c>
      <c r="D5906" s="1">
        <v>3.1745999999999999</v>
      </c>
    </row>
    <row r="5907" spans="1:4" x14ac:dyDescent="0.2">
      <c r="A5907" s="5">
        <v>44762</v>
      </c>
      <c r="B5907" s="1">
        <v>3.0265</v>
      </c>
      <c r="C5907" s="1">
        <v>1.44</v>
      </c>
      <c r="D5907" s="1">
        <v>3.1585000000000001</v>
      </c>
    </row>
    <row r="5908" spans="1:4" x14ac:dyDescent="0.2">
      <c r="A5908" s="5">
        <v>44763</v>
      </c>
      <c r="B5908" s="1">
        <v>2.8746999999999998</v>
      </c>
      <c r="C5908" s="1">
        <v>1.44</v>
      </c>
      <c r="D5908" s="1">
        <v>3.0423</v>
      </c>
    </row>
    <row r="5909" spans="1:4" x14ac:dyDescent="0.2">
      <c r="A5909" s="5">
        <v>44764</v>
      </c>
      <c r="B5909" s="1">
        <v>2.7504</v>
      </c>
      <c r="C5909" s="1">
        <v>1.44</v>
      </c>
      <c r="D5909" s="1">
        <v>2.9716999999999998</v>
      </c>
    </row>
    <row r="5910" spans="1:4" x14ac:dyDescent="0.2">
      <c r="A5910" s="5">
        <v>44767</v>
      </c>
      <c r="B5910" s="1">
        <v>2.7959000000000001</v>
      </c>
      <c r="C5910" s="1">
        <v>1.47</v>
      </c>
      <c r="D5910" s="1">
        <v>3.0162</v>
      </c>
    </row>
    <row r="5911" spans="1:4" x14ac:dyDescent="0.2">
      <c r="A5911" s="5">
        <v>44768</v>
      </c>
      <c r="B5911" s="1">
        <v>2.8068</v>
      </c>
      <c r="C5911" s="1">
        <v>1.49</v>
      </c>
      <c r="D5911" s="1">
        <v>3.0268000000000002</v>
      </c>
    </row>
    <row r="5912" spans="1:4" x14ac:dyDescent="0.2">
      <c r="A5912" s="5">
        <v>44769</v>
      </c>
      <c r="B5912" s="1">
        <v>2.7848999999999999</v>
      </c>
      <c r="C5912" s="1">
        <v>1.44</v>
      </c>
      <c r="D5912" s="1">
        <v>3.0653000000000001</v>
      </c>
    </row>
    <row r="5913" spans="1:4" x14ac:dyDescent="0.2">
      <c r="A5913" s="5">
        <v>44770</v>
      </c>
      <c r="B5913" s="1">
        <v>2.6758999999999999</v>
      </c>
      <c r="C5913" s="1">
        <v>1.46</v>
      </c>
      <c r="D5913" s="1">
        <v>3.0226999999999999</v>
      </c>
    </row>
    <row r="5914" spans="1:4" x14ac:dyDescent="0.2">
      <c r="A5914" s="5">
        <v>44771</v>
      </c>
      <c r="B5914" s="1">
        <v>2.6486999999999998</v>
      </c>
      <c r="C5914" s="1">
        <v>1.44</v>
      </c>
      <c r="D5914" s="1">
        <v>3.0097</v>
      </c>
    </row>
    <row r="5915" spans="1:4" x14ac:dyDescent="0.2">
      <c r="A5915" s="5">
        <v>44774</v>
      </c>
      <c r="B5915" s="1">
        <v>2.5731999999999999</v>
      </c>
      <c r="C5915" s="1">
        <v>1.43</v>
      </c>
      <c r="D5915" s="1">
        <v>2.9142999999999999</v>
      </c>
    </row>
    <row r="5916" spans="1:4" x14ac:dyDescent="0.2">
      <c r="A5916" s="5">
        <v>44775</v>
      </c>
      <c r="B5916" s="1">
        <v>2.7483</v>
      </c>
      <c r="C5916" s="1">
        <v>1.44</v>
      </c>
      <c r="D5916" s="1">
        <v>3.0065</v>
      </c>
    </row>
    <row r="5917" spans="1:4" x14ac:dyDescent="0.2">
      <c r="A5917" s="5">
        <v>44776</v>
      </c>
      <c r="B5917" s="1">
        <v>2.7046000000000001</v>
      </c>
      <c r="C5917" s="1">
        <v>1.41</v>
      </c>
      <c r="D5917" s="1">
        <v>2.9453</v>
      </c>
    </row>
    <row r="5918" spans="1:4" x14ac:dyDescent="0.2">
      <c r="A5918" s="5">
        <v>44777</v>
      </c>
      <c r="B5918" s="1">
        <v>2.6882999999999999</v>
      </c>
      <c r="C5918" s="1">
        <v>1.41</v>
      </c>
      <c r="D5918" s="1">
        <v>2.9653</v>
      </c>
    </row>
    <row r="5919" spans="1:4" x14ac:dyDescent="0.2">
      <c r="A5919" s="5">
        <v>44778</v>
      </c>
      <c r="B5919" s="1">
        <v>2.8268</v>
      </c>
      <c r="C5919" s="1">
        <v>1.41</v>
      </c>
      <c r="D5919" s="1">
        <v>3.0661999999999998</v>
      </c>
    </row>
    <row r="5920" spans="1:4" x14ac:dyDescent="0.2">
      <c r="A5920" s="5">
        <v>44781</v>
      </c>
      <c r="B5920" s="1">
        <v>2.7572000000000001</v>
      </c>
      <c r="C5920" s="1">
        <v>1.42</v>
      </c>
      <c r="D5920" s="1">
        <v>2.9847000000000001</v>
      </c>
    </row>
    <row r="5921" spans="1:4" x14ac:dyDescent="0.2">
      <c r="A5921" s="5">
        <v>44782</v>
      </c>
      <c r="B5921" s="1">
        <v>2.7772999999999999</v>
      </c>
      <c r="C5921" s="1">
        <v>1.43</v>
      </c>
      <c r="D5921" s="1">
        <v>2.9895</v>
      </c>
    </row>
    <row r="5922" spans="1:4" x14ac:dyDescent="0.2">
      <c r="A5922" s="5">
        <v>44783</v>
      </c>
      <c r="B5922" s="1">
        <v>2.7808999999999999</v>
      </c>
      <c r="C5922" s="1">
        <v>1.39</v>
      </c>
      <c r="D5922" s="1">
        <v>3.0326</v>
      </c>
    </row>
    <row r="5923" spans="1:4" x14ac:dyDescent="0.2">
      <c r="A5923" s="5">
        <v>44784</v>
      </c>
      <c r="B5923" s="1">
        <v>2.8875999999999999</v>
      </c>
      <c r="C5923" s="1">
        <v>1.35</v>
      </c>
      <c r="D5923" s="1">
        <v>3.1749000000000001</v>
      </c>
    </row>
    <row r="5924" spans="1:4" x14ac:dyDescent="0.2">
      <c r="A5924" s="5">
        <v>44785</v>
      </c>
      <c r="B5924" s="1">
        <v>2.8311999999999999</v>
      </c>
      <c r="C5924" s="1">
        <v>1.32</v>
      </c>
      <c r="D5924" s="1">
        <v>3.1078000000000001</v>
      </c>
    </row>
    <row r="5925" spans="1:4" x14ac:dyDescent="0.2">
      <c r="A5925" s="5">
        <v>44788</v>
      </c>
      <c r="B5925" s="1">
        <v>2.7877999999999998</v>
      </c>
      <c r="C5925" s="1">
        <v>1.31</v>
      </c>
      <c r="D5925" s="1">
        <v>3.1013000000000002</v>
      </c>
    </row>
    <row r="5926" spans="1:4" x14ac:dyDescent="0.2">
      <c r="A5926" s="5">
        <v>44789</v>
      </c>
      <c r="B5926" s="1">
        <v>2.8041</v>
      </c>
      <c r="C5926" s="1">
        <v>1.31</v>
      </c>
      <c r="D5926" s="1">
        <v>3.0891000000000002</v>
      </c>
    </row>
    <row r="5927" spans="1:4" x14ac:dyDescent="0.2">
      <c r="A5927" s="5">
        <v>44790</v>
      </c>
      <c r="B5927" s="1">
        <v>2.8967999999999998</v>
      </c>
      <c r="C5927" s="1">
        <v>1.34</v>
      </c>
      <c r="D5927" s="1">
        <v>3.1513</v>
      </c>
    </row>
    <row r="5928" spans="1:4" x14ac:dyDescent="0.2">
      <c r="A5928" s="5">
        <v>44791</v>
      </c>
      <c r="B5928" s="1">
        <v>2.8822000000000001</v>
      </c>
      <c r="C5928" s="1">
        <v>1.34</v>
      </c>
      <c r="D5928" s="1">
        <v>3.1364999999999998</v>
      </c>
    </row>
    <row r="5929" spans="1:4" x14ac:dyDescent="0.2">
      <c r="A5929" s="5">
        <v>44792</v>
      </c>
      <c r="B5929" s="1">
        <v>2.9721000000000002</v>
      </c>
      <c r="C5929" s="1">
        <v>1.36</v>
      </c>
      <c r="D5929" s="1">
        <v>3.2120000000000002</v>
      </c>
    </row>
    <row r="5930" spans="1:4" x14ac:dyDescent="0.2">
      <c r="A5930" s="5">
        <v>44795</v>
      </c>
      <c r="B5930" s="1">
        <v>3.0146000000000002</v>
      </c>
      <c r="C5930" s="1">
        <v>1.39</v>
      </c>
      <c r="D5930" s="1">
        <v>3.2254999999999998</v>
      </c>
    </row>
    <row r="5931" spans="1:4" x14ac:dyDescent="0.2">
      <c r="A5931" s="5">
        <v>44796</v>
      </c>
      <c r="B5931" s="1">
        <v>3.0461</v>
      </c>
      <c r="C5931" s="1">
        <v>1.38</v>
      </c>
      <c r="D5931" s="1">
        <v>3.2549999999999999</v>
      </c>
    </row>
    <row r="5932" spans="1:4" x14ac:dyDescent="0.2">
      <c r="A5932" s="5">
        <v>44797</v>
      </c>
      <c r="B5932" s="1">
        <v>3.1038999999999999</v>
      </c>
      <c r="C5932" s="1">
        <v>1.36</v>
      </c>
      <c r="D5932" s="1">
        <v>3.3123</v>
      </c>
    </row>
    <row r="5933" spans="1:4" x14ac:dyDescent="0.2">
      <c r="A5933" s="5">
        <v>44798</v>
      </c>
      <c r="B5933" s="1">
        <v>3.0257999999999998</v>
      </c>
      <c r="C5933" s="1">
        <v>1.34</v>
      </c>
      <c r="D5933" s="1">
        <v>3.2406999999999999</v>
      </c>
    </row>
    <row r="5934" spans="1:4" x14ac:dyDescent="0.2">
      <c r="A5934" s="5">
        <v>44799</v>
      </c>
      <c r="B5934" s="1">
        <v>3.0409000000000002</v>
      </c>
      <c r="C5934" s="1">
        <v>1.37</v>
      </c>
      <c r="D5934" s="1">
        <v>3.1920000000000002</v>
      </c>
    </row>
    <row r="5935" spans="1:4" x14ac:dyDescent="0.2">
      <c r="A5935" s="5">
        <v>44802</v>
      </c>
      <c r="B5935" s="1">
        <v>3.1023999999999998</v>
      </c>
      <c r="C5935" s="1">
        <v>1.38</v>
      </c>
      <c r="D5935" s="1">
        <v>3.2399</v>
      </c>
    </row>
    <row r="5936" spans="1:4" x14ac:dyDescent="0.2">
      <c r="A5936" s="5">
        <v>44803</v>
      </c>
      <c r="B5936" s="1">
        <v>3.1025</v>
      </c>
      <c r="C5936" s="1">
        <v>1.4</v>
      </c>
      <c r="D5936" s="1">
        <v>3.2155</v>
      </c>
    </row>
    <row r="5937" spans="1:4" x14ac:dyDescent="0.2">
      <c r="A5937" s="5">
        <v>44804</v>
      </c>
      <c r="B5937" s="1">
        <v>3.1926000000000001</v>
      </c>
      <c r="C5937" s="1">
        <v>1.4</v>
      </c>
      <c r="D5937" s="1">
        <v>3.2926000000000002</v>
      </c>
    </row>
    <row r="5938" spans="1:4" x14ac:dyDescent="0.2">
      <c r="A5938" s="5">
        <v>44805</v>
      </c>
      <c r="B5938" s="1">
        <v>3.2532999999999999</v>
      </c>
      <c r="C5938" s="1">
        <v>1.45</v>
      </c>
      <c r="D5938" s="1">
        <v>3.3609</v>
      </c>
    </row>
    <row r="5939" spans="1:4" x14ac:dyDescent="0.2">
      <c r="A5939" s="5">
        <v>44806</v>
      </c>
      <c r="B5939" s="1">
        <v>3.1894</v>
      </c>
      <c r="C5939" s="1">
        <v>1.45</v>
      </c>
      <c r="D5939" s="1">
        <v>3.3435000000000001</v>
      </c>
    </row>
    <row r="5940" spans="1:4" x14ac:dyDescent="0.2">
      <c r="A5940" s="5">
        <v>44809</v>
      </c>
      <c r="B5940" s="1">
        <v>3.1894</v>
      </c>
      <c r="C5940" s="1">
        <v>1.45</v>
      </c>
      <c r="D5940" s="1">
        <v>3.3435000000000001</v>
      </c>
    </row>
    <row r="5941" spans="1:4" x14ac:dyDescent="0.2">
      <c r="A5941" s="5">
        <v>44810</v>
      </c>
      <c r="B5941" s="1">
        <v>3.3492000000000002</v>
      </c>
      <c r="C5941" s="1">
        <v>1.47</v>
      </c>
      <c r="D5941" s="1">
        <v>3.5011000000000001</v>
      </c>
    </row>
    <row r="5942" spans="1:4" x14ac:dyDescent="0.2">
      <c r="A5942" s="5">
        <v>44811</v>
      </c>
      <c r="B5942" s="1">
        <v>3.2635000000000001</v>
      </c>
      <c r="C5942" s="1">
        <v>1.45</v>
      </c>
      <c r="D5942" s="1">
        <v>3.4108999999999998</v>
      </c>
    </row>
    <row r="5943" spans="1:4" x14ac:dyDescent="0.2">
      <c r="A5943" s="5">
        <v>44812</v>
      </c>
      <c r="B5943" s="1">
        <v>3.3170000000000002</v>
      </c>
      <c r="C5943" s="1">
        <v>1.43</v>
      </c>
      <c r="D5943" s="1">
        <v>3.4750000000000001</v>
      </c>
    </row>
    <row r="5944" spans="1:4" x14ac:dyDescent="0.2">
      <c r="A5944" s="5">
        <v>44813</v>
      </c>
      <c r="B5944" s="1">
        <v>3.3096999999999999</v>
      </c>
      <c r="C5944" s="1">
        <v>1.41</v>
      </c>
      <c r="D5944" s="1">
        <v>3.4474</v>
      </c>
    </row>
    <row r="5945" spans="1:4" x14ac:dyDescent="0.2">
      <c r="A5945" s="5">
        <v>44816</v>
      </c>
      <c r="B5945" s="1">
        <v>3.3578000000000001</v>
      </c>
      <c r="C5945" s="1">
        <v>1.4</v>
      </c>
      <c r="D5945" s="1">
        <v>3.5121000000000002</v>
      </c>
    </row>
    <row r="5946" spans="1:4" x14ac:dyDescent="0.2">
      <c r="A5946" s="5">
        <v>44817</v>
      </c>
      <c r="B5946" s="1">
        <v>3.4079999999999999</v>
      </c>
      <c r="C5946" s="1">
        <v>1.41</v>
      </c>
      <c r="D5946" s="1">
        <v>3.4868000000000001</v>
      </c>
    </row>
    <row r="5947" spans="1:4" x14ac:dyDescent="0.2">
      <c r="A5947" s="5">
        <v>44818</v>
      </c>
      <c r="B5947" s="1">
        <v>3.4043000000000001</v>
      </c>
      <c r="C5947" s="1">
        <v>1.4</v>
      </c>
      <c r="D5947" s="1">
        <v>3.4581</v>
      </c>
    </row>
    <row r="5948" spans="1:4" x14ac:dyDescent="0.2">
      <c r="A5948" s="5">
        <v>44819</v>
      </c>
      <c r="B5948" s="1">
        <v>3.4489000000000001</v>
      </c>
      <c r="C5948" s="1">
        <v>1.41</v>
      </c>
      <c r="D5948" s="1">
        <v>3.4662000000000002</v>
      </c>
    </row>
    <row r="5949" spans="1:4" x14ac:dyDescent="0.2">
      <c r="A5949" s="5">
        <v>44820</v>
      </c>
      <c r="B5949" s="1">
        <v>3.4493999999999998</v>
      </c>
      <c r="C5949" s="1">
        <v>1.42</v>
      </c>
      <c r="D5949" s="1">
        <v>3.5131000000000001</v>
      </c>
    </row>
    <row r="5950" spans="1:4" x14ac:dyDescent="0.2">
      <c r="A5950" s="5">
        <v>44823</v>
      </c>
      <c r="B5950" s="1">
        <v>3.4904999999999999</v>
      </c>
      <c r="C5950" s="1">
        <v>1.42</v>
      </c>
      <c r="D5950" s="1">
        <v>3.5150000000000001</v>
      </c>
    </row>
    <row r="5951" spans="1:4" x14ac:dyDescent="0.2">
      <c r="A5951" s="5">
        <v>44824</v>
      </c>
      <c r="B5951" s="1">
        <v>3.5630000000000002</v>
      </c>
      <c r="C5951" s="1">
        <v>1.43</v>
      </c>
      <c r="D5951" s="1">
        <v>3.5707</v>
      </c>
    </row>
    <row r="5952" spans="1:4" x14ac:dyDescent="0.2">
      <c r="A5952" s="5">
        <v>44825</v>
      </c>
      <c r="B5952" s="1">
        <v>3.5299</v>
      </c>
      <c r="C5952" s="1">
        <v>1.41</v>
      </c>
      <c r="D5952" s="1">
        <v>3.5023</v>
      </c>
    </row>
    <row r="5953" spans="1:4" x14ac:dyDescent="0.2">
      <c r="A5953" s="5">
        <v>44826</v>
      </c>
      <c r="B5953" s="1">
        <v>3.7138</v>
      </c>
      <c r="C5953" s="1">
        <v>1.43</v>
      </c>
      <c r="D5953" s="1">
        <v>3.6402999999999999</v>
      </c>
    </row>
    <row r="5954" spans="1:4" x14ac:dyDescent="0.2">
      <c r="A5954" s="5">
        <v>44827</v>
      </c>
      <c r="B5954" s="1">
        <v>3.6846000000000001</v>
      </c>
      <c r="C5954" s="1">
        <v>1.46</v>
      </c>
      <c r="D5954" s="1">
        <v>3.6059000000000001</v>
      </c>
    </row>
    <row r="5955" spans="1:4" x14ac:dyDescent="0.2">
      <c r="A5955" s="5">
        <v>44830</v>
      </c>
      <c r="B5955" s="1">
        <v>3.9243999999999999</v>
      </c>
      <c r="C5955" s="1">
        <v>1.48</v>
      </c>
      <c r="D5955" s="1">
        <v>3.74</v>
      </c>
    </row>
    <row r="5956" spans="1:4" x14ac:dyDescent="0.2">
      <c r="A5956" s="5">
        <v>44831</v>
      </c>
      <c r="B5956" s="1">
        <v>3.9451000000000001</v>
      </c>
      <c r="C5956" s="1">
        <v>1.55</v>
      </c>
      <c r="D5956" s="1">
        <v>3.8254000000000001</v>
      </c>
    </row>
    <row r="5957" spans="1:4" x14ac:dyDescent="0.2">
      <c r="A5957" s="5">
        <v>44832</v>
      </c>
      <c r="B5957" s="1">
        <v>3.7311999999999999</v>
      </c>
      <c r="C5957" s="1">
        <v>1.58</v>
      </c>
      <c r="D5957" s="1">
        <v>3.6989999999999998</v>
      </c>
    </row>
    <row r="5958" spans="1:4" x14ac:dyDescent="0.2">
      <c r="A5958" s="5">
        <v>44833</v>
      </c>
      <c r="B5958" s="1">
        <v>3.7856000000000001</v>
      </c>
      <c r="C5958" s="1">
        <v>1.64</v>
      </c>
      <c r="D5958" s="1">
        <v>3.7238000000000002</v>
      </c>
    </row>
    <row r="5959" spans="1:4" x14ac:dyDescent="0.2">
      <c r="A5959" s="5">
        <v>44834</v>
      </c>
      <c r="B5959" s="1">
        <v>3.8285999999999998</v>
      </c>
      <c r="C5959" s="1">
        <v>1.59</v>
      </c>
      <c r="D5959" s="1">
        <v>3.7759</v>
      </c>
    </row>
    <row r="5960" spans="1:4" x14ac:dyDescent="0.2">
      <c r="A5960" s="5">
        <v>44837</v>
      </c>
      <c r="B5960" s="1">
        <v>3.6387</v>
      </c>
      <c r="C5960" s="1">
        <v>1.58</v>
      </c>
      <c r="D5960" s="1">
        <v>3.6783000000000001</v>
      </c>
    </row>
    <row r="5961" spans="1:4" x14ac:dyDescent="0.2">
      <c r="A5961" s="5">
        <v>44838</v>
      </c>
      <c r="B5961" s="1">
        <v>3.6328999999999998</v>
      </c>
      <c r="C5961" s="1">
        <v>1.53</v>
      </c>
      <c r="D5961" s="1">
        <v>3.6945000000000001</v>
      </c>
    </row>
    <row r="5962" spans="1:4" x14ac:dyDescent="0.2">
      <c r="A5962" s="5">
        <v>44839</v>
      </c>
      <c r="B5962" s="1">
        <v>3.7528000000000001</v>
      </c>
      <c r="C5962" s="1">
        <v>1.55</v>
      </c>
      <c r="D5962" s="1">
        <v>3.7538</v>
      </c>
    </row>
    <row r="5963" spans="1:4" x14ac:dyDescent="0.2">
      <c r="A5963" s="5">
        <v>44840</v>
      </c>
      <c r="B5963" s="1">
        <v>3.8235999999999999</v>
      </c>
      <c r="C5963" s="1">
        <v>1.52</v>
      </c>
      <c r="D5963" s="1">
        <v>3.7837999999999998</v>
      </c>
    </row>
    <row r="5964" spans="1:4" x14ac:dyDescent="0.2">
      <c r="A5964" s="5">
        <v>44841</v>
      </c>
      <c r="B5964" s="1">
        <v>3.8814000000000002</v>
      </c>
      <c r="C5964" s="1">
        <v>1.54</v>
      </c>
      <c r="D5964" s="1">
        <v>3.8416999999999999</v>
      </c>
    </row>
    <row r="5965" spans="1:4" x14ac:dyDescent="0.2">
      <c r="A5965" s="5">
        <v>44844</v>
      </c>
      <c r="B5965" s="1">
        <v>3.8814000000000002</v>
      </c>
      <c r="C5965" s="1">
        <v>1.54</v>
      </c>
      <c r="D5965" s="1">
        <v>3.8416999999999999</v>
      </c>
    </row>
    <row r="5966" spans="1:4" x14ac:dyDescent="0.2">
      <c r="A5966" s="5">
        <v>44845</v>
      </c>
      <c r="B5966" s="1">
        <v>3.9470000000000001</v>
      </c>
      <c r="C5966" s="1">
        <v>1.59</v>
      </c>
      <c r="D5966" s="1">
        <v>3.9222999999999999</v>
      </c>
    </row>
    <row r="5967" spans="1:4" x14ac:dyDescent="0.2">
      <c r="A5967" s="5">
        <v>44846</v>
      </c>
      <c r="B5967" s="1">
        <v>3.8961999999999999</v>
      </c>
      <c r="C5967" s="1">
        <v>1.65</v>
      </c>
      <c r="D5967" s="1">
        <v>3.8744000000000001</v>
      </c>
    </row>
    <row r="5968" spans="1:4" x14ac:dyDescent="0.2">
      <c r="A5968" s="5">
        <v>44847</v>
      </c>
      <c r="B5968" s="1">
        <v>3.9434999999999998</v>
      </c>
      <c r="C5968" s="1">
        <v>1.63</v>
      </c>
      <c r="D5968" s="1">
        <v>3.9163999999999999</v>
      </c>
    </row>
    <row r="5969" spans="1:4" x14ac:dyDescent="0.2">
      <c r="A5969" s="5">
        <v>44848</v>
      </c>
      <c r="B5969" s="1">
        <v>4.0183999999999997</v>
      </c>
      <c r="C5969" s="1">
        <v>1.64</v>
      </c>
      <c r="D5969" s="1">
        <v>3.9916</v>
      </c>
    </row>
    <row r="5970" spans="1:4" x14ac:dyDescent="0.2">
      <c r="A5970" s="5">
        <v>44851</v>
      </c>
      <c r="B5970" s="1">
        <v>4.0103999999999997</v>
      </c>
      <c r="C5970" s="1">
        <v>1.64</v>
      </c>
      <c r="D5970" s="1">
        <v>4.0204000000000004</v>
      </c>
    </row>
    <row r="5971" spans="1:4" x14ac:dyDescent="0.2">
      <c r="A5971" s="5">
        <v>44852</v>
      </c>
      <c r="B5971" s="1">
        <v>4.0065999999999997</v>
      </c>
      <c r="C5971" s="1">
        <v>1.63</v>
      </c>
      <c r="D5971" s="1">
        <v>4.0297000000000001</v>
      </c>
    </row>
    <row r="5972" spans="1:4" x14ac:dyDescent="0.2">
      <c r="A5972" s="5">
        <v>44853</v>
      </c>
      <c r="B5972" s="1">
        <v>4.1334999999999997</v>
      </c>
      <c r="C5972" s="1">
        <v>1.64</v>
      </c>
      <c r="D5972" s="1">
        <v>4.1249000000000002</v>
      </c>
    </row>
    <row r="5973" spans="1:4" x14ac:dyDescent="0.2">
      <c r="A5973" s="5">
        <v>44854</v>
      </c>
      <c r="B5973" s="1">
        <v>4.2282999999999999</v>
      </c>
      <c r="C5973" s="1">
        <v>1.63</v>
      </c>
      <c r="D5973" s="1">
        <v>4.2191000000000001</v>
      </c>
    </row>
    <row r="5974" spans="1:4" x14ac:dyDescent="0.2">
      <c r="A5974" s="5">
        <v>44855</v>
      </c>
      <c r="B5974" s="1">
        <v>4.2167000000000003</v>
      </c>
      <c r="C5974" s="1">
        <v>1.64</v>
      </c>
      <c r="D5974" s="1">
        <v>4.3334999999999999</v>
      </c>
    </row>
    <row r="5975" spans="1:4" x14ac:dyDescent="0.2">
      <c r="A5975" s="5">
        <v>44858</v>
      </c>
      <c r="B5975" s="1">
        <v>4.2423999999999999</v>
      </c>
      <c r="C5975" s="1">
        <v>1.6</v>
      </c>
      <c r="D5975" s="1">
        <v>4.3784000000000001</v>
      </c>
    </row>
    <row r="5976" spans="1:4" x14ac:dyDescent="0.2">
      <c r="A5976" s="5">
        <v>44859</v>
      </c>
      <c r="B5976" s="1">
        <v>4.1021000000000001</v>
      </c>
      <c r="C5976" s="1">
        <v>1.6</v>
      </c>
      <c r="D5976" s="1">
        <v>4.2575000000000003</v>
      </c>
    </row>
    <row r="5977" spans="1:4" x14ac:dyDescent="0.2">
      <c r="A5977" s="5">
        <v>44860</v>
      </c>
      <c r="B5977" s="1">
        <v>4.0027999999999997</v>
      </c>
      <c r="C5977" s="1">
        <v>1.6</v>
      </c>
      <c r="D5977" s="1">
        <v>4.1379999999999999</v>
      </c>
    </row>
    <row r="5978" spans="1:4" x14ac:dyDescent="0.2">
      <c r="A5978" s="5">
        <v>44861</v>
      </c>
      <c r="B5978" s="1">
        <v>3.9186999999999999</v>
      </c>
      <c r="C5978" s="1">
        <v>1.61</v>
      </c>
      <c r="D5978" s="1">
        <v>4.0831999999999997</v>
      </c>
    </row>
    <row r="5979" spans="1:4" x14ac:dyDescent="0.2">
      <c r="A5979" s="5">
        <v>44862</v>
      </c>
      <c r="B5979" s="1">
        <v>4.0122999999999998</v>
      </c>
      <c r="C5979" s="1">
        <v>1.58</v>
      </c>
      <c r="D5979" s="1">
        <v>4.1414</v>
      </c>
    </row>
    <row r="5980" spans="1:4" x14ac:dyDescent="0.2">
      <c r="A5980" s="5">
        <v>44865</v>
      </c>
      <c r="B5980" s="1">
        <v>4.0477999999999996</v>
      </c>
      <c r="C5980" s="1">
        <v>1.58</v>
      </c>
      <c r="D5980" s="1">
        <v>4.1638999999999999</v>
      </c>
    </row>
    <row r="5981" spans="1:4" x14ac:dyDescent="0.2">
      <c r="A5981" s="5">
        <v>44866</v>
      </c>
      <c r="B5981" s="1">
        <v>4.0419</v>
      </c>
      <c r="C5981" s="1">
        <v>1.55</v>
      </c>
      <c r="D5981" s="1">
        <v>4.0918999999999999</v>
      </c>
    </row>
    <row r="5982" spans="1:4" x14ac:dyDescent="0.2">
      <c r="A5982" s="5">
        <v>44867</v>
      </c>
      <c r="B5982" s="1">
        <v>4.1005000000000003</v>
      </c>
      <c r="C5982" s="1">
        <v>1.54</v>
      </c>
      <c r="D5982" s="1">
        <v>4.1405000000000003</v>
      </c>
    </row>
    <row r="5983" spans="1:4" x14ac:dyDescent="0.2">
      <c r="A5983" s="5">
        <v>44868</v>
      </c>
      <c r="B5983" s="1">
        <v>4.1468999999999996</v>
      </c>
      <c r="C5983" s="1">
        <v>1.55</v>
      </c>
      <c r="D5983" s="1">
        <v>4.1811999999999996</v>
      </c>
    </row>
    <row r="5984" spans="1:4" x14ac:dyDescent="0.2">
      <c r="A5984" s="5">
        <v>44869</v>
      </c>
      <c r="B5984" s="1">
        <v>4.1584000000000003</v>
      </c>
      <c r="C5984" s="1">
        <v>1.52</v>
      </c>
      <c r="D5984" s="1">
        <v>4.2462999999999997</v>
      </c>
    </row>
    <row r="5985" spans="1:4" x14ac:dyDescent="0.2">
      <c r="A5985" s="5">
        <v>44872</v>
      </c>
      <c r="B5985" s="1">
        <v>4.2134999999999998</v>
      </c>
      <c r="C5985" s="1">
        <v>1.49</v>
      </c>
      <c r="D5985" s="1">
        <v>4.319</v>
      </c>
    </row>
    <row r="5986" spans="1:4" x14ac:dyDescent="0.2">
      <c r="A5986" s="5">
        <v>44873</v>
      </c>
      <c r="B5986" s="1">
        <v>4.1234000000000002</v>
      </c>
      <c r="C5986" s="1">
        <v>1.5</v>
      </c>
      <c r="D5986" s="1">
        <v>4.2748999999999997</v>
      </c>
    </row>
    <row r="5987" spans="1:4" x14ac:dyDescent="0.2">
      <c r="A5987" s="5">
        <v>44874</v>
      </c>
      <c r="B5987" s="1">
        <v>4.0922999999999998</v>
      </c>
      <c r="C5987" s="1">
        <v>1.52</v>
      </c>
      <c r="D5987" s="1">
        <v>4.2683999999999997</v>
      </c>
    </row>
    <row r="5988" spans="1:4" x14ac:dyDescent="0.2">
      <c r="A5988" s="5">
        <v>44875</v>
      </c>
      <c r="B5988" s="1">
        <v>3.8125</v>
      </c>
      <c r="C5988" s="1">
        <v>1.47</v>
      </c>
      <c r="D5988" s="1">
        <v>4.0507999999999997</v>
      </c>
    </row>
    <row r="5989" spans="1:4" x14ac:dyDescent="0.2">
      <c r="A5989" s="5">
        <v>44876</v>
      </c>
      <c r="B5989" s="1">
        <v>3.8125</v>
      </c>
      <c r="C5989" s="1">
        <v>1.47</v>
      </c>
      <c r="D5989" s="1">
        <v>4.0152999999999999</v>
      </c>
    </row>
    <row r="5990" spans="1:4" x14ac:dyDescent="0.2">
      <c r="A5990" s="5">
        <v>44879</v>
      </c>
      <c r="B5990" s="1">
        <v>3.8536000000000001</v>
      </c>
      <c r="C5990" s="1">
        <v>1.42</v>
      </c>
      <c r="D5990" s="1">
        <v>4.0361000000000002</v>
      </c>
    </row>
    <row r="5991" spans="1:4" x14ac:dyDescent="0.2">
      <c r="A5991" s="5">
        <v>44880</v>
      </c>
      <c r="B5991" s="1">
        <v>3.7696000000000001</v>
      </c>
      <c r="C5991" s="1">
        <v>1.39</v>
      </c>
      <c r="D5991" s="1">
        <v>3.9605999999999999</v>
      </c>
    </row>
    <row r="5992" spans="1:4" x14ac:dyDescent="0.2">
      <c r="A5992" s="5">
        <v>44881</v>
      </c>
      <c r="B5992" s="1">
        <v>3.6899000000000002</v>
      </c>
      <c r="C5992" s="1">
        <v>1.38</v>
      </c>
      <c r="D5992" s="1">
        <v>3.8395000000000001</v>
      </c>
    </row>
    <row r="5993" spans="1:4" x14ac:dyDescent="0.2">
      <c r="A5993" s="5">
        <v>44882</v>
      </c>
      <c r="B5993" s="1">
        <v>3.7656999999999998</v>
      </c>
      <c r="C5993" s="1">
        <v>1.38</v>
      </c>
      <c r="D5993" s="1">
        <v>3.8751000000000002</v>
      </c>
    </row>
    <row r="5994" spans="1:4" x14ac:dyDescent="0.2">
      <c r="A5994" s="5">
        <v>44883</v>
      </c>
      <c r="B5994" s="1">
        <v>3.8288000000000002</v>
      </c>
      <c r="C5994" s="1">
        <v>1.35</v>
      </c>
      <c r="D5994" s="1">
        <v>3.9260000000000002</v>
      </c>
    </row>
    <row r="5995" spans="1:4" x14ac:dyDescent="0.2">
      <c r="A5995" s="5">
        <v>44886</v>
      </c>
      <c r="B5995" s="1">
        <v>3.8269000000000002</v>
      </c>
      <c r="C5995" s="1">
        <v>1.34</v>
      </c>
      <c r="D5995" s="1">
        <v>3.8961000000000001</v>
      </c>
    </row>
    <row r="5996" spans="1:4" x14ac:dyDescent="0.2">
      <c r="A5996" s="5">
        <v>44887</v>
      </c>
      <c r="B5996" s="1">
        <v>3.7559</v>
      </c>
      <c r="C5996" s="1">
        <v>1.33</v>
      </c>
      <c r="D5996" s="1">
        <v>3.8248000000000002</v>
      </c>
    </row>
    <row r="5997" spans="1:4" x14ac:dyDescent="0.2">
      <c r="A5997" s="5">
        <v>44888</v>
      </c>
      <c r="B5997" s="1">
        <v>3.6926999999999999</v>
      </c>
      <c r="C5997" s="1">
        <v>1.31</v>
      </c>
      <c r="D5997" s="1">
        <v>3.7275999999999998</v>
      </c>
    </row>
    <row r="5998" spans="1:4" x14ac:dyDescent="0.2">
      <c r="A5998" s="5">
        <v>44889</v>
      </c>
      <c r="B5998" s="1">
        <v>3.6926999999999999</v>
      </c>
      <c r="C5998" s="1">
        <v>1.31</v>
      </c>
      <c r="D5998" s="1">
        <v>3.7275999999999998</v>
      </c>
    </row>
    <row r="5999" spans="1:4" x14ac:dyDescent="0.2">
      <c r="A5999" s="5">
        <v>44890</v>
      </c>
      <c r="B5999" s="1">
        <v>3.6776</v>
      </c>
      <c r="C5999" s="1">
        <v>1.3</v>
      </c>
      <c r="D5999" s="1">
        <v>3.7326000000000001</v>
      </c>
    </row>
    <row r="6000" spans="1:4" x14ac:dyDescent="0.2">
      <c r="A6000" s="5">
        <v>44893</v>
      </c>
      <c r="B6000" s="1">
        <v>3.6812</v>
      </c>
      <c r="C6000" s="1">
        <v>1.33</v>
      </c>
      <c r="D6000" s="1">
        <v>3.7208000000000001</v>
      </c>
    </row>
    <row r="6001" spans="1:4" x14ac:dyDescent="0.2">
      <c r="A6001" s="5">
        <v>44894</v>
      </c>
      <c r="B6001" s="1">
        <v>3.7441</v>
      </c>
      <c r="C6001" s="1">
        <v>1.34</v>
      </c>
      <c r="D6001" s="1">
        <v>3.8014999999999999</v>
      </c>
    </row>
    <row r="6002" spans="1:4" x14ac:dyDescent="0.2">
      <c r="A6002" s="5">
        <v>44895</v>
      </c>
      <c r="B6002" s="1">
        <v>3.6053999999999999</v>
      </c>
      <c r="C6002" s="1">
        <v>1.33</v>
      </c>
      <c r="D6002" s="1">
        <v>3.7359</v>
      </c>
    </row>
    <row r="6003" spans="1:4" x14ac:dyDescent="0.2">
      <c r="A6003" s="5">
        <v>44896</v>
      </c>
      <c r="B6003" s="1">
        <v>3.5047999999999999</v>
      </c>
      <c r="C6003" s="1">
        <v>1.32</v>
      </c>
      <c r="D6003" s="1">
        <v>3.5981999999999998</v>
      </c>
    </row>
    <row r="6004" spans="1:4" x14ac:dyDescent="0.2">
      <c r="A6004" s="5">
        <v>44897</v>
      </c>
      <c r="B6004" s="1">
        <v>3.4862000000000002</v>
      </c>
      <c r="C6004" s="1">
        <v>1.3</v>
      </c>
      <c r="D6004" s="1">
        <v>3.5478000000000001</v>
      </c>
    </row>
    <row r="6005" spans="1:4" x14ac:dyDescent="0.2">
      <c r="A6005" s="5">
        <v>44900</v>
      </c>
      <c r="B6005" s="1">
        <v>3.5735999999999999</v>
      </c>
      <c r="C6005" s="1">
        <v>1.3</v>
      </c>
      <c r="D6005" s="1">
        <v>3.5842000000000001</v>
      </c>
    </row>
    <row r="6006" spans="1:4" x14ac:dyDescent="0.2">
      <c r="A6006" s="5">
        <v>44901</v>
      </c>
      <c r="B6006" s="1">
        <v>3.5314000000000001</v>
      </c>
      <c r="C6006" s="1">
        <v>1.3</v>
      </c>
      <c r="D6006" s="1">
        <v>3.5421</v>
      </c>
    </row>
    <row r="6007" spans="1:4" x14ac:dyDescent="0.2">
      <c r="A6007" s="5">
        <v>44902</v>
      </c>
      <c r="B6007" s="1">
        <v>3.4169</v>
      </c>
      <c r="C6007" s="1">
        <v>1.32</v>
      </c>
      <c r="D6007" s="1">
        <v>3.4317000000000002</v>
      </c>
    </row>
    <row r="6008" spans="1:4" x14ac:dyDescent="0.2">
      <c r="A6008" s="5">
        <v>44903</v>
      </c>
      <c r="B6008" s="1">
        <v>3.4819</v>
      </c>
      <c r="C6008" s="1">
        <v>1.3</v>
      </c>
      <c r="D6008" s="1">
        <v>3.4308999999999998</v>
      </c>
    </row>
    <row r="6009" spans="1:4" x14ac:dyDescent="0.2">
      <c r="A6009" s="5">
        <v>44904</v>
      </c>
      <c r="B6009" s="1">
        <v>3.5783</v>
      </c>
      <c r="C6009" s="1">
        <v>1.3</v>
      </c>
      <c r="D6009" s="1">
        <v>3.5590000000000002</v>
      </c>
    </row>
    <row r="6010" spans="1:4" x14ac:dyDescent="0.2">
      <c r="A6010" s="5">
        <v>44907</v>
      </c>
      <c r="B6010" s="1">
        <v>3.6113</v>
      </c>
      <c r="C6010" s="1">
        <v>1.29</v>
      </c>
      <c r="D6010" s="1">
        <v>3.5718999999999999</v>
      </c>
    </row>
    <row r="6011" spans="1:4" x14ac:dyDescent="0.2">
      <c r="A6011" s="5">
        <v>44908</v>
      </c>
      <c r="B6011" s="1">
        <v>3.5011999999999999</v>
      </c>
      <c r="C6011" s="1">
        <v>1.29</v>
      </c>
      <c r="D6011" s="1">
        <v>3.5331000000000001</v>
      </c>
    </row>
    <row r="6012" spans="1:4" x14ac:dyDescent="0.2">
      <c r="A6012" s="5">
        <v>44909</v>
      </c>
      <c r="B6012" s="1">
        <v>3.4773999999999998</v>
      </c>
      <c r="C6012" s="1">
        <v>1.3</v>
      </c>
      <c r="D6012" s="1">
        <v>3.5331000000000001</v>
      </c>
    </row>
    <row r="6013" spans="1:4" x14ac:dyDescent="0.2">
      <c r="A6013" s="5">
        <v>44910</v>
      </c>
      <c r="B6013" s="1">
        <v>3.4462999999999999</v>
      </c>
      <c r="C6013" s="1">
        <v>1.31</v>
      </c>
      <c r="D6013" s="1">
        <v>3.4946999999999999</v>
      </c>
    </row>
    <row r="6014" spans="1:4" x14ac:dyDescent="0.2">
      <c r="A6014" s="5">
        <v>44911</v>
      </c>
      <c r="B6014" s="1">
        <v>3.4822000000000002</v>
      </c>
      <c r="C6014" s="1">
        <v>1.32</v>
      </c>
      <c r="D6014" s="1">
        <v>3.5451000000000001</v>
      </c>
    </row>
    <row r="6015" spans="1:4" x14ac:dyDescent="0.2">
      <c r="A6015" s="5">
        <v>44914</v>
      </c>
      <c r="B6015" s="1">
        <v>3.5846</v>
      </c>
      <c r="C6015" s="1">
        <v>1.33</v>
      </c>
      <c r="D6015" s="1">
        <v>3.6347</v>
      </c>
    </row>
    <row r="6016" spans="1:4" x14ac:dyDescent="0.2">
      <c r="A6016" s="5">
        <v>44915</v>
      </c>
      <c r="B6016" s="1">
        <v>3.6825000000000001</v>
      </c>
      <c r="C6016" s="1">
        <v>1.35</v>
      </c>
      <c r="D6016" s="1">
        <v>3.7406999999999999</v>
      </c>
    </row>
    <row r="6017" spans="1:4" x14ac:dyDescent="0.2">
      <c r="A6017" s="5">
        <v>44916</v>
      </c>
      <c r="B6017" s="1">
        <v>3.6619999999999999</v>
      </c>
      <c r="C6017" s="1">
        <v>1.32</v>
      </c>
      <c r="D6017" s="1">
        <v>3.7136999999999998</v>
      </c>
    </row>
    <row r="6018" spans="1:4" x14ac:dyDescent="0.2">
      <c r="A6018" s="5">
        <v>44917</v>
      </c>
      <c r="B6018" s="1">
        <v>3.6785999999999999</v>
      </c>
      <c r="C6018" s="1">
        <v>1.32</v>
      </c>
      <c r="D6018" s="1">
        <v>3.7389999999999999</v>
      </c>
    </row>
    <row r="6019" spans="1:4" x14ac:dyDescent="0.2">
      <c r="A6019" s="5">
        <v>44918</v>
      </c>
      <c r="B6019" s="1">
        <v>3.7471999999999999</v>
      </c>
      <c r="C6019" s="1">
        <v>1.3</v>
      </c>
      <c r="D6019" s="1">
        <v>3.8235000000000001</v>
      </c>
    </row>
    <row r="6020" spans="1:4" x14ac:dyDescent="0.2">
      <c r="A6020" s="5">
        <v>44921</v>
      </c>
      <c r="B6020" s="1">
        <v>3.7471999999999999</v>
      </c>
      <c r="C6020" s="1">
        <v>1.3</v>
      </c>
      <c r="D6020" s="1">
        <v>3.8235000000000001</v>
      </c>
    </row>
    <row r="6021" spans="1:4" x14ac:dyDescent="0.2">
      <c r="A6021" s="5">
        <v>44922</v>
      </c>
      <c r="B6021" s="1">
        <v>3.8411</v>
      </c>
      <c r="C6021" s="1">
        <v>1.3</v>
      </c>
      <c r="D6021" s="1">
        <v>3.9275000000000002</v>
      </c>
    </row>
    <row r="6022" spans="1:4" x14ac:dyDescent="0.2">
      <c r="A6022" s="5">
        <v>44923</v>
      </c>
      <c r="B6022" s="1">
        <v>3.8826999999999998</v>
      </c>
      <c r="C6022" s="1">
        <v>1.3</v>
      </c>
      <c r="D6022" s="1">
        <v>3.9702000000000002</v>
      </c>
    </row>
    <row r="6023" spans="1:4" x14ac:dyDescent="0.2">
      <c r="A6023" s="5">
        <v>44924</v>
      </c>
      <c r="B6023" s="1">
        <v>3.8144999999999998</v>
      </c>
      <c r="C6023" s="1">
        <v>1.29</v>
      </c>
      <c r="D6023" s="1">
        <v>3.8982999999999999</v>
      </c>
    </row>
    <row r="6024" spans="1:4" x14ac:dyDescent="0.2">
      <c r="A6024" s="5">
        <v>44925</v>
      </c>
      <c r="B6024" s="1">
        <v>3.8748</v>
      </c>
      <c r="C6024" s="1">
        <v>1.3</v>
      </c>
      <c r="D6024" s="1">
        <v>3.9630000000000001</v>
      </c>
    </row>
    <row r="6025" spans="1:4" x14ac:dyDescent="0.2">
      <c r="A6025" s="5">
        <v>44928</v>
      </c>
      <c r="B6025" s="1">
        <v>3.8748</v>
      </c>
      <c r="C6025" s="1">
        <v>1.3</v>
      </c>
      <c r="D6025" s="1">
        <v>3.9630000000000001</v>
      </c>
    </row>
    <row r="6026" spans="1:4" x14ac:dyDescent="0.2">
      <c r="A6026" s="5">
        <v>44929</v>
      </c>
      <c r="B6026" s="1">
        <v>3.7389000000000001</v>
      </c>
      <c r="C6026" s="1">
        <v>1.32</v>
      </c>
      <c r="D6026" s="1">
        <v>3.8389000000000002</v>
      </c>
    </row>
    <row r="6027" spans="1:4" x14ac:dyDescent="0.2">
      <c r="A6027" s="5">
        <v>44930</v>
      </c>
      <c r="B6027" s="1">
        <v>3.6827000000000001</v>
      </c>
      <c r="C6027" s="1">
        <v>1.33</v>
      </c>
      <c r="D6027" s="1">
        <v>3.7974999999999999</v>
      </c>
    </row>
    <row r="6028" spans="1:4" x14ac:dyDescent="0.2">
      <c r="A6028" s="5">
        <v>44931</v>
      </c>
      <c r="B6028" s="1">
        <v>3.7181000000000002</v>
      </c>
      <c r="C6028" s="1">
        <v>1.33</v>
      </c>
      <c r="D6028" s="1">
        <v>3.7940999999999998</v>
      </c>
    </row>
    <row r="6029" spans="1:4" x14ac:dyDescent="0.2">
      <c r="A6029" s="5">
        <v>44932</v>
      </c>
      <c r="B6029" s="1">
        <v>3.5579999999999998</v>
      </c>
      <c r="C6029" s="1">
        <v>1.32</v>
      </c>
      <c r="D6029" s="1">
        <v>3.6873999999999998</v>
      </c>
    </row>
    <row r="6030" spans="1:4" x14ac:dyDescent="0.2">
      <c r="A6030" s="5">
        <v>44935</v>
      </c>
      <c r="B6030" s="1">
        <v>3.5320999999999998</v>
      </c>
      <c r="C6030" s="1">
        <v>1.3</v>
      </c>
      <c r="D6030" s="1">
        <v>3.6598999999999999</v>
      </c>
    </row>
    <row r="6031" spans="1:4" x14ac:dyDescent="0.2">
      <c r="A6031" s="5">
        <v>44936</v>
      </c>
      <c r="B6031" s="1">
        <v>3.6187999999999998</v>
      </c>
      <c r="C6031" s="1">
        <v>1.28</v>
      </c>
      <c r="D6031" s="1">
        <v>3.7538999999999998</v>
      </c>
    </row>
    <row r="6032" spans="1:4" x14ac:dyDescent="0.2">
      <c r="A6032" s="5">
        <v>44937</v>
      </c>
      <c r="B6032" s="1">
        <v>3.5392000000000001</v>
      </c>
      <c r="C6032" s="1">
        <v>1.26</v>
      </c>
      <c r="D6032" s="1">
        <v>3.6715</v>
      </c>
    </row>
    <row r="6033" spans="1:4" x14ac:dyDescent="0.2">
      <c r="A6033" s="5">
        <v>44938</v>
      </c>
      <c r="B6033" s="1">
        <v>3.44</v>
      </c>
      <c r="C6033" s="1">
        <v>1.25</v>
      </c>
      <c r="D6033" s="1">
        <v>3.5768</v>
      </c>
    </row>
    <row r="6034" spans="1:4" x14ac:dyDescent="0.2">
      <c r="A6034" s="5">
        <v>44939</v>
      </c>
      <c r="B6034" s="1">
        <v>3.5034999999999998</v>
      </c>
      <c r="C6034" s="1">
        <v>1.24</v>
      </c>
      <c r="D6034" s="1">
        <v>3.6103000000000001</v>
      </c>
    </row>
    <row r="6035" spans="1:4" x14ac:dyDescent="0.2">
      <c r="A6035" s="5">
        <v>44942</v>
      </c>
      <c r="B6035" s="1">
        <v>3.5034999999999998</v>
      </c>
      <c r="C6035" s="1">
        <v>1.24</v>
      </c>
      <c r="D6035" s="1">
        <v>3.6103000000000001</v>
      </c>
    </row>
    <row r="6036" spans="1:4" x14ac:dyDescent="0.2">
      <c r="A6036" s="5">
        <v>44943</v>
      </c>
      <c r="B6036" s="1">
        <v>3.5476000000000001</v>
      </c>
      <c r="C6036" s="1">
        <v>1.23</v>
      </c>
      <c r="D6036" s="1">
        <v>3.6606000000000001</v>
      </c>
    </row>
    <row r="6037" spans="1:4" x14ac:dyDescent="0.2">
      <c r="A6037" s="5">
        <v>44944</v>
      </c>
      <c r="B6037" s="1">
        <v>3.3698000000000001</v>
      </c>
      <c r="C6037" s="1">
        <v>1.23</v>
      </c>
      <c r="D6037" s="1">
        <v>3.5377999999999998</v>
      </c>
    </row>
    <row r="6038" spans="1:4" x14ac:dyDescent="0.2">
      <c r="A6038" s="5">
        <v>44945</v>
      </c>
      <c r="B6038" s="1">
        <v>3.3915000000000002</v>
      </c>
      <c r="C6038" s="1">
        <v>1.24</v>
      </c>
      <c r="D6038" s="1">
        <v>3.5613000000000001</v>
      </c>
    </row>
    <row r="6039" spans="1:4" x14ac:dyDescent="0.2">
      <c r="A6039" s="5">
        <v>44946</v>
      </c>
      <c r="B6039" s="1">
        <v>3.4786999999999999</v>
      </c>
      <c r="C6039" s="1">
        <v>1.23</v>
      </c>
      <c r="D6039" s="1">
        <v>3.6547000000000001</v>
      </c>
    </row>
    <row r="6040" spans="1:4" x14ac:dyDescent="0.2">
      <c r="A6040" s="5">
        <v>44949</v>
      </c>
      <c r="B6040" s="1">
        <v>3.5097999999999998</v>
      </c>
      <c r="C6040" s="1">
        <v>1.22</v>
      </c>
      <c r="D6040" s="1">
        <v>3.6804999999999999</v>
      </c>
    </row>
    <row r="6041" spans="1:4" x14ac:dyDescent="0.2">
      <c r="A6041" s="5">
        <v>44950</v>
      </c>
      <c r="B6041" s="1">
        <v>3.4527000000000001</v>
      </c>
      <c r="C6041" s="1">
        <v>1.22</v>
      </c>
      <c r="D6041" s="1">
        <v>3.6042999999999998</v>
      </c>
    </row>
    <row r="6042" spans="1:4" x14ac:dyDescent="0.2">
      <c r="A6042" s="5">
        <v>44951</v>
      </c>
      <c r="B6042" s="1">
        <v>3.4416000000000002</v>
      </c>
      <c r="C6042" s="1">
        <v>1.22</v>
      </c>
      <c r="D6042" s="1">
        <v>3.5937000000000001</v>
      </c>
    </row>
    <row r="6043" spans="1:4" x14ac:dyDescent="0.2">
      <c r="A6043" s="5">
        <v>44952</v>
      </c>
      <c r="B6043" s="1">
        <v>3.4946999999999999</v>
      </c>
      <c r="C6043" s="1">
        <v>1.19</v>
      </c>
      <c r="D6043" s="1">
        <v>3.6396999999999999</v>
      </c>
    </row>
    <row r="6044" spans="1:4" x14ac:dyDescent="0.2">
      <c r="A6044" s="5">
        <v>44953</v>
      </c>
      <c r="B6044" s="1">
        <v>3.5034999999999998</v>
      </c>
      <c r="C6044" s="1">
        <v>1.19</v>
      </c>
      <c r="D6044" s="1">
        <v>3.6190000000000002</v>
      </c>
    </row>
    <row r="6045" spans="1:4" x14ac:dyDescent="0.2">
      <c r="A6045" s="5">
        <v>44956</v>
      </c>
      <c r="B6045" s="1">
        <v>3.5366</v>
      </c>
      <c r="C6045" s="1">
        <v>1.19</v>
      </c>
      <c r="D6045" s="1">
        <v>3.6520000000000001</v>
      </c>
    </row>
    <row r="6046" spans="1:4" x14ac:dyDescent="0.2">
      <c r="A6046" s="5">
        <v>44957</v>
      </c>
      <c r="B6046" s="1">
        <v>3.5068999999999999</v>
      </c>
      <c r="C6046" s="1">
        <v>1.17</v>
      </c>
      <c r="D6046" s="1">
        <v>3.6322000000000001</v>
      </c>
    </row>
    <row r="6047" spans="1:4" x14ac:dyDescent="0.2">
      <c r="A6047" s="5">
        <v>44958</v>
      </c>
      <c r="B6047" s="1">
        <v>3.4165999999999999</v>
      </c>
      <c r="C6047" s="1">
        <v>1.18</v>
      </c>
      <c r="D6047" s="1">
        <v>3.5657999999999999</v>
      </c>
    </row>
    <row r="6048" spans="1:4" x14ac:dyDescent="0.2">
      <c r="A6048" s="5">
        <v>44959</v>
      </c>
      <c r="B6048" s="1">
        <v>3.3927</v>
      </c>
      <c r="C6048" s="1">
        <v>1.1499999999999999</v>
      </c>
      <c r="D6048" s="1">
        <v>3.5447000000000002</v>
      </c>
    </row>
    <row r="6049" spans="1:4" x14ac:dyDescent="0.2">
      <c r="A6049" s="5">
        <v>44960</v>
      </c>
      <c r="B6049" s="1">
        <v>3.5246</v>
      </c>
      <c r="C6049" s="1">
        <v>1.1499999999999999</v>
      </c>
      <c r="D6049" s="1">
        <v>3.6139999999999999</v>
      </c>
    </row>
    <row r="6050" spans="1:4" x14ac:dyDescent="0.2">
      <c r="A6050" s="5">
        <v>44963</v>
      </c>
      <c r="B6050" s="1">
        <v>3.6398999999999999</v>
      </c>
      <c r="C6050" s="1">
        <v>1.1499999999999999</v>
      </c>
      <c r="D6050" s="1">
        <v>3.6736</v>
      </c>
    </row>
    <row r="6051" spans="1:4" x14ac:dyDescent="0.2">
      <c r="A6051" s="5">
        <v>44964</v>
      </c>
      <c r="B6051" s="1">
        <v>3.6735000000000002</v>
      </c>
      <c r="C6051" s="1">
        <v>1.1499999999999999</v>
      </c>
      <c r="D6051" s="1">
        <v>3.7128999999999999</v>
      </c>
    </row>
    <row r="6052" spans="1:4" x14ac:dyDescent="0.2">
      <c r="A6052" s="5">
        <v>44965</v>
      </c>
      <c r="B6052" s="1">
        <v>3.6097999999999999</v>
      </c>
      <c r="C6052" s="1">
        <v>1.1599999999999999</v>
      </c>
      <c r="D6052" s="1">
        <v>3.6709999999999998</v>
      </c>
    </row>
    <row r="6053" spans="1:4" x14ac:dyDescent="0.2">
      <c r="A6053" s="5">
        <v>44966</v>
      </c>
      <c r="B6053" s="1">
        <v>3.6579000000000002</v>
      </c>
      <c r="C6053" s="1">
        <v>1.17</v>
      </c>
      <c r="D6053" s="1">
        <v>3.7263999999999999</v>
      </c>
    </row>
    <row r="6054" spans="1:4" x14ac:dyDescent="0.2">
      <c r="A6054" s="5">
        <v>44967</v>
      </c>
      <c r="B6054" s="1">
        <v>3.7320000000000002</v>
      </c>
      <c r="C6054" s="1">
        <v>1.18</v>
      </c>
      <c r="D6054" s="1">
        <v>3.8157999999999999</v>
      </c>
    </row>
    <row r="6055" spans="1:4" x14ac:dyDescent="0.2">
      <c r="A6055" s="5">
        <v>44970</v>
      </c>
      <c r="B6055" s="1">
        <v>3.7016</v>
      </c>
      <c r="C6055" s="1">
        <v>1.2</v>
      </c>
      <c r="D6055" s="1">
        <v>3.7728000000000002</v>
      </c>
    </row>
    <row r="6056" spans="1:4" x14ac:dyDescent="0.2">
      <c r="A6056" s="5">
        <v>44971</v>
      </c>
      <c r="B6056" s="1">
        <v>3.7435</v>
      </c>
      <c r="C6056" s="1">
        <v>1.19</v>
      </c>
      <c r="D6056" s="1">
        <v>3.7746</v>
      </c>
    </row>
    <row r="6057" spans="1:4" x14ac:dyDescent="0.2">
      <c r="A6057" s="5">
        <v>44972</v>
      </c>
      <c r="B6057" s="1">
        <v>3.8048999999999999</v>
      </c>
      <c r="C6057" s="1">
        <v>1.19</v>
      </c>
      <c r="D6057" s="1">
        <v>3.8410000000000002</v>
      </c>
    </row>
    <row r="6058" spans="1:4" x14ac:dyDescent="0.2">
      <c r="A6058" s="5">
        <v>44973</v>
      </c>
      <c r="B6058" s="1">
        <v>3.8607999999999998</v>
      </c>
      <c r="C6058" s="1">
        <v>1.19</v>
      </c>
      <c r="D6058" s="1">
        <v>3.9142000000000001</v>
      </c>
    </row>
    <row r="6059" spans="1:4" x14ac:dyDescent="0.2">
      <c r="A6059" s="5">
        <v>44974</v>
      </c>
      <c r="B6059" s="1">
        <v>3.8148</v>
      </c>
      <c r="C6059" s="1">
        <v>1.21</v>
      </c>
      <c r="D6059" s="1">
        <v>3.8693</v>
      </c>
    </row>
    <row r="6060" spans="1:4" x14ac:dyDescent="0.2">
      <c r="A6060" s="5">
        <v>44977</v>
      </c>
      <c r="B6060" s="1">
        <v>3.8148</v>
      </c>
      <c r="C6060" s="1">
        <v>1.21</v>
      </c>
      <c r="D6060" s="1">
        <v>3.8693</v>
      </c>
    </row>
    <row r="6061" spans="1:4" x14ac:dyDescent="0.2">
      <c r="A6061" s="5">
        <v>44978</v>
      </c>
      <c r="B6061" s="1">
        <v>3.9525000000000001</v>
      </c>
      <c r="C6061" s="1">
        <v>1.23</v>
      </c>
      <c r="D6061" s="1">
        <v>3.9718</v>
      </c>
    </row>
    <row r="6062" spans="1:4" x14ac:dyDescent="0.2">
      <c r="A6062" s="5">
        <v>44979</v>
      </c>
      <c r="B6062" s="1">
        <v>3.9156</v>
      </c>
      <c r="C6062" s="1">
        <v>1.24</v>
      </c>
      <c r="D6062" s="1">
        <v>3.9142000000000001</v>
      </c>
    </row>
    <row r="6063" spans="1:4" x14ac:dyDescent="0.2">
      <c r="A6063" s="5">
        <v>44980</v>
      </c>
      <c r="B6063" s="1">
        <v>3.8767999999999998</v>
      </c>
      <c r="C6063" s="1">
        <v>1.23</v>
      </c>
      <c r="D6063" s="1">
        <v>3.8847999999999998</v>
      </c>
    </row>
    <row r="6064" spans="1:4" x14ac:dyDescent="0.2">
      <c r="A6064" s="5">
        <v>44981</v>
      </c>
      <c r="B6064" s="1">
        <v>3.9432</v>
      </c>
      <c r="C6064" s="1">
        <v>1.23</v>
      </c>
      <c r="D6064" s="1">
        <v>3.9308999999999998</v>
      </c>
    </row>
    <row r="6065" spans="1:4" x14ac:dyDescent="0.2">
      <c r="A6065" s="5">
        <v>44984</v>
      </c>
      <c r="B6065" s="1">
        <v>3.9140999999999999</v>
      </c>
      <c r="C6065" s="1">
        <v>1.24</v>
      </c>
      <c r="D6065" s="1">
        <v>3.9262999999999999</v>
      </c>
    </row>
    <row r="6066" spans="1:4" x14ac:dyDescent="0.2">
      <c r="A6066" s="5">
        <v>44985</v>
      </c>
      <c r="B6066" s="1">
        <v>3.92</v>
      </c>
      <c r="C6066" s="1">
        <v>1.24</v>
      </c>
      <c r="D6066" s="1">
        <v>3.9161000000000001</v>
      </c>
    </row>
    <row r="6067" spans="1:4" x14ac:dyDescent="0.2">
      <c r="A6067" s="5">
        <v>44986</v>
      </c>
      <c r="B6067" s="1">
        <v>3.9925000000000002</v>
      </c>
      <c r="C6067" s="1">
        <v>1.25</v>
      </c>
      <c r="D6067" s="1">
        <v>3.9542000000000002</v>
      </c>
    </row>
    <row r="6068" spans="1:4" x14ac:dyDescent="0.2">
      <c r="A6068" s="5">
        <v>44987</v>
      </c>
      <c r="B6068" s="1">
        <v>4.0556000000000001</v>
      </c>
      <c r="C6068" s="1">
        <v>1.22</v>
      </c>
      <c r="D6068" s="1">
        <v>3.9935</v>
      </c>
    </row>
    <row r="6069" spans="1:4" x14ac:dyDescent="0.2">
      <c r="A6069" s="5">
        <v>44988</v>
      </c>
      <c r="B6069" s="1">
        <v>3.9517000000000002</v>
      </c>
      <c r="C6069" s="1">
        <v>1.2</v>
      </c>
      <c r="D6069" s="1">
        <v>3.8757000000000001</v>
      </c>
    </row>
    <row r="6070" spans="1:4" x14ac:dyDescent="0.2">
      <c r="A6070" s="5">
        <v>44991</v>
      </c>
      <c r="B6070" s="1">
        <v>3.9577</v>
      </c>
      <c r="C6070" s="1">
        <v>1.2</v>
      </c>
      <c r="D6070" s="1">
        <v>3.8932000000000002</v>
      </c>
    </row>
    <row r="6071" spans="1:4" x14ac:dyDescent="0.2">
      <c r="A6071" s="5">
        <v>44992</v>
      </c>
      <c r="B6071" s="1">
        <v>3.9636999999999998</v>
      </c>
      <c r="C6071" s="1">
        <v>1.22</v>
      </c>
      <c r="D6071" s="1">
        <v>3.8721000000000001</v>
      </c>
    </row>
    <row r="6072" spans="1:4" x14ac:dyDescent="0.2">
      <c r="A6072" s="5">
        <v>44993</v>
      </c>
      <c r="B6072" s="1">
        <v>3.9912999999999998</v>
      </c>
      <c r="C6072" s="1">
        <v>1.24</v>
      </c>
      <c r="D6072" s="1">
        <v>3.8940999999999999</v>
      </c>
    </row>
    <row r="6073" spans="1:4" x14ac:dyDescent="0.2">
      <c r="A6073" s="5">
        <v>44994</v>
      </c>
      <c r="B6073" s="1">
        <v>3.9032</v>
      </c>
      <c r="C6073" s="1">
        <v>1.27</v>
      </c>
      <c r="D6073" s="1">
        <v>3.8492999999999999</v>
      </c>
    </row>
    <row r="6074" spans="1:4" x14ac:dyDescent="0.2">
      <c r="A6074" s="5">
        <v>44995</v>
      </c>
      <c r="B6074" s="1">
        <v>3.6987000000000001</v>
      </c>
      <c r="C6074" s="1">
        <v>1.36</v>
      </c>
      <c r="D6074" s="1">
        <v>3.7065000000000001</v>
      </c>
    </row>
    <row r="6075" spans="1:4" x14ac:dyDescent="0.2">
      <c r="A6075" s="5">
        <v>44998</v>
      </c>
      <c r="B6075" s="1">
        <v>3.5731999999999999</v>
      </c>
      <c r="C6075" s="1">
        <v>1.52</v>
      </c>
      <c r="D6075" s="1">
        <v>3.7092000000000001</v>
      </c>
    </row>
    <row r="6076" spans="1:4" x14ac:dyDescent="0.2">
      <c r="A6076" s="5">
        <v>44999</v>
      </c>
      <c r="B6076" s="1">
        <v>3.6892</v>
      </c>
      <c r="C6076" s="1">
        <v>1.48</v>
      </c>
      <c r="D6076" s="1">
        <v>3.8033000000000001</v>
      </c>
    </row>
    <row r="6077" spans="1:4" x14ac:dyDescent="0.2">
      <c r="A6077" s="5">
        <v>45000</v>
      </c>
      <c r="B6077" s="1">
        <v>3.4548000000000001</v>
      </c>
      <c r="C6077" s="1">
        <v>1.63</v>
      </c>
      <c r="D6077" s="1">
        <v>3.6429999999999998</v>
      </c>
    </row>
    <row r="6078" spans="1:4" x14ac:dyDescent="0.2">
      <c r="A6078" s="5">
        <v>45001</v>
      </c>
      <c r="B6078" s="1">
        <v>3.577</v>
      </c>
      <c r="C6078" s="1">
        <v>1.56</v>
      </c>
      <c r="D6078" s="1">
        <v>3.6985999999999999</v>
      </c>
    </row>
    <row r="6079" spans="1:4" x14ac:dyDescent="0.2">
      <c r="A6079" s="5">
        <v>45002</v>
      </c>
      <c r="B6079" s="1">
        <v>3.4285999999999999</v>
      </c>
      <c r="C6079" s="1">
        <v>1.58</v>
      </c>
      <c r="D6079" s="1">
        <v>3.6196999999999999</v>
      </c>
    </row>
    <row r="6080" spans="1:4" x14ac:dyDescent="0.2">
      <c r="A6080" s="5">
        <v>45005</v>
      </c>
      <c r="B6080" s="1">
        <v>3.4847000000000001</v>
      </c>
      <c r="C6080" s="1">
        <v>1.57</v>
      </c>
      <c r="D6080" s="1">
        <v>3.6655000000000002</v>
      </c>
    </row>
    <row r="6081" spans="1:4" x14ac:dyDescent="0.2">
      <c r="A6081" s="5">
        <v>45006</v>
      </c>
      <c r="B6081" s="1">
        <v>3.6093999999999999</v>
      </c>
      <c r="C6081" s="1">
        <v>1.45</v>
      </c>
      <c r="D6081" s="1">
        <v>3.7321</v>
      </c>
    </row>
    <row r="6082" spans="1:4" x14ac:dyDescent="0.2">
      <c r="A6082" s="5">
        <v>45007</v>
      </c>
      <c r="B6082" s="1">
        <v>3.4340999999999999</v>
      </c>
      <c r="C6082" s="1">
        <v>1.45</v>
      </c>
      <c r="D6082" s="1">
        <v>3.6516000000000002</v>
      </c>
    </row>
    <row r="6083" spans="1:4" x14ac:dyDescent="0.2">
      <c r="A6083" s="5">
        <v>45008</v>
      </c>
      <c r="B6083" s="1">
        <v>3.4266000000000001</v>
      </c>
      <c r="C6083" s="1">
        <v>1.47</v>
      </c>
      <c r="D6083" s="1">
        <v>3.6978</v>
      </c>
    </row>
    <row r="6084" spans="1:4" x14ac:dyDescent="0.2">
      <c r="A6084" s="5">
        <v>45009</v>
      </c>
      <c r="B6084" s="1">
        <v>3.3761999999999999</v>
      </c>
      <c r="C6084" s="1">
        <v>1.49</v>
      </c>
      <c r="D6084" s="1">
        <v>3.6438000000000001</v>
      </c>
    </row>
    <row r="6085" spans="1:4" x14ac:dyDescent="0.2">
      <c r="A6085" s="5">
        <v>45012</v>
      </c>
      <c r="B6085" s="1">
        <v>3.5299</v>
      </c>
      <c r="C6085" s="1">
        <v>1.46</v>
      </c>
      <c r="D6085" s="1">
        <v>3.7604000000000002</v>
      </c>
    </row>
    <row r="6086" spans="1:4" x14ac:dyDescent="0.2">
      <c r="A6086" s="5">
        <v>45013</v>
      </c>
      <c r="B6086" s="1">
        <v>3.5695999999999999</v>
      </c>
      <c r="C6086" s="1">
        <v>1.47</v>
      </c>
      <c r="D6086" s="1">
        <v>3.7694000000000001</v>
      </c>
    </row>
    <row r="6087" spans="1:4" x14ac:dyDescent="0.2">
      <c r="A6087" s="5">
        <v>45014</v>
      </c>
      <c r="B6087" s="1">
        <v>3.5638999999999998</v>
      </c>
      <c r="C6087" s="1">
        <v>1.43</v>
      </c>
      <c r="D6087" s="1">
        <v>3.7587000000000002</v>
      </c>
    </row>
    <row r="6088" spans="1:4" x14ac:dyDescent="0.2">
      <c r="A6088" s="5">
        <v>45015</v>
      </c>
      <c r="B6088" s="1">
        <v>3.5488</v>
      </c>
      <c r="C6088" s="1">
        <v>1.4</v>
      </c>
      <c r="D6088" s="1">
        <v>3.7339000000000002</v>
      </c>
    </row>
    <row r="6089" spans="1:4" x14ac:dyDescent="0.2">
      <c r="A6089" s="5">
        <v>45016</v>
      </c>
      <c r="B6089" s="1">
        <v>3.4676</v>
      </c>
      <c r="C6089" s="1">
        <v>1.38</v>
      </c>
      <c r="D6089" s="1">
        <v>3.6499000000000001</v>
      </c>
    </row>
    <row r="6090" spans="1:4" x14ac:dyDescent="0.2">
      <c r="A6090" s="5">
        <v>45019</v>
      </c>
      <c r="B6090" s="1">
        <v>3.4114</v>
      </c>
      <c r="C6090" s="1">
        <v>1.36</v>
      </c>
      <c r="D6090" s="1">
        <v>3.6282999999999999</v>
      </c>
    </row>
    <row r="6091" spans="1:4" x14ac:dyDescent="0.2">
      <c r="A6091" s="5">
        <v>45020</v>
      </c>
      <c r="B6091" s="1">
        <v>3.3386999999999998</v>
      </c>
      <c r="C6091" s="1">
        <v>1.38</v>
      </c>
      <c r="D6091" s="1">
        <v>3.5964999999999998</v>
      </c>
    </row>
    <row r="6092" spans="1:4" x14ac:dyDescent="0.2">
      <c r="A6092" s="5">
        <v>45021</v>
      </c>
      <c r="B6092" s="1">
        <v>3.3108</v>
      </c>
      <c r="C6092" s="1">
        <v>1.4</v>
      </c>
      <c r="D6092" s="1">
        <v>3.5701000000000001</v>
      </c>
    </row>
    <row r="6093" spans="1:4" x14ac:dyDescent="0.2">
      <c r="A6093" s="5">
        <v>45022</v>
      </c>
      <c r="B6093" s="1">
        <v>3.3050000000000002</v>
      </c>
      <c r="C6093" s="1">
        <v>1.41</v>
      </c>
      <c r="D6093" s="1">
        <v>3.5506000000000002</v>
      </c>
    </row>
    <row r="6094" spans="1:4" x14ac:dyDescent="0.2">
      <c r="A6094" s="5">
        <v>45023</v>
      </c>
      <c r="B6094" s="1">
        <v>3.3906000000000001</v>
      </c>
      <c r="C6094" s="1">
        <v>1.4</v>
      </c>
      <c r="D6094" s="1">
        <v>3.6076000000000001</v>
      </c>
    </row>
    <row r="6095" spans="1:4" x14ac:dyDescent="0.2">
      <c r="A6095" s="5">
        <v>45026</v>
      </c>
      <c r="B6095" s="1">
        <v>3.4167999999999998</v>
      </c>
      <c r="C6095" s="1">
        <v>1.4</v>
      </c>
      <c r="D6095" s="1">
        <v>3.6282999999999999</v>
      </c>
    </row>
    <row r="6096" spans="1:4" x14ac:dyDescent="0.2">
      <c r="A6096" s="5">
        <v>45027</v>
      </c>
      <c r="B6096" s="1">
        <v>3.4262000000000001</v>
      </c>
      <c r="C6096" s="1">
        <v>1.38</v>
      </c>
      <c r="D6096" s="1">
        <v>3.6196000000000002</v>
      </c>
    </row>
    <row r="6097" spans="1:4" x14ac:dyDescent="0.2">
      <c r="A6097" s="5">
        <v>45028</v>
      </c>
      <c r="B6097" s="1">
        <v>3.3906000000000001</v>
      </c>
      <c r="C6097" s="1">
        <v>1.39</v>
      </c>
      <c r="D6097" s="1">
        <v>3.6248</v>
      </c>
    </row>
    <row r="6098" spans="1:4" x14ac:dyDescent="0.2">
      <c r="A6098" s="5">
        <v>45029</v>
      </c>
      <c r="B6098" s="1">
        <v>3.4449000000000001</v>
      </c>
      <c r="C6098" s="1">
        <v>1.37</v>
      </c>
      <c r="D6098" s="1">
        <v>3.6873</v>
      </c>
    </row>
    <row r="6099" spans="1:4" x14ac:dyDescent="0.2">
      <c r="A6099" s="5">
        <v>45030</v>
      </c>
      <c r="B6099" s="1">
        <v>3.5127999999999999</v>
      </c>
      <c r="C6099" s="1">
        <v>1.34</v>
      </c>
      <c r="D6099" s="1">
        <v>3.7347999999999999</v>
      </c>
    </row>
    <row r="6100" spans="1:4" x14ac:dyDescent="0.2">
      <c r="A6100" s="5">
        <v>45033</v>
      </c>
      <c r="B6100" s="1">
        <v>3.6004</v>
      </c>
      <c r="C6100" s="1">
        <v>1.33</v>
      </c>
      <c r="D6100" s="1">
        <v>3.8107000000000002</v>
      </c>
    </row>
    <row r="6101" spans="1:4" x14ac:dyDescent="0.2">
      <c r="A6101" s="5">
        <v>45034</v>
      </c>
      <c r="B6101" s="1">
        <v>3.5756000000000001</v>
      </c>
      <c r="C6101" s="1">
        <v>1.32</v>
      </c>
      <c r="D6101" s="1">
        <v>3.7873999999999999</v>
      </c>
    </row>
    <row r="6102" spans="1:4" x14ac:dyDescent="0.2">
      <c r="A6102" s="5">
        <v>45035</v>
      </c>
      <c r="B6102" s="1">
        <v>3.5908000000000002</v>
      </c>
      <c r="C6102" s="1">
        <v>1.33</v>
      </c>
      <c r="D6102" s="1">
        <v>3.7865000000000002</v>
      </c>
    </row>
    <row r="6103" spans="1:4" x14ac:dyDescent="0.2">
      <c r="A6103" s="5">
        <v>45036</v>
      </c>
      <c r="B6103" s="1">
        <v>3.5318000000000001</v>
      </c>
      <c r="C6103" s="1">
        <v>1.34</v>
      </c>
      <c r="D6103" s="1">
        <v>3.7401</v>
      </c>
    </row>
    <row r="6104" spans="1:4" x14ac:dyDescent="0.2">
      <c r="A6104" s="5">
        <v>45037</v>
      </c>
      <c r="B6104" s="1">
        <v>3.5718000000000001</v>
      </c>
      <c r="C6104" s="1">
        <v>1.33</v>
      </c>
      <c r="D6104" s="1">
        <v>3.7757000000000001</v>
      </c>
    </row>
    <row r="6105" spans="1:4" x14ac:dyDescent="0.2">
      <c r="A6105" s="5">
        <v>45040</v>
      </c>
      <c r="B6105" s="1">
        <v>3.4901</v>
      </c>
      <c r="C6105" s="1">
        <v>1.34</v>
      </c>
      <c r="D6105" s="1">
        <v>3.7092000000000001</v>
      </c>
    </row>
    <row r="6106" spans="1:4" x14ac:dyDescent="0.2">
      <c r="A6106" s="5">
        <v>45041</v>
      </c>
      <c r="B6106" s="1">
        <v>3.3996</v>
      </c>
      <c r="C6106" s="1">
        <v>1.37</v>
      </c>
      <c r="D6106" s="1">
        <v>3.6585000000000001</v>
      </c>
    </row>
    <row r="6107" spans="1:4" x14ac:dyDescent="0.2">
      <c r="A6107" s="5">
        <v>45042</v>
      </c>
      <c r="B6107" s="1">
        <v>3.4485000000000001</v>
      </c>
      <c r="C6107" s="1">
        <v>1.37</v>
      </c>
      <c r="D6107" s="1">
        <v>3.7021999999999999</v>
      </c>
    </row>
    <row r="6108" spans="1:4" x14ac:dyDescent="0.2">
      <c r="A6108" s="5">
        <v>45043</v>
      </c>
      <c r="B6108" s="1">
        <v>3.5204</v>
      </c>
      <c r="C6108" s="1">
        <v>1.35</v>
      </c>
      <c r="D6108" s="1">
        <v>3.7498999999999998</v>
      </c>
    </row>
    <row r="6109" spans="1:4" x14ac:dyDescent="0.2">
      <c r="A6109" s="5">
        <v>45044</v>
      </c>
      <c r="B6109" s="1">
        <v>3.4220000000000002</v>
      </c>
      <c r="C6109" s="1">
        <v>1.36</v>
      </c>
      <c r="D6109" s="1">
        <v>3.6732999999999998</v>
      </c>
    </row>
    <row r="6110" spans="1:4" x14ac:dyDescent="0.2">
      <c r="A6110" s="5">
        <v>45047</v>
      </c>
      <c r="B6110" s="1">
        <v>3.5680999999999998</v>
      </c>
      <c r="C6110" s="1">
        <v>1.38</v>
      </c>
      <c r="D6110" s="1">
        <v>3.8081</v>
      </c>
    </row>
    <row r="6111" spans="1:4" x14ac:dyDescent="0.2">
      <c r="A6111" s="5">
        <v>45048</v>
      </c>
      <c r="B6111" s="1">
        <v>3.4239000000000002</v>
      </c>
      <c r="C6111" s="1">
        <v>1.41</v>
      </c>
      <c r="D6111" s="1">
        <v>3.7119</v>
      </c>
    </row>
    <row r="6112" spans="1:4" x14ac:dyDescent="0.2">
      <c r="A6112" s="5">
        <v>45049</v>
      </c>
      <c r="B6112" s="1">
        <v>3.3355999999999999</v>
      </c>
      <c r="C6112" s="1">
        <v>1.43</v>
      </c>
      <c r="D6112" s="1">
        <v>3.6821000000000002</v>
      </c>
    </row>
    <row r="6113" spans="1:4" x14ac:dyDescent="0.2">
      <c r="A6113" s="5">
        <v>45050</v>
      </c>
      <c r="B6113" s="1">
        <v>3.3786999999999998</v>
      </c>
      <c r="C6113" s="1">
        <v>1.48</v>
      </c>
      <c r="D6113" s="1">
        <v>3.7296</v>
      </c>
    </row>
    <row r="6114" spans="1:4" x14ac:dyDescent="0.2">
      <c r="A6114" s="5">
        <v>45051</v>
      </c>
      <c r="B6114" s="1">
        <v>3.4369999999999998</v>
      </c>
      <c r="C6114" s="1">
        <v>1.46</v>
      </c>
      <c r="D6114" s="1">
        <v>3.7534999999999998</v>
      </c>
    </row>
    <row r="6115" spans="1:4" x14ac:dyDescent="0.2">
      <c r="A6115" s="5">
        <v>45054</v>
      </c>
      <c r="B6115" s="1">
        <v>3.5072000000000001</v>
      </c>
      <c r="C6115" s="1">
        <v>1.47</v>
      </c>
      <c r="D6115" s="1">
        <v>3.8227000000000002</v>
      </c>
    </row>
    <row r="6116" spans="1:4" x14ac:dyDescent="0.2">
      <c r="A6116" s="5">
        <v>45055</v>
      </c>
      <c r="B6116" s="1">
        <v>3.5186000000000002</v>
      </c>
      <c r="C6116" s="1">
        <v>1.46</v>
      </c>
      <c r="D6116" s="1">
        <v>3.8380999999999998</v>
      </c>
    </row>
    <row r="6117" spans="1:4" x14ac:dyDescent="0.2">
      <c r="A6117" s="5">
        <v>45056</v>
      </c>
      <c r="B6117" s="1">
        <v>3.4426000000000001</v>
      </c>
      <c r="C6117" s="1">
        <v>1.46</v>
      </c>
      <c r="D6117" s="1">
        <v>3.7965</v>
      </c>
    </row>
    <row r="6118" spans="1:4" x14ac:dyDescent="0.2">
      <c r="A6118" s="5">
        <v>45057</v>
      </c>
      <c r="B6118" s="1">
        <v>3.3843000000000001</v>
      </c>
      <c r="C6118" s="1">
        <v>1.46</v>
      </c>
      <c r="D6118" s="1">
        <v>3.7402000000000002</v>
      </c>
    </row>
    <row r="6119" spans="1:4" x14ac:dyDescent="0.2">
      <c r="A6119" s="5">
        <v>45058</v>
      </c>
      <c r="B6119" s="1">
        <v>3.4624999999999999</v>
      </c>
      <c r="C6119" s="1">
        <v>1.45</v>
      </c>
      <c r="D6119" s="1">
        <v>3.7888000000000002</v>
      </c>
    </row>
    <row r="6120" spans="1:4" x14ac:dyDescent="0.2">
      <c r="A6120" s="5">
        <v>45061</v>
      </c>
      <c r="B6120" s="1">
        <v>3.5019</v>
      </c>
      <c r="C6120" s="1">
        <v>1.47</v>
      </c>
      <c r="D6120" s="1">
        <v>3.8418999999999999</v>
      </c>
    </row>
    <row r="6121" spans="1:4" x14ac:dyDescent="0.2">
      <c r="A6121" s="5">
        <v>45062</v>
      </c>
      <c r="B6121" s="1">
        <v>3.5339</v>
      </c>
      <c r="C6121" s="1">
        <v>1.48</v>
      </c>
      <c r="D6121" s="1">
        <v>3.8536999999999999</v>
      </c>
    </row>
    <row r="6122" spans="1:4" x14ac:dyDescent="0.2">
      <c r="A6122" s="5">
        <v>45063</v>
      </c>
      <c r="B6122" s="1">
        <v>3.5640999999999998</v>
      </c>
      <c r="C6122" s="1">
        <v>1.46</v>
      </c>
      <c r="D6122" s="1">
        <v>3.8538000000000001</v>
      </c>
    </row>
    <row r="6123" spans="1:4" x14ac:dyDescent="0.2">
      <c r="A6123" s="5">
        <v>45064</v>
      </c>
      <c r="B6123" s="1">
        <v>3.6457000000000002</v>
      </c>
      <c r="C6123" s="1">
        <v>1.45</v>
      </c>
      <c r="D6123" s="1">
        <v>3.9039999999999999</v>
      </c>
    </row>
    <row r="6124" spans="1:4" x14ac:dyDescent="0.2">
      <c r="A6124" s="5">
        <v>45065</v>
      </c>
      <c r="B6124" s="1">
        <v>3.6726000000000001</v>
      </c>
      <c r="C6124" s="1">
        <v>1.43</v>
      </c>
      <c r="D6124" s="1">
        <v>3.9270999999999998</v>
      </c>
    </row>
    <row r="6125" spans="1:4" x14ac:dyDescent="0.2">
      <c r="A6125" s="5">
        <v>45068</v>
      </c>
      <c r="B6125" s="1">
        <v>3.7147999999999999</v>
      </c>
      <c r="C6125" s="1">
        <v>1.42</v>
      </c>
      <c r="D6125" s="1">
        <v>3.9662000000000002</v>
      </c>
    </row>
    <row r="6126" spans="1:4" x14ac:dyDescent="0.2">
      <c r="A6126" s="5">
        <v>45069</v>
      </c>
      <c r="B6126" s="1">
        <v>3.6919</v>
      </c>
      <c r="C6126" s="1">
        <v>1.41</v>
      </c>
      <c r="D6126" s="1">
        <v>3.9476</v>
      </c>
    </row>
    <row r="6127" spans="1:4" x14ac:dyDescent="0.2">
      <c r="A6127" s="5">
        <v>45070</v>
      </c>
      <c r="B6127" s="1">
        <v>3.7418999999999998</v>
      </c>
      <c r="C6127" s="1">
        <v>1.41</v>
      </c>
      <c r="D6127" s="1">
        <v>3.9859</v>
      </c>
    </row>
    <row r="6128" spans="1:4" x14ac:dyDescent="0.2">
      <c r="A6128" s="5">
        <v>45071</v>
      </c>
      <c r="B6128" s="1">
        <v>3.8174000000000001</v>
      </c>
      <c r="C6128" s="1">
        <v>1.39</v>
      </c>
      <c r="D6128" s="1">
        <v>3.9952999999999999</v>
      </c>
    </row>
    <row r="6129" spans="1:4" x14ac:dyDescent="0.2">
      <c r="A6129" s="5">
        <v>45072</v>
      </c>
      <c r="B6129" s="1">
        <v>3.7982999999999998</v>
      </c>
      <c r="C6129" s="1">
        <v>1.37</v>
      </c>
      <c r="D6129" s="1">
        <v>3.9607000000000001</v>
      </c>
    </row>
    <row r="6130" spans="1:4" x14ac:dyDescent="0.2">
      <c r="A6130" s="5">
        <v>45075</v>
      </c>
      <c r="B6130" s="1">
        <v>3.7982999999999998</v>
      </c>
      <c r="C6130" s="1">
        <v>1.37</v>
      </c>
      <c r="D6130" s="1">
        <v>3.9607000000000001</v>
      </c>
    </row>
    <row r="6131" spans="1:4" x14ac:dyDescent="0.2">
      <c r="A6131" s="5">
        <v>45076</v>
      </c>
      <c r="B6131" s="1">
        <v>3.6865999999999999</v>
      </c>
      <c r="C6131" s="1">
        <v>1.36</v>
      </c>
      <c r="D6131" s="1">
        <v>3.8904000000000001</v>
      </c>
    </row>
    <row r="6132" spans="1:4" x14ac:dyDescent="0.2">
      <c r="A6132" s="5">
        <v>45077</v>
      </c>
      <c r="B6132" s="1">
        <v>3.6425999999999998</v>
      </c>
      <c r="C6132" s="1">
        <v>1.38</v>
      </c>
      <c r="D6132" s="1">
        <v>3.8611</v>
      </c>
    </row>
    <row r="6133" spans="1:4" x14ac:dyDescent="0.2">
      <c r="A6133" s="5">
        <v>45078</v>
      </c>
      <c r="B6133" s="1">
        <v>3.5950000000000002</v>
      </c>
      <c r="C6133" s="1">
        <v>1.38</v>
      </c>
      <c r="D6133" s="1">
        <v>3.8149000000000002</v>
      </c>
    </row>
    <row r="6134" spans="1:4" x14ac:dyDescent="0.2">
      <c r="A6134" s="5">
        <v>45079</v>
      </c>
      <c r="B6134" s="1">
        <v>3.6907000000000001</v>
      </c>
      <c r="C6134" s="1">
        <v>1.34</v>
      </c>
      <c r="D6134" s="1">
        <v>3.8877000000000002</v>
      </c>
    </row>
    <row r="6135" spans="1:4" x14ac:dyDescent="0.2">
      <c r="A6135" s="5">
        <v>45082</v>
      </c>
      <c r="B6135" s="1">
        <v>3.6831</v>
      </c>
      <c r="C6135" s="1">
        <v>1.36</v>
      </c>
      <c r="D6135" s="1">
        <v>3.8831000000000002</v>
      </c>
    </row>
    <row r="6136" spans="1:4" x14ac:dyDescent="0.2">
      <c r="A6136" s="5">
        <v>45083</v>
      </c>
      <c r="B6136" s="1">
        <v>3.6602000000000001</v>
      </c>
      <c r="C6136" s="1">
        <v>1.36</v>
      </c>
      <c r="D6136" s="1">
        <v>3.8439000000000001</v>
      </c>
    </row>
    <row r="6137" spans="1:4" x14ac:dyDescent="0.2">
      <c r="A6137" s="5">
        <v>45084</v>
      </c>
      <c r="B6137" s="1">
        <v>3.7951999999999999</v>
      </c>
      <c r="C6137" s="1">
        <v>1.36</v>
      </c>
      <c r="D6137" s="1">
        <v>3.9449999999999998</v>
      </c>
    </row>
    <row r="6138" spans="1:4" x14ac:dyDescent="0.2">
      <c r="A6138" s="5">
        <v>45085</v>
      </c>
      <c r="B6138" s="1">
        <v>3.7179000000000002</v>
      </c>
      <c r="C6138" s="1">
        <v>1.37</v>
      </c>
      <c r="D6138" s="1">
        <v>3.8877000000000002</v>
      </c>
    </row>
    <row r="6139" spans="1:4" x14ac:dyDescent="0.2">
      <c r="A6139" s="5">
        <v>45086</v>
      </c>
      <c r="B6139" s="1">
        <v>3.7393999999999998</v>
      </c>
      <c r="C6139" s="1">
        <v>1.38</v>
      </c>
      <c r="D6139" s="1">
        <v>3.8803999999999998</v>
      </c>
    </row>
    <row r="6140" spans="1:4" x14ac:dyDescent="0.2">
      <c r="A6140" s="5">
        <v>45089</v>
      </c>
      <c r="B6140" s="1">
        <v>3.7355999999999998</v>
      </c>
      <c r="C6140" s="1">
        <v>1.37</v>
      </c>
      <c r="D6140" s="1">
        <v>3.8813</v>
      </c>
    </row>
    <row r="6141" spans="1:4" x14ac:dyDescent="0.2">
      <c r="A6141" s="5">
        <v>45090</v>
      </c>
      <c r="B6141" s="1">
        <v>3.8132999999999999</v>
      </c>
      <c r="C6141" s="1">
        <v>1.35</v>
      </c>
      <c r="D6141" s="1">
        <v>3.92</v>
      </c>
    </row>
    <row r="6142" spans="1:4" x14ac:dyDescent="0.2">
      <c r="A6142" s="5">
        <v>45091</v>
      </c>
      <c r="B6142" s="1">
        <v>3.7862</v>
      </c>
      <c r="C6142" s="1">
        <v>1.35</v>
      </c>
      <c r="D6142" s="1">
        <v>3.8822999999999999</v>
      </c>
    </row>
    <row r="6143" spans="1:4" x14ac:dyDescent="0.2">
      <c r="A6143" s="5">
        <v>45092</v>
      </c>
      <c r="B6143" s="1">
        <v>3.7164999999999999</v>
      </c>
      <c r="C6143" s="1">
        <v>1.33</v>
      </c>
      <c r="D6143" s="1">
        <v>3.8376000000000001</v>
      </c>
    </row>
    <row r="6144" spans="1:4" x14ac:dyDescent="0.2">
      <c r="A6144" s="5">
        <v>45093</v>
      </c>
      <c r="B6144" s="1">
        <v>3.7612999999999999</v>
      </c>
      <c r="C6144" s="1">
        <v>1.31</v>
      </c>
      <c r="D6144" s="1">
        <v>3.8521999999999998</v>
      </c>
    </row>
    <row r="6145" spans="1:4" x14ac:dyDescent="0.2">
      <c r="A6145" s="5">
        <v>45096</v>
      </c>
      <c r="B6145" s="1">
        <v>3.7612999999999999</v>
      </c>
      <c r="C6145" s="1">
        <v>1.31</v>
      </c>
      <c r="D6145" s="1">
        <v>3.8521999999999998</v>
      </c>
    </row>
    <row r="6146" spans="1:4" x14ac:dyDescent="0.2">
      <c r="A6146" s="5">
        <v>45097</v>
      </c>
      <c r="B6146" s="1">
        <v>3.7206999999999999</v>
      </c>
      <c r="C6146" s="1">
        <v>1.31</v>
      </c>
      <c r="D6146" s="1">
        <v>3.8113999999999999</v>
      </c>
    </row>
    <row r="6147" spans="1:4" x14ac:dyDescent="0.2">
      <c r="A6147" s="5">
        <v>45098</v>
      </c>
      <c r="B6147" s="1">
        <v>3.7189000000000001</v>
      </c>
      <c r="C6147" s="1">
        <v>1.31</v>
      </c>
      <c r="D6147" s="1">
        <v>3.8069999999999999</v>
      </c>
    </row>
    <row r="6148" spans="1:4" x14ac:dyDescent="0.2">
      <c r="A6148" s="5">
        <v>45099</v>
      </c>
      <c r="B6148" s="1">
        <v>3.7946</v>
      </c>
      <c r="C6148" s="1">
        <v>1.3</v>
      </c>
      <c r="D6148" s="1">
        <v>3.8685999999999998</v>
      </c>
    </row>
    <row r="6149" spans="1:4" x14ac:dyDescent="0.2">
      <c r="A6149" s="5">
        <v>45100</v>
      </c>
      <c r="B6149" s="1">
        <v>3.7347000000000001</v>
      </c>
      <c r="C6149" s="1">
        <v>1.32</v>
      </c>
      <c r="D6149" s="1">
        <v>3.8115000000000001</v>
      </c>
    </row>
    <row r="6150" spans="1:4" x14ac:dyDescent="0.2">
      <c r="A6150" s="5">
        <v>45103</v>
      </c>
      <c r="B6150" s="1">
        <v>3.7212000000000001</v>
      </c>
      <c r="C6150" s="1">
        <v>1.32</v>
      </c>
      <c r="D6150" s="1">
        <v>3.8142</v>
      </c>
    </row>
    <row r="6151" spans="1:4" x14ac:dyDescent="0.2">
      <c r="A6151" s="5">
        <v>45104</v>
      </c>
      <c r="B6151" s="1">
        <v>3.7639</v>
      </c>
      <c r="C6151" s="1">
        <v>1.31</v>
      </c>
      <c r="D6151" s="1">
        <v>3.8422000000000001</v>
      </c>
    </row>
    <row r="6152" spans="1:4" x14ac:dyDescent="0.2">
      <c r="A6152" s="5">
        <v>45105</v>
      </c>
      <c r="B6152" s="1">
        <v>3.7078000000000002</v>
      </c>
      <c r="C6152" s="1">
        <v>1.3</v>
      </c>
      <c r="D6152" s="1">
        <v>3.8069999999999999</v>
      </c>
    </row>
    <row r="6153" spans="1:4" x14ac:dyDescent="0.2">
      <c r="A6153" s="5">
        <v>45106</v>
      </c>
      <c r="B6153" s="1">
        <v>3.8382999999999998</v>
      </c>
      <c r="C6153" s="1">
        <v>1.27</v>
      </c>
      <c r="D6153" s="1">
        <v>3.8999000000000001</v>
      </c>
    </row>
    <row r="6154" spans="1:4" x14ac:dyDescent="0.2">
      <c r="A6154" s="5">
        <v>45107</v>
      </c>
      <c r="B6154" s="1">
        <v>3.8367</v>
      </c>
      <c r="C6154" s="1">
        <v>1.23</v>
      </c>
      <c r="D6154" s="1">
        <v>3.8605</v>
      </c>
    </row>
    <row r="6155" spans="1:4" x14ac:dyDescent="0.2">
      <c r="A6155" s="5">
        <v>45110</v>
      </c>
      <c r="B6155" s="1">
        <v>3.8544999999999998</v>
      </c>
      <c r="C6155" s="1">
        <v>1.22</v>
      </c>
      <c r="D6155" s="1">
        <v>3.8632</v>
      </c>
    </row>
    <row r="6156" spans="1:4" x14ac:dyDescent="0.2">
      <c r="A6156" s="5">
        <v>45111</v>
      </c>
      <c r="B6156" s="1">
        <v>3.8544999999999998</v>
      </c>
      <c r="C6156" s="1">
        <v>1.22</v>
      </c>
      <c r="D6156" s="1">
        <v>3.8632</v>
      </c>
    </row>
    <row r="6157" spans="1:4" x14ac:dyDescent="0.2">
      <c r="A6157" s="5">
        <v>45112</v>
      </c>
      <c r="B6157" s="1">
        <v>3.9315000000000002</v>
      </c>
      <c r="C6157" s="1">
        <v>1.23</v>
      </c>
      <c r="D6157" s="1">
        <v>3.9285999999999999</v>
      </c>
    </row>
    <row r="6158" spans="1:4" x14ac:dyDescent="0.2">
      <c r="A6158" s="5">
        <v>45113</v>
      </c>
      <c r="B6158" s="1">
        <v>4.0290999999999997</v>
      </c>
      <c r="C6158" s="1">
        <v>1.25</v>
      </c>
      <c r="D6158" s="1">
        <v>3.9996999999999998</v>
      </c>
    </row>
    <row r="6159" spans="1:4" x14ac:dyDescent="0.2">
      <c r="A6159" s="5">
        <v>45114</v>
      </c>
      <c r="B6159" s="1">
        <v>4.0616000000000003</v>
      </c>
      <c r="C6159" s="1">
        <v>1.24</v>
      </c>
      <c r="D6159" s="1">
        <v>4.0453000000000001</v>
      </c>
    </row>
    <row r="6160" spans="1:4" x14ac:dyDescent="0.2">
      <c r="A6160" s="5">
        <v>45117</v>
      </c>
      <c r="B6160" s="1">
        <v>3.9937999999999998</v>
      </c>
      <c r="C6160" s="1">
        <v>1.24</v>
      </c>
      <c r="D6160" s="1">
        <v>4.032</v>
      </c>
    </row>
    <row r="6161" spans="1:4" x14ac:dyDescent="0.2">
      <c r="A6161" s="5">
        <v>45118</v>
      </c>
      <c r="B6161" s="1">
        <v>3.97</v>
      </c>
      <c r="C6161" s="1">
        <v>1.23</v>
      </c>
      <c r="D6161" s="1">
        <v>4.0072999999999999</v>
      </c>
    </row>
    <row r="6162" spans="1:4" x14ac:dyDescent="0.2">
      <c r="A6162" s="5">
        <v>45119</v>
      </c>
      <c r="B6162" s="1">
        <v>3.8573</v>
      </c>
      <c r="C6162" s="1">
        <v>1.22</v>
      </c>
      <c r="D6162" s="1">
        <v>3.9472999999999998</v>
      </c>
    </row>
    <row r="6163" spans="1:4" x14ac:dyDescent="0.2">
      <c r="A6163" s="5">
        <v>45120</v>
      </c>
      <c r="B6163" s="1">
        <v>3.7633999999999999</v>
      </c>
      <c r="C6163" s="1">
        <v>1.23</v>
      </c>
      <c r="D6163" s="1">
        <v>3.9009</v>
      </c>
    </row>
    <row r="6164" spans="1:4" x14ac:dyDescent="0.2">
      <c r="A6164" s="5">
        <v>45121</v>
      </c>
      <c r="B6164" s="1">
        <v>3.8321999999999998</v>
      </c>
      <c r="C6164" s="1">
        <v>1.24</v>
      </c>
      <c r="D6164" s="1">
        <v>3.9278</v>
      </c>
    </row>
    <row r="6165" spans="1:4" x14ac:dyDescent="0.2">
      <c r="A6165" s="5">
        <v>45124</v>
      </c>
      <c r="B6165" s="1">
        <v>3.8068</v>
      </c>
      <c r="C6165" s="1">
        <v>1.25</v>
      </c>
      <c r="D6165" s="1">
        <v>3.9287000000000001</v>
      </c>
    </row>
    <row r="6166" spans="1:4" x14ac:dyDescent="0.2">
      <c r="A6166" s="5">
        <v>45125</v>
      </c>
      <c r="B6166" s="1">
        <v>3.7852999999999999</v>
      </c>
      <c r="C6166" s="1">
        <v>1.24</v>
      </c>
      <c r="D6166" s="1">
        <v>3.8944999999999999</v>
      </c>
    </row>
    <row r="6167" spans="1:4" x14ac:dyDescent="0.2">
      <c r="A6167" s="5">
        <v>45126</v>
      </c>
      <c r="B6167" s="1">
        <v>3.7483</v>
      </c>
      <c r="C6167" s="1">
        <v>1.24</v>
      </c>
      <c r="D6167" s="1">
        <v>3.8397000000000001</v>
      </c>
    </row>
    <row r="6168" spans="1:4" x14ac:dyDescent="0.2">
      <c r="A6168" s="5">
        <v>45127</v>
      </c>
      <c r="B6168" s="1">
        <v>3.8502999999999998</v>
      </c>
      <c r="C6168" s="1">
        <v>1.23</v>
      </c>
      <c r="D6168" s="1">
        <v>3.9083999999999999</v>
      </c>
    </row>
    <row r="6169" spans="1:4" x14ac:dyDescent="0.2">
      <c r="A6169" s="5">
        <v>45128</v>
      </c>
      <c r="B6169" s="1">
        <v>3.8349000000000002</v>
      </c>
      <c r="C6169" s="1">
        <v>1.22</v>
      </c>
      <c r="D6169" s="1">
        <v>3.8974000000000002</v>
      </c>
    </row>
    <row r="6170" spans="1:4" x14ac:dyDescent="0.2">
      <c r="A6170" s="5">
        <v>45131</v>
      </c>
      <c r="B6170" s="1">
        <v>3.8725000000000001</v>
      </c>
      <c r="C6170" s="1">
        <v>1.21</v>
      </c>
      <c r="D6170" s="1">
        <v>3.9222999999999999</v>
      </c>
    </row>
    <row r="6171" spans="1:4" x14ac:dyDescent="0.2">
      <c r="A6171" s="5">
        <v>45132</v>
      </c>
      <c r="B6171" s="1">
        <v>3.8845000000000001</v>
      </c>
      <c r="C6171" s="1">
        <v>1.2</v>
      </c>
      <c r="D6171" s="1">
        <v>3.9287999999999998</v>
      </c>
    </row>
    <row r="6172" spans="1:4" x14ac:dyDescent="0.2">
      <c r="A6172" s="5">
        <v>45133</v>
      </c>
      <c r="B6172" s="1">
        <v>3.8668</v>
      </c>
      <c r="C6172" s="1">
        <v>1.18</v>
      </c>
      <c r="D6172" s="1">
        <v>3.9344000000000001</v>
      </c>
    </row>
    <row r="6173" spans="1:4" x14ac:dyDescent="0.2">
      <c r="A6173" s="5">
        <v>45134</v>
      </c>
      <c r="B6173" s="1">
        <v>3.9982000000000002</v>
      </c>
      <c r="C6173" s="1">
        <v>1.17</v>
      </c>
      <c r="D6173" s="1">
        <v>4.0389999999999997</v>
      </c>
    </row>
    <row r="6174" spans="1:4" x14ac:dyDescent="0.2">
      <c r="A6174" s="5">
        <v>45135</v>
      </c>
      <c r="B6174" s="1">
        <v>3.9506999999999999</v>
      </c>
      <c r="C6174" s="1">
        <v>1.1499999999999999</v>
      </c>
      <c r="D6174" s="1">
        <v>4.0105000000000004</v>
      </c>
    </row>
    <row r="6175" spans="1:4" x14ac:dyDescent="0.2">
      <c r="A6175" s="5">
        <v>45138</v>
      </c>
      <c r="B6175" s="1">
        <v>3.9588000000000001</v>
      </c>
      <c r="C6175" s="1">
        <v>1.1200000000000001</v>
      </c>
      <c r="D6175" s="1">
        <v>4.0095999999999998</v>
      </c>
    </row>
    <row r="6176" spans="1:4" x14ac:dyDescent="0.2">
      <c r="A6176" s="5">
        <v>45139</v>
      </c>
      <c r="B6176" s="1">
        <v>4.0229999999999997</v>
      </c>
      <c r="C6176" s="1">
        <v>1.1499999999999999</v>
      </c>
      <c r="D6176" s="1">
        <v>4.0918999999999999</v>
      </c>
    </row>
    <row r="6177" spans="1:4" x14ac:dyDescent="0.2">
      <c r="A6177" s="5">
        <v>45140</v>
      </c>
      <c r="B6177" s="1">
        <v>4.0774999999999997</v>
      </c>
      <c r="C6177" s="1">
        <v>1.18</v>
      </c>
      <c r="D6177" s="1">
        <v>4.1749000000000001</v>
      </c>
    </row>
    <row r="6178" spans="1:4" x14ac:dyDescent="0.2">
      <c r="A6178" s="5">
        <v>45141</v>
      </c>
      <c r="B6178" s="1">
        <v>4.1750999999999996</v>
      </c>
      <c r="C6178" s="1">
        <v>1.19</v>
      </c>
      <c r="D6178" s="1">
        <v>4.2908999999999997</v>
      </c>
    </row>
    <row r="6179" spans="1:4" x14ac:dyDescent="0.2">
      <c r="A6179" s="5">
        <v>45142</v>
      </c>
      <c r="B6179" s="1">
        <v>4.0338000000000003</v>
      </c>
      <c r="C6179" s="1">
        <v>1.18</v>
      </c>
      <c r="D6179" s="1">
        <v>4.2007000000000003</v>
      </c>
    </row>
    <row r="6180" spans="1:4" x14ac:dyDescent="0.2">
      <c r="A6180" s="5">
        <v>45145</v>
      </c>
      <c r="B6180" s="1">
        <v>4.0884999999999998</v>
      </c>
      <c r="C6180" s="1">
        <v>1.18</v>
      </c>
      <c r="D6180" s="1">
        <v>4.2698</v>
      </c>
    </row>
    <row r="6181" spans="1:4" x14ac:dyDescent="0.2">
      <c r="A6181" s="5">
        <v>45146</v>
      </c>
      <c r="B6181" s="1">
        <v>4.0220000000000002</v>
      </c>
      <c r="C6181" s="1">
        <v>1.19</v>
      </c>
      <c r="D6181" s="1">
        <v>4.2066999999999997</v>
      </c>
    </row>
    <row r="6182" spans="1:4" x14ac:dyDescent="0.2">
      <c r="A6182" s="5">
        <v>45147</v>
      </c>
      <c r="B6182" s="1">
        <v>4.0080999999999998</v>
      </c>
      <c r="C6182" s="1">
        <v>1.2</v>
      </c>
      <c r="D6182" s="1">
        <v>4.1700999999999997</v>
      </c>
    </row>
    <row r="6183" spans="1:4" x14ac:dyDescent="0.2">
      <c r="A6183" s="5">
        <v>45148</v>
      </c>
      <c r="B6183" s="1">
        <v>4.1055000000000001</v>
      </c>
      <c r="C6183" s="1">
        <v>1.2</v>
      </c>
      <c r="D6183" s="1">
        <v>4.2518000000000002</v>
      </c>
    </row>
    <row r="6184" spans="1:4" x14ac:dyDescent="0.2">
      <c r="A6184" s="5">
        <v>45149</v>
      </c>
      <c r="B6184" s="1">
        <v>4.1521999999999997</v>
      </c>
      <c r="C6184" s="1">
        <v>1.19</v>
      </c>
      <c r="D6184" s="1">
        <v>4.2614000000000001</v>
      </c>
    </row>
    <row r="6185" spans="1:4" x14ac:dyDescent="0.2">
      <c r="A6185" s="5">
        <v>45152</v>
      </c>
      <c r="B6185" s="1">
        <v>4.1913</v>
      </c>
      <c r="C6185" s="1">
        <v>1.2</v>
      </c>
      <c r="D6185" s="1">
        <v>4.2888000000000002</v>
      </c>
    </row>
    <row r="6186" spans="1:4" x14ac:dyDescent="0.2">
      <c r="A6186" s="5">
        <v>45153</v>
      </c>
      <c r="B6186" s="1">
        <v>4.2110000000000003</v>
      </c>
      <c r="C6186" s="1">
        <v>1.21</v>
      </c>
      <c r="D6186" s="1">
        <v>4.3155000000000001</v>
      </c>
    </row>
    <row r="6187" spans="1:4" x14ac:dyDescent="0.2">
      <c r="A6187" s="5">
        <v>45154</v>
      </c>
      <c r="B6187" s="1">
        <v>4.2504</v>
      </c>
      <c r="C6187" s="1">
        <v>1.22</v>
      </c>
      <c r="D6187" s="1">
        <v>4.3518999999999997</v>
      </c>
    </row>
    <row r="6188" spans="1:4" x14ac:dyDescent="0.2">
      <c r="A6188" s="5">
        <v>45155</v>
      </c>
      <c r="B6188" s="1">
        <v>4.2740999999999998</v>
      </c>
      <c r="C6188" s="1">
        <v>1.24</v>
      </c>
      <c r="D6188" s="1">
        <v>4.3868</v>
      </c>
    </row>
    <row r="6189" spans="1:4" x14ac:dyDescent="0.2">
      <c r="A6189" s="5">
        <v>45156</v>
      </c>
      <c r="B6189" s="1">
        <v>4.2545999999999999</v>
      </c>
      <c r="C6189" s="1">
        <v>1.24</v>
      </c>
      <c r="D6189" s="1">
        <v>4.3750999999999998</v>
      </c>
    </row>
    <row r="6190" spans="1:4" x14ac:dyDescent="0.2">
      <c r="A6190" s="5">
        <v>45159</v>
      </c>
      <c r="B6190" s="1">
        <v>4.3379000000000003</v>
      </c>
      <c r="C6190" s="1">
        <v>1.23</v>
      </c>
      <c r="D6190" s="1">
        <v>4.4465000000000003</v>
      </c>
    </row>
    <row r="6191" spans="1:4" x14ac:dyDescent="0.2">
      <c r="A6191" s="5">
        <v>45160</v>
      </c>
      <c r="B6191" s="1">
        <v>4.3240999999999996</v>
      </c>
      <c r="C6191" s="1">
        <v>1.22</v>
      </c>
      <c r="D6191" s="1">
        <v>4.4004000000000003</v>
      </c>
    </row>
    <row r="6192" spans="1:4" x14ac:dyDescent="0.2">
      <c r="A6192" s="5">
        <v>45161</v>
      </c>
      <c r="B6192" s="1">
        <v>4.1917999999999997</v>
      </c>
      <c r="C6192" s="1">
        <v>1.2</v>
      </c>
      <c r="D6192" s="1">
        <v>4.2698999999999998</v>
      </c>
    </row>
    <row r="6193" spans="1:4" x14ac:dyDescent="0.2">
      <c r="A6193" s="5">
        <v>45162</v>
      </c>
      <c r="B6193" s="1">
        <v>4.2371999999999996</v>
      </c>
      <c r="C6193" s="1">
        <v>1.2</v>
      </c>
      <c r="D6193" s="1">
        <v>4.3021000000000003</v>
      </c>
    </row>
    <row r="6194" spans="1:4" x14ac:dyDescent="0.2">
      <c r="A6194" s="5">
        <v>45163</v>
      </c>
      <c r="B6194" s="1">
        <v>4.2354000000000003</v>
      </c>
      <c r="C6194" s="1">
        <v>1.19</v>
      </c>
      <c r="D6194" s="1">
        <v>4.2840999999999996</v>
      </c>
    </row>
    <row r="6195" spans="1:4" x14ac:dyDescent="0.2">
      <c r="A6195" s="5">
        <v>45166</v>
      </c>
      <c r="B6195" s="1">
        <v>4.202</v>
      </c>
      <c r="C6195" s="1">
        <v>1.18</v>
      </c>
      <c r="D6195" s="1">
        <v>4.2774000000000001</v>
      </c>
    </row>
    <row r="6196" spans="1:4" x14ac:dyDescent="0.2">
      <c r="A6196" s="5">
        <v>45167</v>
      </c>
      <c r="B6196" s="1">
        <v>4.1196999999999999</v>
      </c>
      <c r="C6196" s="1">
        <v>1.18</v>
      </c>
      <c r="D6196" s="1">
        <v>4.2302999999999997</v>
      </c>
    </row>
    <row r="6197" spans="1:4" x14ac:dyDescent="0.2">
      <c r="A6197" s="5">
        <v>45168</v>
      </c>
      <c r="B6197" s="1">
        <v>4.1139000000000001</v>
      </c>
      <c r="C6197" s="1">
        <v>1.18</v>
      </c>
      <c r="D6197" s="1">
        <v>4.2256999999999998</v>
      </c>
    </row>
    <row r="6198" spans="1:4" x14ac:dyDescent="0.2">
      <c r="A6198" s="5">
        <v>45169</v>
      </c>
      <c r="B6198" s="1">
        <v>4.1081000000000003</v>
      </c>
      <c r="C6198" s="1">
        <v>1.18</v>
      </c>
      <c r="D6198" s="1">
        <v>4.2107000000000001</v>
      </c>
    </row>
    <row r="6199" spans="1:4" x14ac:dyDescent="0.2">
      <c r="A6199" s="5">
        <v>45170</v>
      </c>
      <c r="B6199" s="1">
        <v>4.1787999999999998</v>
      </c>
      <c r="C6199" s="1">
        <v>1.19</v>
      </c>
      <c r="D6199" s="1">
        <v>4.2935999999999996</v>
      </c>
    </row>
    <row r="6200" spans="1:4" x14ac:dyDescent="0.2">
      <c r="A6200" s="5">
        <v>45173</v>
      </c>
      <c r="B6200" s="1">
        <v>4.1787999999999998</v>
      </c>
      <c r="C6200" s="1">
        <v>1.19</v>
      </c>
      <c r="D6200" s="1">
        <v>4.2935999999999996</v>
      </c>
    </row>
    <row r="6201" spans="1:4" x14ac:dyDescent="0.2">
      <c r="A6201" s="5">
        <v>45174</v>
      </c>
      <c r="B6201" s="1">
        <v>4.2598000000000003</v>
      </c>
      <c r="C6201" s="1">
        <v>1.2</v>
      </c>
      <c r="D6201" s="1">
        <v>4.3704000000000001</v>
      </c>
    </row>
    <row r="6202" spans="1:4" x14ac:dyDescent="0.2">
      <c r="A6202" s="5">
        <v>45175</v>
      </c>
      <c r="B6202" s="1">
        <v>4.2797000000000001</v>
      </c>
      <c r="C6202" s="1">
        <v>1.2</v>
      </c>
      <c r="D6202" s="1">
        <v>4.351</v>
      </c>
    </row>
    <row r="6203" spans="1:4" x14ac:dyDescent="0.2">
      <c r="A6203" s="5">
        <v>45176</v>
      </c>
      <c r="B6203" s="1">
        <v>4.2441000000000004</v>
      </c>
      <c r="C6203" s="1">
        <v>1.2</v>
      </c>
      <c r="D6203" s="1">
        <v>4.3404999999999996</v>
      </c>
    </row>
    <row r="6204" spans="1:4" x14ac:dyDescent="0.2">
      <c r="A6204" s="5">
        <v>45177</v>
      </c>
      <c r="B6204" s="1">
        <v>4.2641</v>
      </c>
      <c r="C6204" s="1">
        <v>1.19</v>
      </c>
      <c r="D6204" s="1">
        <v>4.3376000000000001</v>
      </c>
    </row>
    <row r="6205" spans="1:4" x14ac:dyDescent="0.2">
      <c r="A6205" s="5">
        <v>45180</v>
      </c>
      <c r="B6205" s="1">
        <v>4.2880000000000003</v>
      </c>
      <c r="C6205" s="1">
        <v>1.19</v>
      </c>
      <c r="D6205" s="1">
        <v>4.3723000000000001</v>
      </c>
    </row>
    <row r="6206" spans="1:4" x14ac:dyDescent="0.2">
      <c r="A6206" s="5">
        <v>45181</v>
      </c>
      <c r="B6206" s="1">
        <v>4.2801</v>
      </c>
      <c r="C6206" s="1">
        <v>1.21</v>
      </c>
      <c r="D6206" s="1">
        <v>4.3510999999999997</v>
      </c>
    </row>
    <row r="6207" spans="1:4" x14ac:dyDescent="0.2">
      <c r="A6207" s="5">
        <v>45182</v>
      </c>
      <c r="B6207" s="1">
        <v>4.2484999999999999</v>
      </c>
      <c r="C6207" s="1">
        <v>1.21</v>
      </c>
      <c r="D6207" s="1">
        <v>4.3433999999999999</v>
      </c>
    </row>
    <row r="6208" spans="1:4" x14ac:dyDescent="0.2">
      <c r="A6208" s="5">
        <v>45183</v>
      </c>
      <c r="B6208" s="1">
        <v>4.2862999999999998</v>
      </c>
      <c r="C6208" s="1">
        <v>1.19</v>
      </c>
      <c r="D6208" s="1">
        <v>4.3811</v>
      </c>
    </row>
    <row r="6209" spans="1:4" x14ac:dyDescent="0.2">
      <c r="A6209" s="5">
        <v>45184</v>
      </c>
      <c r="B6209" s="1">
        <v>4.3323999999999998</v>
      </c>
      <c r="C6209" s="1">
        <v>1.18</v>
      </c>
      <c r="D6209" s="1">
        <v>4.4172000000000002</v>
      </c>
    </row>
    <row r="6210" spans="1:4" x14ac:dyDescent="0.2">
      <c r="A6210" s="5">
        <v>45187</v>
      </c>
      <c r="B6210" s="1">
        <v>4.3026</v>
      </c>
      <c r="C6210" s="1">
        <v>1.18</v>
      </c>
      <c r="D6210" s="1">
        <v>4.3840000000000003</v>
      </c>
    </row>
    <row r="6211" spans="1:4" x14ac:dyDescent="0.2">
      <c r="A6211" s="5">
        <v>45188</v>
      </c>
      <c r="B6211" s="1">
        <v>4.3586</v>
      </c>
      <c r="C6211" s="1">
        <v>1.18</v>
      </c>
      <c r="D6211" s="1">
        <v>4.4241000000000001</v>
      </c>
    </row>
    <row r="6212" spans="1:4" x14ac:dyDescent="0.2">
      <c r="A6212" s="5">
        <v>45189</v>
      </c>
      <c r="B6212" s="1">
        <v>4.407</v>
      </c>
      <c r="C6212" s="1">
        <v>1.1599999999999999</v>
      </c>
      <c r="D6212" s="1">
        <v>4.4447999999999999</v>
      </c>
    </row>
    <row r="6213" spans="1:4" x14ac:dyDescent="0.2">
      <c r="A6213" s="5">
        <v>45190</v>
      </c>
      <c r="B6213" s="1">
        <v>4.4942000000000002</v>
      </c>
      <c r="C6213" s="1">
        <v>1.17</v>
      </c>
      <c r="D6213" s="1">
        <v>4.5730000000000004</v>
      </c>
    </row>
    <row r="6214" spans="1:4" x14ac:dyDescent="0.2">
      <c r="A6214" s="5">
        <v>45191</v>
      </c>
      <c r="B6214" s="1">
        <v>4.4337</v>
      </c>
      <c r="C6214" s="1">
        <v>1.1599999999999999</v>
      </c>
      <c r="D6214" s="1">
        <v>4.5244999999999997</v>
      </c>
    </row>
    <row r="6215" spans="1:4" x14ac:dyDescent="0.2">
      <c r="A6215" s="5">
        <v>45194</v>
      </c>
      <c r="B6215" s="1">
        <v>4.5334000000000003</v>
      </c>
      <c r="C6215" s="1">
        <v>1.1599999999999999</v>
      </c>
      <c r="D6215" s="1">
        <v>4.6520999999999999</v>
      </c>
    </row>
    <row r="6216" spans="1:4" x14ac:dyDescent="0.2">
      <c r="A6216" s="5">
        <v>45195</v>
      </c>
      <c r="B6216" s="1">
        <v>4.5355999999999996</v>
      </c>
      <c r="C6216" s="1">
        <v>1.17</v>
      </c>
      <c r="D6216" s="1">
        <v>4.6749999999999998</v>
      </c>
    </row>
    <row r="6217" spans="1:4" x14ac:dyDescent="0.2">
      <c r="A6217" s="5">
        <v>45196</v>
      </c>
      <c r="B6217" s="1">
        <v>4.6074999999999999</v>
      </c>
      <c r="C6217" s="1">
        <v>1.19</v>
      </c>
      <c r="D6217" s="1">
        <v>4.7190000000000003</v>
      </c>
    </row>
    <row r="6218" spans="1:4" x14ac:dyDescent="0.2">
      <c r="A6218" s="5">
        <v>45197</v>
      </c>
      <c r="B6218" s="1">
        <v>4.5747999999999998</v>
      </c>
      <c r="C6218" s="1">
        <v>1.2</v>
      </c>
      <c r="D6218" s="1">
        <v>4.7043999999999997</v>
      </c>
    </row>
    <row r="6219" spans="1:4" x14ac:dyDescent="0.2">
      <c r="A6219" s="5">
        <v>45198</v>
      </c>
      <c r="B6219" s="1">
        <v>4.5711000000000004</v>
      </c>
      <c r="C6219" s="1">
        <v>1.21</v>
      </c>
      <c r="D6219" s="1">
        <v>4.6992000000000003</v>
      </c>
    </row>
    <row r="6220" spans="1:4" x14ac:dyDescent="0.2">
      <c r="A6220" s="5">
        <v>45201</v>
      </c>
      <c r="B6220" s="1">
        <v>4.6784999999999997</v>
      </c>
      <c r="C6220" s="1">
        <v>1.23</v>
      </c>
      <c r="D6220" s="1">
        <v>4.7881999999999998</v>
      </c>
    </row>
    <row r="6221" spans="1:4" x14ac:dyDescent="0.2">
      <c r="A6221" s="5">
        <v>45202</v>
      </c>
      <c r="B6221" s="1">
        <v>4.7954999999999997</v>
      </c>
      <c r="C6221" s="1">
        <v>1.26</v>
      </c>
      <c r="D6221" s="1">
        <v>4.923</v>
      </c>
    </row>
    <row r="6222" spans="1:4" x14ac:dyDescent="0.2">
      <c r="A6222" s="5">
        <v>45203</v>
      </c>
      <c r="B6222" s="1">
        <v>4.7328999999999999</v>
      </c>
      <c r="C6222" s="1">
        <v>1.26</v>
      </c>
      <c r="D6222" s="1">
        <v>4.8583999999999996</v>
      </c>
    </row>
    <row r="6223" spans="1:4" x14ac:dyDescent="0.2">
      <c r="A6223" s="5">
        <v>45204</v>
      </c>
      <c r="B6223" s="1">
        <v>4.7184999999999997</v>
      </c>
      <c r="C6223" s="1">
        <v>1.27</v>
      </c>
      <c r="D6223" s="1">
        <v>4.8901000000000003</v>
      </c>
    </row>
    <row r="6224" spans="1:4" x14ac:dyDescent="0.2">
      <c r="A6224" s="5">
        <v>45205</v>
      </c>
      <c r="B6224" s="1">
        <v>4.8009000000000004</v>
      </c>
      <c r="C6224" s="1">
        <v>1.25</v>
      </c>
      <c r="D6224" s="1">
        <v>4.9676</v>
      </c>
    </row>
    <row r="6225" spans="1:4" x14ac:dyDescent="0.2">
      <c r="A6225" s="5">
        <v>45208</v>
      </c>
      <c r="B6225" s="1">
        <v>4.8009000000000004</v>
      </c>
      <c r="C6225" s="1">
        <v>1.25</v>
      </c>
      <c r="D6225" s="1">
        <v>4.9676</v>
      </c>
    </row>
    <row r="6226" spans="1:4" x14ac:dyDescent="0.2">
      <c r="A6226" s="5">
        <v>45209</v>
      </c>
      <c r="B6226" s="1">
        <v>4.6529999999999996</v>
      </c>
      <c r="C6226" s="1">
        <v>1.23</v>
      </c>
      <c r="D6226" s="1">
        <v>4.8324999999999996</v>
      </c>
    </row>
    <row r="6227" spans="1:4" x14ac:dyDescent="0.2">
      <c r="A6227" s="5">
        <v>45210</v>
      </c>
      <c r="B6227" s="1">
        <v>4.5582000000000003</v>
      </c>
      <c r="C6227" s="1">
        <v>1.24</v>
      </c>
      <c r="D6227" s="1">
        <v>4.6942000000000004</v>
      </c>
    </row>
    <row r="6228" spans="1:4" x14ac:dyDescent="0.2">
      <c r="A6228" s="5">
        <v>45211</v>
      </c>
      <c r="B6228" s="1">
        <v>4.6969000000000003</v>
      </c>
      <c r="C6228" s="1">
        <v>1.23</v>
      </c>
      <c r="D6228" s="1">
        <v>4.8543000000000003</v>
      </c>
    </row>
    <row r="6229" spans="1:4" x14ac:dyDescent="0.2">
      <c r="A6229" s="5">
        <v>45212</v>
      </c>
      <c r="B6229" s="1">
        <v>4.6124000000000001</v>
      </c>
      <c r="C6229" s="1">
        <v>1.24</v>
      </c>
      <c r="D6229" s="1">
        <v>4.7533000000000003</v>
      </c>
    </row>
    <row r="6230" spans="1:4" x14ac:dyDescent="0.2">
      <c r="A6230" s="5">
        <v>45215</v>
      </c>
      <c r="B6230" s="1">
        <v>4.7060000000000004</v>
      </c>
      <c r="C6230" s="1">
        <v>1.24</v>
      </c>
      <c r="D6230" s="1">
        <v>4.8499999999999996</v>
      </c>
    </row>
    <row r="6231" spans="1:4" x14ac:dyDescent="0.2">
      <c r="A6231" s="5">
        <v>45216</v>
      </c>
      <c r="B6231" s="1">
        <v>4.8341000000000003</v>
      </c>
      <c r="C6231" s="1">
        <v>1.24</v>
      </c>
      <c r="D6231" s="1">
        <v>4.9245999999999999</v>
      </c>
    </row>
    <row r="6232" spans="1:4" x14ac:dyDescent="0.2">
      <c r="A6232" s="5">
        <v>45217</v>
      </c>
      <c r="B6232" s="1">
        <v>4.9149000000000003</v>
      </c>
      <c r="C6232" s="1">
        <v>1.27</v>
      </c>
      <c r="D6232" s="1">
        <v>4.9947999999999997</v>
      </c>
    </row>
    <row r="6233" spans="1:4" x14ac:dyDescent="0.2">
      <c r="A6233" s="5">
        <v>45218</v>
      </c>
      <c r="B6233" s="1">
        <v>4.9897999999999998</v>
      </c>
      <c r="C6233" s="1">
        <v>1.29</v>
      </c>
      <c r="D6233" s="1">
        <v>5.1098999999999997</v>
      </c>
    </row>
    <row r="6234" spans="1:4" x14ac:dyDescent="0.2">
      <c r="A6234" s="5">
        <v>45219</v>
      </c>
      <c r="B6234" s="1">
        <v>4.9137000000000004</v>
      </c>
      <c r="C6234" s="1">
        <v>1.3</v>
      </c>
      <c r="D6234" s="1">
        <v>5.0754999999999999</v>
      </c>
    </row>
    <row r="6235" spans="1:4" x14ac:dyDescent="0.2">
      <c r="A6235" s="5">
        <v>45222</v>
      </c>
      <c r="B6235" s="1">
        <v>4.8502000000000001</v>
      </c>
      <c r="C6235" s="1">
        <v>1.29</v>
      </c>
      <c r="D6235" s="1">
        <v>4.9995000000000003</v>
      </c>
    </row>
    <row r="6236" spans="1:4" x14ac:dyDescent="0.2">
      <c r="A6236" s="5">
        <v>45223</v>
      </c>
      <c r="B6236" s="1">
        <v>4.8228999999999997</v>
      </c>
      <c r="C6236" s="1">
        <v>1.27</v>
      </c>
      <c r="D6236" s="1">
        <v>4.9381000000000004</v>
      </c>
    </row>
    <row r="6237" spans="1:4" x14ac:dyDescent="0.2">
      <c r="A6237" s="5">
        <v>45224</v>
      </c>
      <c r="B6237" s="1">
        <v>4.9549000000000003</v>
      </c>
      <c r="C6237" s="1">
        <v>1.26</v>
      </c>
      <c r="D6237" s="1">
        <v>5.0860000000000003</v>
      </c>
    </row>
    <row r="6238" spans="1:4" x14ac:dyDescent="0.2">
      <c r="A6238" s="5">
        <v>45225</v>
      </c>
      <c r="B6238" s="1">
        <v>4.8445</v>
      </c>
      <c r="C6238" s="1">
        <v>1.27</v>
      </c>
      <c r="D6238" s="1">
        <v>4.9861000000000004</v>
      </c>
    </row>
    <row r="6239" spans="1:4" x14ac:dyDescent="0.2">
      <c r="A6239" s="5">
        <v>45226</v>
      </c>
      <c r="B6239" s="1">
        <v>4.8346</v>
      </c>
      <c r="C6239" s="1">
        <v>1.28</v>
      </c>
      <c r="D6239" s="1">
        <v>5.0144000000000002</v>
      </c>
    </row>
    <row r="6240" spans="1:4" x14ac:dyDescent="0.2">
      <c r="A6240" s="5">
        <v>45229</v>
      </c>
      <c r="B6240" s="1">
        <v>4.8941999999999997</v>
      </c>
      <c r="C6240" s="1">
        <v>1.3</v>
      </c>
      <c r="D6240" s="1">
        <v>5.0484999999999998</v>
      </c>
    </row>
    <row r="6241" spans="1:4" x14ac:dyDescent="0.2">
      <c r="A6241" s="5">
        <v>45230</v>
      </c>
      <c r="B6241" s="1">
        <v>4.9306999999999999</v>
      </c>
      <c r="C6241" s="1">
        <v>1.29</v>
      </c>
      <c r="D6241" s="1">
        <v>5.0930999999999997</v>
      </c>
    </row>
    <row r="6242" spans="1:4" x14ac:dyDescent="0.2">
      <c r="A6242" s="5">
        <v>45231</v>
      </c>
      <c r="B6242" s="1">
        <v>4.7340999999999998</v>
      </c>
      <c r="C6242" s="1">
        <v>1.29</v>
      </c>
      <c r="D6242" s="1">
        <v>4.9272999999999998</v>
      </c>
    </row>
    <row r="6243" spans="1:4" x14ac:dyDescent="0.2">
      <c r="A6243" s="5">
        <v>45232</v>
      </c>
      <c r="B6243" s="1">
        <v>4.6589999999999998</v>
      </c>
      <c r="C6243" s="1">
        <v>1.25</v>
      </c>
      <c r="D6243" s="1">
        <v>4.8007999999999997</v>
      </c>
    </row>
    <row r="6244" spans="1:4" x14ac:dyDescent="0.2">
      <c r="A6244" s="5">
        <v>45233</v>
      </c>
      <c r="B6244" s="1">
        <v>4.5724</v>
      </c>
      <c r="C6244" s="1">
        <v>1.25</v>
      </c>
      <c r="D6244" s="1">
        <v>4.7666000000000004</v>
      </c>
    </row>
    <row r="6245" spans="1:4" x14ac:dyDescent="0.2">
      <c r="A6245" s="5">
        <v>45236</v>
      </c>
      <c r="B6245" s="1">
        <v>4.6430999999999996</v>
      </c>
      <c r="C6245" s="1">
        <v>1.25</v>
      </c>
      <c r="D6245" s="1">
        <v>4.8085000000000004</v>
      </c>
    </row>
    <row r="6246" spans="1:4" x14ac:dyDescent="0.2">
      <c r="A6246" s="5">
        <v>45237</v>
      </c>
      <c r="B6246" s="1">
        <v>4.5664999999999996</v>
      </c>
      <c r="C6246" s="1">
        <v>1.25</v>
      </c>
      <c r="D6246" s="1">
        <v>4.7252999999999998</v>
      </c>
    </row>
    <row r="6247" spans="1:4" x14ac:dyDescent="0.2">
      <c r="A6247" s="5">
        <v>45238</v>
      </c>
      <c r="B6247" s="1">
        <v>4.4924999999999997</v>
      </c>
      <c r="C6247" s="1">
        <v>1.25</v>
      </c>
      <c r="D6247" s="1">
        <v>4.6147999999999998</v>
      </c>
    </row>
    <row r="6248" spans="1:4" x14ac:dyDescent="0.2">
      <c r="A6248" s="5">
        <v>45239</v>
      </c>
      <c r="B6248" s="1">
        <v>4.6241000000000003</v>
      </c>
      <c r="C6248" s="1">
        <v>1.24</v>
      </c>
      <c r="D6248" s="1">
        <v>4.7645999999999997</v>
      </c>
    </row>
    <row r="6249" spans="1:4" x14ac:dyDescent="0.2">
      <c r="A6249" s="5">
        <v>45240</v>
      </c>
      <c r="B6249" s="1">
        <v>4.6517999999999997</v>
      </c>
      <c r="C6249" s="1">
        <v>1.22</v>
      </c>
      <c r="D6249" s="1">
        <v>4.7618</v>
      </c>
    </row>
    <row r="6250" spans="1:4" x14ac:dyDescent="0.2">
      <c r="A6250" s="5">
        <v>45243</v>
      </c>
      <c r="B6250" s="1">
        <v>4.6398999999999999</v>
      </c>
      <c r="C6250" s="1">
        <v>1.21</v>
      </c>
      <c r="D6250" s="1">
        <v>4.7549000000000001</v>
      </c>
    </row>
    <row r="6251" spans="1:4" x14ac:dyDescent="0.2">
      <c r="A6251" s="5">
        <v>45244</v>
      </c>
      <c r="B6251" s="1">
        <v>4.4473000000000003</v>
      </c>
      <c r="C6251" s="1">
        <v>1.19</v>
      </c>
      <c r="D6251" s="1">
        <v>4.6203000000000003</v>
      </c>
    </row>
    <row r="6252" spans="1:4" x14ac:dyDescent="0.2">
      <c r="A6252" s="5">
        <v>45245</v>
      </c>
      <c r="B6252" s="1">
        <v>4.5313999999999997</v>
      </c>
      <c r="C6252" s="1">
        <v>1.18</v>
      </c>
      <c r="D6252" s="1">
        <v>4.6952999999999996</v>
      </c>
    </row>
    <row r="6253" spans="1:4" x14ac:dyDescent="0.2">
      <c r="A6253" s="5">
        <v>45246</v>
      </c>
      <c r="B6253" s="1">
        <v>4.4355000000000002</v>
      </c>
      <c r="C6253" s="1">
        <v>1.17</v>
      </c>
      <c r="D6253" s="1">
        <v>4.6146000000000003</v>
      </c>
    </row>
    <row r="6254" spans="1:4" x14ac:dyDescent="0.2">
      <c r="A6254" s="5">
        <v>45247</v>
      </c>
      <c r="B6254" s="1">
        <v>4.4353999999999996</v>
      </c>
      <c r="C6254" s="1">
        <v>1.1399999999999999</v>
      </c>
      <c r="D6254" s="1">
        <v>4.5888999999999998</v>
      </c>
    </row>
    <row r="6255" spans="1:4" x14ac:dyDescent="0.2">
      <c r="A6255" s="5">
        <v>45250</v>
      </c>
      <c r="B6255" s="1">
        <v>4.4198000000000004</v>
      </c>
      <c r="C6255" s="1">
        <v>1.1299999999999999</v>
      </c>
      <c r="D6255" s="1">
        <v>4.5709</v>
      </c>
    </row>
    <row r="6256" spans="1:4" x14ac:dyDescent="0.2">
      <c r="A6256" s="5">
        <v>45251</v>
      </c>
      <c r="B6256" s="1">
        <v>4.3925999999999998</v>
      </c>
      <c r="C6256" s="1">
        <v>1.1299999999999999</v>
      </c>
      <c r="D6256" s="1">
        <v>4.5484</v>
      </c>
    </row>
    <row r="6257" spans="1:4" x14ac:dyDescent="0.2">
      <c r="A6257" s="5">
        <v>45252</v>
      </c>
      <c r="B6257" s="1">
        <v>4.4042000000000003</v>
      </c>
      <c r="C6257" s="1">
        <v>1.1000000000000001</v>
      </c>
      <c r="D6257" s="1">
        <v>4.5370999999999997</v>
      </c>
    </row>
    <row r="6258" spans="1:4" x14ac:dyDescent="0.2">
      <c r="A6258" s="5">
        <v>45253</v>
      </c>
      <c r="B6258" s="1">
        <v>4.4042000000000003</v>
      </c>
      <c r="C6258" s="1">
        <v>1.1000000000000001</v>
      </c>
      <c r="D6258" s="1">
        <v>4.5370999999999997</v>
      </c>
    </row>
    <row r="6259" spans="1:4" x14ac:dyDescent="0.2">
      <c r="A6259" s="5">
        <v>45254</v>
      </c>
      <c r="B6259" s="1">
        <v>4.4664999999999999</v>
      </c>
      <c r="C6259" s="1">
        <v>1.0900000000000001</v>
      </c>
      <c r="D6259" s="1">
        <v>4.5972999999999997</v>
      </c>
    </row>
    <row r="6260" spans="1:4" x14ac:dyDescent="0.2">
      <c r="A6260" s="5">
        <v>45257</v>
      </c>
      <c r="B6260" s="1">
        <v>4.3865999999999996</v>
      </c>
      <c r="C6260" s="1">
        <v>1.0900000000000001</v>
      </c>
      <c r="D6260" s="1">
        <v>4.5369999999999999</v>
      </c>
    </row>
    <row r="6261" spans="1:4" x14ac:dyDescent="0.2">
      <c r="A6261" s="5">
        <v>45258</v>
      </c>
      <c r="B6261" s="1">
        <v>4.3207000000000004</v>
      </c>
      <c r="C6261" s="1">
        <v>1.0900000000000001</v>
      </c>
      <c r="D6261" s="1">
        <v>4.5053000000000001</v>
      </c>
    </row>
    <row r="6262" spans="1:4" x14ac:dyDescent="0.2">
      <c r="A6262" s="5">
        <v>45259</v>
      </c>
      <c r="B6262" s="1">
        <v>4.2552000000000003</v>
      </c>
      <c r="C6262" s="1">
        <v>1.07</v>
      </c>
      <c r="D6262" s="1">
        <v>4.4371</v>
      </c>
    </row>
    <row r="6263" spans="1:4" x14ac:dyDescent="0.2">
      <c r="A6263" s="5">
        <v>45260</v>
      </c>
      <c r="B6263" s="1">
        <v>4.3263999999999996</v>
      </c>
      <c r="C6263" s="1">
        <v>1.04</v>
      </c>
      <c r="D6263" s="1">
        <v>4.4931999999999999</v>
      </c>
    </row>
    <row r="6264" spans="1:4" x14ac:dyDescent="0.2">
      <c r="A6264" s="5">
        <v>45261</v>
      </c>
      <c r="B6264" s="1">
        <v>4.1955999999999998</v>
      </c>
      <c r="C6264" s="1">
        <v>1.05</v>
      </c>
      <c r="D6264" s="1">
        <v>4.3887999999999998</v>
      </c>
    </row>
    <row r="6265" spans="1:4" x14ac:dyDescent="0.2">
      <c r="A6265" s="5">
        <v>45264</v>
      </c>
      <c r="B6265" s="1">
        <v>4.2529000000000003</v>
      </c>
      <c r="C6265" s="1">
        <v>1.05</v>
      </c>
      <c r="D6265" s="1">
        <v>4.4086999999999996</v>
      </c>
    </row>
    <row r="6266" spans="1:4" x14ac:dyDescent="0.2">
      <c r="A6266" s="5">
        <v>45265</v>
      </c>
      <c r="B6266" s="1">
        <v>4.1649000000000003</v>
      </c>
      <c r="C6266" s="1">
        <v>1.06</v>
      </c>
      <c r="D6266" s="1">
        <v>4.2967000000000004</v>
      </c>
    </row>
    <row r="6267" spans="1:4" x14ac:dyDescent="0.2">
      <c r="A6267" s="5">
        <v>45266</v>
      </c>
      <c r="B6267" s="1">
        <v>4.1040000000000001</v>
      </c>
      <c r="C6267" s="1">
        <v>1.06</v>
      </c>
      <c r="D6267" s="1">
        <v>4.2142999999999997</v>
      </c>
    </row>
    <row r="6268" spans="1:4" x14ac:dyDescent="0.2">
      <c r="A6268" s="5">
        <v>45267</v>
      </c>
      <c r="B6268" s="1">
        <v>4.1494999999999997</v>
      </c>
      <c r="C6268" s="1">
        <v>1.06</v>
      </c>
      <c r="D6268" s="1">
        <v>4.2552000000000003</v>
      </c>
    </row>
    <row r="6269" spans="1:4" x14ac:dyDescent="0.2">
      <c r="A6269" s="5">
        <v>45268</v>
      </c>
      <c r="B6269" s="1">
        <v>4.2256</v>
      </c>
      <c r="C6269" s="1">
        <v>1.05</v>
      </c>
      <c r="D6269" s="1">
        <v>4.3036000000000003</v>
      </c>
    </row>
    <row r="6270" spans="1:4" x14ac:dyDescent="0.2">
      <c r="A6270" s="5">
        <v>45271</v>
      </c>
      <c r="B6270" s="1">
        <v>4.2332999999999998</v>
      </c>
      <c r="C6270" s="1">
        <v>1.05</v>
      </c>
      <c r="D6270" s="1">
        <v>4.3266999999999998</v>
      </c>
    </row>
    <row r="6271" spans="1:4" x14ac:dyDescent="0.2">
      <c r="A6271" s="5">
        <v>45272</v>
      </c>
      <c r="B6271" s="1">
        <v>4.2005999999999997</v>
      </c>
      <c r="C6271" s="1">
        <v>1.04</v>
      </c>
      <c r="D6271" s="1">
        <v>4.3079999999999998</v>
      </c>
    </row>
    <row r="6272" spans="1:4" x14ac:dyDescent="0.2">
      <c r="A6272" s="5">
        <v>45273</v>
      </c>
      <c r="B6272" s="1">
        <v>4.0164</v>
      </c>
      <c r="C6272" s="1">
        <v>1.01</v>
      </c>
      <c r="D6272" s="1">
        <v>4.1752000000000002</v>
      </c>
    </row>
    <row r="6273" spans="1:4" x14ac:dyDescent="0.2">
      <c r="A6273" s="5">
        <v>45274</v>
      </c>
      <c r="B6273" s="1">
        <v>3.9207999999999998</v>
      </c>
      <c r="C6273" s="1">
        <v>0.99</v>
      </c>
      <c r="D6273" s="1">
        <v>4.0354999999999999</v>
      </c>
    </row>
    <row r="6274" spans="1:4" x14ac:dyDescent="0.2">
      <c r="A6274" s="5">
        <v>45275</v>
      </c>
      <c r="B6274" s="1">
        <v>3.911</v>
      </c>
      <c r="C6274" s="1">
        <v>1</v>
      </c>
      <c r="D6274" s="1">
        <v>4.008</v>
      </c>
    </row>
    <row r="6275" spans="1:4" x14ac:dyDescent="0.2">
      <c r="A6275" s="5">
        <v>45278</v>
      </c>
      <c r="B6275" s="1">
        <v>3.9314</v>
      </c>
      <c r="C6275" s="1">
        <v>1.01</v>
      </c>
      <c r="D6275" s="1">
        <v>4.0446</v>
      </c>
    </row>
    <row r="6276" spans="1:4" x14ac:dyDescent="0.2">
      <c r="A6276" s="5">
        <v>45279</v>
      </c>
      <c r="B6276" s="1">
        <v>3.9312999999999998</v>
      </c>
      <c r="C6276" s="1">
        <v>1.01</v>
      </c>
      <c r="D6276" s="1">
        <v>4.0387000000000004</v>
      </c>
    </row>
    <row r="6277" spans="1:4" x14ac:dyDescent="0.2">
      <c r="A6277" s="5">
        <v>45280</v>
      </c>
      <c r="B6277" s="1">
        <v>3.8473999999999999</v>
      </c>
      <c r="C6277" s="1">
        <v>1.03</v>
      </c>
      <c r="D6277" s="1">
        <v>3.9855999999999998</v>
      </c>
    </row>
    <row r="6278" spans="1:4" x14ac:dyDescent="0.2">
      <c r="A6278" s="5">
        <v>45281</v>
      </c>
      <c r="B6278" s="1">
        <v>3.8881000000000001</v>
      </c>
      <c r="C6278" s="1">
        <v>1.02</v>
      </c>
      <c r="D6278" s="1">
        <v>4.0303000000000004</v>
      </c>
    </row>
    <row r="6279" spans="1:4" x14ac:dyDescent="0.2">
      <c r="A6279" s="5">
        <v>45282</v>
      </c>
      <c r="B6279" s="1">
        <v>3.895</v>
      </c>
      <c r="C6279" s="1">
        <v>1</v>
      </c>
      <c r="D6279" s="1">
        <v>4.0492999999999997</v>
      </c>
    </row>
    <row r="6280" spans="1:4" x14ac:dyDescent="0.2">
      <c r="A6280" s="5">
        <v>45285</v>
      </c>
      <c r="B6280" s="1">
        <v>3.895</v>
      </c>
      <c r="C6280" s="1">
        <v>1</v>
      </c>
      <c r="D6280" s="1">
        <v>4.0492999999999997</v>
      </c>
    </row>
    <row r="6281" spans="1:4" x14ac:dyDescent="0.2">
      <c r="A6281" s="5">
        <v>45286</v>
      </c>
      <c r="B6281" s="1">
        <v>3.8967000000000001</v>
      </c>
      <c r="C6281" s="1">
        <v>1</v>
      </c>
      <c r="D6281" s="1">
        <v>4.0450999999999997</v>
      </c>
    </row>
    <row r="6282" spans="1:4" x14ac:dyDescent="0.2">
      <c r="A6282" s="5">
        <v>45287</v>
      </c>
      <c r="B6282" s="1">
        <v>3.7944</v>
      </c>
      <c r="C6282" s="1">
        <v>0.99</v>
      </c>
      <c r="D6282" s="1">
        <v>3.9533999999999998</v>
      </c>
    </row>
    <row r="6283" spans="1:4" x14ac:dyDescent="0.2">
      <c r="A6283" s="5">
        <v>45288</v>
      </c>
      <c r="B6283" s="1">
        <v>3.8443000000000001</v>
      </c>
      <c r="C6283" s="1">
        <v>0.98</v>
      </c>
      <c r="D6283" s="1">
        <v>3.9944000000000002</v>
      </c>
    </row>
    <row r="6284" spans="1:4" x14ac:dyDescent="0.2">
      <c r="A6284" s="5">
        <v>45289</v>
      </c>
      <c r="B6284" s="1">
        <v>3.8791000000000002</v>
      </c>
      <c r="C6284" s="1">
        <v>0.99</v>
      </c>
      <c r="D6284" s="1">
        <v>4.0282</v>
      </c>
    </row>
    <row r="6285" spans="1:4" x14ac:dyDescent="0.2">
      <c r="A6285" s="5">
        <v>45292</v>
      </c>
      <c r="B6285" s="1">
        <v>3.8791000000000002</v>
      </c>
      <c r="C6285" s="1">
        <v>0.99</v>
      </c>
      <c r="D6285" s="1">
        <v>4.0282</v>
      </c>
    </row>
    <row r="6286" spans="1:4" x14ac:dyDescent="0.2">
      <c r="A6286" s="5">
        <v>45293</v>
      </c>
      <c r="B6286" s="1">
        <v>3.9293999999999998</v>
      </c>
      <c r="C6286" s="1">
        <v>1.01</v>
      </c>
      <c r="D6286" s="1">
        <v>4.0708000000000002</v>
      </c>
    </row>
    <row r="6287" spans="1:4" x14ac:dyDescent="0.2">
      <c r="A6287" s="5">
        <v>45294</v>
      </c>
      <c r="B6287" s="1">
        <v>3.9161999999999999</v>
      </c>
      <c r="C6287" s="1">
        <v>1.05</v>
      </c>
      <c r="D6287" s="1">
        <v>4.0724999999999998</v>
      </c>
    </row>
    <row r="6288" spans="1:4" x14ac:dyDescent="0.2">
      <c r="A6288" s="5">
        <v>45295</v>
      </c>
      <c r="B6288" s="1">
        <v>3.9988000000000001</v>
      </c>
      <c r="C6288" s="1">
        <v>1.04</v>
      </c>
      <c r="D6288" s="1">
        <v>4.1521999999999997</v>
      </c>
    </row>
    <row r="6289" spans="1:4" x14ac:dyDescent="0.2">
      <c r="A6289" s="5">
        <v>45296</v>
      </c>
      <c r="B6289" s="1">
        <v>4.0457000000000001</v>
      </c>
      <c r="C6289" s="1">
        <v>1.03</v>
      </c>
      <c r="D6289" s="1">
        <v>4.2020999999999997</v>
      </c>
    </row>
    <row r="6290" spans="1:4" x14ac:dyDescent="0.2">
      <c r="A6290" s="5">
        <v>45299</v>
      </c>
      <c r="B6290" s="1">
        <v>4.0305</v>
      </c>
      <c r="C6290" s="1">
        <v>1.03</v>
      </c>
      <c r="D6290" s="1">
        <v>4.1933999999999996</v>
      </c>
    </row>
    <row r="6291" spans="1:4" x14ac:dyDescent="0.2">
      <c r="A6291" s="5">
        <v>45300</v>
      </c>
      <c r="B6291" s="1">
        <v>4.0133000000000001</v>
      </c>
      <c r="C6291" s="1">
        <v>1</v>
      </c>
      <c r="D6291" s="1">
        <v>4.1856</v>
      </c>
    </row>
    <row r="6292" spans="1:4" x14ac:dyDescent="0.2">
      <c r="A6292" s="5">
        <v>45301</v>
      </c>
      <c r="B6292" s="1">
        <v>4.0282999999999998</v>
      </c>
      <c r="C6292" s="1">
        <v>0.99</v>
      </c>
      <c r="D6292" s="1">
        <v>4.2046000000000001</v>
      </c>
    </row>
    <row r="6293" spans="1:4" x14ac:dyDescent="0.2">
      <c r="A6293" s="5">
        <v>45302</v>
      </c>
      <c r="B6293" s="1">
        <v>3.9658000000000002</v>
      </c>
      <c r="C6293" s="1">
        <v>0.97</v>
      </c>
      <c r="D6293" s="1">
        <v>4.1726000000000001</v>
      </c>
    </row>
    <row r="6294" spans="1:4" x14ac:dyDescent="0.2">
      <c r="A6294" s="5">
        <v>45303</v>
      </c>
      <c r="B6294" s="1">
        <v>3.9390000000000001</v>
      </c>
      <c r="C6294" s="1">
        <v>0.97</v>
      </c>
      <c r="D6294" s="1">
        <v>4.1750999999999996</v>
      </c>
    </row>
    <row r="6295" spans="1:4" x14ac:dyDescent="0.2">
      <c r="A6295" s="5">
        <v>45306</v>
      </c>
      <c r="B6295" s="1">
        <v>3.9390000000000001</v>
      </c>
      <c r="C6295" s="1">
        <v>0.97</v>
      </c>
      <c r="D6295" s="1">
        <v>4.1750999999999996</v>
      </c>
    </row>
    <row r="6296" spans="1:4" x14ac:dyDescent="0.2">
      <c r="A6296" s="5">
        <v>45307</v>
      </c>
      <c r="B6296" s="1">
        <v>4.0580999999999996</v>
      </c>
      <c r="C6296" s="1">
        <v>0.98</v>
      </c>
      <c r="D6296" s="1">
        <v>4.2948000000000004</v>
      </c>
    </row>
    <row r="6297" spans="1:4" x14ac:dyDescent="0.2">
      <c r="A6297" s="5">
        <v>45308</v>
      </c>
      <c r="B6297" s="1">
        <v>4.1018999999999997</v>
      </c>
      <c r="C6297" s="1">
        <v>0.97</v>
      </c>
      <c r="D6297" s="1">
        <v>4.3116000000000003</v>
      </c>
    </row>
    <row r="6298" spans="1:4" x14ac:dyDescent="0.2">
      <c r="A6298" s="5">
        <v>45309</v>
      </c>
      <c r="B6298" s="1">
        <v>4.1420000000000003</v>
      </c>
      <c r="C6298" s="1">
        <v>0.95</v>
      </c>
      <c r="D6298" s="1">
        <v>4.3653000000000004</v>
      </c>
    </row>
    <row r="6299" spans="1:4" x14ac:dyDescent="0.2">
      <c r="A6299" s="5">
        <v>45310</v>
      </c>
      <c r="B6299" s="1">
        <v>4.1226000000000003</v>
      </c>
      <c r="C6299" s="1">
        <v>0.95</v>
      </c>
      <c r="D6299" s="1">
        <v>4.3285</v>
      </c>
    </row>
    <row r="6300" spans="1:4" x14ac:dyDescent="0.2">
      <c r="A6300" s="5">
        <v>45313</v>
      </c>
      <c r="B6300" s="1">
        <v>4.1052</v>
      </c>
      <c r="C6300" s="1">
        <v>0.96</v>
      </c>
      <c r="D6300" s="1">
        <v>4.3194999999999997</v>
      </c>
    </row>
    <row r="6301" spans="1:4" x14ac:dyDescent="0.2">
      <c r="A6301" s="5">
        <v>45314</v>
      </c>
      <c r="B6301" s="1">
        <v>4.1281999999999996</v>
      </c>
      <c r="C6301" s="1">
        <v>0.96</v>
      </c>
      <c r="D6301" s="1">
        <v>4.3624999999999998</v>
      </c>
    </row>
    <row r="6302" spans="1:4" x14ac:dyDescent="0.2">
      <c r="A6302" s="5">
        <v>45315</v>
      </c>
      <c r="B6302" s="1">
        <v>4.1761999999999997</v>
      </c>
      <c r="C6302" s="1">
        <v>0.94</v>
      </c>
      <c r="D6302" s="1">
        <v>4.4086999999999996</v>
      </c>
    </row>
    <row r="6303" spans="1:4" x14ac:dyDescent="0.2">
      <c r="A6303" s="5">
        <v>45316</v>
      </c>
      <c r="B6303" s="1">
        <v>4.1184000000000003</v>
      </c>
      <c r="C6303" s="1">
        <v>0.93</v>
      </c>
      <c r="D6303" s="1">
        <v>4.3705999999999996</v>
      </c>
    </row>
    <row r="6304" spans="1:4" x14ac:dyDescent="0.2">
      <c r="A6304" s="5">
        <v>45317</v>
      </c>
      <c r="B6304" s="1">
        <v>4.1372999999999998</v>
      </c>
      <c r="C6304" s="1">
        <v>0.92</v>
      </c>
      <c r="D6304" s="1">
        <v>4.3688000000000002</v>
      </c>
    </row>
    <row r="6305" spans="1:4" x14ac:dyDescent="0.2">
      <c r="A6305" s="5">
        <v>45320</v>
      </c>
      <c r="B6305" s="1">
        <v>4.0739999999999998</v>
      </c>
      <c r="C6305" s="1">
        <v>0.94</v>
      </c>
      <c r="D6305" s="1">
        <v>4.3132000000000001</v>
      </c>
    </row>
    <row r="6306" spans="1:4" x14ac:dyDescent="0.2">
      <c r="A6306" s="5">
        <v>45321</v>
      </c>
      <c r="B6306" s="1">
        <v>4.0319000000000003</v>
      </c>
      <c r="C6306" s="1">
        <v>0.95</v>
      </c>
      <c r="D6306" s="1">
        <v>4.2504</v>
      </c>
    </row>
    <row r="6307" spans="1:4" x14ac:dyDescent="0.2">
      <c r="A6307" s="5">
        <v>45322</v>
      </c>
      <c r="B6307" s="1">
        <v>3.9123999999999999</v>
      </c>
      <c r="C6307" s="1">
        <v>0.96</v>
      </c>
      <c r="D6307" s="1">
        <v>4.1660000000000004</v>
      </c>
    </row>
    <row r="6308" spans="1:4" x14ac:dyDescent="0.2">
      <c r="A6308" s="5">
        <v>45323</v>
      </c>
      <c r="B6308" s="1">
        <v>3.8801999999999999</v>
      </c>
      <c r="C6308" s="1">
        <v>0.99</v>
      </c>
      <c r="D6308" s="1">
        <v>4.1181000000000001</v>
      </c>
    </row>
    <row r="6309" spans="1:4" x14ac:dyDescent="0.2">
      <c r="A6309" s="5">
        <v>45324</v>
      </c>
      <c r="B6309" s="1">
        <v>4.0198999999999998</v>
      </c>
      <c r="C6309" s="1">
        <v>0.96</v>
      </c>
      <c r="D6309" s="1">
        <v>4.2205000000000004</v>
      </c>
    </row>
    <row r="6310" spans="1:4" x14ac:dyDescent="0.2">
      <c r="A6310" s="5">
        <v>45327</v>
      </c>
      <c r="B6310" s="1">
        <v>4.1578999999999997</v>
      </c>
      <c r="C6310" s="1">
        <v>0.95</v>
      </c>
      <c r="D6310" s="1">
        <v>4.3371000000000004</v>
      </c>
    </row>
    <row r="6311" spans="1:4" x14ac:dyDescent="0.2">
      <c r="A6311" s="5">
        <v>45328</v>
      </c>
      <c r="B6311" s="1">
        <v>4.0999999999999996</v>
      </c>
      <c r="C6311" s="1">
        <v>0.95</v>
      </c>
      <c r="D6311" s="1">
        <v>4.2996999999999996</v>
      </c>
    </row>
    <row r="6312" spans="1:4" x14ac:dyDescent="0.2">
      <c r="A6312" s="5">
        <v>45329</v>
      </c>
      <c r="B6312" s="1">
        <v>4.1211000000000002</v>
      </c>
      <c r="C6312" s="1">
        <v>0.95</v>
      </c>
      <c r="D6312" s="1">
        <v>4.3246000000000002</v>
      </c>
    </row>
    <row r="6313" spans="1:4" x14ac:dyDescent="0.2">
      <c r="A6313" s="5">
        <v>45330</v>
      </c>
      <c r="B6313" s="1">
        <v>4.1539999999999999</v>
      </c>
      <c r="C6313" s="1">
        <v>0.95</v>
      </c>
      <c r="D6313" s="1">
        <v>4.3513999999999999</v>
      </c>
    </row>
    <row r="6314" spans="1:4" x14ac:dyDescent="0.2">
      <c r="A6314" s="5">
        <v>45331</v>
      </c>
      <c r="B6314" s="1">
        <v>4.1753999999999998</v>
      </c>
      <c r="C6314" s="1">
        <v>0.95</v>
      </c>
      <c r="D6314" s="1">
        <v>4.3722000000000003</v>
      </c>
    </row>
    <row r="6315" spans="1:4" x14ac:dyDescent="0.2">
      <c r="A6315" s="5">
        <v>45334</v>
      </c>
      <c r="B6315" s="1">
        <v>4.1792999999999996</v>
      </c>
      <c r="C6315" s="1">
        <v>0.96</v>
      </c>
      <c r="D6315" s="1">
        <v>4.3798000000000004</v>
      </c>
    </row>
    <row r="6316" spans="1:4" x14ac:dyDescent="0.2">
      <c r="A6316" s="5">
        <v>45335</v>
      </c>
      <c r="B6316" s="1">
        <v>4.3143000000000002</v>
      </c>
      <c r="C6316" s="1">
        <v>0.95</v>
      </c>
      <c r="D6316" s="1">
        <v>4.4627999999999997</v>
      </c>
    </row>
    <row r="6317" spans="1:4" x14ac:dyDescent="0.2">
      <c r="A6317" s="5">
        <v>45336</v>
      </c>
      <c r="B6317" s="1">
        <v>4.2553999999999998</v>
      </c>
      <c r="C6317" s="1">
        <v>0.94</v>
      </c>
      <c r="D6317" s="1">
        <v>4.4345999999999997</v>
      </c>
    </row>
    <row r="6318" spans="1:4" x14ac:dyDescent="0.2">
      <c r="A6318" s="5">
        <v>45337</v>
      </c>
      <c r="B6318" s="1">
        <v>4.2300000000000004</v>
      </c>
      <c r="C6318" s="1">
        <v>0.92</v>
      </c>
      <c r="D6318" s="1">
        <v>4.4085999999999999</v>
      </c>
    </row>
    <row r="6319" spans="1:4" x14ac:dyDescent="0.2">
      <c r="A6319" s="5">
        <v>45338</v>
      </c>
      <c r="B6319" s="1">
        <v>4.2792000000000003</v>
      </c>
      <c r="C6319" s="1">
        <v>0.92</v>
      </c>
      <c r="D6319" s="1">
        <v>4.4356</v>
      </c>
    </row>
    <row r="6320" spans="1:4" x14ac:dyDescent="0.2">
      <c r="A6320" s="5">
        <v>45341</v>
      </c>
      <c r="B6320" s="1">
        <v>4.2792000000000003</v>
      </c>
      <c r="C6320" s="1">
        <v>0.92</v>
      </c>
      <c r="D6320" s="1">
        <v>4.4356</v>
      </c>
    </row>
    <row r="6321" spans="1:4" x14ac:dyDescent="0.2">
      <c r="A6321" s="5">
        <v>45342</v>
      </c>
      <c r="B6321" s="1">
        <v>4.2752999999999997</v>
      </c>
      <c r="C6321" s="1">
        <v>0.91</v>
      </c>
      <c r="D6321" s="1">
        <v>4.4481999999999999</v>
      </c>
    </row>
    <row r="6322" spans="1:4" x14ac:dyDescent="0.2">
      <c r="A6322" s="5">
        <v>45343</v>
      </c>
      <c r="B6322" s="1">
        <v>4.3186999999999998</v>
      </c>
      <c r="C6322" s="1">
        <v>0.9</v>
      </c>
      <c r="D6322" s="1">
        <v>4.4775</v>
      </c>
    </row>
    <row r="6323" spans="1:4" x14ac:dyDescent="0.2">
      <c r="A6323" s="5">
        <v>45344</v>
      </c>
      <c r="B6323" s="1">
        <v>4.3207000000000004</v>
      </c>
      <c r="C6323" s="1">
        <v>0.89</v>
      </c>
      <c r="D6323" s="1">
        <v>4.4560000000000004</v>
      </c>
    </row>
    <row r="6324" spans="1:4" x14ac:dyDescent="0.2">
      <c r="A6324" s="5">
        <v>45345</v>
      </c>
      <c r="B6324" s="1">
        <v>4.2480000000000002</v>
      </c>
      <c r="C6324" s="1">
        <v>0.91</v>
      </c>
      <c r="D6324" s="1">
        <v>4.3703000000000003</v>
      </c>
    </row>
    <row r="6325" spans="1:4" x14ac:dyDescent="0.2">
      <c r="A6325" s="5">
        <v>45348</v>
      </c>
      <c r="B6325" s="1">
        <v>4.2794999999999996</v>
      </c>
      <c r="C6325" s="1">
        <v>0.93</v>
      </c>
      <c r="D6325" s="1">
        <v>4.3941999999999997</v>
      </c>
    </row>
    <row r="6326" spans="1:4" x14ac:dyDescent="0.2">
      <c r="A6326" s="5">
        <v>45349</v>
      </c>
      <c r="B6326" s="1">
        <v>4.3032000000000004</v>
      </c>
      <c r="C6326" s="1">
        <v>0.92</v>
      </c>
      <c r="D6326" s="1">
        <v>4.4268999999999998</v>
      </c>
    </row>
    <row r="6327" spans="1:4" x14ac:dyDescent="0.2">
      <c r="A6327" s="5">
        <v>45350</v>
      </c>
      <c r="B6327" s="1">
        <v>4.2638999999999996</v>
      </c>
      <c r="C6327" s="1">
        <v>0.95</v>
      </c>
      <c r="D6327" s="1">
        <v>4.4047000000000001</v>
      </c>
    </row>
    <row r="6328" spans="1:4" x14ac:dyDescent="0.2">
      <c r="A6328" s="5">
        <v>45351</v>
      </c>
      <c r="B6328" s="1">
        <v>4.2502000000000004</v>
      </c>
      <c r="C6328" s="1">
        <v>0.96</v>
      </c>
      <c r="D6328" s="1">
        <v>4.3788999999999998</v>
      </c>
    </row>
    <row r="6329" spans="1:4" x14ac:dyDescent="0.2">
      <c r="A6329" s="5">
        <v>45352</v>
      </c>
      <c r="B6329" s="1">
        <v>4.1798000000000002</v>
      </c>
      <c r="C6329" s="1">
        <v>0.97</v>
      </c>
      <c r="D6329" s="1">
        <v>4.3274999999999997</v>
      </c>
    </row>
    <row r="6330" spans="1:4" x14ac:dyDescent="0.2">
      <c r="A6330" s="5">
        <v>45355</v>
      </c>
      <c r="B6330" s="1">
        <v>4.2130999999999998</v>
      </c>
      <c r="C6330" s="1">
        <v>0.96</v>
      </c>
      <c r="D6330" s="1">
        <v>4.3531000000000004</v>
      </c>
    </row>
    <row r="6331" spans="1:4" x14ac:dyDescent="0.2">
      <c r="A6331" s="5">
        <v>45356</v>
      </c>
      <c r="B6331" s="1">
        <v>4.1524999999999999</v>
      </c>
      <c r="C6331" s="1">
        <v>0.97</v>
      </c>
      <c r="D6331" s="1">
        <v>4.2918000000000003</v>
      </c>
    </row>
    <row r="6332" spans="1:4" x14ac:dyDescent="0.2">
      <c r="A6332" s="5">
        <v>45357</v>
      </c>
      <c r="B6332" s="1">
        <v>4.1020000000000003</v>
      </c>
      <c r="C6332" s="1">
        <v>0.97</v>
      </c>
      <c r="D6332" s="1">
        <v>4.2397</v>
      </c>
    </row>
    <row r="6333" spans="1:4" x14ac:dyDescent="0.2">
      <c r="A6333" s="5">
        <v>45358</v>
      </c>
      <c r="B6333" s="1">
        <v>4.0827</v>
      </c>
      <c r="C6333" s="1">
        <v>0.96</v>
      </c>
      <c r="D6333" s="1">
        <v>4.2423999999999999</v>
      </c>
    </row>
    <row r="6334" spans="1:4" x14ac:dyDescent="0.2">
      <c r="A6334" s="5">
        <v>45359</v>
      </c>
      <c r="B6334" s="1">
        <v>4.0749000000000004</v>
      </c>
      <c r="C6334" s="1">
        <v>0.95</v>
      </c>
      <c r="D6334" s="1">
        <v>4.2526000000000002</v>
      </c>
    </row>
    <row r="6335" spans="1:4" x14ac:dyDescent="0.2">
      <c r="A6335" s="5">
        <v>45362</v>
      </c>
      <c r="B6335" s="1">
        <v>4.0982000000000003</v>
      </c>
      <c r="C6335" s="1">
        <v>0.95</v>
      </c>
      <c r="D6335" s="1">
        <v>4.2610000000000001</v>
      </c>
    </row>
    <row r="6336" spans="1:4" x14ac:dyDescent="0.2">
      <c r="A6336" s="5">
        <v>45363</v>
      </c>
      <c r="B6336" s="1">
        <v>4.1506999999999996</v>
      </c>
      <c r="C6336" s="1">
        <v>0.93</v>
      </c>
      <c r="D6336" s="1">
        <v>4.3124000000000002</v>
      </c>
    </row>
    <row r="6337" spans="1:4" x14ac:dyDescent="0.2">
      <c r="A6337" s="5">
        <v>45364</v>
      </c>
      <c r="B6337" s="1">
        <v>4.1898999999999997</v>
      </c>
      <c r="C6337" s="1">
        <v>0.92</v>
      </c>
      <c r="D6337" s="1">
        <v>4.3398000000000003</v>
      </c>
    </row>
    <row r="6338" spans="1:4" x14ac:dyDescent="0.2">
      <c r="A6338" s="5">
        <v>45365</v>
      </c>
      <c r="B6338" s="1">
        <v>4.2903000000000002</v>
      </c>
      <c r="C6338" s="1">
        <v>0.91</v>
      </c>
      <c r="D6338" s="1">
        <v>4.4337</v>
      </c>
    </row>
    <row r="6339" spans="1:4" x14ac:dyDescent="0.2">
      <c r="A6339" s="5">
        <v>45366</v>
      </c>
      <c r="B6339" s="1">
        <v>4.3063000000000002</v>
      </c>
      <c r="C6339" s="1">
        <v>0.89</v>
      </c>
      <c r="D6339" s="1">
        <v>4.4288999999999996</v>
      </c>
    </row>
    <row r="6340" spans="1:4" x14ac:dyDescent="0.2">
      <c r="A6340" s="5">
        <v>45369</v>
      </c>
      <c r="B6340" s="1">
        <v>4.3242000000000003</v>
      </c>
      <c r="C6340" s="1">
        <v>0.89</v>
      </c>
      <c r="D6340" s="1">
        <v>4.4482999999999997</v>
      </c>
    </row>
    <row r="6341" spans="1:4" x14ac:dyDescent="0.2">
      <c r="A6341" s="5">
        <v>45370</v>
      </c>
      <c r="B6341" s="1">
        <v>4.2925000000000004</v>
      </c>
      <c r="C6341" s="1">
        <v>0.89</v>
      </c>
      <c r="D6341" s="1">
        <v>4.4414999999999996</v>
      </c>
    </row>
    <row r="6342" spans="1:4" x14ac:dyDescent="0.2">
      <c r="A6342" s="5">
        <v>45371</v>
      </c>
      <c r="B6342" s="1">
        <v>4.2728000000000002</v>
      </c>
      <c r="C6342" s="1">
        <v>0.9</v>
      </c>
      <c r="D6342" s="1">
        <v>4.4531999999999998</v>
      </c>
    </row>
    <row r="6343" spans="1:4" x14ac:dyDescent="0.2">
      <c r="A6343" s="5">
        <v>45372</v>
      </c>
      <c r="B6343" s="1">
        <v>4.2668999999999997</v>
      </c>
      <c r="C6343" s="1">
        <v>0.88</v>
      </c>
      <c r="D6343" s="1">
        <v>4.4347000000000003</v>
      </c>
    </row>
    <row r="6344" spans="1:4" x14ac:dyDescent="0.2">
      <c r="A6344" s="5">
        <v>45373</v>
      </c>
      <c r="B6344" s="1">
        <v>4.1981000000000002</v>
      </c>
      <c r="C6344" s="1">
        <v>0.88</v>
      </c>
      <c r="D6344" s="1">
        <v>4.3779000000000003</v>
      </c>
    </row>
    <row r="6345" spans="1:4" x14ac:dyDescent="0.2">
      <c r="A6345" s="5">
        <v>45376</v>
      </c>
      <c r="B6345" s="1">
        <v>4.2454000000000001</v>
      </c>
      <c r="C6345" s="1">
        <v>0.9</v>
      </c>
      <c r="D6345" s="1">
        <v>4.4154</v>
      </c>
    </row>
    <row r="6346" spans="1:4" x14ac:dyDescent="0.2">
      <c r="A6346" s="5">
        <v>45377</v>
      </c>
      <c r="B6346" s="1">
        <v>4.2316000000000003</v>
      </c>
      <c r="C6346" s="1">
        <v>0.91</v>
      </c>
      <c r="D6346" s="1">
        <v>4.3971</v>
      </c>
    </row>
    <row r="6347" spans="1:4" x14ac:dyDescent="0.2">
      <c r="A6347" s="5">
        <v>45378</v>
      </c>
      <c r="B6347" s="1">
        <v>4.1902999999999997</v>
      </c>
      <c r="C6347" s="1">
        <v>0.9</v>
      </c>
      <c r="D6347" s="1">
        <v>4.3502999999999998</v>
      </c>
    </row>
    <row r="6348" spans="1:4" x14ac:dyDescent="0.2">
      <c r="A6348" s="5">
        <v>45379</v>
      </c>
      <c r="B6348" s="1">
        <v>4.2003000000000004</v>
      </c>
      <c r="C6348" s="1">
        <v>0.9</v>
      </c>
      <c r="D6348" s="1">
        <v>4.3426999999999998</v>
      </c>
    </row>
    <row r="6349" spans="1:4" x14ac:dyDescent="0.2">
      <c r="A6349" s="5">
        <v>45380</v>
      </c>
      <c r="B6349" s="1">
        <v>4.2003000000000004</v>
      </c>
      <c r="C6349" s="1">
        <v>0.9</v>
      </c>
      <c r="D6349" s="1">
        <v>4.3426999999999998</v>
      </c>
    </row>
    <row r="6350" spans="1:4" x14ac:dyDescent="0.2">
      <c r="A6350" s="5">
        <v>45383</v>
      </c>
      <c r="B6350" s="1">
        <v>4.3091999999999997</v>
      </c>
      <c r="C6350" s="1">
        <v>0.9</v>
      </c>
      <c r="D6350" s="1">
        <v>4.4484000000000004</v>
      </c>
    </row>
    <row r="6351" spans="1:4" x14ac:dyDescent="0.2">
      <c r="A6351" s="5">
        <v>45384</v>
      </c>
      <c r="B6351" s="1">
        <v>4.3491</v>
      </c>
      <c r="C6351" s="1">
        <v>0.9</v>
      </c>
      <c r="D6351" s="1">
        <v>4.4953000000000003</v>
      </c>
    </row>
    <row r="6352" spans="1:4" x14ac:dyDescent="0.2">
      <c r="A6352" s="5">
        <v>45385</v>
      </c>
      <c r="B6352" s="1">
        <v>4.3472</v>
      </c>
      <c r="C6352" s="1">
        <v>0.88</v>
      </c>
      <c r="D6352" s="1">
        <v>4.5072000000000001</v>
      </c>
    </row>
    <row r="6353" spans="1:4" x14ac:dyDescent="0.2">
      <c r="A6353" s="5">
        <v>45386</v>
      </c>
      <c r="B6353" s="1">
        <v>4.3094000000000001</v>
      </c>
      <c r="C6353" s="1">
        <v>0.9</v>
      </c>
      <c r="D6353" s="1">
        <v>4.4756999999999998</v>
      </c>
    </row>
    <row r="6354" spans="1:4" x14ac:dyDescent="0.2">
      <c r="A6354" s="5">
        <v>45387</v>
      </c>
      <c r="B6354" s="1">
        <v>4.4016000000000002</v>
      </c>
      <c r="C6354" s="1">
        <v>0.89</v>
      </c>
      <c r="D6354" s="1">
        <v>4.5528000000000004</v>
      </c>
    </row>
    <row r="6355" spans="1:4" x14ac:dyDescent="0.2">
      <c r="A6355" s="5">
        <v>45390</v>
      </c>
      <c r="B6355" s="1">
        <v>4.4198000000000004</v>
      </c>
      <c r="C6355" s="1">
        <v>0.87</v>
      </c>
      <c r="D6355" s="1">
        <v>4.5499000000000001</v>
      </c>
    </row>
    <row r="6356" spans="1:4" x14ac:dyDescent="0.2">
      <c r="A6356" s="5">
        <v>45391</v>
      </c>
      <c r="B6356" s="1">
        <v>4.3616000000000001</v>
      </c>
      <c r="C6356" s="1">
        <v>0.87</v>
      </c>
      <c r="D6356" s="1">
        <v>4.4964000000000004</v>
      </c>
    </row>
    <row r="6357" spans="1:4" x14ac:dyDescent="0.2">
      <c r="A6357" s="5">
        <v>45392</v>
      </c>
      <c r="B6357" s="1">
        <v>4.5434999999999999</v>
      </c>
      <c r="C6357" s="1">
        <v>0.87</v>
      </c>
      <c r="D6357" s="1">
        <v>4.6223000000000001</v>
      </c>
    </row>
    <row r="6358" spans="1:4" x14ac:dyDescent="0.2">
      <c r="A6358" s="5">
        <v>45393</v>
      </c>
      <c r="B6358" s="1">
        <v>4.5865</v>
      </c>
      <c r="C6358" s="1">
        <v>0.87</v>
      </c>
      <c r="D6358" s="1">
        <v>4.6783999999999999</v>
      </c>
    </row>
    <row r="6359" spans="1:4" x14ac:dyDescent="0.2">
      <c r="A6359" s="5">
        <v>45394</v>
      </c>
      <c r="B6359" s="1">
        <v>4.5216000000000003</v>
      </c>
      <c r="C6359" s="1">
        <v>0.89</v>
      </c>
      <c r="D6359" s="1">
        <v>4.6294000000000004</v>
      </c>
    </row>
    <row r="6360" spans="1:4" x14ac:dyDescent="0.2">
      <c r="A6360" s="5">
        <v>45397</v>
      </c>
      <c r="B6360" s="1">
        <v>4.6013999999999999</v>
      </c>
      <c r="C6360" s="1">
        <v>0.91</v>
      </c>
      <c r="D6360" s="1">
        <v>4.7167000000000003</v>
      </c>
    </row>
    <row r="6361" spans="1:4" x14ac:dyDescent="0.2">
      <c r="A6361" s="5">
        <v>45398</v>
      </c>
      <c r="B6361" s="1">
        <v>4.6673999999999998</v>
      </c>
      <c r="C6361" s="1">
        <v>0.92</v>
      </c>
      <c r="D6361" s="1">
        <v>4.7625999999999999</v>
      </c>
    </row>
    <row r="6362" spans="1:4" x14ac:dyDescent="0.2">
      <c r="A6362" s="5">
        <v>45399</v>
      </c>
      <c r="B6362" s="1">
        <v>4.5872999999999999</v>
      </c>
      <c r="C6362" s="1">
        <v>0.93</v>
      </c>
      <c r="D6362" s="1">
        <v>4.7001999999999997</v>
      </c>
    </row>
    <row r="6363" spans="1:4" x14ac:dyDescent="0.2">
      <c r="A6363" s="5">
        <v>45400</v>
      </c>
      <c r="B6363" s="1">
        <v>4.6326000000000001</v>
      </c>
      <c r="C6363" s="1">
        <v>0.92</v>
      </c>
      <c r="D6363" s="1">
        <v>4.7302999999999997</v>
      </c>
    </row>
    <row r="6364" spans="1:4" x14ac:dyDescent="0.2">
      <c r="A6364" s="5">
        <v>45401</v>
      </c>
      <c r="B6364" s="1">
        <v>4.6207000000000003</v>
      </c>
      <c r="C6364" s="1">
        <v>0.92</v>
      </c>
      <c r="D6364" s="1">
        <v>4.7106000000000003</v>
      </c>
    </row>
    <row r="6365" spans="1:4" x14ac:dyDescent="0.2">
      <c r="A6365" s="5">
        <v>45404</v>
      </c>
      <c r="B6365" s="1">
        <v>4.6085000000000003</v>
      </c>
      <c r="C6365" s="1">
        <v>0.91</v>
      </c>
      <c r="D6365" s="1">
        <v>4.7126999999999999</v>
      </c>
    </row>
    <row r="6366" spans="1:4" x14ac:dyDescent="0.2">
      <c r="A6366" s="5">
        <v>45405</v>
      </c>
      <c r="B6366" s="1">
        <v>4.6003999999999996</v>
      </c>
      <c r="C6366" s="1">
        <v>0.89</v>
      </c>
      <c r="D6366" s="1">
        <v>4.7271999999999998</v>
      </c>
    </row>
    <row r="6367" spans="1:4" x14ac:dyDescent="0.2">
      <c r="A6367" s="5">
        <v>45406</v>
      </c>
      <c r="B6367" s="1">
        <v>4.6417000000000002</v>
      </c>
      <c r="C6367" s="1">
        <v>0.9</v>
      </c>
      <c r="D6367" s="1">
        <v>4.7712000000000003</v>
      </c>
    </row>
    <row r="6368" spans="1:4" x14ac:dyDescent="0.2">
      <c r="A6368" s="5">
        <v>45407</v>
      </c>
      <c r="B6368" s="1">
        <v>4.7039</v>
      </c>
      <c r="C6368" s="1">
        <v>0.89</v>
      </c>
      <c r="D6368" s="1">
        <v>4.8122999999999996</v>
      </c>
    </row>
    <row r="6369" spans="1:4" x14ac:dyDescent="0.2">
      <c r="A6369" s="5">
        <v>45408</v>
      </c>
      <c r="B6369" s="1">
        <v>4.6630000000000003</v>
      </c>
      <c r="C6369" s="1">
        <v>0.87</v>
      </c>
      <c r="D6369" s="1">
        <v>4.7754000000000003</v>
      </c>
    </row>
    <row r="6370" spans="1:4" x14ac:dyDescent="0.2">
      <c r="A6370" s="5">
        <v>45411</v>
      </c>
      <c r="B6370" s="1">
        <v>4.6135999999999999</v>
      </c>
      <c r="C6370" s="1">
        <v>0.87</v>
      </c>
      <c r="D6370" s="1">
        <v>4.7314999999999996</v>
      </c>
    </row>
    <row r="6371" spans="1:4" x14ac:dyDescent="0.2">
      <c r="A6371" s="5">
        <v>45412</v>
      </c>
      <c r="B6371" s="1">
        <v>4.6798000000000002</v>
      </c>
      <c r="C6371" s="1">
        <v>0.87</v>
      </c>
      <c r="D6371" s="1">
        <v>4.7839</v>
      </c>
    </row>
    <row r="6372" spans="1:4" x14ac:dyDescent="0.2">
      <c r="A6372" s="5">
        <v>45413</v>
      </c>
      <c r="B6372" s="1">
        <v>4.6283000000000003</v>
      </c>
      <c r="C6372" s="1">
        <v>0.89</v>
      </c>
      <c r="D6372" s="1">
        <v>4.7492999999999999</v>
      </c>
    </row>
    <row r="6373" spans="1:4" x14ac:dyDescent="0.2">
      <c r="A6373" s="5">
        <v>45414</v>
      </c>
      <c r="B6373" s="1">
        <v>4.5811000000000002</v>
      </c>
      <c r="C6373" s="1">
        <v>0.87</v>
      </c>
      <c r="D6373" s="1">
        <v>4.7283999999999997</v>
      </c>
    </row>
    <row r="6374" spans="1:4" x14ac:dyDescent="0.2">
      <c r="A6374" s="5">
        <v>45415</v>
      </c>
      <c r="B6374" s="1">
        <v>4.5076999999999998</v>
      </c>
      <c r="C6374" s="1">
        <v>0.86</v>
      </c>
      <c r="D6374" s="1">
        <v>4.6645000000000003</v>
      </c>
    </row>
    <row r="6375" spans="1:4" x14ac:dyDescent="0.2">
      <c r="A6375" s="5">
        <v>45418</v>
      </c>
      <c r="B6375" s="1">
        <v>4.4874000000000001</v>
      </c>
      <c r="C6375" s="1">
        <v>0.85</v>
      </c>
      <c r="D6375" s="1">
        <v>4.6349</v>
      </c>
    </row>
    <row r="6376" spans="1:4" x14ac:dyDescent="0.2">
      <c r="A6376" s="5">
        <v>45419</v>
      </c>
      <c r="B6376" s="1">
        <v>4.4569999999999999</v>
      </c>
      <c r="C6376" s="1">
        <v>0.86</v>
      </c>
      <c r="D6376" s="1">
        <v>4.5974000000000004</v>
      </c>
    </row>
    <row r="6377" spans="1:4" x14ac:dyDescent="0.2">
      <c r="A6377" s="5">
        <v>45420</v>
      </c>
      <c r="B6377" s="1">
        <v>4.4936999999999996</v>
      </c>
      <c r="C6377" s="1">
        <v>0.86</v>
      </c>
      <c r="D6377" s="1">
        <v>4.6390000000000002</v>
      </c>
    </row>
    <row r="6378" spans="1:4" x14ac:dyDescent="0.2">
      <c r="A6378" s="5">
        <v>45421</v>
      </c>
      <c r="B6378" s="1">
        <v>4.4531000000000001</v>
      </c>
      <c r="C6378" s="1">
        <v>0.87</v>
      </c>
      <c r="D6378" s="1">
        <v>4.6074999999999999</v>
      </c>
    </row>
    <row r="6379" spans="1:4" x14ac:dyDescent="0.2">
      <c r="A6379" s="5">
        <v>45422</v>
      </c>
      <c r="B6379" s="1">
        <v>4.4962999999999997</v>
      </c>
      <c r="C6379" s="1">
        <v>0.87</v>
      </c>
      <c r="D6379" s="1">
        <v>4.6386000000000003</v>
      </c>
    </row>
    <row r="6380" spans="1:4" x14ac:dyDescent="0.2">
      <c r="A6380" s="5">
        <v>45425</v>
      </c>
      <c r="B6380" s="1">
        <v>4.4865000000000004</v>
      </c>
      <c r="C6380" s="1">
        <v>0.88</v>
      </c>
      <c r="D6380" s="1">
        <v>4.6288999999999998</v>
      </c>
    </row>
    <row r="6381" spans="1:4" x14ac:dyDescent="0.2">
      <c r="A6381" s="5">
        <v>45426</v>
      </c>
      <c r="B6381" s="1">
        <v>4.4394</v>
      </c>
      <c r="C6381" s="1">
        <v>0.88</v>
      </c>
      <c r="D6381" s="1">
        <v>4.5854999999999997</v>
      </c>
    </row>
    <row r="6382" spans="1:4" x14ac:dyDescent="0.2">
      <c r="A6382" s="5">
        <v>45427</v>
      </c>
      <c r="B6382" s="1">
        <v>4.34</v>
      </c>
      <c r="C6382" s="1">
        <v>0.88</v>
      </c>
      <c r="D6382" s="1">
        <v>4.5</v>
      </c>
    </row>
    <row r="6383" spans="1:4" x14ac:dyDescent="0.2">
      <c r="A6383" s="5">
        <v>45428</v>
      </c>
      <c r="B6383" s="1">
        <v>4.375</v>
      </c>
      <c r="C6383" s="1">
        <v>0.87</v>
      </c>
      <c r="D6383" s="1">
        <v>4.5122</v>
      </c>
    </row>
    <row r="6384" spans="1:4" x14ac:dyDescent="0.2">
      <c r="A6384" s="5">
        <v>45429</v>
      </c>
      <c r="B6384" s="1">
        <v>4.4198000000000004</v>
      </c>
      <c r="C6384" s="1">
        <v>0.87</v>
      </c>
      <c r="D6384" s="1">
        <v>4.5586000000000002</v>
      </c>
    </row>
    <row r="6385" spans="1:4" x14ac:dyDescent="0.2">
      <c r="A6385" s="5">
        <v>45432</v>
      </c>
      <c r="B6385" s="1">
        <v>4.4432999999999998</v>
      </c>
      <c r="C6385" s="1">
        <v>0.86</v>
      </c>
      <c r="D6385" s="1">
        <v>4.5845000000000002</v>
      </c>
    </row>
    <row r="6386" spans="1:4" x14ac:dyDescent="0.2">
      <c r="A6386" s="5">
        <v>45433</v>
      </c>
      <c r="B6386" s="1">
        <v>4.4119999999999999</v>
      </c>
      <c r="C6386" s="1">
        <v>0.87</v>
      </c>
      <c r="D6386" s="1">
        <v>4.5491000000000001</v>
      </c>
    </row>
    <row r="6387" spans="1:4" x14ac:dyDescent="0.2">
      <c r="A6387" s="5">
        <v>45434</v>
      </c>
      <c r="B6387" s="1">
        <v>4.4218000000000002</v>
      </c>
      <c r="C6387" s="1">
        <v>0.87</v>
      </c>
      <c r="D6387" s="1">
        <v>4.5377000000000001</v>
      </c>
    </row>
    <row r="6388" spans="1:4" x14ac:dyDescent="0.2">
      <c r="A6388" s="5">
        <v>45435</v>
      </c>
      <c r="B6388" s="1">
        <v>4.4767000000000001</v>
      </c>
      <c r="C6388" s="1">
        <v>0.87</v>
      </c>
      <c r="D6388" s="1">
        <v>4.5815999999999999</v>
      </c>
    </row>
    <row r="6389" spans="1:4" x14ac:dyDescent="0.2">
      <c r="A6389" s="5">
        <v>45436</v>
      </c>
      <c r="B6389" s="1">
        <v>4.4649999999999999</v>
      </c>
      <c r="C6389" s="1">
        <v>0.87</v>
      </c>
      <c r="D6389" s="1">
        <v>4.57</v>
      </c>
    </row>
    <row r="6390" spans="1:4" x14ac:dyDescent="0.2">
      <c r="A6390" s="5">
        <v>45439</v>
      </c>
      <c r="B6390" s="1">
        <v>4.4649999999999999</v>
      </c>
      <c r="C6390" s="1">
        <v>0.87</v>
      </c>
      <c r="D6390" s="1">
        <v>4.57</v>
      </c>
    </row>
    <row r="6391" spans="1:4" x14ac:dyDescent="0.2">
      <c r="A6391" s="5">
        <v>45440</v>
      </c>
      <c r="B6391" s="1">
        <v>4.55</v>
      </c>
      <c r="C6391" s="1">
        <v>0.86</v>
      </c>
      <c r="D6391" s="1">
        <v>4.6657999999999999</v>
      </c>
    </row>
    <row r="6392" spans="1:4" x14ac:dyDescent="0.2">
      <c r="A6392" s="5">
        <v>45441</v>
      </c>
      <c r="B6392" s="1">
        <v>4.6116999999999999</v>
      </c>
      <c r="C6392" s="1">
        <v>0.86</v>
      </c>
      <c r="D6392" s="1">
        <v>4.7328000000000001</v>
      </c>
    </row>
    <row r="6393" spans="1:4" x14ac:dyDescent="0.2">
      <c r="A6393" s="5">
        <v>45442</v>
      </c>
      <c r="B6393" s="1">
        <v>4.5460000000000003</v>
      </c>
      <c r="C6393" s="1">
        <v>0.85</v>
      </c>
      <c r="D6393" s="1">
        <v>4.6795</v>
      </c>
    </row>
    <row r="6394" spans="1:4" x14ac:dyDescent="0.2">
      <c r="A6394" s="5">
        <v>45443</v>
      </c>
      <c r="B6394" s="1">
        <v>4.4984999999999999</v>
      </c>
      <c r="C6394" s="1">
        <v>0.85</v>
      </c>
      <c r="D6394" s="1">
        <v>4.6471999999999998</v>
      </c>
    </row>
    <row r="6395" spans="1:4" x14ac:dyDescent="0.2">
      <c r="A6395" s="5">
        <v>45446</v>
      </c>
      <c r="B6395" s="1">
        <v>4.3883999999999999</v>
      </c>
      <c r="C6395" s="1">
        <v>0.86</v>
      </c>
      <c r="D6395" s="1">
        <v>4.5376000000000003</v>
      </c>
    </row>
    <row r="6396" spans="1:4" x14ac:dyDescent="0.2">
      <c r="A6396" s="5">
        <v>45447</v>
      </c>
      <c r="B6396" s="1">
        <v>4.3258999999999999</v>
      </c>
      <c r="C6396" s="1">
        <v>0.88</v>
      </c>
      <c r="D6396" s="1">
        <v>4.4734999999999996</v>
      </c>
    </row>
    <row r="6397" spans="1:4" x14ac:dyDescent="0.2">
      <c r="A6397" s="5">
        <v>45448</v>
      </c>
      <c r="B6397" s="1">
        <v>4.2755000000000001</v>
      </c>
      <c r="C6397" s="1">
        <v>0.88</v>
      </c>
      <c r="D6397" s="1">
        <v>4.4297000000000004</v>
      </c>
    </row>
    <row r="6398" spans="1:4" x14ac:dyDescent="0.2">
      <c r="A6398" s="5">
        <v>45449</v>
      </c>
      <c r="B6398" s="1">
        <v>4.2869999999999999</v>
      </c>
      <c r="C6398" s="1">
        <v>0.89</v>
      </c>
      <c r="D6398" s="1">
        <v>4.4352</v>
      </c>
    </row>
    <row r="6399" spans="1:4" x14ac:dyDescent="0.2">
      <c r="A6399" s="5">
        <v>45450</v>
      </c>
      <c r="B6399" s="1">
        <v>4.4335000000000004</v>
      </c>
      <c r="C6399" s="1">
        <v>0.88</v>
      </c>
      <c r="D6399" s="1">
        <v>4.5545999999999998</v>
      </c>
    </row>
    <row r="6400" spans="1:4" x14ac:dyDescent="0.2">
      <c r="A6400" s="5">
        <v>45453</v>
      </c>
      <c r="B6400" s="1">
        <v>4.4669999999999996</v>
      </c>
      <c r="C6400" s="1">
        <v>0.88</v>
      </c>
      <c r="D6400" s="1">
        <v>4.5957999999999997</v>
      </c>
    </row>
    <row r="6401" spans="1:4" x14ac:dyDescent="0.2">
      <c r="A6401" s="5">
        <v>45454</v>
      </c>
      <c r="B6401" s="1">
        <v>4.4039999999999999</v>
      </c>
      <c r="C6401" s="1">
        <v>0.88</v>
      </c>
      <c r="D6401" s="1">
        <v>4.5365000000000002</v>
      </c>
    </row>
    <row r="6402" spans="1:4" x14ac:dyDescent="0.2">
      <c r="A6402" s="5">
        <v>45455</v>
      </c>
      <c r="B6402" s="1">
        <v>4.3159999999999998</v>
      </c>
      <c r="C6402" s="1">
        <v>0.88</v>
      </c>
      <c r="D6402" s="1">
        <v>4.4752000000000001</v>
      </c>
    </row>
    <row r="6403" spans="1:4" x14ac:dyDescent="0.2">
      <c r="A6403" s="5">
        <v>45456</v>
      </c>
      <c r="B6403" s="1">
        <v>4.2442000000000002</v>
      </c>
      <c r="C6403" s="1">
        <v>0.9</v>
      </c>
      <c r="D6403" s="1">
        <v>4.3963999999999999</v>
      </c>
    </row>
    <row r="6404" spans="1:4" x14ac:dyDescent="0.2">
      <c r="A6404" s="5">
        <v>45457</v>
      </c>
      <c r="B6404" s="1">
        <v>4.2209000000000003</v>
      </c>
      <c r="C6404" s="1">
        <v>0.92</v>
      </c>
      <c r="D6404" s="1">
        <v>4.3487999999999998</v>
      </c>
    </row>
    <row r="6405" spans="1:4" x14ac:dyDescent="0.2">
      <c r="A6405" s="5">
        <v>45460</v>
      </c>
      <c r="B6405" s="1">
        <v>4.2808999999999999</v>
      </c>
      <c r="C6405" s="1">
        <v>0.93</v>
      </c>
      <c r="D6405" s="1">
        <v>4.4055</v>
      </c>
    </row>
    <row r="6406" spans="1:4" x14ac:dyDescent="0.2">
      <c r="A6406" s="5">
        <v>45461</v>
      </c>
      <c r="B6406" s="1">
        <v>4.2226999999999997</v>
      </c>
      <c r="C6406" s="1">
        <v>0.93</v>
      </c>
      <c r="D6406" s="1">
        <v>4.3551000000000002</v>
      </c>
    </row>
    <row r="6407" spans="1:4" x14ac:dyDescent="0.2">
      <c r="A6407" s="5">
        <v>45462</v>
      </c>
      <c r="B6407" s="1">
        <v>4.2226999999999997</v>
      </c>
      <c r="C6407" s="1">
        <v>0.93</v>
      </c>
      <c r="D6407" s="1">
        <v>4.3551000000000002</v>
      </c>
    </row>
    <row r="6408" spans="1:4" x14ac:dyDescent="0.2">
      <c r="A6408" s="5">
        <v>45463</v>
      </c>
      <c r="B6408" s="1">
        <v>4.2594000000000003</v>
      </c>
      <c r="C6408" s="1">
        <v>0.94</v>
      </c>
      <c r="D6408" s="1">
        <v>4.3971999999999998</v>
      </c>
    </row>
    <row r="6409" spans="1:4" x14ac:dyDescent="0.2">
      <c r="A6409" s="5">
        <v>45464</v>
      </c>
      <c r="B6409" s="1">
        <v>4.2553999999999998</v>
      </c>
      <c r="C6409" s="1">
        <v>0.94</v>
      </c>
      <c r="D6409" s="1">
        <v>4.3971</v>
      </c>
    </row>
    <row r="6410" spans="1:4" x14ac:dyDescent="0.2">
      <c r="A6410" s="5">
        <v>45467</v>
      </c>
      <c r="B6410" s="1">
        <v>4.2321</v>
      </c>
      <c r="C6410" s="1">
        <v>0.93</v>
      </c>
      <c r="D6410" s="1">
        <v>4.3651</v>
      </c>
    </row>
    <row r="6411" spans="1:4" x14ac:dyDescent="0.2">
      <c r="A6411" s="5">
        <v>45468</v>
      </c>
      <c r="B6411" s="1">
        <v>4.2476000000000003</v>
      </c>
      <c r="C6411" s="1">
        <v>0.95</v>
      </c>
      <c r="D6411" s="1">
        <v>4.3777999999999997</v>
      </c>
    </row>
    <row r="6412" spans="1:4" x14ac:dyDescent="0.2">
      <c r="A6412" s="5">
        <v>45469</v>
      </c>
      <c r="B6412" s="1">
        <v>4.3293999999999997</v>
      </c>
      <c r="C6412" s="1">
        <v>0.94</v>
      </c>
      <c r="D6412" s="1">
        <v>4.4619999999999997</v>
      </c>
    </row>
    <row r="6413" spans="1:4" x14ac:dyDescent="0.2">
      <c r="A6413" s="5">
        <v>45470</v>
      </c>
      <c r="B6413" s="1">
        <v>4.2864000000000004</v>
      </c>
      <c r="C6413" s="1">
        <v>0.94</v>
      </c>
      <c r="D6413" s="1">
        <v>4.4257</v>
      </c>
    </row>
    <row r="6414" spans="1:4" x14ac:dyDescent="0.2">
      <c r="A6414" s="5">
        <v>45471</v>
      </c>
      <c r="B6414" s="1">
        <v>4.3960999999999997</v>
      </c>
      <c r="C6414" s="1">
        <v>0.94</v>
      </c>
      <c r="D6414" s="1">
        <v>4.5583</v>
      </c>
    </row>
    <row r="6415" spans="1:4" x14ac:dyDescent="0.2">
      <c r="A6415" s="5">
        <v>45474</v>
      </c>
      <c r="B6415" s="1">
        <v>4.4612999999999996</v>
      </c>
      <c r="C6415" s="1">
        <v>0.91</v>
      </c>
      <c r="D6415" s="1">
        <v>4.6237000000000004</v>
      </c>
    </row>
    <row r="6416" spans="1:4" x14ac:dyDescent="0.2">
      <c r="A6416" s="5">
        <v>45475</v>
      </c>
      <c r="B6416" s="1">
        <v>4.4316000000000004</v>
      </c>
      <c r="C6416" s="1">
        <v>0.9</v>
      </c>
      <c r="D6416" s="1">
        <v>4.6052999999999997</v>
      </c>
    </row>
    <row r="6417" spans="1:4" x14ac:dyDescent="0.2">
      <c r="A6417" s="5">
        <v>45476</v>
      </c>
      <c r="B6417" s="1">
        <v>4.3586999999999998</v>
      </c>
      <c r="C6417" s="1">
        <v>0.89</v>
      </c>
      <c r="D6417" s="1">
        <v>4.5278</v>
      </c>
    </row>
    <row r="6418" spans="1:4" x14ac:dyDescent="0.2">
      <c r="A6418" s="5">
        <v>45477</v>
      </c>
      <c r="B6418" s="1">
        <v>4.3586999999999998</v>
      </c>
      <c r="C6418" s="1">
        <v>0.89</v>
      </c>
      <c r="D6418" s="1">
        <v>4.5278</v>
      </c>
    </row>
    <row r="6419" spans="1:4" x14ac:dyDescent="0.2">
      <c r="A6419" s="5">
        <v>45478</v>
      </c>
      <c r="B6419" s="1">
        <v>4.2784000000000004</v>
      </c>
      <c r="C6419" s="1">
        <v>0.89</v>
      </c>
      <c r="D6419" s="1">
        <v>4.4767999999999999</v>
      </c>
    </row>
    <row r="6420" spans="1:4" x14ac:dyDescent="0.2">
      <c r="A6420" s="5">
        <v>45481</v>
      </c>
      <c r="B6420" s="1">
        <v>4.2782999999999998</v>
      </c>
      <c r="C6420" s="1">
        <v>0.89</v>
      </c>
      <c r="D6420" s="1">
        <v>4.4645999999999999</v>
      </c>
    </row>
    <row r="6421" spans="1:4" x14ac:dyDescent="0.2">
      <c r="A6421" s="5">
        <v>45482</v>
      </c>
      <c r="B6421" s="1">
        <v>4.2958999999999996</v>
      </c>
      <c r="C6421" s="1">
        <v>0.9</v>
      </c>
      <c r="D6421" s="1">
        <v>4.4881000000000002</v>
      </c>
    </row>
    <row r="6422" spans="1:4" x14ac:dyDescent="0.2">
      <c r="A6422" s="5">
        <v>45483</v>
      </c>
      <c r="B6422" s="1">
        <v>4.2840999999999996</v>
      </c>
      <c r="C6422" s="1">
        <v>0.9</v>
      </c>
      <c r="D6422" s="1">
        <v>4.4767999999999999</v>
      </c>
    </row>
    <row r="6423" spans="1:4" x14ac:dyDescent="0.2">
      <c r="A6423" s="5">
        <v>45484</v>
      </c>
      <c r="B6423" s="1">
        <v>4.2100999999999997</v>
      </c>
      <c r="C6423" s="1">
        <v>0.9</v>
      </c>
      <c r="D6423" s="1">
        <v>4.42</v>
      </c>
    </row>
    <row r="6424" spans="1:4" x14ac:dyDescent="0.2">
      <c r="A6424" s="5">
        <v>45485</v>
      </c>
      <c r="B6424" s="1">
        <v>4.1829000000000001</v>
      </c>
      <c r="C6424" s="1">
        <v>0.89</v>
      </c>
      <c r="D6424" s="1">
        <v>4.3959000000000001</v>
      </c>
    </row>
    <row r="6425" spans="1:4" x14ac:dyDescent="0.2">
      <c r="A6425" s="5">
        <v>45488</v>
      </c>
      <c r="B6425" s="1">
        <v>4.2294</v>
      </c>
      <c r="C6425" s="1">
        <v>0.9</v>
      </c>
      <c r="D6425" s="1">
        <v>4.4570999999999996</v>
      </c>
    </row>
    <row r="6426" spans="1:4" x14ac:dyDescent="0.2">
      <c r="A6426" s="5">
        <v>45489</v>
      </c>
      <c r="B6426" s="1">
        <v>4.1576000000000004</v>
      </c>
      <c r="C6426" s="1">
        <v>0.9</v>
      </c>
      <c r="D6426" s="1">
        <v>4.3720999999999997</v>
      </c>
    </row>
    <row r="6427" spans="1:4" x14ac:dyDescent="0.2">
      <c r="A6427" s="5">
        <v>45490</v>
      </c>
      <c r="B6427" s="1">
        <v>4.1576000000000004</v>
      </c>
      <c r="C6427" s="1">
        <v>0.91</v>
      </c>
      <c r="D6427" s="1">
        <v>4.3747999999999996</v>
      </c>
    </row>
    <row r="6428" spans="1:4" x14ac:dyDescent="0.2">
      <c r="A6428" s="5">
        <v>45491</v>
      </c>
      <c r="B6428" s="1">
        <v>4.2020999999999997</v>
      </c>
      <c r="C6428" s="1">
        <v>0.91</v>
      </c>
      <c r="D6428" s="1">
        <v>4.4217000000000004</v>
      </c>
    </row>
    <row r="6429" spans="1:4" x14ac:dyDescent="0.2">
      <c r="A6429" s="5">
        <v>45492</v>
      </c>
      <c r="B6429" s="1">
        <v>4.2389000000000001</v>
      </c>
      <c r="C6429" s="1">
        <v>0.91</v>
      </c>
      <c r="D6429" s="1">
        <v>4.4467999999999996</v>
      </c>
    </row>
    <row r="6430" spans="1:4" x14ac:dyDescent="0.2">
      <c r="A6430" s="5">
        <v>45495</v>
      </c>
      <c r="B6430" s="1">
        <v>4.2525000000000004</v>
      </c>
      <c r="C6430" s="1">
        <v>0.91</v>
      </c>
      <c r="D6430" s="1">
        <v>4.4720000000000004</v>
      </c>
    </row>
    <row r="6431" spans="1:4" x14ac:dyDescent="0.2">
      <c r="A6431" s="5">
        <v>45496</v>
      </c>
      <c r="B6431" s="1">
        <v>4.2506000000000004</v>
      </c>
      <c r="C6431" s="1">
        <v>0.91</v>
      </c>
      <c r="D6431" s="1">
        <v>4.4842000000000004</v>
      </c>
    </row>
    <row r="6432" spans="1:4" x14ac:dyDescent="0.2">
      <c r="A6432" s="5">
        <v>45497</v>
      </c>
      <c r="B6432" s="1">
        <v>4.2838000000000003</v>
      </c>
      <c r="C6432" s="1">
        <v>0.93</v>
      </c>
      <c r="D6432" s="1">
        <v>4.5419</v>
      </c>
    </row>
    <row r="6433" spans="1:4" x14ac:dyDescent="0.2">
      <c r="A6433" s="5">
        <v>45498</v>
      </c>
      <c r="B6433" s="1">
        <v>4.2407000000000004</v>
      </c>
      <c r="C6433" s="1">
        <v>0.93</v>
      </c>
      <c r="D6433" s="1">
        <v>4.4832000000000001</v>
      </c>
    </row>
    <row r="6434" spans="1:4" x14ac:dyDescent="0.2">
      <c r="A6434" s="5">
        <v>45499</v>
      </c>
      <c r="B6434" s="1">
        <v>4.1939000000000002</v>
      </c>
      <c r="C6434" s="1">
        <v>0.93</v>
      </c>
      <c r="D6434" s="1">
        <v>4.4523000000000001</v>
      </c>
    </row>
    <row r="6435" spans="1:4" x14ac:dyDescent="0.2">
      <c r="A6435" s="5">
        <v>45502</v>
      </c>
      <c r="B6435" s="1">
        <v>4.1744000000000003</v>
      </c>
      <c r="C6435" s="1">
        <v>0.93</v>
      </c>
      <c r="D6435" s="1">
        <v>4.4244000000000003</v>
      </c>
    </row>
    <row r="6436" spans="1:4" x14ac:dyDescent="0.2">
      <c r="A6436" s="5">
        <v>45503</v>
      </c>
      <c r="B6436" s="1">
        <v>4.1394000000000002</v>
      </c>
      <c r="C6436" s="1">
        <v>0.94</v>
      </c>
      <c r="D6436" s="1">
        <v>4.3948</v>
      </c>
    </row>
    <row r="6437" spans="1:4" x14ac:dyDescent="0.2">
      <c r="A6437" s="5">
        <v>45504</v>
      </c>
      <c r="B6437" s="1">
        <v>4.0296000000000003</v>
      </c>
      <c r="C6437" s="1">
        <v>0.93</v>
      </c>
      <c r="D6437" s="1">
        <v>4.3028000000000004</v>
      </c>
    </row>
    <row r="6438" spans="1:4" x14ac:dyDescent="0.2">
      <c r="A6438" s="5">
        <v>45505</v>
      </c>
      <c r="B6438" s="1">
        <v>3.976</v>
      </c>
      <c r="C6438" s="1">
        <v>0.98</v>
      </c>
      <c r="D6438" s="1">
        <v>4.2759</v>
      </c>
    </row>
    <row r="6439" spans="1:4" x14ac:dyDescent="0.2">
      <c r="A6439" s="5">
        <v>45506</v>
      </c>
      <c r="B6439" s="1">
        <v>3.7904</v>
      </c>
      <c r="C6439" s="1">
        <v>1.05</v>
      </c>
      <c r="D6439" s="1">
        <v>4.1071999999999997</v>
      </c>
    </row>
    <row r="6440" spans="1:4" x14ac:dyDescent="0.2">
      <c r="A6440" s="5">
        <v>45509</v>
      </c>
      <c r="B6440" s="1">
        <v>3.7884000000000002</v>
      </c>
      <c r="C6440" s="1">
        <v>1.1100000000000001</v>
      </c>
      <c r="D6440" s="1">
        <v>4.0720999999999998</v>
      </c>
    </row>
    <row r="6441" spans="1:4" x14ac:dyDescent="0.2">
      <c r="A6441" s="5">
        <v>45510</v>
      </c>
      <c r="B6441" s="1">
        <v>3.8919000000000001</v>
      </c>
      <c r="C6441" s="1">
        <v>1.06</v>
      </c>
      <c r="D6441" s="1">
        <v>4.1791999999999998</v>
      </c>
    </row>
    <row r="6442" spans="1:4" x14ac:dyDescent="0.2">
      <c r="A6442" s="5">
        <v>45511</v>
      </c>
      <c r="B6442" s="1">
        <v>3.9430999999999998</v>
      </c>
      <c r="C6442" s="1">
        <v>1.05</v>
      </c>
      <c r="D6442" s="1">
        <v>4.2462999999999997</v>
      </c>
    </row>
    <row r="6443" spans="1:4" x14ac:dyDescent="0.2">
      <c r="A6443" s="5">
        <v>45512</v>
      </c>
      <c r="B6443" s="1">
        <v>3.9876999999999998</v>
      </c>
      <c r="C6443" s="1">
        <v>1.03</v>
      </c>
      <c r="D6443" s="1">
        <v>4.2766000000000002</v>
      </c>
    </row>
    <row r="6444" spans="1:4" x14ac:dyDescent="0.2">
      <c r="A6444" s="5">
        <v>45513</v>
      </c>
      <c r="B6444" s="1">
        <v>3.9398</v>
      </c>
      <c r="C6444" s="1">
        <v>1.02</v>
      </c>
      <c r="D6444" s="1">
        <v>4.2186000000000003</v>
      </c>
    </row>
    <row r="6445" spans="1:4" x14ac:dyDescent="0.2">
      <c r="A6445" s="5">
        <v>45516</v>
      </c>
      <c r="B6445" s="1">
        <v>3.9035000000000002</v>
      </c>
      <c r="C6445" s="1">
        <v>1.03</v>
      </c>
      <c r="D6445" s="1">
        <v>4.2003000000000004</v>
      </c>
    </row>
    <row r="6446" spans="1:4" x14ac:dyDescent="0.2">
      <c r="A6446" s="5">
        <v>45517</v>
      </c>
      <c r="B6446" s="1">
        <v>3.8428</v>
      </c>
      <c r="C6446" s="1">
        <v>1.02</v>
      </c>
      <c r="D6446" s="1">
        <v>4.1584000000000003</v>
      </c>
    </row>
    <row r="6447" spans="1:4" x14ac:dyDescent="0.2">
      <c r="A6447" s="5">
        <v>45518</v>
      </c>
      <c r="B6447" s="1">
        <v>3.8351999999999999</v>
      </c>
      <c r="C6447" s="1">
        <v>1</v>
      </c>
      <c r="D6447" s="1">
        <v>4.125</v>
      </c>
    </row>
    <row r="6448" spans="1:4" x14ac:dyDescent="0.2">
      <c r="A6448" s="5">
        <v>45519</v>
      </c>
      <c r="B6448" s="1">
        <v>3.9131</v>
      </c>
      <c r="C6448" s="1">
        <v>0.96</v>
      </c>
      <c r="D6448" s="1">
        <v>4.1702000000000004</v>
      </c>
    </row>
    <row r="6449" spans="1:4" x14ac:dyDescent="0.2">
      <c r="A6449" s="5">
        <v>45520</v>
      </c>
      <c r="B6449" s="1">
        <v>3.8826000000000001</v>
      </c>
      <c r="C6449" s="1">
        <v>0.96</v>
      </c>
      <c r="D6449" s="1">
        <v>4.1402000000000001</v>
      </c>
    </row>
    <row r="6450" spans="1:4" x14ac:dyDescent="0.2">
      <c r="A6450" s="5">
        <v>45523</v>
      </c>
      <c r="B6450" s="1">
        <v>3.8711000000000002</v>
      </c>
      <c r="C6450" s="1">
        <v>0.95</v>
      </c>
      <c r="D6450" s="1">
        <v>4.1222000000000003</v>
      </c>
    </row>
    <row r="6451" spans="1:4" x14ac:dyDescent="0.2">
      <c r="A6451" s="5">
        <v>45524</v>
      </c>
      <c r="B6451" s="1">
        <v>3.8067000000000002</v>
      </c>
      <c r="C6451" s="1">
        <v>0.97</v>
      </c>
      <c r="D6451" s="1">
        <v>4.0606</v>
      </c>
    </row>
    <row r="6452" spans="1:4" x14ac:dyDescent="0.2">
      <c r="A6452" s="5">
        <v>45525</v>
      </c>
      <c r="B6452" s="1">
        <v>3.8010000000000002</v>
      </c>
      <c r="C6452" s="1">
        <v>0.96</v>
      </c>
      <c r="D6452" s="1">
        <v>4.0774999999999997</v>
      </c>
    </row>
    <row r="6453" spans="1:4" x14ac:dyDescent="0.2">
      <c r="A6453" s="5">
        <v>45526</v>
      </c>
      <c r="B6453" s="1">
        <v>3.8521000000000001</v>
      </c>
      <c r="C6453" s="1">
        <v>0.95</v>
      </c>
      <c r="D6453" s="1">
        <v>4.1257999999999999</v>
      </c>
    </row>
    <row r="6454" spans="1:4" x14ac:dyDescent="0.2">
      <c r="A6454" s="5">
        <v>45527</v>
      </c>
      <c r="B6454" s="1">
        <v>3.7989999999999999</v>
      </c>
      <c r="C6454" s="1">
        <v>0.94</v>
      </c>
      <c r="D6454" s="1">
        <v>4.0907999999999998</v>
      </c>
    </row>
    <row r="6455" spans="1:4" x14ac:dyDescent="0.2">
      <c r="A6455" s="5">
        <v>45530</v>
      </c>
      <c r="B6455" s="1">
        <v>3.8159999999999998</v>
      </c>
      <c r="C6455" s="1">
        <v>0.94</v>
      </c>
      <c r="D6455" s="1">
        <v>4.1051000000000002</v>
      </c>
    </row>
    <row r="6456" spans="1:4" x14ac:dyDescent="0.2">
      <c r="A6456" s="5">
        <v>45531</v>
      </c>
      <c r="B6456" s="1">
        <v>3.8216000000000001</v>
      </c>
      <c r="C6456" s="1">
        <v>0.94</v>
      </c>
      <c r="D6456" s="1">
        <v>4.1131000000000002</v>
      </c>
    </row>
    <row r="6457" spans="1:4" x14ac:dyDescent="0.2">
      <c r="A6457" s="5">
        <v>45532</v>
      </c>
      <c r="B6457" s="1">
        <v>3.8349000000000002</v>
      </c>
      <c r="C6457" s="1">
        <v>0.94</v>
      </c>
      <c r="D6457" s="1">
        <v>4.1247999999999996</v>
      </c>
    </row>
    <row r="6458" spans="1:4" x14ac:dyDescent="0.2">
      <c r="A6458" s="5">
        <v>45533</v>
      </c>
      <c r="B6458" s="1">
        <v>3.8614999999999999</v>
      </c>
      <c r="C6458" s="1">
        <v>0.94</v>
      </c>
      <c r="D6458" s="1">
        <v>4.1455000000000002</v>
      </c>
    </row>
    <row r="6459" spans="1:4" x14ac:dyDescent="0.2">
      <c r="A6459" s="5">
        <v>45534</v>
      </c>
      <c r="B6459" s="1">
        <v>3.9034</v>
      </c>
      <c r="C6459" s="1">
        <v>0.93</v>
      </c>
      <c r="D6459" s="1">
        <v>4.1955</v>
      </c>
    </row>
    <row r="6460" spans="1:4" x14ac:dyDescent="0.2">
      <c r="A6460" s="5">
        <v>45537</v>
      </c>
      <c r="B6460" s="1">
        <v>3.9034</v>
      </c>
      <c r="C6460" s="1">
        <v>0.93</v>
      </c>
      <c r="D6460" s="1">
        <v>4.1955</v>
      </c>
    </row>
    <row r="6461" spans="1:4" x14ac:dyDescent="0.2">
      <c r="A6461" s="5">
        <v>45538</v>
      </c>
      <c r="B6461" s="1">
        <v>3.831</v>
      </c>
      <c r="C6461" s="1">
        <v>0.97</v>
      </c>
      <c r="D6461" s="1">
        <v>4.1228999999999996</v>
      </c>
    </row>
    <row r="6462" spans="1:4" x14ac:dyDescent="0.2">
      <c r="A6462" s="5">
        <v>45539</v>
      </c>
      <c r="B6462" s="1">
        <v>3.7551999999999999</v>
      </c>
      <c r="C6462" s="1">
        <v>0.98</v>
      </c>
      <c r="D6462" s="1">
        <v>4.0578000000000003</v>
      </c>
    </row>
    <row r="6463" spans="1:4" x14ac:dyDescent="0.2">
      <c r="A6463" s="5">
        <v>45540</v>
      </c>
      <c r="B6463" s="1">
        <v>3.7269000000000001</v>
      </c>
      <c r="C6463" s="1">
        <v>0.97</v>
      </c>
      <c r="D6463" s="1">
        <v>4.0198</v>
      </c>
    </row>
    <row r="6464" spans="1:4" x14ac:dyDescent="0.2">
      <c r="A6464" s="5">
        <v>45541</v>
      </c>
      <c r="B6464" s="1">
        <v>3.7080000000000002</v>
      </c>
      <c r="C6464" s="1">
        <v>0.98</v>
      </c>
      <c r="D6464" s="1">
        <v>4.0179999999999998</v>
      </c>
    </row>
    <row r="6465" spans="1:4" x14ac:dyDescent="0.2">
      <c r="A6465" s="5">
        <v>45544</v>
      </c>
      <c r="B6465" s="1">
        <v>3.7004000000000001</v>
      </c>
      <c r="C6465" s="1">
        <v>0.97</v>
      </c>
      <c r="D6465" s="1">
        <v>4.0004999999999997</v>
      </c>
    </row>
    <row r="6466" spans="1:4" x14ac:dyDescent="0.2">
      <c r="A6466" s="5">
        <v>45545</v>
      </c>
      <c r="B6466" s="1">
        <v>3.6423000000000001</v>
      </c>
      <c r="C6466" s="1">
        <v>0.99</v>
      </c>
      <c r="D6466" s="1">
        <v>3.9622000000000002</v>
      </c>
    </row>
    <row r="6467" spans="1:4" x14ac:dyDescent="0.2">
      <c r="A6467" s="5">
        <v>45546</v>
      </c>
      <c r="B6467" s="1">
        <v>3.6534</v>
      </c>
      <c r="C6467" s="1">
        <v>0.99</v>
      </c>
      <c r="D6467" s="1">
        <v>3.9657</v>
      </c>
    </row>
    <row r="6468" spans="1:4" x14ac:dyDescent="0.2">
      <c r="A6468" s="5">
        <v>45547</v>
      </c>
      <c r="B6468" s="1">
        <v>3.6739999999999999</v>
      </c>
      <c r="C6468" s="1">
        <v>0.97</v>
      </c>
      <c r="D6468" s="1">
        <v>3.9882</v>
      </c>
    </row>
    <row r="6469" spans="1:4" x14ac:dyDescent="0.2">
      <c r="A6469" s="5">
        <v>45548</v>
      </c>
      <c r="B6469" s="1">
        <v>3.6513</v>
      </c>
      <c r="C6469" s="1">
        <v>0.96</v>
      </c>
      <c r="D6469" s="1">
        <v>3.9794999999999998</v>
      </c>
    </row>
    <row r="6470" spans="1:4" x14ac:dyDescent="0.2">
      <c r="A6470" s="5">
        <v>45551</v>
      </c>
      <c r="B6470" s="1">
        <v>3.6175999999999999</v>
      </c>
      <c r="C6470" s="1">
        <v>0.96</v>
      </c>
      <c r="D6470" s="1">
        <v>3.9285000000000001</v>
      </c>
    </row>
    <row r="6471" spans="1:4" x14ac:dyDescent="0.2">
      <c r="A6471" s="5">
        <v>45552</v>
      </c>
      <c r="B6471" s="1">
        <v>3.6456</v>
      </c>
      <c r="C6471" s="1">
        <v>0.94</v>
      </c>
      <c r="D6471" s="1">
        <v>3.9586000000000001</v>
      </c>
    </row>
    <row r="6472" spans="1:4" x14ac:dyDescent="0.2">
      <c r="A6472" s="5">
        <v>45553</v>
      </c>
      <c r="B6472" s="1">
        <v>3.7038000000000002</v>
      </c>
      <c r="C6472" s="1">
        <v>0.93</v>
      </c>
      <c r="D6472" s="1">
        <v>4.0205000000000002</v>
      </c>
    </row>
    <row r="6473" spans="1:4" x14ac:dyDescent="0.2">
      <c r="A6473" s="5">
        <v>45554</v>
      </c>
      <c r="B6473" s="1">
        <v>3.7130999999999998</v>
      </c>
      <c r="C6473" s="1">
        <v>0.91</v>
      </c>
      <c r="D6473" s="1">
        <v>4.0505000000000004</v>
      </c>
    </row>
    <row r="6474" spans="1:4" x14ac:dyDescent="0.2">
      <c r="A6474" s="5">
        <v>45555</v>
      </c>
      <c r="B6474" s="1">
        <v>3.7412999999999998</v>
      </c>
      <c r="C6474" s="1">
        <v>0.91</v>
      </c>
      <c r="D6474" s="1">
        <v>4.0833000000000004</v>
      </c>
    </row>
    <row r="6475" spans="1:4" x14ac:dyDescent="0.2">
      <c r="A6475" s="5">
        <v>45558</v>
      </c>
      <c r="B6475" s="1">
        <v>3.7488999999999999</v>
      </c>
      <c r="C6475" s="1">
        <v>0.9</v>
      </c>
      <c r="D6475" s="1">
        <v>4.0922000000000001</v>
      </c>
    </row>
    <row r="6476" spans="1:4" x14ac:dyDescent="0.2">
      <c r="A6476" s="5">
        <v>45559</v>
      </c>
      <c r="B6476" s="1">
        <v>3.7280000000000002</v>
      </c>
      <c r="C6476" s="1">
        <v>0.89</v>
      </c>
      <c r="D6476" s="1">
        <v>4.0842000000000001</v>
      </c>
    </row>
    <row r="6477" spans="1:4" x14ac:dyDescent="0.2">
      <c r="A6477" s="5">
        <v>45560</v>
      </c>
      <c r="B6477" s="1">
        <v>3.7848999999999999</v>
      </c>
      <c r="C6477" s="1">
        <v>0.9</v>
      </c>
      <c r="D6477" s="1">
        <v>4.1398000000000001</v>
      </c>
    </row>
    <row r="6478" spans="1:4" x14ac:dyDescent="0.2">
      <c r="A6478" s="5">
        <v>45561</v>
      </c>
      <c r="B6478" s="1">
        <v>3.7963</v>
      </c>
      <c r="C6478" s="1">
        <v>0.9</v>
      </c>
      <c r="D6478" s="1">
        <v>4.1307999999999998</v>
      </c>
    </row>
    <row r="6479" spans="1:4" x14ac:dyDescent="0.2">
      <c r="A6479" s="5">
        <v>45562</v>
      </c>
      <c r="B6479" s="1">
        <v>3.7505999999999999</v>
      </c>
      <c r="C6479" s="1">
        <v>0.89</v>
      </c>
      <c r="D6479" s="1">
        <v>4.1037999999999997</v>
      </c>
    </row>
    <row r="6480" spans="1:4" x14ac:dyDescent="0.2">
      <c r="A6480" s="5">
        <v>45565</v>
      </c>
      <c r="B6480" s="1">
        <v>3.7808999999999999</v>
      </c>
      <c r="C6480" s="1">
        <v>0.89</v>
      </c>
      <c r="D6480" s="1">
        <v>4.1191000000000004</v>
      </c>
    </row>
    <row r="6481" spans="1:4" x14ac:dyDescent="0.2">
      <c r="A6481" s="5">
        <v>45566</v>
      </c>
      <c r="B6481" s="1">
        <v>3.7315</v>
      </c>
      <c r="C6481" s="1">
        <v>0.9</v>
      </c>
      <c r="D6481" s="1">
        <v>4.0716000000000001</v>
      </c>
    </row>
    <row r="6482" spans="1:4" x14ac:dyDescent="0.2">
      <c r="A6482" s="5">
        <v>45567</v>
      </c>
      <c r="B6482" s="1">
        <v>3.7808999999999999</v>
      </c>
      <c r="C6482" s="1">
        <v>0.88</v>
      </c>
      <c r="D6482" s="1">
        <v>4.1299000000000001</v>
      </c>
    </row>
    <row r="6483" spans="1:4" x14ac:dyDescent="0.2">
      <c r="A6483" s="5">
        <v>45568</v>
      </c>
      <c r="B6483" s="1">
        <v>3.8458000000000001</v>
      </c>
      <c r="C6483" s="1">
        <v>0.87</v>
      </c>
      <c r="D6483" s="1">
        <v>4.1779000000000002</v>
      </c>
    </row>
    <row r="6484" spans="1:4" x14ac:dyDescent="0.2">
      <c r="A6484" s="5">
        <v>45569</v>
      </c>
      <c r="B6484" s="1">
        <v>3.9672000000000001</v>
      </c>
      <c r="C6484" s="1">
        <v>0.83</v>
      </c>
      <c r="D6484" s="1">
        <v>4.2496999999999998</v>
      </c>
    </row>
    <row r="6485" spans="1:4" x14ac:dyDescent="0.2">
      <c r="A6485" s="5">
        <v>45572</v>
      </c>
      <c r="B6485" s="1">
        <v>4.0255999999999998</v>
      </c>
      <c r="C6485" s="1">
        <v>0.83</v>
      </c>
      <c r="D6485" s="1">
        <v>4.3048999999999999</v>
      </c>
    </row>
    <row r="6486" spans="1:4" x14ac:dyDescent="0.2">
      <c r="A6486" s="5">
        <v>45573</v>
      </c>
      <c r="B6486" s="1">
        <v>4.0118999999999998</v>
      </c>
      <c r="C6486" s="1">
        <v>0.83</v>
      </c>
      <c r="D6486" s="1">
        <v>4.2935999999999996</v>
      </c>
    </row>
    <row r="6487" spans="1:4" x14ac:dyDescent="0.2">
      <c r="A6487" s="5">
        <v>45574</v>
      </c>
      <c r="B6487" s="1">
        <v>4.0726000000000004</v>
      </c>
      <c r="C6487" s="1">
        <v>0.82</v>
      </c>
      <c r="D6487" s="1">
        <v>4.3407999999999998</v>
      </c>
    </row>
    <row r="6488" spans="1:4" x14ac:dyDescent="0.2">
      <c r="A6488" s="5">
        <v>45575</v>
      </c>
      <c r="B6488" s="1">
        <v>4.0608000000000004</v>
      </c>
      <c r="C6488" s="1">
        <v>0.81</v>
      </c>
      <c r="D6488" s="1">
        <v>4.3587999999999996</v>
      </c>
    </row>
    <row r="6489" spans="1:4" x14ac:dyDescent="0.2">
      <c r="A6489" s="5">
        <v>45576</v>
      </c>
      <c r="B6489" s="1">
        <v>4.1002999999999998</v>
      </c>
      <c r="C6489" s="1">
        <v>0.81</v>
      </c>
      <c r="D6489" s="1">
        <v>4.4105999999999996</v>
      </c>
    </row>
    <row r="6490" spans="1:4" x14ac:dyDescent="0.2">
      <c r="A6490" s="5">
        <v>45579</v>
      </c>
      <c r="B6490" s="1">
        <v>4.1002999999999998</v>
      </c>
      <c r="C6490" s="1">
        <v>0.81</v>
      </c>
      <c r="D6490" s="1">
        <v>4.4105999999999996</v>
      </c>
    </row>
    <row r="6491" spans="1:4" x14ac:dyDescent="0.2">
      <c r="A6491" s="5">
        <v>45580</v>
      </c>
      <c r="B6491" s="1">
        <v>4.0316999999999998</v>
      </c>
      <c r="C6491" s="1">
        <v>0.8</v>
      </c>
      <c r="D6491" s="1">
        <v>4.32</v>
      </c>
    </row>
    <row r="6492" spans="1:4" x14ac:dyDescent="0.2">
      <c r="A6492" s="5">
        <v>45581</v>
      </c>
      <c r="B6492" s="1">
        <v>4.0122</v>
      </c>
      <c r="C6492" s="1">
        <v>0.8</v>
      </c>
      <c r="D6492" s="1">
        <v>4.2954999999999997</v>
      </c>
    </row>
    <row r="6493" spans="1:4" x14ac:dyDescent="0.2">
      <c r="A6493" s="5">
        <v>45582</v>
      </c>
      <c r="B6493" s="1">
        <v>4.0906000000000002</v>
      </c>
      <c r="C6493" s="1">
        <v>0.79</v>
      </c>
      <c r="D6493" s="1">
        <v>4.3895</v>
      </c>
    </row>
    <row r="6494" spans="1:4" x14ac:dyDescent="0.2">
      <c r="A6494" s="5">
        <v>45583</v>
      </c>
      <c r="B6494" s="1">
        <v>4.0827999999999998</v>
      </c>
      <c r="C6494" s="1">
        <v>0.81</v>
      </c>
      <c r="D6494" s="1">
        <v>4.3924000000000003</v>
      </c>
    </row>
    <row r="6495" spans="1:4" x14ac:dyDescent="0.2">
      <c r="A6495" s="5">
        <v>45586</v>
      </c>
      <c r="B6495" s="1">
        <v>4.1955999999999998</v>
      </c>
      <c r="C6495" s="1">
        <v>0.83</v>
      </c>
      <c r="D6495" s="1">
        <v>4.4993999999999996</v>
      </c>
    </row>
    <row r="6496" spans="1:4" x14ac:dyDescent="0.2">
      <c r="A6496" s="5">
        <v>45587</v>
      </c>
      <c r="B6496" s="1">
        <v>4.2076000000000002</v>
      </c>
      <c r="C6496" s="1">
        <v>0.83</v>
      </c>
      <c r="D6496" s="1">
        <v>4.4965000000000002</v>
      </c>
    </row>
    <row r="6497" spans="1:4" x14ac:dyDescent="0.2">
      <c r="A6497" s="5">
        <v>45588</v>
      </c>
      <c r="B6497" s="1">
        <v>4.2455999999999996</v>
      </c>
      <c r="C6497" s="1">
        <v>0.83</v>
      </c>
      <c r="D6497" s="1">
        <v>4.5182000000000002</v>
      </c>
    </row>
    <row r="6498" spans="1:4" x14ac:dyDescent="0.2">
      <c r="A6498" s="5">
        <v>45589</v>
      </c>
      <c r="B6498" s="1">
        <v>4.2118000000000002</v>
      </c>
      <c r="C6498" s="1">
        <v>0.84</v>
      </c>
      <c r="D6498" s="1">
        <v>4.4739000000000004</v>
      </c>
    </row>
    <row r="6499" spans="1:4" x14ac:dyDescent="0.2">
      <c r="A6499" s="5">
        <v>45590</v>
      </c>
      <c r="B6499" s="1">
        <v>4.2398999999999996</v>
      </c>
      <c r="C6499" s="1">
        <v>0.82</v>
      </c>
      <c r="D6499" s="1">
        <v>4.4995000000000003</v>
      </c>
    </row>
    <row r="6500" spans="1:4" x14ac:dyDescent="0.2">
      <c r="A6500" s="5">
        <v>45593</v>
      </c>
      <c r="B6500" s="1">
        <v>4.2820999999999998</v>
      </c>
      <c r="C6500" s="1">
        <v>0.82</v>
      </c>
      <c r="D6500" s="1">
        <v>4.5292000000000003</v>
      </c>
    </row>
    <row r="6501" spans="1:4" x14ac:dyDescent="0.2">
      <c r="A6501" s="5">
        <v>45594</v>
      </c>
      <c r="B6501" s="1">
        <v>4.2541000000000002</v>
      </c>
      <c r="C6501" s="1">
        <v>0.82</v>
      </c>
      <c r="D6501" s="1">
        <v>4.4984999999999999</v>
      </c>
    </row>
    <row r="6502" spans="1:4" x14ac:dyDescent="0.2">
      <c r="A6502" s="5">
        <v>45595</v>
      </c>
      <c r="B6502" s="1">
        <v>4.3003999999999998</v>
      </c>
      <c r="C6502" s="1">
        <v>0.81</v>
      </c>
      <c r="D6502" s="1">
        <v>4.5034999999999998</v>
      </c>
    </row>
    <row r="6503" spans="1:4" x14ac:dyDescent="0.2">
      <c r="A6503" s="5">
        <v>45596</v>
      </c>
      <c r="B6503" s="1">
        <v>4.2843999999999998</v>
      </c>
      <c r="C6503" s="1">
        <v>0.84</v>
      </c>
      <c r="D6503" s="1">
        <v>4.4749999999999996</v>
      </c>
    </row>
    <row r="6504" spans="1:4" x14ac:dyDescent="0.2">
      <c r="A6504" s="5">
        <v>45597</v>
      </c>
      <c r="B6504" s="1">
        <v>4.3836000000000004</v>
      </c>
      <c r="C6504" s="1">
        <v>0.83</v>
      </c>
      <c r="D6504" s="1">
        <v>4.5781999999999998</v>
      </c>
    </row>
    <row r="6505" spans="1:4" x14ac:dyDescent="0.2">
      <c r="A6505" s="5">
        <v>45600</v>
      </c>
      <c r="B6505" s="1">
        <v>4.2847</v>
      </c>
      <c r="C6505" s="1">
        <v>0.83</v>
      </c>
      <c r="D6505" s="1">
        <v>4.4672000000000001</v>
      </c>
    </row>
    <row r="6506" spans="1:4" x14ac:dyDescent="0.2">
      <c r="A6506" s="5">
        <v>45601</v>
      </c>
      <c r="B6506" s="1">
        <v>4.2708000000000004</v>
      </c>
      <c r="C6506" s="1">
        <v>0.81</v>
      </c>
      <c r="D6506" s="1">
        <v>4.4349999999999996</v>
      </c>
    </row>
    <row r="6507" spans="1:4" x14ac:dyDescent="0.2">
      <c r="A6507" s="5">
        <v>45602</v>
      </c>
      <c r="B6507" s="1">
        <v>4.4314999999999998</v>
      </c>
      <c r="C6507" s="1">
        <v>0.77</v>
      </c>
      <c r="D6507" s="1">
        <v>4.6094999999999997</v>
      </c>
    </row>
    <row r="6508" spans="1:4" x14ac:dyDescent="0.2">
      <c r="A6508" s="5">
        <v>45603</v>
      </c>
      <c r="B6508" s="1">
        <v>4.3257000000000003</v>
      </c>
      <c r="C6508" s="1">
        <v>0.75</v>
      </c>
      <c r="D6508" s="1">
        <v>4.5297000000000001</v>
      </c>
    </row>
    <row r="6509" spans="1:4" x14ac:dyDescent="0.2">
      <c r="A6509" s="5">
        <v>45604</v>
      </c>
      <c r="B6509" s="1">
        <v>4.3042999999999996</v>
      </c>
      <c r="C6509" s="1">
        <v>0.74</v>
      </c>
      <c r="D6509" s="1">
        <v>4.4695999999999998</v>
      </c>
    </row>
    <row r="6510" spans="1:4" x14ac:dyDescent="0.2">
      <c r="A6510" s="5">
        <v>45607</v>
      </c>
      <c r="B6510" s="1">
        <v>4.3042999999999996</v>
      </c>
      <c r="C6510" s="1">
        <v>0.74</v>
      </c>
      <c r="D6510" s="1">
        <v>4.4695999999999998</v>
      </c>
    </row>
    <row r="6511" spans="1:4" x14ac:dyDescent="0.2">
      <c r="A6511" s="5">
        <v>45608</v>
      </c>
      <c r="B6511" s="1">
        <v>4.4275000000000002</v>
      </c>
      <c r="C6511" s="1">
        <v>0.74</v>
      </c>
      <c r="D6511" s="1">
        <v>4.5673000000000004</v>
      </c>
    </row>
    <row r="6512" spans="1:4" x14ac:dyDescent="0.2">
      <c r="A6512" s="5">
        <v>45609</v>
      </c>
      <c r="B6512" s="1">
        <v>4.4512</v>
      </c>
      <c r="C6512" s="1">
        <v>0.76</v>
      </c>
      <c r="D6512" s="1">
        <v>4.6356999999999999</v>
      </c>
    </row>
    <row r="6513" spans="1:4" x14ac:dyDescent="0.2">
      <c r="A6513" s="5">
        <v>45610</v>
      </c>
      <c r="B6513" s="1">
        <v>4.4353999999999996</v>
      </c>
      <c r="C6513" s="1">
        <v>0.77</v>
      </c>
      <c r="D6513" s="1">
        <v>4.5868000000000002</v>
      </c>
    </row>
    <row r="6514" spans="1:4" x14ac:dyDescent="0.2">
      <c r="A6514" s="5">
        <v>45611</v>
      </c>
      <c r="B6514" s="1">
        <v>4.4394</v>
      </c>
      <c r="C6514" s="1">
        <v>0.78</v>
      </c>
      <c r="D6514" s="1">
        <v>4.617</v>
      </c>
    </row>
    <row r="6515" spans="1:4" x14ac:dyDescent="0.2">
      <c r="A6515" s="5">
        <v>45614</v>
      </c>
      <c r="B6515" s="1">
        <v>4.4138000000000002</v>
      </c>
      <c r="C6515" s="1">
        <v>0.77</v>
      </c>
      <c r="D6515" s="1">
        <v>4.6101999999999999</v>
      </c>
    </row>
    <row r="6516" spans="1:4" x14ac:dyDescent="0.2">
      <c r="A6516" s="5">
        <v>45615</v>
      </c>
      <c r="B6516" s="1">
        <v>4.3962000000000003</v>
      </c>
      <c r="C6516" s="1">
        <v>0.77</v>
      </c>
      <c r="D6516" s="1">
        <v>4.5819000000000001</v>
      </c>
    </row>
    <row r="6517" spans="1:4" x14ac:dyDescent="0.2">
      <c r="A6517" s="5">
        <v>45616</v>
      </c>
      <c r="B6517" s="1">
        <v>4.41</v>
      </c>
      <c r="C6517" s="1">
        <v>0.78</v>
      </c>
      <c r="D6517" s="1">
        <v>4.5975000000000001</v>
      </c>
    </row>
    <row r="6518" spans="1:4" x14ac:dyDescent="0.2">
      <c r="A6518" s="5">
        <v>45617</v>
      </c>
      <c r="B6518" s="1">
        <v>4.4218000000000002</v>
      </c>
      <c r="C6518" s="1">
        <v>0.78</v>
      </c>
      <c r="D6518" s="1">
        <v>4.6013999999999999</v>
      </c>
    </row>
    <row r="6519" spans="1:4" x14ac:dyDescent="0.2">
      <c r="A6519" s="5">
        <v>45618</v>
      </c>
      <c r="B6519" s="1">
        <v>4.4001999999999999</v>
      </c>
      <c r="C6519" s="1">
        <v>0.78</v>
      </c>
      <c r="D6519" s="1">
        <v>4.5876999999999999</v>
      </c>
    </row>
    <row r="6520" spans="1:4" x14ac:dyDescent="0.2">
      <c r="A6520" s="5">
        <v>45621</v>
      </c>
      <c r="B6520" s="1">
        <v>4.2731000000000003</v>
      </c>
      <c r="C6520" s="1">
        <v>0.78</v>
      </c>
      <c r="D6520" s="1">
        <v>4.4657</v>
      </c>
    </row>
    <row r="6521" spans="1:4" x14ac:dyDescent="0.2">
      <c r="A6521" s="5">
        <v>45622</v>
      </c>
      <c r="B6521" s="1">
        <v>4.3061999999999996</v>
      </c>
      <c r="C6521" s="1">
        <v>0.79</v>
      </c>
      <c r="D6521" s="1">
        <v>4.4817999999999998</v>
      </c>
    </row>
    <row r="6522" spans="1:4" x14ac:dyDescent="0.2">
      <c r="A6522" s="5">
        <v>45623</v>
      </c>
      <c r="B6522" s="1">
        <v>4.2633999999999999</v>
      </c>
      <c r="C6522" s="1">
        <v>0.79</v>
      </c>
      <c r="D6522" s="1">
        <v>4.4382999999999999</v>
      </c>
    </row>
    <row r="6523" spans="1:4" x14ac:dyDescent="0.2">
      <c r="A6523" s="5">
        <v>45624</v>
      </c>
      <c r="B6523" s="1">
        <v>4.2633999999999999</v>
      </c>
      <c r="C6523" s="1">
        <v>0.79</v>
      </c>
      <c r="D6523" s="1">
        <v>4.4382999999999999</v>
      </c>
    </row>
    <row r="6524" spans="1:4" x14ac:dyDescent="0.2">
      <c r="A6524" s="5">
        <v>45625</v>
      </c>
      <c r="B6524" s="1">
        <v>4.1684999999999999</v>
      </c>
      <c r="C6524" s="1">
        <v>0.78</v>
      </c>
      <c r="D6524" s="1">
        <v>4.3598999999999997</v>
      </c>
    </row>
    <row r="6525" spans="1:4" x14ac:dyDescent="0.2">
      <c r="A6525" s="5">
        <v>45628</v>
      </c>
      <c r="B6525" s="1">
        <v>4.1897000000000002</v>
      </c>
      <c r="C6525" s="1">
        <v>0.78</v>
      </c>
      <c r="D6525" s="1">
        <v>4.3617999999999997</v>
      </c>
    </row>
    <row r="6526" spans="1:4" x14ac:dyDescent="0.2">
      <c r="A6526" s="5">
        <v>45629</v>
      </c>
      <c r="B6526" s="1">
        <v>4.2244999999999999</v>
      </c>
      <c r="C6526" s="1">
        <v>0.77</v>
      </c>
      <c r="D6526" s="1">
        <v>4.4016999999999999</v>
      </c>
    </row>
    <row r="6527" spans="1:4" x14ac:dyDescent="0.2">
      <c r="A6527" s="5">
        <v>45630</v>
      </c>
      <c r="B6527" s="1">
        <v>4.18</v>
      </c>
      <c r="C6527" s="1">
        <v>0.77</v>
      </c>
      <c r="D6527" s="1">
        <v>4.3441999999999998</v>
      </c>
    </row>
    <row r="6528" spans="1:4" x14ac:dyDescent="0.2">
      <c r="A6528" s="5">
        <v>45631</v>
      </c>
      <c r="B6528" s="1">
        <v>4.1760999999999999</v>
      </c>
      <c r="C6528" s="1">
        <v>0.78</v>
      </c>
      <c r="D6528" s="1">
        <v>4.3341000000000003</v>
      </c>
    </row>
    <row r="6529" spans="1:4" x14ac:dyDescent="0.2">
      <c r="A6529" s="5">
        <v>45632</v>
      </c>
      <c r="B6529" s="1">
        <v>4.1528999999999998</v>
      </c>
      <c r="C6529" s="1">
        <v>0.78</v>
      </c>
      <c r="D6529" s="1">
        <v>4.3358999999999996</v>
      </c>
    </row>
    <row r="6530" spans="1:4" x14ac:dyDescent="0.2">
      <c r="A6530" s="5">
        <v>45635</v>
      </c>
      <c r="B6530" s="1">
        <v>4.2012</v>
      </c>
      <c r="C6530" s="1">
        <v>0.77</v>
      </c>
      <c r="D6530" s="1">
        <v>4.3857999999999997</v>
      </c>
    </row>
    <row r="6531" spans="1:4" x14ac:dyDescent="0.2">
      <c r="A6531" s="5">
        <v>45636</v>
      </c>
      <c r="B6531" s="1">
        <v>4.2263000000000002</v>
      </c>
      <c r="C6531" s="1">
        <v>0.76</v>
      </c>
      <c r="D6531" s="1">
        <v>4.4194000000000004</v>
      </c>
    </row>
    <row r="6532" spans="1:4" x14ac:dyDescent="0.2">
      <c r="A6532" s="5">
        <v>45637</v>
      </c>
      <c r="B6532" s="1">
        <v>4.2710999999999997</v>
      </c>
      <c r="C6532" s="1">
        <v>0.74</v>
      </c>
      <c r="D6532" s="1">
        <v>4.4825999999999997</v>
      </c>
    </row>
    <row r="6533" spans="1:4" x14ac:dyDescent="0.2">
      <c r="A6533" s="5">
        <v>45638</v>
      </c>
      <c r="B6533" s="1">
        <v>4.3277999999999999</v>
      </c>
      <c r="C6533" s="1">
        <v>0.75</v>
      </c>
      <c r="D6533" s="1">
        <v>4.5439999999999996</v>
      </c>
    </row>
    <row r="6534" spans="1:4" x14ac:dyDescent="0.2">
      <c r="A6534" s="5">
        <v>45639</v>
      </c>
      <c r="B6534" s="1">
        <v>4.3967000000000001</v>
      </c>
      <c r="C6534" s="1">
        <v>0.75</v>
      </c>
      <c r="D6534" s="1">
        <v>4.6013000000000002</v>
      </c>
    </row>
    <row r="6535" spans="1:4" x14ac:dyDescent="0.2">
      <c r="A6535" s="5">
        <v>45642</v>
      </c>
      <c r="B6535" s="1">
        <v>4.3967000000000001</v>
      </c>
      <c r="C6535" s="1">
        <v>0.75</v>
      </c>
      <c r="D6535" s="1">
        <v>4.5983999999999998</v>
      </c>
    </row>
    <row r="6536" spans="1:4" x14ac:dyDescent="0.2">
      <c r="A6536" s="5">
        <v>45643</v>
      </c>
      <c r="B6536" s="1">
        <v>4.3986999999999998</v>
      </c>
      <c r="C6536" s="1">
        <v>0.76</v>
      </c>
      <c r="D6536" s="1">
        <v>4.5885999999999996</v>
      </c>
    </row>
    <row r="6537" spans="1:4" x14ac:dyDescent="0.2">
      <c r="A6537" s="5">
        <v>45644</v>
      </c>
      <c r="B6537" s="1">
        <v>4.5140000000000002</v>
      </c>
      <c r="C6537" s="1">
        <v>0.76</v>
      </c>
      <c r="D6537" s="1">
        <v>4.6753</v>
      </c>
    </row>
    <row r="6538" spans="1:4" x14ac:dyDescent="0.2">
      <c r="A6538" s="5">
        <v>45645</v>
      </c>
      <c r="B6538" s="1">
        <v>4.5621</v>
      </c>
      <c r="C6538" s="1">
        <v>0.79</v>
      </c>
      <c r="D6538" s="1">
        <v>4.7355</v>
      </c>
    </row>
    <row r="6539" spans="1:4" x14ac:dyDescent="0.2">
      <c r="A6539" s="5">
        <v>45646</v>
      </c>
      <c r="B6539" s="1">
        <v>4.5221999999999998</v>
      </c>
      <c r="C6539" s="1">
        <v>0.79</v>
      </c>
      <c r="D6539" s="1">
        <v>4.7203999999999997</v>
      </c>
    </row>
    <row r="6540" spans="1:4" x14ac:dyDescent="0.2">
      <c r="A6540" s="5">
        <v>45649</v>
      </c>
      <c r="B6540" s="1">
        <v>4.5865</v>
      </c>
      <c r="C6540" s="1">
        <v>0.78</v>
      </c>
      <c r="D6540" s="1">
        <v>4.774</v>
      </c>
    </row>
    <row r="6541" spans="1:4" x14ac:dyDescent="0.2">
      <c r="A6541" s="5">
        <v>45650</v>
      </c>
      <c r="B6541" s="1">
        <v>4.5887000000000002</v>
      </c>
      <c r="C6541" s="1">
        <v>0.77</v>
      </c>
      <c r="D6541" s="1">
        <v>4.7618</v>
      </c>
    </row>
    <row r="6542" spans="1:4" x14ac:dyDescent="0.2">
      <c r="A6542" s="5">
        <v>45651</v>
      </c>
      <c r="B6542" s="1">
        <v>4.5887000000000002</v>
      </c>
      <c r="C6542" s="1">
        <v>0.77</v>
      </c>
      <c r="D6542" s="1">
        <v>4.7618</v>
      </c>
    </row>
    <row r="6543" spans="1:4" x14ac:dyDescent="0.2">
      <c r="A6543" s="5">
        <v>45652</v>
      </c>
      <c r="B6543" s="1">
        <v>4.5827</v>
      </c>
      <c r="C6543" s="1">
        <v>0.77</v>
      </c>
      <c r="D6543" s="1">
        <v>4.7699999999999996</v>
      </c>
    </row>
    <row r="6544" spans="1:4" x14ac:dyDescent="0.2">
      <c r="A6544" s="5">
        <v>45653</v>
      </c>
      <c r="B6544" s="1">
        <v>4.6253000000000002</v>
      </c>
      <c r="C6544" s="1">
        <v>0.77</v>
      </c>
      <c r="D6544" s="1">
        <v>4.8170999999999999</v>
      </c>
    </row>
    <row r="6545" spans="1:4" x14ac:dyDescent="0.2">
      <c r="A6545" s="5">
        <v>45656</v>
      </c>
      <c r="B6545" s="1">
        <v>4.5327000000000002</v>
      </c>
      <c r="C6545" s="1">
        <v>0.78</v>
      </c>
      <c r="D6545" s="1">
        <v>4.7496999999999998</v>
      </c>
    </row>
    <row r="6546" spans="1:4" x14ac:dyDescent="0.2">
      <c r="A6546" s="5">
        <v>45657</v>
      </c>
      <c r="B6546" s="1">
        <v>4.569</v>
      </c>
      <c r="C6546" s="1">
        <v>0.8</v>
      </c>
      <c r="D6546" s="1">
        <v>4.7812000000000001</v>
      </c>
    </row>
    <row r="6547" spans="1:4" x14ac:dyDescent="0.2">
      <c r="A6547" s="5">
        <v>45658</v>
      </c>
      <c r="B6547" s="1">
        <v>4.569</v>
      </c>
      <c r="C6547" s="1">
        <v>0.8</v>
      </c>
      <c r="D6547" s="1">
        <v>4.7812000000000001</v>
      </c>
    </row>
    <row r="6548" spans="1:4" x14ac:dyDescent="0.2">
      <c r="A6548" s="5">
        <v>45659</v>
      </c>
      <c r="B6548" s="1">
        <v>4.5590000000000002</v>
      </c>
      <c r="C6548" s="1">
        <v>0.8</v>
      </c>
      <c r="D6548" s="1">
        <v>4.7771999999999997</v>
      </c>
    </row>
    <row r="6549" spans="1:4" x14ac:dyDescent="0.2">
      <c r="A6549" s="5">
        <v>45660</v>
      </c>
      <c r="B6549" s="1">
        <v>4.5975000000000001</v>
      </c>
      <c r="C6549" s="1">
        <v>0.8</v>
      </c>
      <c r="D6549" s="1">
        <v>4.8109999999999999</v>
      </c>
    </row>
    <row r="6550" spans="1:4" x14ac:dyDescent="0.2">
      <c r="A6550" s="5">
        <v>45663</v>
      </c>
      <c r="B6550" s="1">
        <v>4.63</v>
      </c>
      <c r="C6550" s="1">
        <v>0.81</v>
      </c>
      <c r="D6550" s="1">
        <v>4.8482000000000003</v>
      </c>
    </row>
    <row r="6551" spans="1:4" x14ac:dyDescent="0.2">
      <c r="A6551" s="5">
        <v>45664</v>
      </c>
      <c r="B6551" s="1">
        <v>4.6849999999999996</v>
      </c>
      <c r="C6551" s="1">
        <v>0.81</v>
      </c>
      <c r="D6551" s="1">
        <v>4.9130000000000003</v>
      </c>
    </row>
    <row r="6552" spans="1:4" x14ac:dyDescent="0.2">
      <c r="A6552" s="5">
        <v>45665</v>
      </c>
      <c r="B6552" s="1">
        <v>4.6891999999999996</v>
      </c>
      <c r="C6552" s="1">
        <v>0.8</v>
      </c>
      <c r="D6552" s="1">
        <v>4.9309000000000003</v>
      </c>
    </row>
    <row r="6553" spans="1:4" x14ac:dyDescent="0.2">
      <c r="A6553" s="5">
        <v>45666</v>
      </c>
      <c r="B6553" s="1">
        <v>4.6893000000000002</v>
      </c>
      <c r="C6553" s="1">
        <v>0.8</v>
      </c>
      <c r="D6553" s="1">
        <v>4.9287999999999998</v>
      </c>
    </row>
    <row r="6554" spans="1:4" x14ac:dyDescent="0.2">
      <c r="A6554" s="5">
        <v>45667</v>
      </c>
      <c r="B6554" s="1">
        <v>4.7591999999999999</v>
      </c>
      <c r="C6554" s="1">
        <v>0.8</v>
      </c>
      <c r="D6554" s="1">
        <v>4.9469000000000003</v>
      </c>
    </row>
    <row r="6555" spans="1:4" x14ac:dyDescent="0.2">
      <c r="A6555" s="5">
        <v>45670</v>
      </c>
      <c r="B6555" s="1">
        <v>4.7778999999999998</v>
      </c>
      <c r="C6555" s="1">
        <v>0.81</v>
      </c>
      <c r="D6555" s="1">
        <v>4.9618000000000002</v>
      </c>
    </row>
    <row r="6556" spans="1:4" x14ac:dyDescent="0.2">
      <c r="A6556" s="5">
        <v>45671</v>
      </c>
      <c r="B6556" s="1">
        <v>4.7923999999999998</v>
      </c>
      <c r="C6556" s="1">
        <v>0.81</v>
      </c>
      <c r="D6556" s="1">
        <v>4.9745999999999997</v>
      </c>
    </row>
    <row r="6557" spans="1:4" x14ac:dyDescent="0.2">
      <c r="A6557" s="5">
        <v>45672</v>
      </c>
      <c r="B6557" s="1">
        <v>4.6531000000000002</v>
      </c>
      <c r="C6557" s="1">
        <v>0.8</v>
      </c>
      <c r="D6557" s="1">
        <v>4.8795000000000002</v>
      </c>
    </row>
    <row r="6558" spans="1:4" x14ac:dyDescent="0.2">
      <c r="A6558" s="5">
        <v>45673</v>
      </c>
      <c r="B6558" s="1">
        <v>4.6124999999999998</v>
      </c>
      <c r="C6558" s="1">
        <v>0.8</v>
      </c>
      <c r="D6558" s="1">
        <v>4.8544999999999998</v>
      </c>
    </row>
    <row r="6559" spans="1:4" x14ac:dyDescent="0.2">
      <c r="A6559" s="5">
        <v>45674</v>
      </c>
      <c r="B6559" s="1">
        <v>4.6269999999999998</v>
      </c>
      <c r="C6559" s="1">
        <v>0.8</v>
      </c>
      <c r="D6559" s="1">
        <v>4.8567</v>
      </c>
    </row>
    <row r="6560" spans="1:4" x14ac:dyDescent="0.2">
      <c r="A6560" s="5">
        <v>45677</v>
      </c>
      <c r="B6560" s="1">
        <v>4.6269999999999998</v>
      </c>
      <c r="C6560" s="1">
        <v>0.8</v>
      </c>
      <c r="D6560" s="1">
        <v>4.8567</v>
      </c>
    </row>
    <row r="6561" spans="1:4" x14ac:dyDescent="0.2">
      <c r="A6561" s="5">
        <v>45678</v>
      </c>
      <c r="B6561" s="1">
        <v>4.5763999999999996</v>
      </c>
      <c r="C6561" s="1">
        <v>0.79</v>
      </c>
      <c r="D6561" s="1">
        <v>4.8090999999999999</v>
      </c>
    </row>
    <row r="6562" spans="1:4" x14ac:dyDescent="0.2">
      <c r="A6562" s="5">
        <v>45679</v>
      </c>
      <c r="B6562" s="1">
        <v>4.6109</v>
      </c>
      <c r="C6562" s="1">
        <v>0.79</v>
      </c>
      <c r="D6562" s="1">
        <v>4.8246000000000002</v>
      </c>
    </row>
    <row r="6563" spans="1:4" x14ac:dyDescent="0.2">
      <c r="A6563" s="5">
        <v>45680</v>
      </c>
      <c r="B6563" s="1">
        <v>4.6436000000000002</v>
      </c>
      <c r="C6563" s="1">
        <v>0.78</v>
      </c>
      <c r="D6563" s="1">
        <v>4.8670999999999998</v>
      </c>
    </row>
    <row r="6564" spans="1:4" x14ac:dyDescent="0.2">
      <c r="A6564" s="5">
        <v>45681</v>
      </c>
      <c r="B6564" s="1">
        <v>4.6214000000000004</v>
      </c>
      <c r="C6564" s="1">
        <v>0.78</v>
      </c>
      <c r="D6564" s="1">
        <v>4.8452999999999999</v>
      </c>
    </row>
    <row r="6565" spans="1:4" x14ac:dyDescent="0.2">
      <c r="A6565" s="5">
        <v>45684</v>
      </c>
      <c r="B6565" s="1">
        <v>4.5343</v>
      </c>
      <c r="C6565" s="1">
        <v>0.79</v>
      </c>
      <c r="D6565" s="1">
        <v>4.7702999999999998</v>
      </c>
    </row>
    <row r="6566" spans="1:4" x14ac:dyDescent="0.2">
      <c r="A6566" s="5">
        <v>45685</v>
      </c>
      <c r="B6566" s="1">
        <v>4.5323000000000002</v>
      </c>
      <c r="C6566" s="1">
        <v>0.79</v>
      </c>
      <c r="D6566" s="1">
        <v>4.7754000000000003</v>
      </c>
    </row>
    <row r="6567" spans="1:4" x14ac:dyDescent="0.2">
      <c r="A6567" s="5">
        <v>45686</v>
      </c>
      <c r="B6567" s="1">
        <v>4.5284000000000004</v>
      </c>
      <c r="C6567" s="1">
        <v>0.79</v>
      </c>
      <c r="D6567" s="1">
        <v>4.7693000000000003</v>
      </c>
    </row>
    <row r="6568" spans="1:4" x14ac:dyDescent="0.2">
      <c r="A6568" s="5">
        <v>45687</v>
      </c>
      <c r="B6568" s="1">
        <v>4.5163000000000002</v>
      </c>
      <c r="C6568" s="1">
        <v>0.79</v>
      </c>
      <c r="D6568" s="1">
        <v>4.7601000000000004</v>
      </c>
    </row>
    <row r="6569" spans="1:4" x14ac:dyDescent="0.2">
      <c r="A6569" s="5">
        <v>45688</v>
      </c>
      <c r="B6569" s="1">
        <v>4.5387000000000004</v>
      </c>
      <c r="C6569" s="1">
        <v>0.79</v>
      </c>
      <c r="D6569" s="1">
        <v>4.7866999999999997</v>
      </c>
    </row>
    <row r="6570" spans="1:4" x14ac:dyDescent="0.2">
      <c r="A6570" s="5">
        <v>45691</v>
      </c>
      <c r="B6570" s="1">
        <v>4.5549999999999997</v>
      </c>
      <c r="C6570" s="1">
        <v>0.81</v>
      </c>
      <c r="D6570" s="1">
        <v>4.7907999999999999</v>
      </c>
    </row>
    <row r="6571" spans="1:4" x14ac:dyDescent="0.2">
      <c r="A6571" s="5">
        <v>45692</v>
      </c>
      <c r="B6571" s="1">
        <v>4.5105000000000004</v>
      </c>
      <c r="C6571" s="1">
        <v>0.8</v>
      </c>
      <c r="D6571" s="1">
        <v>4.7458999999999998</v>
      </c>
    </row>
    <row r="6572" spans="1:4" x14ac:dyDescent="0.2">
      <c r="A6572" s="5">
        <v>45693</v>
      </c>
      <c r="B6572" s="1">
        <v>4.4180999999999999</v>
      </c>
      <c r="C6572" s="1">
        <v>0.81</v>
      </c>
      <c r="D6572" s="1">
        <v>4.6357999999999997</v>
      </c>
    </row>
    <row r="6573" spans="1:4" x14ac:dyDescent="0.2">
      <c r="A6573" s="5">
        <v>45694</v>
      </c>
      <c r="B6573" s="1">
        <v>4.4341999999999997</v>
      </c>
      <c r="C6573" s="1">
        <v>0.82</v>
      </c>
      <c r="D6573" s="1">
        <v>4.6368</v>
      </c>
    </row>
    <row r="6574" spans="1:4" x14ac:dyDescent="0.2">
      <c r="A6574" s="5">
        <v>45695</v>
      </c>
      <c r="B6574" s="1">
        <v>4.4946999999999999</v>
      </c>
      <c r="C6574" s="1">
        <v>0.82</v>
      </c>
      <c r="D6574" s="1">
        <v>4.6925999999999997</v>
      </c>
    </row>
    <row r="6575" spans="1:4" x14ac:dyDescent="0.2">
      <c r="A6575" s="5">
        <v>45698</v>
      </c>
      <c r="B6575" s="1">
        <v>4.4968000000000004</v>
      </c>
      <c r="C6575" s="1">
        <v>0.82</v>
      </c>
      <c r="D6575" s="1">
        <v>4.7065999999999999</v>
      </c>
    </row>
    <row r="6576" spans="1:4" x14ac:dyDescent="0.2">
      <c r="A6576" s="5">
        <v>45699</v>
      </c>
      <c r="B6576" s="1">
        <v>4.5351999999999997</v>
      </c>
      <c r="C6576" s="1">
        <v>0.81</v>
      </c>
      <c r="D6576" s="1">
        <v>4.7469999999999999</v>
      </c>
    </row>
    <row r="6577" spans="1:4" x14ac:dyDescent="0.2">
      <c r="A6577" s="5">
        <v>45700</v>
      </c>
      <c r="B6577" s="1">
        <v>4.6208</v>
      </c>
      <c r="C6577" s="1">
        <v>0.79</v>
      </c>
      <c r="D6577" s="1">
        <v>4.8320999999999996</v>
      </c>
    </row>
    <row r="6578" spans="1:4" x14ac:dyDescent="0.2">
      <c r="A6578" s="5">
        <v>45701</v>
      </c>
      <c r="B6578" s="1">
        <v>4.5288000000000004</v>
      </c>
      <c r="C6578" s="1">
        <v>0.78</v>
      </c>
      <c r="D6578" s="1">
        <v>4.7369000000000003</v>
      </c>
    </row>
    <row r="6579" spans="1:4" x14ac:dyDescent="0.2">
      <c r="A6579" s="5">
        <v>45702</v>
      </c>
      <c r="B6579" s="1">
        <v>4.4762000000000004</v>
      </c>
      <c r="C6579" s="1">
        <v>0.78</v>
      </c>
      <c r="D6579" s="1">
        <v>4.6962999999999999</v>
      </c>
    </row>
    <row r="6580" spans="1:4" x14ac:dyDescent="0.2">
      <c r="A6580" s="5">
        <v>45705</v>
      </c>
      <c r="B6580" s="1">
        <v>4.4762000000000004</v>
      </c>
      <c r="C6580" s="1">
        <v>0.78</v>
      </c>
      <c r="D6580" s="1">
        <v>4.6962999999999999</v>
      </c>
    </row>
    <row r="6581" spans="1:4" x14ac:dyDescent="0.2">
      <c r="A6581" s="5">
        <v>45706</v>
      </c>
      <c r="B6581" s="1">
        <v>4.5503</v>
      </c>
      <c r="C6581" s="1">
        <v>0.77</v>
      </c>
      <c r="D6581" s="1">
        <v>4.7656999999999998</v>
      </c>
    </row>
    <row r="6582" spans="1:4" x14ac:dyDescent="0.2">
      <c r="A6582" s="5">
        <v>45707</v>
      </c>
      <c r="B6582" s="1">
        <v>4.5327000000000002</v>
      </c>
      <c r="C6582" s="1">
        <v>0.77</v>
      </c>
      <c r="D6582" s="1">
        <v>4.7656999999999998</v>
      </c>
    </row>
    <row r="6583" spans="1:4" x14ac:dyDescent="0.2">
      <c r="A6583" s="5">
        <v>45708</v>
      </c>
      <c r="B6583" s="1">
        <v>4.5053000000000001</v>
      </c>
      <c r="C6583" s="1">
        <v>0.78</v>
      </c>
      <c r="D6583" s="1">
        <v>4.7468000000000004</v>
      </c>
    </row>
    <row r="6584" spans="1:4" x14ac:dyDescent="0.2">
      <c r="A6584" s="5">
        <v>45709</v>
      </c>
      <c r="B6584" s="1">
        <v>4.4313000000000002</v>
      </c>
      <c r="C6584" s="1">
        <v>0.8</v>
      </c>
      <c r="D6584" s="1">
        <v>4.6784999999999997</v>
      </c>
    </row>
    <row r="6585" spans="1:4" x14ac:dyDescent="0.2">
      <c r="A6585" s="5">
        <v>45712</v>
      </c>
      <c r="B6585" s="1">
        <v>4.4002999999999997</v>
      </c>
      <c r="C6585" s="1">
        <v>0.8</v>
      </c>
      <c r="D6585" s="1">
        <v>4.6550000000000002</v>
      </c>
    </row>
    <row r="6586" spans="1:4" x14ac:dyDescent="0.2">
      <c r="A6586" s="5">
        <v>45713</v>
      </c>
      <c r="B6586" s="1">
        <v>4.2945000000000002</v>
      </c>
      <c r="C6586" s="1">
        <v>0.82</v>
      </c>
      <c r="D6586" s="1">
        <v>4.5548000000000002</v>
      </c>
    </row>
    <row r="6587" spans="1:4" x14ac:dyDescent="0.2">
      <c r="A6587" s="5">
        <v>45714</v>
      </c>
      <c r="B6587" s="1">
        <v>4.2561999999999998</v>
      </c>
      <c r="C6587" s="1">
        <v>0.83</v>
      </c>
      <c r="D6587" s="1">
        <v>4.5092999999999996</v>
      </c>
    </row>
    <row r="6588" spans="1:4" x14ac:dyDescent="0.2">
      <c r="A6588" s="5">
        <v>45715</v>
      </c>
      <c r="B6588" s="1">
        <v>4.2599</v>
      </c>
      <c r="C6588" s="1">
        <v>0.84</v>
      </c>
      <c r="D6588" s="1">
        <v>4.5309999999999997</v>
      </c>
    </row>
    <row r="6589" spans="1:4" x14ac:dyDescent="0.2">
      <c r="A6589" s="5">
        <v>45716</v>
      </c>
      <c r="B6589" s="1">
        <v>4.2081999999999997</v>
      </c>
      <c r="C6589" s="1">
        <v>0.87</v>
      </c>
      <c r="D6589" s="1">
        <v>4.4893999999999998</v>
      </c>
    </row>
    <row r="6590" spans="1:4" x14ac:dyDescent="0.2">
      <c r="A6590" s="5">
        <v>45719</v>
      </c>
      <c r="B6590" s="1">
        <v>4.1551</v>
      </c>
      <c r="C6590" s="1">
        <v>0.88</v>
      </c>
      <c r="D6590" s="1">
        <v>4.4493</v>
      </c>
    </row>
    <row r="6591" spans="1:4" x14ac:dyDescent="0.2">
      <c r="A6591" s="5">
        <v>45720</v>
      </c>
      <c r="B6591" s="1">
        <v>4.2442000000000002</v>
      </c>
      <c r="C6591" s="1">
        <v>0.88</v>
      </c>
      <c r="D6591" s="1">
        <v>4.5376000000000003</v>
      </c>
    </row>
    <row r="6592" spans="1:4" x14ac:dyDescent="0.2">
      <c r="A6592" s="5">
        <v>45721</v>
      </c>
      <c r="B6592" s="1">
        <v>4.2785000000000002</v>
      </c>
      <c r="C6592" s="1">
        <v>0.85</v>
      </c>
      <c r="D6592" s="1">
        <v>4.5719000000000003</v>
      </c>
    </row>
    <row r="6593" spans="1:4" x14ac:dyDescent="0.2">
      <c r="A6593" s="5">
        <v>45722</v>
      </c>
      <c r="B6593" s="1">
        <v>4.2784000000000004</v>
      </c>
      <c r="C6593" s="1">
        <v>0.87</v>
      </c>
      <c r="D6593" s="1">
        <v>4.5785999999999998</v>
      </c>
    </row>
    <row r="6594" spans="1:4" x14ac:dyDescent="0.2">
      <c r="A6594" s="5">
        <v>45723</v>
      </c>
      <c r="B6594" s="1">
        <v>4.3010999999999999</v>
      </c>
      <c r="C6594" s="1">
        <v>0.87</v>
      </c>
      <c r="D6594" s="1">
        <v>4.5978000000000003</v>
      </c>
    </row>
    <row r="6595" spans="1:4" x14ac:dyDescent="0.2">
      <c r="A6595" s="5">
        <v>45726</v>
      </c>
      <c r="B6595" s="1">
        <v>4.2130999999999998</v>
      </c>
      <c r="C6595" s="1">
        <v>0.91</v>
      </c>
      <c r="D6595" s="1">
        <v>4.5404</v>
      </c>
    </row>
    <row r="6596" spans="1:4" x14ac:dyDescent="0.2">
      <c r="A6596" s="5">
        <v>45727</v>
      </c>
      <c r="B6596" s="1">
        <v>4.2798999999999996</v>
      </c>
      <c r="C6596" s="1">
        <v>0.94</v>
      </c>
      <c r="D6596" s="1">
        <v>4.5949</v>
      </c>
    </row>
    <row r="6597" spans="1:4" x14ac:dyDescent="0.2">
      <c r="A6597" s="5">
        <v>45728</v>
      </c>
      <c r="B6597" s="1">
        <v>4.3124000000000002</v>
      </c>
      <c r="C6597" s="1">
        <v>0.94</v>
      </c>
      <c r="D6597" s="1">
        <v>4.6306000000000003</v>
      </c>
    </row>
    <row r="6598" spans="1:4" x14ac:dyDescent="0.2">
      <c r="A6598" s="5">
        <v>45729</v>
      </c>
      <c r="B6598" s="1">
        <v>4.2682000000000002</v>
      </c>
      <c r="C6598" s="1">
        <v>0.97</v>
      </c>
      <c r="D6598" s="1">
        <v>4.5891000000000002</v>
      </c>
    </row>
    <row r="6599" spans="1:4" x14ac:dyDescent="0.2">
      <c r="A6599" s="5">
        <v>45730</v>
      </c>
      <c r="B6599" s="1">
        <v>4.3121</v>
      </c>
      <c r="C6599" s="1">
        <v>0.93</v>
      </c>
      <c r="D6599" s="1">
        <v>4.6219000000000001</v>
      </c>
    </row>
    <row r="6600" spans="1:4" x14ac:dyDescent="0.2">
      <c r="A6600" s="5">
        <v>45733</v>
      </c>
      <c r="B6600" s="1">
        <v>4.2984999999999998</v>
      </c>
      <c r="C6600" s="1">
        <v>0.92</v>
      </c>
      <c r="D6600" s="1">
        <v>4.5938999999999997</v>
      </c>
    </row>
    <row r="6601" spans="1:4" x14ac:dyDescent="0.2">
      <c r="A6601" s="5">
        <v>45734</v>
      </c>
      <c r="B6601" s="1">
        <v>4.2831000000000001</v>
      </c>
      <c r="C6601" s="1">
        <v>0.92</v>
      </c>
      <c r="D6601" s="1">
        <v>4.5852000000000004</v>
      </c>
    </row>
    <row r="6602" spans="1:4" x14ac:dyDescent="0.2">
      <c r="A6602" s="5">
        <v>45735</v>
      </c>
      <c r="B6602" s="1">
        <v>4.2427999999999999</v>
      </c>
      <c r="C6602" s="1">
        <v>0.89</v>
      </c>
      <c r="D6602" s="1">
        <v>4.5507</v>
      </c>
    </row>
    <row r="6603" spans="1:4" x14ac:dyDescent="0.2">
      <c r="A6603" s="5">
        <v>45736</v>
      </c>
      <c r="B6603" s="1">
        <v>4.2369000000000003</v>
      </c>
      <c r="C6603" s="1">
        <v>0.9</v>
      </c>
      <c r="D6603" s="1">
        <v>4.5555000000000003</v>
      </c>
    </row>
    <row r="6604" spans="1:4" x14ac:dyDescent="0.2">
      <c r="A6604" s="5">
        <v>45737</v>
      </c>
      <c r="B6604" s="1">
        <v>4.2462</v>
      </c>
      <c r="C6604" s="1">
        <v>0.9</v>
      </c>
      <c r="D6604" s="1">
        <v>4.5890000000000004</v>
      </c>
    </row>
    <row r="6605" spans="1:4" x14ac:dyDescent="0.2">
      <c r="A6605" s="5">
        <v>45740</v>
      </c>
      <c r="B6605" s="1">
        <v>4.3346</v>
      </c>
      <c r="C6605" s="1">
        <v>0.89</v>
      </c>
      <c r="D6605" s="1">
        <v>4.6627000000000001</v>
      </c>
    </row>
    <row r="6606" spans="1:4" x14ac:dyDescent="0.2">
      <c r="A6606" s="5">
        <v>45741</v>
      </c>
      <c r="B6606" s="1">
        <v>4.3132999999999999</v>
      </c>
      <c r="C6606" s="1">
        <v>0.89</v>
      </c>
      <c r="D6606" s="1">
        <v>4.6588000000000003</v>
      </c>
    </row>
    <row r="6607" spans="1:4" x14ac:dyDescent="0.2">
      <c r="A6607" s="5">
        <v>45742</v>
      </c>
      <c r="B6607" s="1">
        <v>4.3518999999999997</v>
      </c>
      <c r="C6607" s="1">
        <v>0.9</v>
      </c>
      <c r="D6607" s="1">
        <v>4.702</v>
      </c>
    </row>
    <row r="6608" spans="1:4" x14ac:dyDescent="0.2">
      <c r="A6608" s="5">
        <v>45743</v>
      </c>
      <c r="B6608" s="1">
        <v>4.3594999999999997</v>
      </c>
      <c r="C6608" s="1">
        <v>0.91</v>
      </c>
      <c r="D6608" s="1">
        <v>4.7207999999999997</v>
      </c>
    </row>
    <row r="6609" spans="1:4" x14ac:dyDescent="0.2">
      <c r="A6609" s="5">
        <v>45744</v>
      </c>
      <c r="B6609" s="1">
        <v>4.2493999999999996</v>
      </c>
      <c r="C6609" s="1">
        <v>0.93</v>
      </c>
      <c r="D6609" s="1">
        <v>4.6285999999999996</v>
      </c>
    </row>
    <row r="6610" spans="1:4" x14ac:dyDescent="0.2">
      <c r="A6610" s="5">
        <v>45747</v>
      </c>
      <c r="B6610" s="1">
        <v>4.2053000000000003</v>
      </c>
      <c r="C6610" s="1">
        <v>0.94</v>
      </c>
      <c r="D6610" s="1">
        <v>4.5707000000000004</v>
      </c>
    </row>
    <row r="6611" spans="1:4" x14ac:dyDescent="0.2">
      <c r="A6611" s="5">
        <v>45748</v>
      </c>
      <c r="B6611" s="1">
        <v>4.1688999999999998</v>
      </c>
      <c r="C6611" s="1">
        <v>0.96</v>
      </c>
      <c r="D6611" s="1">
        <v>4.524</v>
      </c>
    </row>
    <row r="6612" spans="1:4" x14ac:dyDescent="0.2">
      <c r="A6612" s="5">
        <v>45749</v>
      </c>
      <c r="B6612" s="1">
        <v>4.1307</v>
      </c>
      <c r="C6612" s="1">
        <v>0.93</v>
      </c>
      <c r="D6612" s="1">
        <v>4.5004</v>
      </c>
    </row>
    <row r="6613" spans="1:4" x14ac:dyDescent="0.2">
      <c r="A6613" s="5">
        <v>45750</v>
      </c>
      <c r="B6613" s="1">
        <v>4.0286</v>
      </c>
      <c r="C6613" s="1">
        <v>1.02</v>
      </c>
      <c r="D6613" s="1">
        <v>4.4702999999999999</v>
      </c>
    </row>
    <row r="6614" spans="1:4" x14ac:dyDescent="0.2">
      <c r="A6614" s="5">
        <v>45751</v>
      </c>
      <c r="B6614" s="1">
        <v>3.9943</v>
      </c>
      <c r="C6614" s="1">
        <v>1.0900000000000001</v>
      </c>
      <c r="D6614" s="1">
        <v>4.4089999999999998</v>
      </c>
    </row>
    <row r="6615" spans="1:4" x14ac:dyDescent="0.2">
      <c r="A6615" s="5">
        <v>45754</v>
      </c>
      <c r="B6615" s="1">
        <v>4.1835000000000004</v>
      </c>
      <c r="C6615" s="1">
        <v>1.1599999999999999</v>
      </c>
      <c r="D6615" s="1">
        <v>4.6188000000000002</v>
      </c>
    </row>
    <row r="6616" spans="1:4" x14ac:dyDescent="0.2">
      <c r="A6616" s="5">
        <v>45755</v>
      </c>
      <c r="B6616" s="1">
        <v>4.2929000000000004</v>
      </c>
      <c r="C6616" s="1">
        <v>1.19</v>
      </c>
      <c r="D6616" s="1">
        <v>4.7647000000000004</v>
      </c>
    </row>
    <row r="6617" spans="1:4" x14ac:dyDescent="0.2">
      <c r="A6617" s="5">
        <v>45756</v>
      </c>
      <c r="B6617" s="1">
        <v>4.3315000000000001</v>
      </c>
      <c r="C6617" s="1">
        <v>1.1200000000000001</v>
      </c>
      <c r="D6617" s="1">
        <v>4.7366999999999999</v>
      </c>
    </row>
    <row r="6618" spans="1:4" x14ac:dyDescent="0.2">
      <c r="A6618" s="5">
        <v>45757</v>
      </c>
      <c r="B6618" s="1">
        <v>4.4249000000000001</v>
      </c>
      <c r="C6618" s="1">
        <v>1.1399999999999999</v>
      </c>
      <c r="D6618" s="1">
        <v>4.8692000000000002</v>
      </c>
    </row>
    <row r="6619" spans="1:4" x14ac:dyDescent="0.2">
      <c r="A6619" s="5">
        <v>45758</v>
      </c>
      <c r="B6619" s="1">
        <v>4.4894999999999996</v>
      </c>
      <c r="C6619" s="1">
        <v>1.1299999999999999</v>
      </c>
      <c r="D6619" s="1">
        <v>4.8703000000000003</v>
      </c>
    </row>
    <row r="6620" spans="1:4" x14ac:dyDescent="0.2">
      <c r="A6620" s="5">
        <v>45761</v>
      </c>
      <c r="B6620" s="1">
        <v>4.3738999999999999</v>
      </c>
      <c r="C6620" s="1">
        <v>1.1200000000000001</v>
      </c>
      <c r="D6620" s="1">
        <v>4.8090999999999999</v>
      </c>
    </row>
    <row r="6621" spans="1:4" x14ac:dyDescent="0.2">
      <c r="A6621" s="5">
        <v>45762</v>
      </c>
      <c r="B6621" s="1">
        <v>4.3330000000000002</v>
      </c>
      <c r="C6621" s="1">
        <v>1.1100000000000001</v>
      </c>
      <c r="D6621" s="1">
        <v>4.7778</v>
      </c>
    </row>
    <row r="6622" spans="1:4" x14ac:dyDescent="0.2">
      <c r="A6622" s="5">
        <v>45763</v>
      </c>
      <c r="B6622" s="1">
        <v>4.2767999999999997</v>
      </c>
      <c r="C6622" s="1">
        <v>1.1100000000000001</v>
      </c>
      <c r="D6622" s="1">
        <v>4.7386999999999997</v>
      </c>
    </row>
    <row r="6623" spans="1:4" x14ac:dyDescent="0.2">
      <c r="A6623" s="5">
        <v>45764</v>
      </c>
      <c r="B6623" s="1">
        <v>4.3249000000000004</v>
      </c>
      <c r="C6623" s="1">
        <v>1.08</v>
      </c>
      <c r="D6623" s="1">
        <v>4.798</v>
      </c>
    </row>
    <row r="6624" spans="1:4" x14ac:dyDescent="0.2">
      <c r="A6624" s="5">
        <v>45765</v>
      </c>
      <c r="B6624" s="1">
        <v>4.3249000000000004</v>
      </c>
      <c r="C6624" s="1">
        <v>1.08</v>
      </c>
      <c r="D6624" s="1">
        <v>4.798</v>
      </c>
    </row>
    <row r="6625" spans="1:4" x14ac:dyDescent="0.2">
      <c r="A6625" s="5">
        <v>45768</v>
      </c>
      <c r="B6625" s="1">
        <v>4.4105999999999996</v>
      </c>
      <c r="C6625" s="1">
        <v>1.1100000000000001</v>
      </c>
      <c r="D6625" s="1">
        <v>4.9023000000000003</v>
      </c>
    </row>
    <row r="6626" spans="1:4" x14ac:dyDescent="0.2">
      <c r="A6626" s="5">
        <v>45769</v>
      </c>
      <c r="B6626" s="1">
        <v>4.4008000000000003</v>
      </c>
      <c r="C6626" s="1">
        <v>1.0900000000000001</v>
      </c>
      <c r="D6626" s="1">
        <v>4.8775000000000004</v>
      </c>
    </row>
    <row r="6627" spans="1:4" x14ac:dyDescent="0.2">
      <c r="A6627" s="5">
        <v>45770</v>
      </c>
      <c r="B6627" s="1">
        <v>4.3811999999999998</v>
      </c>
      <c r="C6627" s="1">
        <v>1.05</v>
      </c>
      <c r="D6627" s="1">
        <v>4.8223000000000003</v>
      </c>
    </row>
    <row r="6628" spans="1:4" x14ac:dyDescent="0.2">
      <c r="A6628" s="5">
        <v>45771</v>
      </c>
      <c r="B6628" s="1">
        <v>4.3148999999999997</v>
      </c>
      <c r="C6628" s="1">
        <v>1.03</v>
      </c>
      <c r="D6628" s="1">
        <v>4.7758000000000003</v>
      </c>
    </row>
    <row r="6629" spans="1:4" x14ac:dyDescent="0.2">
      <c r="A6629" s="5">
        <v>45772</v>
      </c>
      <c r="B6629" s="1">
        <v>4.2352999999999996</v>
      </c>
      <c r="C6629" s="1">
        <v>1.01</v>
      </c>
      <c r="D6629" s="1">
        <v>4.7009999999999996</v>
      </c>
    </row>
    <row r="6630" spans="1:4" x14ac:dyDescent="0.2">
      <c r="A6630" s="5">
        <v>45775</v>
      </c>
      <c r="B6630" s="1">
        <v>4.2081999999999997</v>
      </c>
      <c r="C6630" s="1">
        <v>1.02</v>
      </c>
      <c r="D6630" s="1">
        <v>4.6822999999999997</v>
      </c>
    </row>
    <row r="6631" spans="1:4" x14ac:dyDescent="0.2">
      <c r="A6631" s="5">
        <v>45776</v>
      </c>
      <c r="B6631" s="1">
        <v>4.1715999999999998</v>
      </c>
      <c r="C6631" s="1">
        <v>1.03</v>
      </c>
      <c r="D6631" s="1">
        <v>4.649</v>
      </c>
    </row>
    <row r="6632" spans="1:4" x14ac:dyDescent="0.2">
      <c r="A6632" s="5">
        <v>45777</v>
      </c>
      <c r="B6632" s="1">
        <v>4.1619000000000002</v>
      </c>
      <c r="C6632" s="1">
        <v>1.06</v>
      </c>
      <c r="D6632" s="1">
        <v>4.6773999999999996</v>
      </c>
    </row>
    <row r="6633" spans="1:4" x14ac:dyDescent="0.2">
      <c r="A6633" s="5">
        <v>45778</v>
      </c>
      <c r="B6633" s="1">
        <v>4.2176</v>
      </c>
      <c r="C6633" s="1">
        <v>1.06</v>
      </c>
      <c r="D6633" s="1">
        <v>4.7228000000000003</v>
      </c>
    </row>
    <row r="6634" spans="1:4" x14ac:dyDescent="0.2">
      <c r="A6634" s="5">
        <v>45779</v>
      </c>
      <c r="B6634" s="1">
        <v>4.3083</v>
      </c>
      <c r="C6634" s="1">
        <v>1.02</v>
      </c>
      <c r="D6634" s="1">
        <v>4.7888999999999999</v>
      </c>
    </row>
    <row r="6635" spans="1:4" x14ac:dyDescent="0.2">
      <c r="A6635" s="5">
        <v>45782</v>
      </c>
      <c r="B6635" s="1">
        <v>4.3433000000000002</v>
      </c>
      <c r="C6635" s="1">
        <v>1.02</v>
      </c>
      <c r="D6635" s="1">
        <v>4.8346</v>
      </c>
    </row>
    <row r="6636" spans="1:4" x14ac:dyDescent="0.2">
      <c r="A6636" s="5">
        <v>45783</v>
      </c>
      <c r="B6636" s="1">
        <v>4.2946</v>
      </c>
      <c r="C6636" s="1">
        <v>1.02</v>
      </c>
      <c r="D6636" s="1">
        <v>4.7969999999999997</v>
      </c>
    </row>
    <row r="6637" spans="1:4" x14ac:dyDescent="0.2">
      <c r="A6637" s="5">
        <v>45784</v>
      </c>
      <c r="B6637" s="1">
        <v>4.2694000000000001</v>
      </c>
      <c r="C6637" s="1">
        <v>1.02</v>
      </c>
      <c r="D6637" s="1">
        <v>4.7687999999999997</v>
      </c>
    </row>
    <row r="6638" spans="1:4" x14ac:dyDescent="0.2">
      <c r="A6638" s="5">
        <v>45785</v>
      </c>
      <c r="B6638" s="1">
        <v>4.3784999999999998</v>
      </c>
      <c r="C6638" s="1">
        <v>0.99</v>
      </c>
      <c r="D6638" s="1">
        <v>4.8428000000000004</v>
      </c>
    </row>
    <row r="6639" spans="1:4" x14ac:dyDescent="0.2">
      <c r="A6639" s="5">
        <v>45786</v>
      </c>
      <c r="B6639" s="1">
        <v>4.3784999999999998</v>
      </c>
      <c r="C6639" s="1">
        <v>0.99</v>
      </c>
      <c r="D6639" s="1">
        <v>4.8342999999999998</v>
      </c>
    </row>
    <row r="6640" spans="1:4" x14ac:dyDescent="0.2">
      <c r="A6640" s="5">
        <v>45789</v>
      </c>
      <c r="B6640" s="1">
        <v>4.4709000000000003</v>
      </c>
      <c r="C6640" s="1">
        <v>0.94</v>
      </c>
      <c r="D6640" s="1">
        <v>4.9050000000000002</v>
      </c>
    </row>
    <row r="6641" spans="1:4" x14ac:dyDescent="0.2">
      <c r="A6641" s="5">
        <v>45790</v>
      </c>
      <c r="B6641" s="1">
        <v>4.4649999999999999</v>
      </c>
      <c r="C6641" s="1">
        <v>0.91</v>
      </c>
      <c r="D6641" s="1">
        <v>4.9059999999999997</v>
      </c>
    </row>
    <row r="6642" spans="1:4" x14ac:dyDescent="0.2">
      <c r="A6642" s="5">
        <v>45791</v>
      </c>
      <c r="B6642" s="1">
        <v>4.5362999999999998</v>
      </c>
      <c r="C6642" s="1">
        <v>0.91</v>
      </c>
      <c r="D6642" s="1">
        <v>4.9695999999999998</v>
      </c>
    </row>
    <row r="6643" spans="1:4" x14ac:dyDescent="0.2">
      <c r="A6643" s="5">
        <v>45792</v>
      </c>
      <c r="B6643" s="1">
        <v>4.4314999999999998</v>
      </c>
      <c r="C6643" s="1">
        <v>0.91</v>
      </c>
      <c r="D6643" s="1">
        <v>4.8867000000000003</v>
      </c>
    </row>
    <row r="6644" spans="1:4" x14ac:dyDescent="0.2">
      <c r="A6644" s="5">
        <v>45793</v>
      </c>
      <c r="B6644" s="1">
        <v>4.4770000000000003</v>
      </c>
      <c r="C6644" s="1">
        <v>0.9</v>
      </c>
      <c r="D6644" s="1">
        <v>4.9439000000000002</v>
      </c>
    </row>
    <row r="6645" spans="1:4" x14ac:dyDescent="0.2">
      <c r="A6645" s="5">
        <v>45796</v>
      </c>
      <c r="B6645" s="1">
        <v>4.4474</v>
      </c>
      <c r="C6645" s="1">
        <v>0.89</v>
      </c>
      <c r="D6645" s="1">
        <v>4.9029999999999996</v>
      </c>
    </row>
    <row r="6646" spans="1:4" x14ac:dyDescent="0.2">
      <c r="A6646" s="5">
        <v>45797</v>
      </c>
      <c r="B6646" s="1">
        <v>4.4869000000000003</v>
      </c>
      <c r="C6646" s="1">
        <v>0.88</v>
      </c>
      <c r="D6646" s="1">
        <v>4.9695999999999998</v>
      </c>
    </row>
    <row r="6647" spans="1:4" x14ac:dyDescent="0.2">
      <c r="A6647" s="5">
        <v>45798</v>
      </c>
      <c r="B6647" s="1">
        <v>4.5984999999999996</v>
      </c>
      <c r="C6647" s="1">
        <v>0.9</v>
      </c>
      <c r="D6647" s="1">
        <v>5.0922999999999998</v>
      </c>
    </row>
    <row r="6648" spans="1:4" x14ac:dyDescent="0.2">
      <c r="A6648" s="5">
        <v>45799</v>
      </c>
      <c r="B6648" s="1">
        <v>4.5286999999999997</v>
      </c>
      <c r="C6648" s="1">
        <v>0.9</v>
      </c>
      <c r="D6648" s="1">
        <v>5.0395000000000003</v>
      </c>
    </row>
    <row r="6649" spans="1:4" x14ac:dyDescent="0.2">
      <c r="A6649" s="5">
        <v>45800</v>
      </c>
      <c r="B6649" s="1">
        <v>4.5110000000000001</v>
      </c>
      <c r="C6649" s="1">
        <v>0.91</v>
      </c>
      <c r="D6649" s="1">
        <v>5.0373999999999999</v>
      </c>
    </row>
    <row r="6650" spans="1:4" x14ac:dyDescent="0.2">
      <c r="A6650" s="5">
        <v>45803</v>
      </c>
      <c r="B6650" s="1">
        <v>4.5110000000000001</v>
      </c>
      <c r="C6650" s="1">
        <v>0.91</v>
      </c>
      <c r="D6650" s="1">
        <v>5.0373999999999999</v>
      </c>
    </row>
    <row r="6651" spans="1:4" x14ac:dyDescent="0.2">
      <c r="A6651" s="5">
        <v>45804</v>
      </c>
      <c r="B6651" s="1">
        <v>4.4436</v>
      </c>
      <c r="C6651" s="1">
        <v>0.89</v>
      </c>
      <c r="D6651" s="1">
        <v>4.9511000000000003</v>
      </c>
    </row>
    <row r="6652" spans="1:4" x14ac:dyDescent="0.2">
      <c r="A6652" s="5">
        <v>45805</v>
      </c>
      <c r="B6652" s="1">
        <v>4.4772999999999996</v>
      </c>
      <c r="C6652" s="1">
        <v>0.88</v>
      </c>
      <c r="D6652" s="1">
        <v>4.9757999999999996</v>
      </c>
    </row>
    <row r="6653" spans="1:4" x14ac:dyDescent="0.2">
      <c r="A6653" s="5">
        <v>45806</v>
      </c>
      <c r="B6653" s="1">
        <v>4.4180000000000001</v>
      </c>
      <c r="C6653" s="1">
        <v>0.89</v>
      </c>
      <c r="D6653" s="1">
        <v>4.9161999999999999</v>
      </c>
    </row>
    <row r="6654" spans="1:4" x14ac:dyDescent="0.2">
      <c r="A6654" s="5">
        <v>45807</v>
      </c>
      <c r="B6654" s="1">
        <v>4.4004000000000003</v>
      </c>
      <c r="C6654" s="1">
        <v>0.88</v>
      </c>
      <c r="D6654" s="1">
        <v>4.9305000000000003</v>
      </c>
    </row>
    <row r="6655" spans="1:4" x14ac:dyDescent="0.2">
      <c r="A6655" s="5">
        <v>45810</v>
      </c>
      <c r="B6655" s="1">
        <v>4.4398999999999997</v>
      </c>
      <c r="C6655" s="1">
        <v>0.88</v>
      </c>
      <c r="D6655" s="1">
        <v>4.9654999999999996</v>
      </c>
    </row>
    <row r="6656" spans="1:4" x14ac:dyDescent="0.2">
      <c r="A6656" s="5">
        <v>45811</v>
      </c>
      <c r="B6656" s="1">
        <v>4.4537000000000004</v>
      </c>
      <c r="C6656" s="1">
        <v>0.86</v>
      </c>
      <c r="D6656" s="1">
        <v>4.9809999999999999</v>
      </c>
    </row>
    <row r="6657" spans="1:4" x14ac:dyDescent="0.2">
      <c r="A6657" s="5">
        <v>45812</v>
      </c>
      <c r="B6657" s="1">
        <v>4.3552</v>
      </c>
      <c r="C6657" s="1">
        <v>0.87</v>
      </c>
      <c r="D6657" s="1">
        <v>4.8775000000000004</v>
      </c>
    </row>
    <row r="6658" spans="1:4" x14ac:dyDescent="0.2">
      <c r="A6658" s="5">
        <v>45813</v>
      </c>
      <c r="B6658" s="1">
        <v>4.3906000000000001</v>
      </c>
      <c r="C6658" s="1">
        <v>0.88</v>
      </c>
      <c r="D6658" s="1">
        <v>4.8775000000000004</v>
      </c>
    </row>
    <row r="6659" spans="1:4" x14ac:dyDescent="0.2">
      <c r="A6659" s="5">
        <v>45814</v>
      </c>
      <c r="B6659" s="1">
        <v>4.5056000000000003</v>
      </c>
      <c r="C6659" s="1">
        <v>0.85</v>
      </c>
      <c r="D6659" s="1">
        <v>4.9676</v>
      </c>
    </row>
    <row r="6660" spans="1:4" x14ac:dyDescent="0.2">
      <c r="A6660" s="5">
        <v>45817</v>
      </c>
      <c r="B6660" s="1">
        <v>4.4737999999999998</v>
      </c>
      <c r="C6660" s="1">
        <v>0.84</v>
      </c>
      <c r="D6660" s="1">
        <v>4.9397000000000002</v>
      </c>
    </row>
    <row r="6661" spans="1:4" x14ac:dyDescent="0.2">
      <c r="A6661" s="5">
        <v>45818</v>
      </c>
      <c r="B6661" s="1">
        <v>4.4698000000000002</v>
      </c>
      <c r="C6661" s="1">
        <v>0.84</v>
      </c>
      <c r="D6661" s="1">
        <v>4.9273999999999996</v>
      </c>
    </row>
    <row r="6662" spans="1:4" x14ac:dyDescent="0.2">
      <c r="A6662" s="5">
        <v>45819</v>
      </c>
      <c r="B6662" s="1">
        <v>4.4203000000000001</v>
      </c>
      <c r="C6662" s="1">
        <v>0.84</v>
      </c>
      <c r="D6662" s="1">
        <v>4.9172000000000002</v>
      </c>
    </row>
    <row r="6663" spans="1:4" x14ac:dyDescent="0.2">
      <c r="A6663" s="5">
        <v>45820</v>
      </c>
      <c r="B6663" s="1">
        <v>4.3592000000000004</v>
      </c>
      <c r="C6663" s="1">
        <v>0.84</v>
      </c>
      <c r="D6663" s="1">
        <v>4.8411999999999997</v>
      </c>
    </row>
    <row r="6664" spans="1:4" x14ac:dyDescent="0.2">
      <c r="A6664" s="5">
        <v>45821</v>
      </c>
      <c r="B6664" s="1">
        <v>4.3986999999999998</v>
      </c>
      <c r="C6664" s="1">
        <v>0.85</v>
      </c>
      <c r="D6664" s="1">
        <v>4.8937999999999997</v>
      </c>
    </row>
    <row r="6665" spans="1:4" x14ac:dyDescent="0.2">
      <c r="A6665" s="5">
        <v>45824</v>
      </c>
      <c r="B6665" s="1">
        <v>4.4462000000000002</v>
      </c>
      <c r="C6665" s="1">
        <v>0.84</v>
      </c>
      <c r="D6665" s="1">
        <v>4.9551999999999996</v>
      </c>
    </row>
    <row r="6666" spans="1:4" x14ac:dyDescent="0.2">
      <c r="A6666" s="5">
        <v>45825</v>
      </c>
      <c r="B6666" s="1">
        <v>4.3887999999999998</v>
      </c>
      <c r="C6666" s="1">
        <v>0.85</v>
      </c>
      <c r="D6666" s="1">
        <v>4.8906999999999998</v>
      </c>
    </row>
    <row r="6667" spans="1:4" x14ac:dyDescent="0.2">
      <c r="A6667" s="5">
        <v>45826</v>
      </c>
      <c r="B6667" s="1">
        <v>4.3909000000000002</v>
      </c>
      <c r="C6667" s="1">
        <v>0.85</v>
      </c>
      <c r="D6667" s="1">
        <v>4.8887</v>
      </c>
    </row>
    <row r="6668" spans="1:4" x14ac:dyDescent="0.2">
      <c r="A6668" s="5">
        <v>45827</v>
      </c>
      <c r="B6668" s="1">
        <v>4.3909000000000002</v>
      </c>
      <c r="C6668" s="1">
        <v>0.85</v>
      </c>
      <c r="D6668" s="1">
        <v>4.8887</v>
      </c>
    </row>
    <row r="6669" spans="1:4" x14ac:dyDescent="0.2">
      <c r="A6669" s="5">
        <v>45828</v>
      </c>
      <c r="B6669" s="1">
        <v>4.3750999999999998</v>
      </c>
      <c r="C6669" s="1">
        <v>0.85</v>
      </c>
      <c r="D6669" s="1">
        <v>4.8897000000000004</v>
      </c>
    </row>
    <row r="6670" spans="1:4" x14ac:dyDescent="0.2">
      <c r="A6670" s="5">
        <v>45831</v>
      </c>
      <c r="B6670" s="1">
        <v>4.3475000000000001</v>
      </c>
      <c r="C6670" s="1">
        <v>0.86</v>
      </c>
      <c r="D6670" s="1">
        <v>4.8754999999999997</v>
      </c>
    </row>
    <row r="6671" spans="1:4" x14ac:dyDescent="0.2">
      <c r="A6671" s="5">
        <v>45832</v>
      </c>
      <c r="B6671" s="1">
        <v>4.2945000000000002</v>
      </c>
      <c r="C6671" s="1">
        <v>0.84</v>
      </c>
      <c r="D6671" s="1">
        <v>4.8331</v>
      </c>
    </row>
    <row r="6672" spans="1:4" x14ac:dyDescent="0.2">
      <c r="A6672" s="5">
        <v>45833</v>
      </c>
      <c r="B6672" s="1">
        <v>4.2906000000000004</v>
      </c>
      <c r="C6672" s="1">
        <v>0.86</v>
      </c>
      <c r="D6672" s="1">
        <v>4.8311000000000002</v>
      </c>
    </row>
    <row r="6673" spans="1:4" x14ac:dyDescent="0.2">
      <c r="A6673" s="5">
        <v>45834</v>
      </c>
      <c r="B6673" s="1">
        <v>4.2416999999999998</v>
      </c>
      <c r="C6673" s="1">
        <v>0.86</v>
      </c>
      <c r="D6673" s="1">
        <v>4.8002000000000002</v>
      </c>
    </row>
    <row r="6674" spans="1:4" x14ac:dyDescent="0.2">
      <c r="A6674" s="5">
        <v>45835</v>
      </c>
      <c r="B6674" s="1">
        <v>4.2769000000000004</v>
      </c>
      <c r="C6674" s="1">
        <v>0.85</v>
      </c>
      <c r="D6674" s="1">
        <v>4.8350999999999997</v>
      </c>
    </row>
    <row r="6675" spans="1:4" x14ac:dyDescent="0.2">
      <c r="A6675" s="5">
        <v>45838</v>
      </c>
      <c r="B6675" s="1">
        <v>4.2279999999999998</v>
      </c>
      <c r="C6675" s="1">
        <v>0.83</v>
      </c>
      <c r="D6675" s="1">
        <v>4.7743000000000002</v>
      </c>
    </row>
    <row r="6676" spans="1:4" x14ac:dyDescent="0.2">
      <c r="A6676" s="5">
        <v>45839</v>
      </c>
      <c r="B6676" s="1">
        <v>4.2416</v>
      </c>
      <c r="C6676" s="1">
        <v>0.82</v>
      </c>
      <c r="D6676" s="1">
        <v>4.7645</v>
      </c>
    </row>
    <row r="6677" spans="1:4" x14ac:dyDescent="0.2">
      <c r="A6677" s="5">
        <v>45840</v>
      </c>
      <c r="B6677" s="1">
        <v>4.2769000000000004</v>
      </c>
      <c r="C6677" s="1">
        <v>0.8</v>
      </c>
      <c r="D6677" s="1">
        <v>4.8010999999999999</v>
      </c>
    </row>
    <row r="6678" spans="1:4" x14ac:dyDescent="0.2">
      <c r="A6678" s="5">
        <v>45841</v>
      </c>
      <c r="B6678" s="1">
        <v>4.3456999999999999</v>
      </c>
      <c r="C6678" s="1">
        <v>0.77</v>
      </c>
      <c r="D6678" s="1">
        <v>4.8613</v>
      </c>
    </row>
    <row r="6679" spans="1:4" x14ac:dyDescent="0.2">
      <c r="A6679" s="5">
        <v>45842</v>
      </c>
      <c r="B6679" s="1">
        <v>4.3456999999999999</v>
      </c>
      <c r="C6679" s="1">
        <v>0.77</v>
      </c>
      <c r="D6679" s="1">
        <v>4.8613</v>
      </c>
    </row>
    <row r="6680" spans="1:4" x14ac:dyDescent="0.2">
      <c r="A6680" s="5">
        <v>45845</v>
      </c>
      <c r="B6680" s="1">
        <v>4.3794000000000004</v>
      </c>
      <c r="C6680" s="1">
        <v>0.79</v>
      </c>
      <c r="D6680" s="1">
        <v>4.9151999999999996</v>
      </c>
    </row>
    <row r="6681" spans="1:4" x14ac:dyDescent="0.2">
      <c r="A6681" s="5">
        <v>45846</v>
      </c>
      <c r="B6681" s="1">
        <v>4.3992000000000004</v>
      </c>
      <c r="C6681" s="1">
        <v>0.79</v>
      </c>
      <c r="D6681" s="1">
        <v>4.9244000000000003</v>
      </c>
    </row>
    <row r="6682" spans="1:4" x14ac:dyDescent="0.2">
      <c r="A6682" s="5">
        <v>45847</v>
      </c>
      <c r="B6682" s="1">
        <v>4.3319999999999999</v>
      </c>
      <c r="C6682" s="1">
        <v>0.81</v>
      </c>
      <c r="D6682" s="1">
        <v>4.8684000000000003</v>
      </c>
    </row>
    <row r="6683" spans="1:4" x14ac:dyDescent="0.2">
      <c r="A6683" s="5">
        <v>45848</v>
      </c>
      <c r="B6683" s="1">
        <v>4.3498000000000001</v>
      </c>
      <c r="C6683" s="1">
        <v>0.8</v>
      </c>
      <c r="D6683" s="1">
        <v>4.8693999999999997</v>
      </c>
    </row>
    <row r="6684" spans="1:4" x14ac:dyDescent="0.2">
      <c r="A6684" s="5">
        <v>45849</v>
      </c>
      <c r="B6684" s="1">
        <v>4.4093</v>
      </c>
      <c r="C6684" s="1">
        <v>0.8</v>
      </c>
      <c r="D6684" s="1">
        <v>4.9490999999999996</v>
      </c>
    </row>
    <row r="6685" spans="1:4" x14ac:dyDescent="0.2">
      <c r="A6685" s="5">
        <v>45852</v>
      </c>
      <c r="B6685" s="1">
        <v>4.4333</v>
      </c>
      <c r="C6685" s="1">
        <v>0.8</v>
      </c>
      <c r="D6685" s="1">
        <v>4.9770000000000003</v>
      </c>
    </row>
    <row r="6686" spans="1:4" x14ac:dyDescent="0.2">
      <c r="A6686" s="5">
        <v>45853</v>
      </c>
      <c r="B6686" s="1">
        <v>4.4813000000000001</v>
      </c>
      <c r="C6686" s="1">
        <v>0.79</v>
      </c>
      <c r="D6686" s="1">
        <v>5.0198</v>
      </c>
    </row>
    <row r="6687" spans="1:4" x14ac:dyDescent="0.2">
      <c r="A6687" s="5">
        <v>45854</v>
      </c>
      <c r="B6687" s="1">
        <v>4.4553000000000003</v>
      </c>
      <c r="C6687" s="1">
        <v>0.79</v>
      </c>
      <c r="D6687" s="1">
        <v>5.0103999999999997</v>
      </c>
    </row>
    <row r="6688" spans="1:4" x14ac:dyDescent="0.2">
      <c r="A6688" s="5">
        <v>45855</v>
      </c>
      <c r="B6688" s="1">
        <v>4.4512999999999998</v>
      </c>
      <c r="C6688" s="1">
        <v>0.78</v>
      </c>
      <c r="D6688" s="1">
        <v>5.0072000000000001</v>
      </c>
    </row>
    <row r="6689" spans="1:4" x14ac:dyDescent="0.2">
      <c r="A6689" s="5">
        <v>45856</v>
      </c>
      <c r="B6689" s="1">
        <v>4.4154999999999998</v>
      </c>
      <c r="C6689" s="1">
        <v>0.77</v>
      </c>
      <c r="D6689" s="1">
        <v>4.9874999999999998</v>
      </c>
    </row>
    <row r="6690" spans="1:4" x14ac:dyDescent="0.2">
      <c r="A6690" s="5">
        <v>45859</v>
      </c>
      <c r="B6690" s="1">
        <v>4.3776999999999999</v>
      </c>
      <c r="C6690" s="1">
        <v>0.78</v>
      </c>
      <c r="D6690" s="1">
        <v>4.944</v>
      </c>
    </row>
    <row r="6691" spans="1:4" x14ac:dyDescent="0.2">
      <c r="A6691" s="5">
        <v>45860</v>
      </c>
      <c r="B6691" s="1">
        <v>4.3440000000000003</v>
      </c>
      <c r="C6691" s="1">
        <v>0.79</v>
      </c>
      <c r="D6691" s="1">
        <v>4.9173</v>
      </c>
    </row>
    <row r="6692" spans="1:4" x14ac:dyDescent="0.2">
      <c r="A6692" s="5">
        <v>45861</v>
      </c>
      <c r="B6692" s="1">
        <v>4.3798000000000004</v>
      </c>
      <c r="C6692" s="1">
        <v>0.77</v>
      </c>
      <c r="D6692" s="1">
        <v>4.9347000000000003</v>
      </c>
    </row>
    <row r="6693" spans="1:4" x14ac:dyDescent="0.2">
      <c r="A6693" s="5">
        <v>45862</v>
      </c>
      <c r="B6693" s="1">
        <v>4.3956999999999997</v>
      </c>
      <c r="C6693" s="1">
        <v>0.77</v>
      </c>
      <c r="D6693" s="1">
        <v>4.9347000000000003</v>
      </c>
    </row>
    <row r="6694" spans="1:4" x14ac:dyDescent="0.2">
      <c r="A6694" s="5">
        <v>45863</v>
      </c>
      <c r="B6694" s="1">
        <v>4.3878000000000004</v>
      </c>
      <c r="C6694" s="1">
        <v>0.76</v>
      </c>
      <c r="D6694" s="1">
        <v>4.9295999999999998</v>
      </c>
    </row>
    <row r="6695" spans="1:4" x14ac:dyDescent="0.2">
      <c r="A6695" s="5">
        <v>45866</v>
      </c>
      <c r="B6695" s="1">
        <v>4.4097999999999997</v>
      </c>
      <c r="C6695" s="1">
        <v>0.76</v>
      </c>
      <c r="D6695" s="1">
        <v>4.9584999999999999</v>
      </c>
    </row>
    <row r="6696" spans="1:4" x14ac:dyDescent="0.2">
      <c r="A6696" s="5">
        <v>45867</v>
      </c>
      <c r="B6696" s="1">
        <v>4.3204000000000002</v>
      </c>
      <c r="C6696" s="1">
        <v>0.77</v>
      </c>
      <c r="D6696" s="1">
        <v>4.8563000000000001</v>
      </c>
    </row>
    <row r="6697" spans="1:4" x14ac:dyDescent="0.2">
      <c r="A6697" s="5">
        <v>45868</v>
      </c>
      <c r="B6697" s="1">
        <v>4.37</v>
      </c>
      <c r="C6697" s="1">
        <v>0.76</v>
      </c>
      <c r="D6697" s="1">
        <v>4.8989000000000003</v>
      </c>
    </row>
    <row r="6698" spans="1:4" x14ac:dyDescent="0.2">
      <c r="A6698" s="5">
        <v>45869</v>
      </c>
      <c r="B6698" s="1">
        <v>4.3739999999999997</v>
      </c>
      <c r="C6698" s="1">
        <v>0.76</v>
      </c>
      <c r="D6698" s="1">
        <v>4.9000000000000004</v>
      </c>
    </row>
    <row r="6699" spans="1:4" x14ac:dyDescent="0.2">
      <c r="A6699" s="5">
        <v>45870</v>
      </c>
      <c r="B6699" s="1">
        <v>4.2159000000000004</v>
      </c>
      <c r="C6699" s="1">
        <v>0.8</v>
      </c>
      <c r="D6699" s="1">
        <v>4.8220999999999998</v>
      </c>
    </row>
    <row r="6700" spans="1:4" x14ac:dyDescent="0.2">
      <c r="A6700" s="5">
        <v>45873</v>
      </c>
      <c r="B6700" s="1">
        <v>4.1923000000000004</v>
      </c>
      <c r="C6700" s="1">
        <v>0.8</v>
      </c>
      <c r="D6700" s="1">
        <v>4.7911999999999999</v>
      </c>
    </row>
    <row r="6701" spans="1:4" x14ac:dyDescent="0.2">
      <c r="A6701" s="5">
        <v>45874</v>
      </c>
      <c r="B6701" s="1">
        <v>4.21</v>
      </c>
      <c r="C6701" s="1">
        <v>0.8</v>
      </c>
      <c r="D6701" s="1">
        <v>4.7801999999999998</v>
      </c>
    </row>
    <row r="6702" spans="1:4" x14ac:dyDescent="0.2">
      <c r="A6702" s="5">
        <v>45875</v>
      </c>
      <c r="B6702" s="1">
        <v>4.2256999999999998</v>
      </c>
      <c r="C6702" s="1">
        <v>0.79</v>
      </c>
      <c r="D6702" s="1">
        <v>4.8201000000000001</v>
      </c>
    </row>
    <row r="6703" spans="1:4" x14ac:dyDescent="0.2">
      <c r="A6703" s="5">
        <v>45876</v>
      </c>
      <c r="B6703" s="1">
        <v>4.25</v>
      </c>
      <c r="C6703" s="1">
        <v>0.78</v>
      </c>
      <c r="D6703" s="1">
        <v>4.8261000000000003</v>
      </c>
    </row>
    <row r="6704" spans="1:4" x14ac:dyDescent="0.2">
      <c r="A6704" s="5">
        <v>45877</v>
      </c>
      <c r="B6704" s="1">
        <v>4.2828999999999997</v>
      </c>
      <c r="C6704" s="1">
        <v>0.78</v>
      </c>
      <c r="D6704" s="1">
        <v>4.8494000000000002</v>
      </c>
    </row>
    <row r="6705" spans="1:4" x14ac:dyDescent="0.2">
      <c r="A6705" s="5">
        <v>45880</v>
      </c>
      <c r="B6705" s="1">
        <v>4.2849000000000004</v>
      </c>
      <c r="C6705" s="1">
        <v>0.78</v>
      </c>
      <c r="D6705" s="1">
        <v>4.8524000000000003</v>
      </c>
    </row>
    <row r="6706" spans="1:4" x14ac:dyDescent="0.2">
      <c r="A6706" s="5">
        <v>45881</v>
      </c>
      <c r="B6706" s="1">
        <v>4.2888000000000002</v>
      </c>
      <c r="C6706" s="1">
        <v>0.77</v>
      </c>
      <c r="D6706" s="1">
        <v>4.8785999999999996</v>
      </c>
    </row>
    <row r="6707" spans="1:4" x14ac:dyDescent="0.2">
      <c r="A6707" s="5">
        <v>45882</v>
      </c>
      <c r="B6707" s="1">
        <v>4.2325999999999997</v>
      </c>
      <c r="C6707" s="1">
        <v>0.76</v>
      </c>
      <c r="D6707" s="1">
        <v>4.8253000000000004</v>
      </c>
    </row>
    <row r="6708" spans="1:4" x14ac:dyDescent="0.2">
      <c r="A6708" s="5">
        <v>45883</v>
      </c>
      <c r="B6708" s="1">
        <v>4.2849000000000004</v>
      </c>
      <c r="C6708" s="1">
        <v>0.75</v>
      </c>
      <c r="D6708" s="1">
        <v>4.8726000000000003</v>
      </c>
    </row>
    <row r="6709" spans="1:4" x14ac:dyDescent="0.2">
      <c r="A6709" s="5">
        <v>45884</v>
      </c>
      <c r="B6709" s="1">
        <v>4.3159999999999998</v>
      </c>
      <c r="C6709" s="1">
        <v>0.73</v>
      </c>
      <c r="D6709" s="1">
        <v>4.9183000000000003</v>
      </c>
    </row>
    <row r="6710" spans="1:4" x14ac:dyDescent="0.2">
      <c r="A6710" s="5">
        <v>45887</v>
      </c>
      <c r="B6710" s="1">
        <v>4.3334999999999999</v>
      </c>
      <c r="C6710" s="1">
        <v>0.73</v>
      </c>
      <c r="D6710" s="1">
        <v>4.9336000000000002</v>
      </c>
    </row>
    <row r="6711" spans="1:4" x14ac:dyDescent="0.2">
      <c r="A6711" s="5">
        <v>45888</v>
      </c>
      <c r="B6711" s="1">
        <v>4.3061999999999996</v>
      </c>
      <c r="C6711" s="1">
        <v>0.75</v>
      </c>
      <c r="D6711" s="1">
        <v>4.9081000000000001</v>
      </c>
    </row>
    <row r="6712" spans="1:4" x14ac:dyDescent="0.2">
      <c r="A6712" s="5">
        <v>45889</v>
      </c>
      <c r="B6712" s="1">
        <v>4.2907000000000002</v>
      </c>
      <c r="C6712" s="1">
        <v>0.76</v>
      </c>
      <c r="D6712" s="1">
        <v>4.8948</v>
      </c>
    </row>
    <row r="6713" spans="1:4" x14ac:dyDescent="0.2">
      <c r="A6713" s="5">
        <v>45890</v>
      </c>
      <c r="B6713" s="1">
        <v>4.3277000000000001</v>
      </c>
      <c r="C6713" s="1">
        <v>0.76</v>
      </c>
      <c r="D6713" s="1">
        <v>4.9172000000000002</v>
      </c>
    </row>
    <row r="6714" spans="1:4" x14ac:dyDescent="0.2">
      <c r="A6714" s="5">
        <v>45891</v>
      </c>
      <c r="B6714" s="1">
        <v>4.2537000000000003</v>
      </c>
      <c r="C6714" s="1">
        <v>0.75</v>
      </c>
      <c r="D6714" s="1">
        <v>4.8754999999999997</v>
      </c>
    </row>
    <row r="6715" spans="1:4" x14ac:dyDescent="0.2">
      <c r="A6715" s="5">
        <v>45894</v>
      </c>
      <c r="B6715" s="1">
        <v>4.2751000000000001</v>
      </c>
      <c r="C6715" s="1">
        <v>0.75</v>
      </c>
      <c r="D6715" s="1">
        <v>4.8897000000000004</v>
      </c>
    </row>
    <row r="6716" spans="1:4" x14ac:dyDescent="0.2">
      <c r="A6716" s="5">
        <v>45895</v>
      </c>
      <c r="B6716" s="1">
        <v>4.2614999999999998</v>
      </c>
      <c r="C6716" s="1">
        <v>0.76</v>
      </c>
      <c r="D6716" s="1">
        <v>4.9192999999999998</v>
      </c>
    </row>
    <row r="6717" spans="1:4" x14ac:dyDescent="0.2">
      <c r="A6717" s="5">
        <v>45896</v>
      </c>
      <c r="B6717" s="1">
        <v>4.2343000000000002</v>
      </c>
      <c r="C6717" s="1">
        <v>0.77</v>
      </c>
      <c r="D6717" s="1">
        <v>4.9212999999999996</v>
      </c>
    </row>
    <row r="6718" spans="1:4" x14ac:dyDescent="0.2">
      <c r="A6718" s="5">
        <v>45897</v>
      </c>
      <c r="B6718" s="1">
        <v>4.2032999999999996</v>
      </c>
      <c r="C6718" s="1">
        <v>0.77</v>
      </c>
      <c r="D6718" s="1">
        <v>4.8754999999999997</v>
      </c>
    </row>
    <row r="6719" spans="1:4" x14ac:dyDescent="0.2">
      <c r="A6719" s="5">
        <v>45898</v>
      </c>
      <c r="B6719" s="1">
        <v>4.2283999999999997</v>
      </c>
      <c r="C6719" s="1">
        <v>0.79</v>
      </c>
      <c r="D6719" s="1">
        <v>4.9273999999999996</v>
      </c>
    </row>
    <row r="6720" spans="1:4" x14ac:dyDescent="0.2">
      <c r="A6720" s="5">
        <v>45901</v>
      </c>
      <c r="B6720" s="1">
        <v>4.2283999999999997</v>
      </c>
      <c r="C6720" s="1">
        <v>0.79</v>
      </c>
      <c r="D6720" s="1">
        <v>4.9273999999999996</v>
      </c>
    </row>
    <row r="6721" spans="1:4" x14ac:dyDescent="0.2">
      <c r="A6721" s="5">
        <v>45902</v>
      </c>
      <c r="B6721" s="1">
        <v>4.2614000000000001</v>
      </c>
      <c r="C6721" s="1">
        <v>0.8</v>
      </c>
      <c r="D6721" s="1">
        <v>4.9614000000000003</v>
      </c>
    </row>
    <row r="6722" spans="1:4" x14ac:dyDescent="0.2">
      <c r="A6722" s="5">
        <v>45903</v>
      </c>
      <c r="B6722" s="1">
        <v>4.2168000000000001</v>
      </c>
      <c r="C6722" s="1">
        <v>0.79</v>
      </c>
      <c r="D6722" s="1">
        <v>4.8967999999999998</v>
      </c>
    </row>
    <row r="6723" spans="1:4" x14ac:dyDescent="0.2">
      <c r="A6723" s="5">
        <v>45904</v>
      </c>
      <c r="B6723" s="1">
        <v>4.1607000000000003</v>
      </c>
      <c r="C6723" s="1">
        <v>0.77</v>
      </c>
      <c r="D6723" s="1">
        <v>4.8532999999999999</v>
      </c>
    </row>
    <row r="6724" spans="1:4" x14ac:dyDescent="0.2">
      <c r="A6724" s="5">
        <v>45905</v>
      </c>
      <c r="B6724" s="1">
        <v>4.0742000000000003</v>
      </c>
      <c r="C6724" s="1">
        <v>0.77</v>
      </c>
      <c r="D6724" s="1">
        <v>4.7587000000000002</v>
      </c>
    </row>
    <row r="6725" spans="1:4" x14ac:dyDescent="0.2">
      <c r="A6725" s="5">
        <v>45908</v>
      </c>
      <c r="B6725" s="1">
        <v>4.0397999999999996</v>
      </c>
      <c r="C6725" s="1">
        <v>0.78</v>
      </c>
      <c r="D6725" s="1">
        <v>4.6921999999999997</v>
      </c>
    </row>
    <row r="6726" spans="1:4" x14ac:dyDescent="0.2">
      <c r="A6726" s="5">
        <v>45909</v>
      </c>
      <c r="B6726" s="1">
        <v>4.0875000000000004</v>
      </c>
      <c r="C6726" s="1">
        <v>0.78</v>
      </c>
      <c r="D6726" s="1">
        <v>4.7310999999999996</v>
      </c>
    </row>
    <row r="6727" spans="1:4" x14ac:dyDescent="0.2">
      <c r="A6727" s="5">
        <v>45910</v>
      </c>
      <c r="B6727" s="1">
        <v>4.0453999999999999</v>
      </c>
      <c r="C6727" s="1">
        <v>0.77</v>
      </c>
      <c r="D6727" s="1">
        <v>4.6959999999999997</v>
      </c>
    </row>
    <row r="6728" spans="1:4" x14ac:dyDescent="0.2">
      <c r="A6728" s="5">
        <v>45911</v>
      </c>
      <c r="B6728" s="1">
        <v>4.0206</v>
      </c>
      <c r="C6728" s="1">
        <v>0.75</v>
      </c>
      <c r="D6728" s="1">
        <v>4.6535000000000002</v>
      </c>
    </row>
    <row r="6729" spans="1:4" x14ac:dyDescent="0.2">
      <c r="A6729" s="5">
        <v>45912</v>
      </c>
      <c r="B6729" s="1">
        <v>4.0643000000000002</v>
      </c>
      <c r="C6729" s="1">
        <v>0.74</v>
      </c>
      <c r="D6729" s="1">
        <v>4.6805000000000003</v>
      </c>
    </row>
    <row r="6730" spans="1:4" x14ac:dyDescent="0.2">
      <c r="A6730" s="5">
        <v>45915</v>
      </c>
      <c r="B6730" s="1">
        <v>4.0374999999999996</v>
      </c>
      <c r="C6730" s="1">
        <v>0.73</v>
      </c>
      <c r="D6730" s="1">
        <v>4.6601999999999997</v>
      </c>
    </row>
    <row r="6731" spans="1:4" x14ac:dyDescent="0.2">
      <c r="A6731" s="5">
        <v>45916</v>
      </c>
      <c r="B6731" s="1">
        <v>4.0278999999999998</v>
      </c>
      <c r="C6731" s="1">
        <v>0.74</v>
      </c>
      <c r="D6731" s="1">
        <v>4.6486000000000001</v>
      </c>
    </row>
    <row r="6732" spans="1:4" x14ac:dyDescent="0.2">
      <c r="A6732" s="5">
        <v>45917</v>
      </c>
      <c r="B6732" s="1">
        <v>4.0872000000000002</v>
      </c>
      <c r="C6732" s="1">
        <v>0.74</v>
      </c>
      <c r="D6732" s="1">
        <v>4.6901000000000002</v>
      </c>
    </row>
    <row r="6733" spans="1:4" x14ac:dyDescent="0.2">
      <c r="A6733" s="5">
        <v>45918</v>
      </c>
      <c r="B6733" s="1">
        <v>4.1044</v>
      </c>
      <c r="C6733" s="1">
        <v>0.72</v>
      </c>
      <c r="D6733" s="1">
        <v>4.7241999999999997</v>
      </c>
    </row>
    <row r="6734" spans="1:4" x14ac:dyDescent="0.2">
      <c r="A6734" s="5">
        <v>45919</v>
      </c>
      <c r="B6734" s="1">
        <v>4.1273999999999997</v>
      </c>
      <c r="C6734" s="1">
        <v>0.72</v>
      </c>
      <c r="D6734" s="1">
        <v>4.7438000000000002</v>
      </c>
    </row>
    <row r="6735" spans="1:4" x14ac:dyDescent="0.2">
      <c r="A6735" s="5">
        <v>45922</v>
      </c>
      <c r="B6735" s="1">
        <v>4.1467000000000001</v>
      </c>
      <c r="C6735" s="1">
        <v>0.72</v>
      </c>
      <c r="D6735" s="1">
        <v>4.7625000000000002</v>
      </c>
    </row>
    <row r="6736" spans="1:4" x14ac:dyDescent="0.2">
      <c r="A6736" s="5">
        <v>45923</v>
      </c>
      <c r="B6736" s="1">
        <v>4.1060999999999996</v>
      </c>
      <c r="C6736" s="1">
        <v>0.73</v>
      </c>
      <c r="D6736" s="1">
        <v>4.7192999999999996</v>
      </c>
    </row>
    <row r="6737" spans="1:4" x14ac:dyDescent="0.2">
      <c r="A6737" s="5">
        <v>45924</v>
      </c>
      <c r="B6737" s="1">
        <v>4.1466000000000003</v>
      </c>
      <c r="C6737" s="1">
        <v>0.74</v>
      </c>
      <c r="D6737" s="1">
        <v>4.7507000000000001</v>
      </c>
    </row>
    <row r="6738" spans="1:4" x14ac:dyDescent="0.2">
      <c r="A6738" s="5">
        <v>45925</v>
      </c>
      <c r="B6738" s="1">
        <v>4.1698000000000004</v>
      </c>
      <c r="C6738" s="1">
        <v>0.75</v>
      </c>
      <c r="D6738" s="1">
        <v>4.7477</v>
      </c>
    </row>
    <row r="6739" spans="1:4" x14ac:dyDescent="0.2">
      <c r="A6739" s="5">
        <v>45926</v>
      </c>
      <c r="B6739" s="1">
        <v>4.1755000000000004</v>
      </c>
      <c r="C6739" s="1">
        <v>0.74</v>
      </c>
      <c r="D6739" s="1">
        <v>4.7487000000000004</v>
      </c>
    </row>
    <row r="6740" spans="1:4" x14ac:dyDescent="0.2">
      <c r="A6740" s="5">
        <v>45929</v>
      </c>
      <c r="B6740" s="1">
        <v>4.1387</v>
      </c>
      <c r="C6740" s="1">
        <v>0.73</v>
      </c>
      <c r="D6740" s="1">
        <v>4.7037000000000004</v>
      </c>
    </row>
    <row r="6741" spans="1:4" x14ac:dyDescent="0.2">
      <c r="A6741" s="5">
        <v>45930</v>
      </c>
      <c r="B6741" s="1">
        <v>4.1502999999999997</v>
      </c>
      <c r="C6741" s="1">
        <v>0.74</v>
      </c>
      <c r="D6741" s="1">
        <v>4.7309999999999999</v>
      </c>
    </row>
    <row r="6742" spans="1:4" x14ac:dyDescent="0.2">
      <c r="A6742" s="5">
        <v>45931</v>
      </c>
      <c r="B6742" s="1">
        <v>4.0980999999999996</v>
      </c>
      <c r="C6742" s="1">
        <v>0.74</v>
      </c>
      <c r="D6742" s="1">
        <v>4.7095000000000002</v>
      </c>
    </row>
    <row r="6743" spans="1:4" x14ac:dyDescent="0.2">
      <c r="A6743" s="5">
        <v>45932</v>
      </c>
      <c r="B6743" s="1">
        <v>4.0827</v>
      </c>
      <c r="C6743" s="1">
        <v>0.73</v>
      </c>
      <c r="D6743" s="1">
        <v>4.6881000000000004</v>
      </c>
    </row>
    <row r="6744" spans="1:4" x14ac:dyDescent="0.2">
      <c r="A6744" s="5">
        <v>45933</v>
      </c>
      <c r="B6744" s="1">
        <v>4.1192000000000002</v>
      </c>
      <c r="C6744" s="1">
        <v>0.73</v>
      </c>
      <c r="D6744" s="1">
        <v>4.7114000000000003</v>
      </c>
    </row>
    <row r="6745" spans="1:4" x14ac:dyDescent="0.2">
      <c r="A6745" s="5">
        <v>45936</v>
      </c>
      <c r="B6745" s="1">
        <v>4.1520000000000001</v>
      </c>
      <c r="C6745" s="1">
        <v>0.72</v>
      </c>
      <c r="D6745" s="1">
        <v>4.7477</v>
      </c>
    </row>
    <row r="6746" spans="1:4" x14ac:dyDescent="0.2">
      <c r="A6746" s="5">
        <v>45937</v>
      </c>
      <c r="B6746" s="1">
        <v>4.1230000000000002</v>
      </c>
      <c r="C6746" s="1">
        <v>0.73</v>
      </c>
      <c r="D6746" s="1">
        <v>4.7230999999999996</v>
      </c>
    </row>
    <row r="6747" spans="1:4" x14ac:dyDescent="0.2">
      <c r="A6747" s="5">
        <v>45938</v>
      </c>
      <c r="B6747" s="1">
        <v>4.1170999999999998</v>
      </c>
      <c r="C6747" s="1">
        <v>0.73</v>
      </c>
      <c r="D6747" s="1">
        <v>4.7074999999999996</v>
      </c>
    </row>
    <row r="6748" spans="1:4" x14ac:dyDescent="0.2">
      <c r="A6748" s="5">
        <v>45939</v>
      </c>
      <c r="B6748" s="1">
        <v>4.1383999999999999</v>
      </c>
      <c r="C6748" s="1">
        <v>0.75</v>
      </c>
      <c r="D6748" s="1">
        <v>4.7211999999999996</v>
      </c>
    </row>
    <row r="6749" spans="1:4" x14ac:dyDescent="0.2">
      <c r="A6749" s="5">
        <v>45940</v>
      </c>
      <c r="B6749" s="1">
        <v>4.0321999999999996</v>
      </c>
      <c r="C6749" s="1">
        <v>0.79</v>
      </c>
      <c r="D6749" s="1">
        <v>4.6186999999999996</v>
      </c>
    </row>
    <row r="6750" spans="1:4" x14ac:dyDescent="0.2">
      <c r="A6750" s="5">
        <v>45943</v>
      </c>
      <c r="B6750" s="1">
        <v>4.0321999999999996</v>
      </c>
      <c r="C6750" s="1">
        <v>0.79</v>
      </c>
      <c r="D6750" s="1">
        <v>4.6186999999999996</v>
      </c>
    </row>
    <row r="6751" spans="1:4" x14ac:dyDescent="0.2">
      <c r="A6751" s="5">
        <v>45944</v>
      </c>
      <c r="B6751" s="1">
        <v>4.0320999999999998</v>
      </c>
      <c r="C6751" s="1">
        <v>0.78</v>
      </c>
      <c r="D6751" s="1">
        <v>4.6321000000000003</v>
      </c>
    </row>
    <row r="6752" spans="1:4" x14ac:dyDescent="0.2">
      <c r="A6752" s="5">
        <v>45945</v>
      </c>
      <c r="B6752" s="1">
        <v>4.0282</v>
      </c>
      <c r="C6752" s="1">
        <v>0.77</v>
      </c>
      <c r="D6752" s="1">
        <v>4.6254</v>
      </c>
    </row>
    <row r="6753" spans="1:4" x14ac:dyDescent="0.2">
      <c r="A6753" s="5">
        <v>45946</v>
      </c>
      <c r="B6753" s="1">
        <v>3.9744999999999999</v>
      </c>
      <c r="C6753" s="1">
        <v>0.79</v>
      </c>
      <c r="D6753" s="1">
        <v>4.5843999999999996</v>
      </c>
    </row>
    <row r="6754" spans="1:4" x14ac:dyDescent="0.2">
      <c r="A6754" s="5">
        <v>45947</v>
      </c>
      <c r="B6754" s="1">
        <v>4.0087999999999999</v>
      </c>
      <c r="C6754" s="1">
        <v>0.78</v>
      </c>
      <c r="D6754" s="1">
        <v>4.6052999999999997</v>
      </c>
    </row>
    <row r="6755" spans="1:4" x14ac:dyDescent="0.2">
      <c r="A6755" s="5">
        <v>45950</v>
      </c>
      <c r="B6755" s="1">
        <v>3.98</v>
      </c>
      <c r="C6755" s="1">
        <v>0.77</v>
      </c>
      <c r="D6755" s="1">
        <v>4.5692000000000004</v>
      </c>
    </row>
    <row r="6756" spans="1:4" x14ac:dyDescent="0.2">
      <c r="A6756" s="5">
        <v>45951</v>
      </c>
      <c r="B6756" s="1">
        <v>3.9626999999999999</v>
      </c>
      <c r="C6756" s="1">
        <v>0.78</v>
      </c>
      <c r="D6756" s="1">
        <v>4.5427999999999997</v>
      </c>
    </row>
    <row r="6757" spans="1:4" x14ac:dyDescent="0.2">
      <c r="A6757" s="5">
        <v>45952</v>
      </c>
      <c r="B6757" s="1">
        <v>3.9493</v>
      </c>
      <c r="C6757" s="1">
        <v>0.79</v>
      </c>
      <c r="D6757" s="1">
        <v>4.5305999999999997</v>
      </c>
    </row>
    <row r="6758" spans="1:4" x14ac:dyDescent="0.2">
      <c r="A6758" s="5">
        <v>45953</v>
      </c>
      <c r="B6758" s="1">
        <v>4.0008999999999997</v>
      </c>
      <c r="C6758" s="1">
        <v>0.77</v>
      </c>
      <c r="D6758" s="1">
        <v>4.5785999999999998</v>
      </c>
    </row>
    <row r="6759" spans="1:4" x14ac:dyDescent="0.2">
      <c r="A6759" s="5">
        <v>45954</v>
      </c>
      <c r="B6759" s="1">
        <v>4.0007000000000001</v>
      </c>
      <c r="C6759" s="1">
        <v>0.75</v>
      </c>
      <c r="D6759" s="1">
        <v>4.5928000000000004</v>
      </c>
    </row>
    <row r="6760" spans="1:4" x14ac:dyDescent="0.2">
      <c r="A6760" s="5">
        <v>45957</v>
      </c>
      <c r="B6760" s="1">
        <v>3.9794999999999998</v>
      </c>
      <c r="C6760" s="1">
        <v>0.74</v>
      </c>
      <c r="D6760" s="1">
        <v>4.5522</v>
      </c>
    </row>
    <row r="6761" spans="1:4" x14ac:dyDescent="0.2">
      <c r="A6761" s="5">
        <v>45958</v>
      </c>
      <c r="B6761" s="1">
        <v>3.9756</v>
      </c>
      <c r="C6761" s="1">
        <v>0.75</v>
      </c>
      <c r="D6761" s="1">
        <v>4.5399000000000003</v>
      </c>
    </row>
    <row r="6762" spans="1:4" x14ac:dyDescent="0.2">
      <c r="A6762" s="5">
        <v>45959</v>
      </c>
      <c r="B6762" s="1">
        <v>4.0757000000000003</v>
      </c>
      <c r="C6762" s="1">
        <v>0.74</v>
      </c>
      <c r="D6762" s="1">
        <v>4.6252000000000004</v>
      </c>
    </row>
    <row r="6763" spans="1:4" x14ac:dyDescent="0.2">
      <c r="A6763" s="5">
        <v>45960</v>
      </c>
      <c r="B6763" s="1">
        <v>4.0970000000000004</v>
      </c>
      <c r="C6763" s="1">
        <v>0.76</v>
      </c>
      <c r="D6763" s="1">
        <v>4.6540999999999997</v>
      </c>
    </row>
    <row r="6764" spans="1:4" x14ac:dyDescent="0.2">
      <c r="A6764" s="5">
        <v>45961</v>
      </c>
      <c r="B6764" s="1">
        <v>4.0774999999999997</v>
      </c>
      <c r="C6764" s="1">
        <v>0.78</v>
      </c>
      <c r="D6764" s="1">
        <v>4.6512000000000002</v>
      </c>
    </row>
    <row r="6765" spans="1:4" x14ac:dyDescent="0.2">
      <c r="A6765" s="5">
        <v>45964</v>
      </c>
      <c r="B6765" s="1">
        <v>4.1104000000000003</v>
      </c>
      <c r="C6765" s="1">
        <v>0.82</v>
      </c>
      <c r="D6765" s="1">
        <v>4.6908000000000003</v>
      </c>
    </row>
    <row r="6766" spans="1:4" x14ac:dyDescent="0.2">
      <c r="A6766" s="5">
        <v>45965</v>
      </c>
      <c r="B6766" s="1">
        <v>4.0852000000000004</v>
      </c>
      <c r="C6766" s="1">
        <v>0.81</v>
      </c>
      <c r="D6766" s="1">
        <v>4.6646999999999998</v>
      </c>
    </row>
    <row r="6767" spans="1:4" x14ac:dyDescent="0.2">
      <c r="A6767" s="5">
        <v>45966</v>
      </c>
      <c r="B6767" s="1">
        <v>4.1590999999999996</v>
      </c>
      <c r="C6767" s="1">
        <v>0.8</v>
      </c>
      <c r="D6767" s="1">
        <v>4.7378</v>
      </c>
    </row>
    <row r="6768" spans="1:4" x14ac:dyDescent="0.2">
      <c r="A6768" s="5">
        <v>45967</v>
      </c>
      <c r="B6768" s="1">
        <v>4.0831</v>
      </c>
      <c r="C6768" s="1">
        <v>0.81</v>
      </c>
      <c r="D6768" s="1">
        <v>4.6801000000000004</v>
      </c>
    </row>
    <row r="6769" spans="1:4" x14ac:dyDescent="0.2">
      <c r="A6769" s="5">
        <v>45968</v>
      </c>
      <c r="B6769" s="1">
        <v>4.0965999999999996</v>
      </c>
      <c r="C6769" s="1">
        <v>0.82</v>
      </c>
      <c r="D6769" s="1">
        <v>4.6985999999999999</v>
      </c>
    </row>
    <row r="6770" spans="1:4" x14ac:dyDescent="0.2">
      <c r="A6770" s="5">
        <v>45971</v>
      </c>
      <c r="B6770" s="1">
        <v>4.1159999999999997</v>
      </c>
      <c r="C6770" s="1">
        <v>0.81</v>
      </c>
      <c r="D6770" s="1">
        <v>4.7054</v>
      </c>
    </row>
    <row r="6771" spans="1:4" x14ac:dyDescent="0.2">
      <c r="A6771" s="5">
        <v>45972</v>
      </c>
      <c r="B6771" s="1">
        <v>4.1159999999999997</v>
      </c>
      <c r="C6771" s="1">
        <v>0.81</v>
      </c>
      <c r="D6771" s="1">
        <v>4.7054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016A-B02F-49F9-91F4-15FE96A85987}">
  <dimension ref="A1:AW2985"/>
  <sheetViews>
    <sheetView tabSelected="1" topLeftCell="M100" workbookViewId="0">
      <selection activeCell="U135" sqref="U135"/>
    </sheetView>
  </sheetViews>
  <sheetFormatPr defaultRowHeight="12" x14ac:dyDescent="0.2"/>
  <cols>
    <col min="1" max="2" width="13" style="3" customWidth="1"/>
    <col min="3" max="3" width="11.28515625" style="3" customWidth="1"/>
    <col min="4" max="4" width="11" style="3" customWidth="1"/>
    <col min="5" max="5" width="18.85546875" style="3" bestFit="1" customWidth="1"/>
    <col min="6" max="6" width="11.28515625" style="3" bestFit="1" customWidth="1"/>
    <col min="7" max="7" width="11.28515625" style="14" bestFit="1" customWidth="1"/>
    <col min="8" max="8" width="11.28515625" style="17" customWidth="1"/>
    <col min="9" max="9" width="11.28515625" style="14" bestFit="1" customWidth="1"/>
    <col min="10" max="10" width="11.28515625" style="3" bestFit="1" customWidth="1"/>
    <col min="11" max="11" width="11.28515625" style="18" customWidth="1"/>
    <col min="12" max="13" width="11.28515625" style="15" customWidth="1"/>
    <col min="14" max="18" width="11.28515625" style="3" customWidth="1"/>
    <col min="19" max="21" width="11.28515625" style="14" customWidth="1"/>
    <col min="22" max="22" width="11.28515625" style="31" customWidth="1"/>
    <col min="23" max="23" width="9.140625" style="31"/>
    <col min="24" max="29" width="9.140625" style="3"/>
    <col min="30" max="30" width="12.85546875" style="3" bestFit="1" customWidth="1"/>
    <col min="31" max="31" width="12.7109375" style="3" bestFit="1" customWidth="1"/>
    <col min="32" max="32" width="12.85546875" style="3" bestFit="1" customWidth="1"/>
    <col min="33" max="33" width="15.5703125" style="3" bestFit="1" customWidth="1"/>
    <col min="34" max="35" width="9.140625" style="3"/>
    <col min="36" max="37" width="11.42578125" style="3" customWidth="1"/>
    <col min="38" max="38" width="10.85546875" style="3" customWidth="1"/>
    <col min="39" max="44" width="9.140625" style="3"/>
    <col min="45" max="45" width="18.85546875" style="3" bestFit="1" customWidth="1"/>
    <col min="46" max="16384" width="9.140625" style="3"/>
  </cols>
  <sheetData>
    <row r="1" spans="1:49" x14ac:dyDescent="0.2">
      <c r="A1" s="3" t="s">
        <v>109</v>
      </c>
      <c r="B1" s="10" t="s">
        <v>65</v>
      </c>
      <c r="C1" s="3" t="s">
        <v>110</v>
      </c>
      <c r="D1" s="3" t="s">
        <v>111</v>
      </c>
      <c r="F1" s="3" t="s">
        <v>115</v>
      </c>
      <c r="G1" s="14" t="s">
        <v>114</v>
      </c>
      <c r="I1" s="14" t="s">
        <v>116</v>
      </c>
      <c r="J1" s="3" t="s">
        <v>117</v>
      </c>
      <c r="L1" s="15" t="s">
        <v>118</v>
      </c>
      <c r="M1" s="15" t="s">
        <v>119</v>
      </c>
      <c r="O1" s="3" t="s">
        <v>120</v>
      </c>
      <c r="P1" s="3" t="s">
        <v>121</v>
      </c>
      <c r="S1" s="14" t="s">
        <v>10</v>
      </c>
      <c r="T1" s="14" t="s">
        <v>133</v>
      </c>
      <c r="U1" s="14" t="s">
        <v>134</v>
      </c>
      <c r="V1" s="31" t="s">
        <v>129</v>
      </c>
      <c r="W1" s="31" t="s">
        <v>128</v>
      </c>
      <c r="X1" s="3" t="s">
        <v>130</v>
      </c>
      <c r="Y1" s="3" t="s">
        <v>107</v>
      </c>
      <c r="Z1" s="3" t="s">
        <v>127</v>
      </c>
      <c r="AA1" s="3" t="s">
        <v>123</v>
      </c>
      <c r="AB1" s="3" t="s">
        <v>125</v>
      </c>
      <c r="AD1" s="12"/>
      <c r="AE1" s="12" t="s">
        <v>112</v>
      </c>
      <c r="AF1" s="12"/>
      <c r="AG1" s="12" t="s">
        <v>113</v>
      </c>
    </row>
    <row r="2" spans="1:49" x14ac:dyDescent="0.2">
      <c r="A2" s="11">
        <v>41974</v>
      </c>
      <c r="B2" s="11">
        <f t="shared" ref="B2:B19" si="0">EOMONTH(A2,0)</f>
        <v>42004</v>
      </c>
      <c r="C2" s="3" t="s">
        <v>27</v>
      </c>
      <c r="D2" s="3" t="s">
        <v>26</v>
      </c>
      <c r="E2" s="3" t="str">
        <f>C2&amp;"/"&amp;D2</f>
        <v>Downturn/Expansion</v>
      </c>
      <c r="F2" s="14">
        <f t="shared" ref="F2:F19" si="1">B2+1</f>
        <v>42005</v>
      </c>
      <c r="G2" s="14">
        <f>IF(WEEKDAY(F2)=1, F2+1, IF(WEEKDAY(F2)=7, F2+2, F2))</f>
        <v>42005</v>
      </c>
      <c r="H2" s="17">
        <f>IF(AND(MONTH(G2)=1,DAY(G2)=1,WEEKDAY(G2+1)=1),G2+2,IF(AND(MONTH(G2)=1,DAY(G2)=1,WEEKDAY(G2+1)=7),G2+3,IF(AND(MONTH(G2)=1,DAY(G2)=1),G2+1,G2)))</f>
        <v>42006</v>
      </c>
      <c r="I2" s="14">
        <f>EOMONTH(F2, 0)+1</f>
        <v>42036</v>
      </c>
      <c r="J2" s="14">
        <f>IF(WEEKDAY(I2)=1, I2+1, IF(WEEKDAY(I2)=7, I2+2, I2))</f>
        <v>42037</v>
      </c>
      <c r="K2" s="17">
        <f>IF(AND(MONTH(J2)=1,DAY(J2)=1,WEEKDAY(J2+1)=1),J2+2,IF(AND(MONTH(J2)=1,DAY(J2)=1,WEEKDAY(J2+1)=7),J2+3,IF(AND(MONTH(J2)=1,DAY(J2)=1),J2+1,J2)))</f>
        <v>42037</v>
      </c>
      <c r="L2" s="16">
        <f t="shared" ref="L2:L33" si="2">VLOOKUP(K2,$AD$2:$AE$2985, 2, 1)/VLOOKUP(H2,$AD$2:$AE$2985, 2, 1)-1</f>
        <v>2.1311680395129651E-2</v>
      </c>
      <c r="M2" s="16">
        <f t="shared" ref="M2:M33" si="3">VLOOKUP(K2,$AF$2:$AG$2985, 2, 1)/VLOOKUP(H2,$AF$2:$AG$2985, 2, 1)-1</f>
        <v>3.4842947053301598E-2</v>
      </c>
      <c r="N2" s="3">
        <f>IF(L2&gt;M2, 1, -1)</f>
        <v>-1</v>
      </c>
      <c r="O2" s="20">
        <f>0.5*M2+0.5*L2</f>
        <v>2.8077313724215625E-2</v>
      </c>
      <c r="P2" s="20">
        <f t="shared" ref="P2:P33" si="4">IF(VLOOKUP(E2,$AS$2:$AT$17, 2, 0)=0, O2, IF(VLOOKUP(E2,$AS$2:$AT$17, 2, 0)=1, L2, M2))</f>
        <v>2.8077313724215625E-2</v>
      </c>
      <c r="Q2" s="29">
        <f>VLOOKUP(E2,$AS$2:$AT$17, 2, 0)</f>
        <v>0</v>
      </c>
      <c r="R2" s="29"/>
      <c r="S2" s="14">
        <v>42004</v>
      </c>
      <c r="T2" s="31">
        <v>100</v>
      </c>
      <c r="U2" s="31">
        <v>100</v>
      </c>
      <c r="V2" s="31">
        <v>100</v>
      </c>
      <c r="W2" s="31">
        <v>100</v>
      </c>
      <c r="X2" s="31">
        <f>W2-V2</f>
        <v>0</v>
      </c>
      <c r="Y2" s="3">
        <f>Q2</f>
        <v>0</v>
      </c>
      <c r="Z2" s="3">
        <f>IF(Y2=1, 30, 0)</f>
        <v>0</v>
      </c>
      <c r="AA2" s="3">
        <f>IF(Y2=0, 30, 0)</f>
        <v>30</v>
      </c>
      <c r="AB2" s="3">
        <f>IF(Y2=-1, 30, 0)</f>
        <v>0</v>
      </c>
      <c r="AC2" s="29"/>
      <c r="AD2" s="13">
        <v>41641</v>
      </c>
      <c r="AE2" s="12">
        <v>24.296099999999999</v>
      </c>
      <c r="AF2" s="13">
        <v>41641</v>
      </c>
      <c r="AG2" s="12">
        <v>114.41</v>
      </c>
      <c r="AJ2" s="3" t="s">
        <v>26</v>
      </c>
      <c r="AK2" s="3" t="s">
        <v>26</v>
      </c>
      <c r="AL2" s="3">
        <f t="shared" ref="AL2:AL17" si="5">COUNTIFS($C$2:$C$132,$AJ2, $D$2:$D$132, $AK2)</f>
        <v>18</v>
      </c>
      <c r="AM2" s="20">
        <f t="shared" ref="AM2:AM8" si="6">AVERAGEIFS(L$2:L$132,$C$2:$C$132,AJ2, $D$2:$D$132,AK2)</f>
        <v>-2.6068175595848251E-3</v>
      </c>
      <c r="AN2" s="20">
        <f t="shared" ref="AN2:AN8" si="7">AVERAGEIFS(M$2:M$132,$C$2:$C$132,AJ2, $D$2:$D$132,AK2)</f>
        <v>-2.7083538951564335E-3</v>
      </c>
      <c r="AO2" s="3">
        <f t="shared" ref="AO2:AO8" si="8">COUNTIFS($C$2:$C$132,$AJ2, $D$2:$D$132, $AK2, $N$2:$N$132, 1)</f>
        <v>8</v>
      </c>
      <c r="AP2" s="3">
        <f t="shared" ref="AP2:AP8" si="9">COUNTIFS($C$2:$C$132,$AJ2, $D$2:$D$132, $AK2, $N$2:$N$132, -1)</f>
        <v>10</v>
      </c>
      <c r="AQ2" s="19">
        <f>AO2/SUM(AO2:AP2)</f>
        <v>0.44444444444444442</v>
      </c>
      <c r="AR2" s="23">
        <f>1-AQ2</f>
        <v>0.55555555555555558</v>
      </c>
      <c r="AS2" s="3" t="str">
        <f>AJ2&amp;"/"&amp;AK2</f>
        <v>Expansion/Expansion</v>
      </c>
      <c r="AT2" s="3">
        <v>0</v>
      </c>
      <c r="AU2" s="3" t="s">
        <v>122</v>
      </c>
      <c r="AW2" s="3" t="s">
        <v>126</v>
      </c>
    </row>
    <row r="3" spans="1:49" x14ac:dyDescent="0.2">
      <c r="A3" s="11">
        <v>42005</v>
      </c>
      <c r="B3" s="11">
        <f t="shared" si="0"/>
        <v>42035</v>
      </c>
      <c r="C3" s="3" t="s">
        <v>27</v>
      </c>
      <c r="D3" s="3" t="s">
        <v>26</v>
      </c>
      <c r="E3" s="3" t="str">
        <f t="shared" ref="E3:E66" si="10">C3&amp;"/"&amp;D3</f>
        <v>Downturn/Expansion</v>
      </c>
      <c r="F3" s="14">
        <f t="shared" si="1"/>
        <v>42036</v>
      </c>
      <c r="G3" s="14">
        <f t="shared" ref="G3:G66" si="11">IF(WEEKDAY(F3)=1, F3+1, IF(WEEKDAY(F3)=7, F3+2, F3))</f>
        <v>42037</v>
      </c>
      <c r="H3" s="17">
        <f t="shared" ref="H3:H66" si="12">IF(AND(MONTH(G3)=1,DAY(G3)=1,WEEKDAY(G3+1)=1),G3+2,IF(AND(MONTH(G3)=1,DAY(G3)=1,WEEKDAY(G3+1)=7),G3+3,IF(AND(MONTH(G3)=1,DAY(G3)=1),G3+1,G3)))</f>
        <v>42037</v>
      </c>
      <c r="I3" s="14">
        <f t="shared" ref="I3:I66" si="13">EOMONTH(F3, 0)+1</f>
        <v>42064</v>
      </c>
      <c r="J3" s="14">
        <f t="shared" ref="J3:J66" si="14">IF(WEEKDAY(I3)=1, I3+1, IF(WEEKDAY(I3)=7, I3+2, I3))</f>
        <v>42065</v>
      </c>
      <c r="K3" s="17">
        <f t="shared" ref="K3:K66" si="15">IF(AND(MONTH(J3)=1,DAY(J3)=1,WEEKDAY(J3+1)=1),J3+2,IF(AND(MONTH(J3)=1,DAY(J3)=1,WEEKDAY(J3+1)=7),J3+3,IF(AND(MONTH(J3)=1,DAY(J3)=1),J3+1,J3)))</f>
        <v>42065</v>
      </c>
      <c r="L3" s="16">
        <f t="shared" si="2"/>
        <v>-2.0438458889696642E-2</v>
      </c>
      <c r="M3" s="16">
        <f t="shared" si="3"/>
        <v>-2.3632135464724757E-2</v>
      </c>
      <c r="N3" s="3">
        <f t="shared" ref="N3:N66" si="16">IF(L3&gt;M3, 1, -1)</f>
        <v>1</v>
      </c>
      <c r="O3" s="20">
        <f t="shared" ref="O3:O66" si="17">0.5*M3+0.5*L3</f>
        <v>-2.20352971772107E-2</v>
      </c>
      <c r="P3" s="20">
        <f t="shared" si="4"/>
        <v>-2.20352971772107E-2</v>
      </c>
      <c r="Q3" s="29">
        <f t="shared" ref="Q3:Q66" si="18">VLOOKUP(E3,$AS$2:$AT$17, 2, 0)</f>
        <v>0</v>
      </c>
      <c r="R3" s="29"/>
      <c r="S3" s="30">
        <v>42035</v>
      </c>
      <c r="T3" s="32">
        <f>T2*(1+L2)</f>
        <v>102.13116803951297</v>
      </c>
      <c r="U3" s="32">
        <f>U2*(1+M2)</f>
        <v>103.48429470533016</v>
      </c>
      <c r="V3" s="32">
        <f>V2*(1+O2)</f>
        <v>102.80773137242156</v>
      </c>
      <c r="W3" s="32">
        <f>W2*(1+P2)</f>
        <v>102.80773137242156</v>
      </c>
      <c r="X3" s="31">
        <f t="shared" ref="X3:X66" si="19">W3-V3</f>
        <v>0</v>
      </c>
      <c r="Y3" s="3">
        <f t="shared" ref="Y3:Y66" si="20">Q3</f>
        <v>0</v>
      </c>
      <c r="Z3" s="3">
        <f t="shared" ref="Z3:Z66" si="21">IF(Y3=1, 30, 0)</f>
        <v>0</v>
      </c>
      <c r="AA3" s="3">
        <f t="shared" ref="AA3:AA66" si="22">IF(Y3=0, 30, 0)</f>
        <v>30</v>
      </c>
      <c r="AB3" s="3">
        <f t="shared" ref="AB3:AB66" si="23">IF(Y3=-1, 30, 0)</f>
        <v>0</v>
      </c>
      <c r="AC3" s="29"/>
      <c r="AD3" s="13">
        <v>41642</v>
      </c>
      <c r="AE3" s="12">
        <v>24.276</v>
      </c>
      <c r="AF3" s="13">
        <v>41642</v>
      </c>
      <c r="AG3" s="12">
        <v>114.58</v>
      </c>
      <c r="AJ3" s="3" t="s">
        <v>26</v>
      </c>
      <c r="AK3" s="3" t="s">
        <v>27</v>
      </c>
      <c r="AL3" s="18">
        <f t="shared" si="5"/>
        <v>8</v>
      </c>
      <c r="AM3" s="21">
        <f t="shared" si="6"/>
        <v>1.7550805294993255E-3</v>
      </c>
      <c r="AN3" s="21">
        <f t="shared" si="7"/>
        <v>-1.3448849251776862E-2</v>
      </c>
      <c r="AO3" s="18">
        <f t="shared" si="8"/>
        <v>6</v>
      </c>
      <c r="AP3" s="18">
        <f t="shared" si="9"/>
        <v>2</v>
      </c>
      <c r="AQ3" s="22">
        <f t="shared" ref="AQ3:AQ13" si="24">AO3/SUM(AO3:AP3)</f>
        <v>0.75</v>
      </c>
      <c r="AR3" s="24">
        <f t="shared" ref="AR3:AR17" si="25">1-AQ3</f>
        <v>0.25</v>
      </c>
      <c r="AS3" s="3" t="str">
        <f t="shared" ref="AS3:AS17" si="26">AJ3&amp;"/"&amp;AK3</f>
        <v>Expansion/Downturn</v>
      </c>
      <c r="AT3" s="3">
        <v>1</v>
      </c>
      <c r="AU3" s="3" t="s">
        <v>126</v>
      </c>
      <c r="AW3" s="3" t="s">
        <v>122</v>
      </c>
    </row>
    <row r="4" spans="1:49" x14ac:dyDescent="0.2">
      <c r="A4" s="11">
        <v>42036</v>
      </c>
      <c r="B4" s="11">
        <f t="shared" si="0"/>
        <v>42063</v>
      </c>
      <c r="C4" s="3" t="s">
        <v>27</v>
      </c>
      <c r="D4" s="3" t="s">
        <v>28</v>
      </c>
      <c r="E4" s="3" t="str">
        <f t="shared" si="10"/>
        <v>Downturn/Repair</v>
      </c>
      <c r="F4" s="14">
        <f t="shared" si="1"/>
        <v>42064</v>
      </c>
      <c r="G4" s="14">
        <f t="shared" si="11"/>
        <v>42065</v>
      </c>
      <c r="H4" s="17">
        <f t="shared" si="12"/>
        <v>42065</v>
      </c>
      <c r="I4" s="14">
        <f t="shared" si="13"/>
        <v>42095</v>
      </c>
      <c r="J4" s="14">
        <f t="shared" si="14"/>
        <v>42095</v>
      </c>
      <c r="K4" s="17">
        <f t="shared" si="15"/>
        <v>42095</v>
      </c>
      <c r="L4" s="16">
        <f t="shared" si="2"/>
        <v>1.4834314996797326E-2</v>
      </c>
      <c r="M4" s="16">
        <f t="shared" si="3"/>
        <v>1.3610633087598911E-2</v>
      </c>
      <c r="N4" s="3">
        <f t="shared" si="16"/>
        <v>1</v>
      </c>
      <c r="O4" s="20">
        <f t="shared" si="17"/>
        <v>1.4222474042198119E-2</v>
      </c>
      <c r="P4" s="20">
        <f t="shared" si="4"/>
        <v>1.4834314996797326E-2</v>
      </c>
      <c r="Q4" s="29">
        <f t="shared" si="18"/>
        <v>1</v>
      </c>
      <c r="R4" s="29"/>
      <c r="S4" s="30">
        <f>EOMONTH(S3,1)</f>
        <v>42063</v>
      </c>
      <c r="T4" s="32">
        <f t="shared" ref="T4:T67" si="27">T3*(1+L3)</f>
        <v>100.04376436018069</v>
      </c>
      <c r="U4" s="32">
        <f t="shared" ref="U4:U67" si="28">U3*(1+M3)</f>
        <v>101.0387398343823</v>
      </c>
      <c r="V4" s="32">
        <f t="shared" ref="V4:V67" si="29">V3*(1+O3)</f>
        <v>100.54233245951541</v>
      </c>
      <c r="W4" s="32">
        <f t="shared" ref="W4:W67" si="30">W3*(1+P3)</f>
        <v>100.54233245951541</v>
      </c>
      <c r="X4" s="31">
        <f t="shared" si="19"/>
        <v>0</v>
      </c>
      <c r="Y4" s="3">
        <f t="shared" si="20"/>
        <v>1</v>
      </c>
      <c r="Z4" s="3">
        <f t="shared" si="21"/>
        <v>30</v>
      </c>
      <c r="AA4" s="3">
        <f t="shared" si="22"/>
        <v>0</v>
      </c>
      <c r="AB4" s="3">
        <f t="shared" si="23"/>
        <v>0</v>
      </c>
      <c r="AC4" s="29"/>
      <c r="AD4" s="13">
        <v>41645</v>
      </c>
      <c r="AE4" s="12">
        <v>24.33</v>
      </c>
      <c r="AF4" s="13">
        <v>41645</v>
      </c>
      <c r="AG4" s="12">
        <v>114.83</v>
      </c>
      <c r="AJ4" s="3" t="s">
        <v>26</v>
      </c>
      <c r="AK4" s="3" t="s">
        <v>28</v>
      </c>
      <c r="AL4" s="25">
        <f t="shared" si="5"/>
        <v>6</v>
      </c>
      <c r="AM4" s="26">
        <f t="shared" si="6"/>
        <v>8.8239099072595448E-3</v>
      </c>
      <c r="AN4" s="26">
        <f t="shared" si="7"/>
        <v>1.8746624221395058E-2</v>
      </c>
      <c r="AO4" s="25">
        <f t="shared" si="8"/>
        <v>2</v>
      </c>
      <c r="AP4" s="25">
        <f t="shared" si="9"/>
        <v>4</v>
      </c>
      <c r="AQ4" s="27">
        <f t="shared" si="24"/>
        <v>0.33333333333333331</v>
      </c>
      <c r="AR4" s="28">
        <f t="shared" si="25"/>
        <v>0.66666666666666674</v>
      </c>
      <c r="AS4" s="3" t="str">
        <f t="shared" si="26"/>
        <v>Expansion/Repair</v>
      </c>
      <c r="AT4" s="3">
        <v>-1</v>
      </c>
      <c r="AU4" s="3" t="s">
        <v>124</v>
      </c>
      <c r="AW4" s="3" t="s">
        <v>124</v>
      </c>
    </row>
    <row r="5" spans="1:49" x14ac:dyDescent="0.2">
      <c r="A5" s="11">
        <v>42064</v>
      </c>
      <c r="B5" s="11">
        <f t="shared" si="0"/>
        <v>42094</v>
      </c>
      <c r="C5" s="3" t="s">
        <v>26</v>
      </c>
      <c r="D5" s="3" t="s">
        <v>27</v>
      </c>
      <c r="E5" s="3" t="str">
        <f t="shared" si="10"/>
        <v>Expansion/Downturn</v>
      </c>
      <c r="F5" s="14">
        <f t="shared" si="1"/>
        <v>42095</v>
      </c>
      <c r="G5" s="14">
        <f t="shared" si="11"/>
        <v>42095</v>
      </c>
      <c r="H5" s="17">
        <f t="shared" si="12"/>
        <v>42095</v>
      </c>
      <c r="I5" s="14">
        <f t="shared" si="13"/>
        <v>42125</v>
      </c>
      <c r="J5" s="14">
        <f t="shared" si="14"/>
        <v>42125</v>
      </c>
      <c r="K5" s="17">
        <f t="shared" si="15"/>
        <v>42125</v>
      </c>
      <c r="L5" s="16">
        <f t="shared" si="2"/>
        <v>-1.2500673527668482E-2</v>
      </c>
      <c r="M5" s="16">
        <f t="shared" si="3"/>
        <v>-2.0125270100858628E-2</v>
      </c>
      <c r="N5" s="3">
        <f t="shared" si="16"/>
        <v>1</v>
      </c>
      <c r="O5" s="20">
        <f t="shared" si="17"/>
        <v>-1.6312971814263555E-2</v>
      </c>
      <c r="P5" s="20">
        <f t="shared" si="4"/>
        <v>-1.2500673527668482E-2</v>
      </c>
      <c r="Q5" s="29">
        <f t="shared" si="18"/>
        <v>1</v>
      </c>
      <c r="R5" s="29"/>
      <c r="S5" s="30">
        <f t="shared" ref="S5:S68" si="31">EOMONTH(S4,1)</f>
        <v>42094</v>
      </c>
      <c r="T5" s="32">
        <f t="shared" si="27"/>
        <v>101.52784507416497</v>
      </c>
      <c r="U5" s="32">
        <f t="shared" si="28"/>
        <v>102.41394104990144</v>
      </c>
      <c r="V5" s="32">
        <f t="shared" si="29"/>
        <v>101.97229317306292</v>
      </c>
      <c r="W5" s="32">
        <f t="shared" si="30"/>
        <v>102.03380908973259</v>
      </c>
      <c r="X5" s="31">
        <f t="shared" si="19"/>
        <v>6.1515916669662829E-2</v>
      </c>
      <c r="Y5" s="3">
        <f t="shared" si="20"/>
        <v>1</v>
      </c>
      <c r="Z5" s="3">
        <f t="shared" si="21"/>
        <v>30</v>
      </c>
      <c r="AA5" s="3">
        <f t="shared" si="22"/>
        <v>0</v>
      </c>
      <c r="AB5" s="3">
        <f t="shared" si="23"/>
        <v>0</v>
      </c>
      <c r="AC5" s="29"/>
      <c r="AD5" s="13">
        <v>41646</v>
      </c>
      <c r="AE5" s="12">
        <v>24.31</v>
      </c>
      <c r="AF5" s="13">
        <v>41646</v>
      </c>
      <c r="AG5" s="12">
        <v>114.74</v>
      </c>
      <c r="AJ5" s="3" t="s">
        <v>26</v>
      </c>
      <c r="AK5" s="3" t="s">
        <v>29</v>
      </c>
      <c r="AL5" s="3">
        <f t="shared" si="5"/>
        <v>3</v>
      </c>
      <c r="AM5" s="20">
        <f t="shared" si="6"/>
        <v>1.1523857404368046E-2</v>
      </c>
      <c r="AN5" s="20">
        <f t="shared" si="7"/>
        <v>2.0210071733176571E-2</v>
      </c>
      <c r="AO5" s="3">
        <f t="shared" si="8"/>
        <v>0</v>
      </c>
      <c r="AP5" s="3">
        <f t="shared" si="9"/>
        <v>3</v>
      </c>
      <c r="AQ5" s="19">
        <f t="shared" si="24"/>
        <v>0</v>
      </c>
      <c r="AR5" s="23">
        <f t="shared" si="25"/>
        <v>1</v>
      </c>
      <c r="AS5" s="3" t="str">
        <f t="shared" si="26"/>
        <v>Expansion/Recovery</v>
      </c>
      <c r="AT5" s="3">
        <v>0</v>
      </c>
      <c r="AU5" s="3" t="s">
        <v>122</v>
      </c>
    </row>
    <row r="6" spans="1:49" x14ac:dyDescent="0.2">
      <c r="A6" s="11">
        <v>42095</v>
      </c>
      <c r="B6" s="11">
        <f t="shared" si="0"/>
        <v>42124</v>
      </c>
      <c r="C6" s="3" t="s">
        <v>27</v>
      </c>
      <c r="D6" s="3" t="s">
        <v>28</v>
      </c>
      <c r="E6" s="3" t="str">
        <f t="shared" si="10"/>
        <v>Downturn/Repair</v>
      </c>
      <c r="F6" s="14">
        <f t="shared" si="1"/>
        <v>42125</v>
      </c>
      <c r="G6" s="14">
        <f t="shared" si="11"/>
        <v>42125</v>
      </c>
      <c r="H6" s="17">
        <f t="shared" si="12"/>
        <v>42125</v>
      </c>
      <c r="I6" s="14">
        <f t="shared" si="13"/>
        <v>42156</v>
      </c>
      <c r="J6" s="14">
        <f t="shared" si="14"/>
        <v>42156</v>
      </c>
      <c r="K6" s="17">
        <f t="shared" si="15"/>
        <v>42156</v>
      </c>
      <c r="L6" s="16">
        <f t="shared" si="2"/>
        <v>-2.7671897044954097E-3</v>
      </c>
      <c r="M6" s="16">
        <f t="shared" si="3"/>
        <v>-1.1276669782109172E-2</v>
      </c>
      <c r="N6" s="3">
        <f t="shared" si="16"/>
        <v>1</v>
      </c>
      <c r="O6" s="20">
        <f t="shared" si="17"/>
        <v>-7.0219297433022909E-3</v>
      </c>
      <c r="P6" s="20">
        <f t="shared" si="4"/>
        <v>-2.7671897044954097E-3</v>
      </c>
      <c r="Q6" s="29">
        <f t="shared" si="18"/>
        <v>1</v>
      </c>
      <c r="R6" s="29"/>
      <c r="S6" s="30">
        <f t="shared" si="31"/>
        <v>42124</v>
      </c>
      <c r="T6" s="32">
        <f t="shared" si="27"/>
        <v>100.25867862892513</v>
      </c>
      <c r="U6" s="32">
        <f t="shared" si="28"/>
        <v>100.35283282417876</v>
      </c>
      <c r="V6" s="32">
        <f t="shared" si="29"/>
        <v>100.30882202869492</v>
      </c>
      <c r="W6" s="32">
        <f t="shared" si="30"/>
        <v>100.75831775351739</v>
      </c>
      <c r="X6" s="31">
        <f t="shared" si="19"/>
        <v>0.44949572482246936</v>
      </c>
      <c r="Y6" s="3">
        <f t="shared" si="20"/>
        <v>1</v>
      </c>
      <c r="Z6" s="3">
        <f t="shared" si="21"/>
        <v>30</v>
      </c>
      <c r="AA6" s="3">
        <f t="shared" si="22"/>
        <v>0</v>
      </c>
      <c r="AB6" s="3">
        <f t="shared" si="23"/>
        <v>0</v>
      </c>
      <c r="AC6" s="29"/>
      <c r="AD6" s="13">
        <v>41647</v>
      </c>
      <c r="AE6" s="12">
        <v>24.28</v>
      </c>
      <c r="AF6" s="13">
        <v>41647</v>
      </c>
      <c r="AG6" s="12">
        <v>114.25</v>
      </c>
      <c r="AJ6" s="3" t="s">
        <v>27</v>
      </c>
      <c r="AK6" s="3" t="s">
        <v>26</v>
      </c>
      <c r="AL6" s="3">
        <f t="shared" si="5"/>
        <v>16</v>
      </c>
      <c r="AM6" s="20">
        <f t="shared" si="6"/>
        <v>1.5898060511041687E-3</v>
      </c>
      <c r="AN6" s="20">
        <f t="shared" si="7"/>
        <v>2.855273797168649E-3</v>
      </c>
      <c r="AO6" s="3">
        <f t="shared" si="8"/>
        <v>8</v>
      </c>
      <c r="AP6" s="3">
        <f t="shared" si="9"/>
        <v>8</v>
      </c>
      <c r="AQ6" s="19">
        <f t="shared" si="24"/>
        <v>0.5</v>
      </c>
      <c r="AR6" s="23">
        <f t="shared" si="25"/>
        <v>0.5</v>
      </c>
      <c r="AS6" s="3" t="str">
        <f t="shared" si="26"/>
        <v>Downturn/Expansion</v>
      </c>
      <c r="AT6" s="3">
        <v>0</v>
      </c>
      <c r="AU6" s="3" t="s">
        <v>122</v>
      </c>
    </row>
    <row r="7" spans="1:49" x14ac:dyDescent="0.2">
      <c r="A7" s="11">
        <v>42125</v>
      </c>
      <c r="B7" s="11">
        <f t="shared" si="0"/>
        <v>42155</v>
      </c>
      <c r="C7" s="3" t="s">
        <v>26</v>
      </c>
      <c r="D7" s="3" t="s">
        <v>27</v>
      </c>
      <c r="E7" s="3" t="str">
        <f t="shared" si="10"/>
        <v>Expansion/Downturn</v>
      </c>
      <c r="F7" s="14">
        <f t="shared" si="1"/>
        <v>42156</v>
      </c>
      <c r="G7" s="14">
        <f t="shared" si="11"/>
        <v>42156</v>
      </c>
      <c r="H7" s="17">
        <f t="shared" si="12"/>
        <v>42156</v>
      </c>
      <c r="I7" s="14">
        <f t="shared" si="13"/>
        <v>42186</v>
      </c>
      <c r="J7" s="14">
        <f t="shared" si="14"/>
        <v>42186</v>
      </c>
      <c r="K7" s="17">
        <f t="shared" si="15"/>
        <v>42186</v>
      </c>
      <c r="L7" s="16">
        <f t="shared" si="2"/>
        <v>-8.879578532680954E-3</v>
      </c>
      <c r="M7" s="16">
        <f t="shared" si="3"/>
        <v>-1.6452804056223291E-2</v>
      </c>
      <c r="N7" s="3">
        <f t="shared" si="16"/>
        <v>1</v>
      </c>
      <c r="O7" s="20">
        <f t="shared" si="17"/>
        <v>-1.2666191294452123E-2</v>
      </c>
      <c r="P7" s="20">
        <f t="shared" si="4"/>
        <v>-8.879578532680954E-3</v>
      </c>
      <c r="Q7" s="29">
        <f t="shared" si="18"/>
        <v>1</v>
      </c>
      <c r="R7" s="29"/>
      <c r="S7" s="30">
        <f t="shared" si="31"/>
        <v>42155</v>
      </c>
      <c r="T7" s="32">
        <f t="shared" si="27"/>
        <v>99.981243845636854</v>
      </c>
      <c r="U7" s="32">
        <f t="shared" si="28"/>
        <v>99.221187066721285</v>
      </c>
      <c r="V7" s="32">
        <f t="shared" si="29"/>
        <v>99.604460527776013</v>
      </c>
      <c r="W7" s="32">
        <f t="shared" si="30"/>
        <v>100.47950037398758</v>
      </c>
      <c r="X7" s="31">
        <f t="shared" si="19"/>
        <v>0.87503984621156405</v>
      </c>
      <c r="Y7" s="3">
        <f t="shared" si="20"/>
        <v>1</v>
      </c>
      <c r="Z7" s="3">
        <f t="shared" si="21"/>
        <v>30</v>
      </c>
      <c r="AA7" s="3">
        <f t="shared" si="22"/>
        <v>0</v>
      </c>
      <c r="AB7" s="3">
        <f t="shared" si="23"/>
        <v>0</v>
      </c>
      <c r="AC7" s="29"/>
      <c r="AD7" s="13">
        <v>41648</v>
      </c>
      <c r="AE7" s="12">
        <v>24.31</v>
      </c>
      <c r="AF7" s="13">
        <v>41648</v>
      </c>
      <c r="AG7" s="12">
        <v>114.51</v>
      </c>
      <c r="AJ7" s="3" t="s">
        <v>27</v>
      </c>
      <c r="AK7" s="3" t="s">
        <v>27</v>
      </c>
      <c r="AL7" s="3">
        <f t="shared" si="5"/>
        <v>15</v>
      </c>
      <c r="AM7" s="20">
        <f t="shared" si="6"/>
        <v>3.4950809215547568E-3</v>
      </c>
      <c r="AN7" s="20">
        <f t="shared" si="7"/>
        <v>5.8275760221113025E-3</v>
      </c>
      <c r="AO7" s="3">
        <f t="shared" si="8"/>
        <v>8</v>
      </c>
      <c r="AP7" s="3">
        <f t="shared" si="9"/>
        <v>7</v>
      </c>
      <c r="AQ7" s="19">
        <f t="shared" si="24"/>
        <v>0.53333333333333333</v>
      </c>
      <c r="AR7" s="23">
        <f t="shared" si="25"/>
        <v>0.46666666666666667</v>
      </c>
      <c r="AS7" s="3" t="str">
        <f t="shared" si="26"/>
        <v>Downturn/Downturn</v>
      </c>
      <c r="AT7" s="3">
        <v>0</v>
      </c>
      <c r="AU7" s="3" t="s">
        <v>122</v>
      </c>
    </row>
    <row r="8" spans="1:49" x14ac:dyDescent="0.2">
      <c r="A8" s="11">
        <v>42156</v>
      </c>
      <c r="B8" s="11">
        <f t="shared" si="0"/>
        <v>42185</v>
      </c>
      <c r="C8" s="3" t="s">
        <v>26</v>
      </c>
      <c r="D8" s="3" t="s">
        <v>28</v>
      </c>
      <c r="E8" s="3" t="str">
        <f t="shared" si="10"/>
        <v>Expansion/Repair</v>
      </c>
      <c r="F8" s="14">
        <f t="shared" si="1"/>
        <v>42186</v>
      </c>
      <c r="G8" s="14">
        <f t="shared" si="11"/>
        <v>42186</v>
      </c>
      <c r="H8" s="17">
        <f t="shared" si="12"/>
        <v>42186</v>
      </c>
      <c r="I8" s="14">
        <f t="shared" si="13"/>
        <v>42217</v>
      </c>
      <c r="J8" s="14">
        <f t="shared" si="14"/>
        <v>42219</v>
      </c>
      <c r="K8" s="17">
        <f t="shared" si="15"/>
        <v>42219</v>
      </c>
      <c r="L8" s="16">
        <f t="shared" si="2"/>
        <v>1.5982113282543953E-2</v>
      </c>
      <c r="M8" s="16">
        <f t="shared" si="3"/>
        <v>1.3906690962882218E-2</v>
      </c>
      <c r="N8" s="3">
        <f t="shared" si="16"/>
        <v>1</v>
      </c>
      <c r="O8" s="20">
        <f t="shared" si="17"/>
        <v>1.4944402122713085E-2</v>
      </c>
      <c r="P8" s="20">
        <f t="shared" si="4"/>
        <v>1.3906690962882218E-2</v>
      </c>
      <c r="Q8" s="29">
        <f t="shared" si="18"/>
        <v>-1</v>
      </c>
      <c r="R8" s="29"/>
      <c r="S8" s="30">
        <f t="shared" si="31"/>
        <v>42185</v>
      </c>
      <c r="T8" s="32">
        <f t="shared" si="27"/>
        <v>99.093452539114395</v>
      </c>
      <c r="U8" s="32">
        <f t="shared" si="28"/>
        <v>97.588720317686636</v>
      </c>
      <c r="V8" s="32">
        <f t="shared" si="29"/>
        <v>98.342851376950492</v>
      </c>
      <c r="W8" s="32">
        <f t="shared" si="30"/>
        <v>99.587284759492206</v>
      </c>
      <c r="X8" s="31">
        <f t="shared" si="19"/>
        <v>1.2444333825417146</v>
      </c>
      <c r="Y8" s="3">
        <f t="shared" si="20"/>
        <v>-1</v>
      </c>
      <c r="Z8" s="3">
        <f t="shared" si="21"/>
        <v>0</v>
      </c>
      <c r="AA8" s="3">
        <f t="shared" si="22"/>
        <v>0</v>
      </c>
      <c r="AB8" s="3">
        <f t="shared" si="23"/>
        <v>30</v>
      </c>
      <c r="AC8" s="29"/>
      <c r="AD8" s="13">
        <v>41649</v>
      </c>
      <c r="AE8" s="12">
        <v>24.418600000000001</v>
      </c>
      <c r="AF8" s="13">
        <v>41649</v>
      </c>
      <c r="AG8" s="12">
        <v>115.13</v>
      </c>
      <c r="AJ8" s="3" t="s">
        <v>27</v>
      </c>
      <c r="AK8" s="3" t="s">
        <v>28</v>
      </c>
      <c r="AL8" s="18">
        <f t="shared" si="5"/>
        <v>20</v>
      </c>
      <c r="AM8" s="21">
        <f t="shared" si="6"/>
        <v>-2.3398986646544716E-3</v>
      </c>
      <c r="AN8" s="21">
        <f t="shared" si="7"/>
        <v>-4.1172989196343272E-3</v>
      </c>
      <c r="AO8" s="18">
        <f t="shared" si="8"/>
        <v>12</v>
      </c>
      <c r="AP8" s="18">
        <f t="shared" si="9"/>
        <v>8</v>
      </c>
      <c r="AQ8" s="22">
        <f t="shared" si="24"/>
        <v>0.6</v>
      </c>
      <c r="AR8" s="24">
        <f t="shared" si="25"/>
        <v>0.4</v>
      </c>
      <c r="AS8" s="3" t="str">
        <f t="shared" si="26"/>
        <v>Downturn/Repair</v>
      </c>
      <c r="AT8" s="3">
        <v>1</v>
      </c>
      <c r="AU8" s="3" t="s">
        <v>126</v>
      </c>
    </row>
    <row r="9" spans="1:49" x14ac:dyDescent="0.2">
      <c r="A9" s="11">
        <v>42186</v>
      </c>
      <c r="B9" s="11">
        <f t="shared" si="0"/>
        <v>42216</v>
      </c>
      <c r="C9" s="3" t="s">
        <v>26</v>
      </c>
      <c r="D9" s="3" t="s">
        <v>27</v>
      </c>
      <c r="E9" s="3" t="str">
        <f t="shared" si="10"/>
        <v>Expansion/Downturn</v>
      </c>
      <c r="F9" s="14">
        <f t="shared" si="1"/>
        <v>42217</v>
      </c>
      <c r="G9" s="14">
        <f t="shared" si="11"/>
        <v>42219</v>
      </c>
      <c r="H9" s="17">
        <f t="shared" si="12"/>
        <v>42219</v>
      </c>
      <c r="I9" s="14">
        <f t="shared" si="13"/>
        <v>42248</v>
      </c>
      <c r="J9" s="14">
        <f t="shared" si="14"/>
        <v>42248</v>
      </c>
      <c r="K9" s="17">
        <f t="shared" si="15"/>
        <v>42248</v>
      </c>
      <c r="L9" s="16">
        <f t="shared" si="2"/>
        <v>-1.2614060213702594E-3</v>
      </c>
      <c r="M9" s="16">
        <f t="shared" si="3"/>
        <v>-4.6018682965832669E-3</v>
      </c>
      <c r="N9" s="3">
        <f t="shared" si="16"/>
        <v>1</v>
      </c>
      <c r="O9" s="20">
        <f t="shared" si="17"/>
        <v>-2.9316371589767631E-3</v>
      </c>
      <c r="P9" s="20">
        <f t="shared" si="4"/>
        <v>-1.2614060213702594E-3</v>
      </c>
      <c r="Q9" s="29">
        <f t="shared" si="18"/>
        <v>1</v>
      </c>
      <c r="R9" s="29"/>
      <c r="S9" s="30">
        <f t="shared" si="31"/>
        <v>42216</v>
      </c>
      <c r="T9" s="32">
        <f t="shared" si="27"/>
        <v>100.67717532315291</v>
      </c>
      <c r="U9" s="32">
        <f t="shared" si="28"/>
        <v>98.945856492607845</v>
      </c>
      <c r="V9" s="32">
        <f t="shared" si="29"/>
        <v>99.812526493821863</v>
      </c>
      <c r="W9" s="32">
        <f t="shared" si="30"/>
        <v>100.97221435247502</v>
      </c>
      <c r="X9" s="31">
        <f t="shared" si="19"/>
        <v>1.1596878586531574</v>
      </c>
      <c r="Y9" s="3">
        <f t="shared" si="20"/>
        <v>1</v>
      </c>
      <c r="Z9" s="3">
        <f t="shared" si="21"/>
        <v>30</v>
      </c>
      <c r="AA9" s="3">
        <f t="shared" si="22"/>
        <v>0</v>
      </c>
      <c r="AB9" s="3">
        <f t="shared" si="23"/>
        <v>0</v>
      </c>
      <c r="AC9" s="29"/>
      <c r="AD9" s="13">
        <v>41652</v>
      </c>
      <c r="AE9" s="12">
        <v>24.459</v>
      </c>
      <c r="AF9" s="13">
        <v>41652</v>
      </c>
      <c r="AG9" s="12">
        <v>115.35</v>
      </c>
      <c r="AJ9" s="3" t="s">
        <v>27</v>
      </c>
      <c r="AK9" s="3" t="s">
        <v>29</v>
      </c>
      <c r="AL9" s="3">
        <f t="shared" si="5"/>
        <v>0</v>
      </c>
      <c r="AM9" s="20"/>
      <c r="AN9" s="20"/>
      <c r="AQ9" s="19"/>
      <c r="AR9" s="23"/>
      <c r="AS9" s="3" t="str">
        <f t="shared" si="26"/>
        <v>Downturn/Recovery</v>
      </c>
      <c r="AT9" s="3">
        <v>0</v>
      </c>
      <c r="AU9" s="3" t="s">
        <v>122</v>
      </c>
    </row>
    <row r="10" spans="1:49" x14ac:dyDescent="0.2">
      <c r="A10" s="11">
        <v>42217</v>
      </c>
      <c r="B10" s="11">
        <f t="shared" si="0"/>
        <v>42247</v>
      </c>
      <c r="C10" s="3" t="s">
        <v>27</v>
      </c>
      <c r="D10" s="3" t="s">
        <v>27</v>
      </c>
      <c r="E10" s="3" t="str">
        <f t="shared" si="10"/>
        <v>Downturn/Downturn</v>
      </c>
      <c r="F10" s="14">
        <f t="shared" si="1"/>
        <v>42248</v>
      </c>
      <c r="G10" s="14">
        <f t="shared" si="11"/>
        <v>42248</v>
      </c>
      <c r="H10" s="17">
        <f t="shared" si="12"/>
        <v>42248</v>
      </c>
      <c r="I10" s="14">
        <f t="shared" si="13"/>
        <v>42278</v>
      </c>
      <c r="J10" s="14">
        <f t="shared" si="14"/>
        <v>42278</v>
      </c>
      <c r="K10" s="17">
        <f t="shared" si="15"/>
        <v>42278</v>
      </c>
      <c r="L10" s="16">
        <f t="shared" si="2"/>
        <v>8.6544589700146002E-3</v>
      </c>
      <c r="M10" s="16">
        <f t="shared" si="3"/>
        <v>5.5803617122498483E-3</v>
      </c>
      <c r="N10" s="3">
        <f t="shared" si="16"/>
        <v>1</v>
      </c>
      <c r="O10" s="20">
        <f t="shared" si="17"/>
        <v>7.1174103411322243E-3</v>
      </c>
      <c r="P10" s="20">
        <f t="shared" si="4"/>
        <v>7.1174103411322243E-3</v>
      </c>
      <c r="Q10" s="29">
        <f t="shared" si="18"/>
        <v>0</v>
      </c>
      <c r="R10" s="29"/>
      <c r="S10" s="30">
        <f t="shared" si="31"/>
        <v>42247</v>
      </c>
      <c r="T10" s="32">
        <f t="shared" si="27"/>
        <v>100.55018052798573</v>
      </c>
      <c r="U10" s="32">
        <f t="shared" si="28"/>
        <v>98.490520692536236</v>
      </c>
      <c r="V10" s="32">
        <f t="shared" si="29"/>
        <v>99.519912382221221</v>
      </c>
      <c r="W10" s="32">
        <f t="shared" si="30"/>
        <v>100.84484739329972</v>
      </c>
      <c r="X10" s="31">
        <f t="shared" si="19"/>
        <v>1.3249350110784945</v>
      </c>
      <c r="Y10" s="3">
        <f t="shared" si="20"/>
        <v>0</v>
      </c>
      <c r="Z10" s="3">
        <f t="shared" si="21"/>
        <v>0</v>
      </c>
      <c r="AA10" s="3">
        <f t="shared" si="22"/>
        <v>30</v>
      </c>
      <c r="AB10" s="3">
        <f t="shared" si="23"/>
        <v>0</v>
      </c>
      <c r="AC10" s="29"/>
      <c r="AD10" s="13">
        <v>41653</v>
      </c>
      <c r="AE10" s="12">
        <v>24.41</v>
      </c>
      <c r="AF10" s="13">
        <v>41653</v>
      </c>
      <c r="AG10" s="12">
        <v>115.01</v>
      </c>
      <c r="AJ10" s="3" t="s">
        <v>28</v>
      </c>
      <c r="AK10" s="3" t="s">
        <v>26</v>
      </c>
      <c r="AL10" s="3">
        <f t="shared" si="5"/>
        <v>2</v>
      </c>
      <c r="AM10" s="20">
        <f>AVERAGEIFS(L$2:L$132,$C$2:$C$132,AJ10, $D$2:$D$132,AK10)</f>
        <v>-4.3525343439061448E-3</v>
      </c>
      <c r="AN10" s="20">
        <f>AVERAGEIFS(M$2:M$132,$C$2:$C$132,AJ10, $D$2:$D$132,AK10)</f>
        <v>1.8509873357587248E-3</v>
      </c>
      <c r="AO10" s="3">
        <f>COUNTIFS($C$2:$C$132,$AJ10, $D$2:$D$132, $AK10, $N$2:$N$132, 1)</f>
        <v>0</v>
      </c>
      <c r="AP10" s="3">
        <f>COUNTIFS($C$2:$C$132,$AJ10, $D$2:$D$132, $AK10, $N$2:$N$132, -1)</f>
        <v>2</v>
      </c>
      <c r="AQ10" s="19"/>
      <c r="AR10" s="23"/>
      <c r="AS10" s="3" t="str">
        <f t="shared" si="26"/>
        <v>Repair/Expansion</v>
      </c>
      <c r="AT10" s="3">
        <v>0</v>
      </c>
      <c r="AU10" s="3" t="s">
        <v>122</v>
      </c>
    </row>
    <row r="11" spans="1:49" x14ac:dyDescent="0.2">
      <c r="A11" s="11">
        <v>42248</v>
      </c>
      <c r="B11" s="11">
        <f t="shared" si="0"/>
        <v>42277</v>
      </c>
      <c r="C11" s="3" t="s">
        <v>27</v>
      </c>
      <c r="D11" s="3" t="s">
        <v>27</v>
      </c>
      <c r="E11" s="3" t="str">
        <f t="shared" si="10"/>
        <v>Downturn/Downturn</v>
      </c>
      <c r="F11" s="14">
        <f t="shared" si="1"/>
        <v>42278</v>
      </c>
      <c r="G11" s="14">
        <f t="shared" si="11"/>
        <v>42278</v>
      </c>
      <c r="H11" s="17">
        <f t="shared" si="12"/>
        <v>42278</v>
      </c>
      <c r="I11" s="14">
        <f t="shared" si="13"/>
        <v>42309</v>
      </c>
      <c r="J11" s="14">
        <f t="shared" si="14"/>
        <v>42310</v>
      </c>
      <c r="K11" s="17">
        <f t="shared" si="15"/>
        <v>42310</v>
      </c>
      <c r="L11" s="16">
        <f t="shared" si="2"/>
        <v>-7.1084295571968159E-3</v>
      </c>
      <c r="M11" s="16">
        <f t="shared" si="3"/>
        <v>1.6481252575195615E-3</v>
      </c>
      <c r="N11" s="3">
        <f t="shared" si="16"/>
        <v>-1</v>
      </c>
      <c r="O11" s="20">
        <f t="shared" si="17"/>
        <v>-2.7301521498386272E-3</v>
      </c>
      <c r="P11" s="20">
        <f t="shared" si="4"/>
        <v>-2.7301521498386272E-3</v>
      </c>
      <c r="Q11" s="29">
        <f t="shared" si="18"/>
        <v>0</v>
      </c>
      <c r="R11" s="29"/>
      <c r="S11" s="30">
        <f t="shared" si="31"/>
        <v>42277</v>
      </c>
      <c r="T11" s="32">
        <f t="shared" si="27"/>
        <v>101.42038793979275</v>
      </c>
      <c r="U11" s="32">
        <f t="shared" si="28"/>
        <v>99.040133423228411</v>
      </c>
      <c r="V11" s="32">
        <f t="shared" si="29"/>
        <v>100.22823643575902</v>
      </c>
      <c r="W11" s="32">
        <f t="shared" si="30"/>
        <v>101.56260155298669</v>
      </c>
      <c r="X11" s="31">
        <f t="shared" si="19"/>
        <v>1.3343651172276765</v>
      </c>
      <c r="Y11" s="3">
        <f t="shared" si="20"/>
        <v>0</v>
      </c>
      <c r="Z11" s="3">
        <f t="shared" si="21"/>
        <v>0</v>
      </c>
      <c r="AA11" s="3">
        <f t="shared" si="22"/>
        <v>30</v>
      </c>
      <c r="AB11" s="3">
        <f t="shared" si="23"/>
        <v>0</v>
      </c>
      <c r="AC11" s="29"/>
      <c r="AD11" s="13">
        <v>41654</v>
      </c>
      <c r="AE11" s="12">
        <v>24.38</v>
      </c>
      <c r="AF11" s="13">
        <v>41654</v>
      </c>
      <c r="AG11" s="12">
        <v>115.04</v>
      </c>
      <c r="AJ11" s="3" t="s">
        <v>28</v>
      </c>
      <c r="AK11" s="3" t="s">
        <v>27</v>
      </c>
      <c r="AL11" s="25">
        <f t="shared" si="5"/>
        <v>3</v>
      </c>
      <c r="AM11" s="26">
        <f>AVERAGEIFS(L$2:L$132,$C$2:$C$132,AJ11, $D$2:$D$132,AK11)</f>
        <v>7.3558314528695918E-3</v>
      </c>
      <c r="AN11" s="26">
        <f>AVERAGEIFS(M$2:M$132,$C$2:$C$132,AJ11, $D$2:$D$132,AK11)</f>
        <v>3.1000351987244674E-2</v>
      </c>
      <c r="AO11" s="25">
        <f>COUNTIFS($C$2:$C$132,$AJ11, $D$2:$D$132, $AK11, $N$2:$N$132, 1)</f>
        <v>1</v>
      </c>
      <c r="AP11" s="25">
        <f>COUNTIFS($C$2:$C$132,$AJ11, $D$2:$D$132, $AK11, $N$2:$N$132, -1)</f>
        <v>2</v>
      </c>
      <c r="AQ11" s="27">
        <f t="shared" si="24"/>
        <v>0.33333333333333331</v>
      </c>
      <c r="AR11" s="28">
        <f t="shared" si="25"/>
        <v>0.66666666666666674</v>
      </c>
      <c r="AS11" s="3" t="str">
        <f t="shared" si="26"/>
        <v>Repair/Downturn</v>
      </c>
      <c r="AT11" s="3">
        <v>-1</v>
      </c>
      <c r="AU11" s="3" t="s">
        <v>124</v>
      </c>
    </row>
    <row r="12" spans="1:49" x14ac:dyDescent="0.2">
      <c r="A12" s="11">
        <v>42278</v>
      </c>
      <c r="B12" s="11">
        <f t="shared" si="0"/>
        <v>42308</v>
      </c>
      <c r="C12" s="3" t="s">
        <v>27</v>
      </c>
      <c r="D12" s="3" t="s">
        <v>28</v>
      </c>
      <c r="E12" s="3" t="str">
        <f t="shared" si="10"/>
        <v>Downturn/Repair</v>
      </c>
      <c r="F12" s="14">
        <f t="shared" si="1"/>
        <v>42309</v>
      </c>
      <c r="G12" s="14">
        <f t="shared" si="11"/>
        <v>42310</v>
      </c>
      <c r="H12" s="17">
        <f t="shared" si="12"/>
        <v>42310</v>
      </c>
      <c r="I12" s="14">
        <f t="shared" si="13"/>
        <v>42339</v>
      </c>
      <c r="J12" s="14">
        <f t="shared" si="14"/>
        <v>42339</v>
      </c>
      <c r="K12" s="17">
        <f t="shared" si="15"/>
        <v>42339</v>
      </c>
      <c r="L12" s="16">
        <f t="shared" si="2"/>
        <v>1.5249935973549178E-3</v>
      </c>
      <c r="M12" s="16">
        <f t="shared" si="3"/>
        <v>1.0282207910666363E-2</v>
      </c>
      <c r="N12" s="3">
        <f t="shared" si="16"/>
        <v>-1</v>
      </c>
      <c r="O12" s="20">
        <f t="shared" si="17"/>
        <v>5.9036007540106406E-3</v>
      </c>
      <c r="P12" s="20">
        <f t="shared" si="4"/>
        <v>1.5249935973549178E-3</v>
      </c>
      <c r="Q12" s="29">
        <f t="shared" si="18"/>
        <v>1</v>
      </c>
      <c r="R12" s="29"/>
      <c r="S12" s="30">
        <f t="shared" si="31"/>
        <v>42308</v>
      </c>
      <c r="T12" s="32">
        <f t="shared" si="27"/>
        <v>100.69944825645915</v>
      </c>
      <c r="U12" s="32">
        <f t="shared" si="28"/>
        <v>99.203363968631336</v>
      </c>
      <c r="V12" s="32">
        <f t="shared" si="29"/>
        <v>99.954598100579389</v>
      </c>
      <c r="W12" s="32">
        <f t="shared" si="30"/>
        <v>101.28532019801361</v>
      </c>
      <c r="X12" s="31">
        <f t="shared" si="19"/>
        <v>1.3307220974342187</v>
      </c>
      <c r="Y12" s="3">
        <f t="shared" si="20"/>
        <v>1</v>
      </c>
      <c r="Z12" s="3">
        <f t="shared" si="21"/>
        <v>30</v>
      </c>
      <c r="AA12" s="3">
        <f t="shared" si="22"/>
        <v>0</v>
      </c>
      <c r="AB12" s="3">
        <f t="shared" si="23"/>
        <v>0</v>
      </c>
      <c r="AC12" s="29"/>
      <c r="AD12" s="13">
        <v>41655</v>
      </c>
      <c r="AE12" s="12">
        <v>24.43</v>
      </c>
      <c r="AF12" s="13">
        <v>41655</v>
      </c>
      <c r="AG12" s="12">
        <v>115.31</v>
      </c>
      <c r="AJ12" s="3" t="s">
        <v>28</v>
      </c>
      <c r="AK12" s="3" t="s">
        <v>28</v>
      </c>
      <c r="AL12" s="25">
        <f t="shared" si="5"/>
        <v>7</v>
      </c>
      <c r="AM12" s="26">
        <f>AVERAGEIFS(L$2:L$132,$C$2:$C$132,AJ12, $D$2:$D$132,AK12)</f>
        <v>1.0282442689117932E-3</v>
      </c>
      <c r="AN12" s="26">
        <f>AVERAGEIFS(M$2:M$132,$C$2:$C$132,AJ12, $D$2:$D$132,AK12)</f>
        <v>9.7071465532132216E-3</v>
      </c>
      <c r="AO12" s="25">
        <f>COUNTIFS($C$2:$C$132,$AJ12, $D$2:$D$132, $AK12, $N$2:$N$132, 1)</f>
        <v>3</v>
      </c>
      <c r="AP12" s="25">
        <f>COUNTIFS($C$2:$C$132,$AJ12, $D$2:$D$132, $AK12, $N$2:$N$132, -1)</f>
        <v>4</v>
      </c>
      <c r="AQ12" s="27">
        <f t="shared" si="24"/>
        <v>0.42857142857142855</v>
      </c>
      <c r="AR12" s="28">
        <f t="shared" si="25"/>
        <v>0.5714285714285714</v>
      </c>
      <c r="AS12" s="3" t="str">
        <f t="shared" si="26"/>
        <v>Repair/Repair</v>
      </c>
      <c r="AT12" s="3">
        <v>-1</v>
      </c>
      <c r="AU12" s="3" t="s">
        <v>124</v>
      </c>
    </row>
    <row r="13" spans="1:49" x14ac:dyDescent="0.2">
      <c r="A13" s="11">
        <v>42309</v>
      </c>
      <c r="B13" s="11">
        <f t="shared" si="0"/>
        <v>42338</v>
      </c>
      <c r="C13" s="3" t="s">
        <v>26</v>
      </c>
      <c r="D13" s="3" t="s">
        <v>28</v>
      </c>
      <c r="E13" s="3" t="str">
        <f t="shared" si="10"/>
        <v>Expansion/Repair</v>
      </c>
      <c r="F13" s="14">
        <f t="shared" si="1"/>
        <v>42339</v>
      </c>
      <c r="G13" s="14">
        <f t="shared" si="11"/>
        <v>42339</v>
      </c>
      <c r="H13" s="17">
        <f t="shared" si="12"/>
        <v>42339</v>
      </c>
      <c r="I13" s="14">
        <f t="shared" si="13"/>
        <v>42370</v>
      </c>
      <c r="J13" s="14">
        <f t="shared" si="14"/>
        <v>42370</v>
      </c>
      <c r="K13" s="17">
        <f t="shared" si="15"/>
        <v>42373</v>
      </c>
      <c r="L13" s="16">
        <f t="shared" si="2"/>
        <v>-2.8671168815066483E-3</v>
      </c>
      <c r="M13" s="16">
        <f t="shared" si="3"/>
        <v>-1.8715992320158525E-2</v>
      </c>
      <c r="N13" s="3">
        <f t="shared" si="16"/>
        <v>1</v>
      </c>
      <c r="O13" s="20">
        <f t="shared" si="17"/>
        <v>-1.0791554600832587E-2</v>
      </c>
      <c r="P13" s="20">
        <f t="shared" si="4"/>
        <v>-1.8715992320158525E-2</v>
      </c>
      <c r="Q13" s="29">
        <f t="shared" si="18"/>
        <v>-1</v>
      </c>
      <c r="R13" s="29"/>
      <c r="S13" s="30">
        <f t="shared" si="31"/>
        <v>42338</v>
      </c>
      <c r="T13" s="32">
        <f t="shared" si="27"/>
        <v>100.85301427030743</v>
      </c>
      <c r="U13" s="32">
        <f t="shared" si="28"/>
        <v>100.22339358239431</v>
      </c>
      <c r="V13" s="32">
        <f t="shared" si="29"/>
        <v>100.54469014129279</v>
      </c>
      <c r="W13" s="32">
        <f t="shared" si="30"/>
        <v>101.43977966282162</v>
      </c>
      <c r="X13" s="31">
        <f t="shared" si="19"/>
        <v>0.89508952152883126</v>
      </c>
      <c r="Y13" s="3">
        <f t="shared" si="20"/>
        <v>-1</v>
      </c>
      <c r="Z13" s="3">
        <f t="shared" si="21"/>
        <v>0</v>
      </c>
      <c r="AA13" s="3">
        <f t="shared" si="22"/>
        <v>0</v>
      </c>
      <c r="AB13" s="3">
        <f t="shared" si="23"/>
        <v>30</v>
      </c>
      <c r="AC13" s="29"/>
      <c r="AD13" s="13">
        <v>41656</v>
      </c>
      <c r="AE13" s="12">
        <v>24.4422</v>
      </c>
      <c r="AF13" s="13">
        <v>41656</v>
      </c>
      <c r="AG13" s="12">
        <v>115.44</v>
      </c>
      <c r="AJ13" s="3" t="s">
        <v>28</v>
      </c>
      <c r="AK13" s="3" t="s">
        <v>29</v>
      </c>
      <c r="AL13" s="25">
        <f t="shared" si="5"/>
        <v>21</v>
      </c>
      <c r="AM13" s="26">
        <f>AVERAGEIFS(L$2:L$132,$C$2:$C$132,AJ13, $D$2:$D$132,AK13)</f>
        <v>1.9308872631224737E-3</v>
      </c>
      <c r="AN13" s="26">
        <f>AVERAGEIFS(M$2:M$132,$C$2:$C$132,AJ13, $D$2:$D$132,AK13)</f>
        <v>4.9541518884978937E-3</v>
      </c>
      <c r="AO13" s="25">
        <f>COUNTIFS($C$2:$C$132,$AJ13, $D$2:$D$132, $AK13, $N$2:$N$132, 1)</f>
        <v>9</v>
      </c>
      <c r="AP13" s="25">
        <f>COUNTIFS($C$2:$C$132,$AJ13, $D$2:$D$132, $AK13, $N$2:$N$132, -1)</f>
        <v>12</v>
      </c>
      <c r="AQ13" s="27">
        <f t="shared" si="24"/>
        <v>0.42857142857142855</v>
      </c>
      <c r="AR13" s="28">
        <f t="shared" si="25"/>
        <v>0.5714285714285714</v>
      </c>
      <c r="AS13" s="3" t="str">
        <f t="shared" si="26"/>
        <v>Repair/Recovery</v>
      </c>
      <c r="AT13" s="3">
        <v>-1</v>
      </c>
      <c r="AU13" s="3" t="s">
        <v>124</v>
      </c>
    </row>
    <row r="14" spans="1:49" x14ac:dyDescent="0.2">
      <c r="A14" s="11">
        <v>42339</v>
      </c>
      <c r="B14" s="11">
        <f t="shared" si="0"/>
        <v>42369</v>
      </c>
      <c r="C14" s="3" t="s">
        <v>27</v>
      </c>
      <c r="D14" s="3" t="s">
        <v>28</v>
      </c>
      <c r="E14" s="3" t="str">
        <f t="shared" si="10"/>
        <v>Downturn/Repair</v>
      </c>
      <c r="F14" s="14">
        <f t="shared" si="1"/>
        <v>42370</v>
      </c>
      <c r="G14" s="14">
        <f t="shared" si="11"/>
        <v>42370</v>
      </c>
      <c r="H14" s="17">
        <f t="shared" si="12"/>
        <v>42373</v>
      </c>
      <c r="I14" s="14">
        <f t="shared" si="13"/>
        <v>42401</v>
      </c>
      <c r="J14" s="14">
        <f t="shared" si="14"/>
        <v>42401</v>
      </c>
      <c r="K14" s="17">
        <f t="shared" si="15"/>
        <v>42401</v>
      </c>
      <c r="L14" s="16">
        <f t="shared" si="2"/>
        <v>1.6735377429971221E-2</v>
      </c>
      <c r="M14" s="16">
        <f t="shared" si="3"/>
        <v>-1.4293035937595899E-3</v>
      </c>
      <c r="N14" s="3">
        <f t="shared" si="16"/>
        <v>1</v>
      </c>
      <c r="O14" s="20">
        <f t="shared" si="17"/>
        <v>7.6530369181058155E-3</v>
      </c>
      <c r="P14" s="20">
        <f t="shared" si="4"/>
        <v>1.6735377429971221E-2</v>
      </c>
      <c r="Q14" s="29">
        <f t="shared" si="18"/>
        <v>1</v>
      </c>
      <c r="R14" s="29"/>
      <c r="S14" s="30">
        <f t="shared" si="31"/>
        <v>42369</v>
      </c>
      <c r="T14" s="32">
        <f t="shared" si="27"/>
        <v>100.5638568905422</v>
      </c>
      <c r="U14" s="32">
        <f t="shared" si="28"/>
        <v>98.347613317805994</v>
      </c>
      <c r="V14" s="32">
        <f t="shared" si="29"/>
        <v>99.459656627809238</v>
      </c>
      <c r="W14" s="32">
        <f t="shared" si="30"/>
        <v>99.541233525693684</v>
      </c>
      <c r="X14" s="31">
        <f t="shared" si="19"/>
        <v>8.1576897884445998E-2</v>
      </c>
      <c r="Y14" s="3">
        <f t="shared" si="20"/>
        <v>1</v>
      </c>
      <c r="Z14" s="3">
        <f t="shared" si="21"/>
        <v>30</v>
      </c>
      <c r="AA14" s="3">
        <f t="shared" si="22"/>
        <v>0</v>
      </c>
      <c r="AB14" s="3">
        <f t="shared" si="23"/>
        <v>0</v>
      </c>
      <c r="AC14" s="29"/>
      <c r="AD14" s="13">
        <v>41660</v>
      </c>
      <c r="AE14" s="12">
        <v>24.44</v>
      </c>
      <c r="AF14" s="13">
        <v>41660</v>
      </c>
      <c r="AG14" s="12">
        <v>115.28</v>
      </c>
      <c r="AJ14" s="3" t="s">
        <v>29</v>
      </c>
      <c r="AK14" s="3" t="s">
        <v>26</v>
      </c>
      <c r="AL14" s="3">
        <f t="shared" si="5"/>
        <v>0</v>
      </c>
      <c r="AM14" s="20"/>
      <c r="AN14" s="20"/>
      <c r="AQ14" s="19"/>
      <c r="AR14" s="23"/>
      <c r="AS14" s="3" t="str">
        <f t="shared" si="26"/>
        <v>Recovery/Expansion</v>
      </c>
      <c r="AT14" s="3">
        <v>0</v>
      </c>
      <c r="AU14" s="3" t="s">
        <v>122</v>
      </c>
    </row>
    <row r="15" spans="1:49" x14ac:dyDescent="0.2">
      <c r="A15" s="11">
        <v>42370</v>
      </c>
      <c r="B15" s="11">
        <f t="shared" si="0"/>
        <v>42400</v>
      </c>
      <c r="C15" s="3" t="s">
        <v>27</v>
      </c>
      <c r="D15" s="3" t="s">
        <v>28</v>
      </c>
      <c r="E15" s="3" t="str">
        <f t="shared" si="10"/>
        <v>Downturn/Repair</v>
      </c>
      <c r="F15" s="14">
        <f t="shared" si="1"/>
        <v>42401</v>
      </c>
      <c r="G15" s="14">
        <f t="shared" si="11"/>
        <v>42401</v>
      </c>
      <c r="H15" s="17">
        <f t="shared" si="12"/>
        <v>42401</v>
      </c>
      <c r="I15" s="14">
        <f t="shared" si="13"/>
        <v>42430</v>
      </c>
      <c r="J15" s="14">
        <f t="shared" si="14"/>
        <v>42430</v>
      </c>
      <c r="K15" s="17">
        <f t="shared" si="15"/>
        <v>42430</v>
      </c>
      <c r="L15" s="16">
        <f t="shared" si="2"/>
        <v>5.8356836577926341E-3</v>
      </c>
      <c r="M15" s="16">
        <f t="shared" si="3"/>
        <v>8.2415506860293863E-3</v>
      </c>
      <c r="N15" s="3">
        <f t="shared" si="16"/>
        <v>-1</v>
      </c>
      <c r="O15" s="20">
        <f t="shared" si="17"/>
        <v>7.0386171719110102E-3</v>
      </c>
      <c r="P15" s="20">
        <f t="shared" si="4"/>
        <v>5.8356836577926341E-3</v>
      </c>
      <c r="Q15" s="29">
        <f t="shared" si="18"/>
        <v>1</v>
      </c>
      <c r="R15" s="29"/>
      <c r="S15" s="30">
        <f t="shared" si="31"/>
        <v>42400</v>
      </c>
      <c r="T15" s="32">
        <f t="shared" si="27"/>
        <v>102.24683099141903</v>
      </c>
      <c r="U15" s="32">
        <f t="shared" si="28"/>
        <v>98.207044720653172</v>
      </c>
      <c r="V15" s="32">
        <f t="shared" si="29"/>
        <v>100.22082505184399</v>
      </c>
      <c r="W15" s="32">
        <f t="shared" si="30"/>
        <v>101.20709363859108</v>
      </c>
      <c r="X15" s="31">
        <f t="shared" si="19"/>
        <v>0.98626858674708728</v>
      </c>
      <c r="Y15" s="3">
        <f t="shared" si="20"/>
        <v>1</v>
      </c>
      <c r="Z15" s="3">
        <f t="shared" si="21"/>
        <v>30</v>
      </c>
      <c r="AA15" s="3">
        <f t="shared" si="22"/>
        <v>0</v>
      </c>
      <c r="AB15" s="3">
        <f t="shared" si="23"/>
        <v>0</v>
      </c>
      <c r="AC15" s="29"/>
      <c r="AD15" s="13">
        <v>41661</v>
      </c>
      <c r="AE15" s="12">
        <v>24.398099999999999</v>
      </c>
      <c r="AF15" s="13">
        <v>41661</v>
      </c>
      <c r="AG15" s="12">
        <v>115</v>
      </c>
      <c r="AJ15" s="3" t="s">
        <v>29</v>
      </c>
      <c r="AK15" s="3" t="s">
        <v>27</v>
      </c>
      <c r="AL15" s="3">
        <f t="shared" si="5"/>
        <v>0</v>
      </c>
      <c r="AM15" s="20"/>
      <c r="AN15" s="20"/>
      <c r="AQ15" s="19"/>
      <c r="AR15" s="23"/>
      <c r="AS15" s="3" t="str">
        <f t="shared" si="26"/>
        <v>Recovery/Downturn</v>
      </c>
      <c r="AT15" s="3">
        <v>0</v>
      </c>
      <c r="AU15" s="3" t="s">
        <v>122</v>
      </c>
    </row>
    <row r="16" spans="1:49" x14ac:dyDescent="0.2">
      <c r="A16" s="11">
        <v>42401</v>
      </c>
      <c r="B16" s="11">
        <f t="shared" si="0"/>
        <v>42429</v>
      </c>
      <c r="C16" s="3" t="s">
        <v>27</v>
      </c>
      <c r="D16" s="3" t="s">
        <v>28</v>
      </c>
      <c r="E16" s="3" t="str">
        <f t="shared" si="10"/>
        <v>Downturn/Repair</v>
      </c>
      <c r="F16" s="14">
        <f t="shared" si="1"/>
        <v>42430</v>
      </c>
      <c r="G16" s="14">
        <f t="shared" si="11"/>
        <v>42430</v>
      </c>
      <c r="H16" s="17">
        <f t="shared" si="12"/>
        <v>42430</v>
      </c>
      <c r="I16" s="14">
        <f t="shared" si="13"/>
        <v>42461</v>
      </c>
      <c r="J16" s="14">
        <f t="shared" si="14"/>
        <v>42461</v>
      </c>
      <c r="K16" s="17">
        <f t="shared" si="15"/>
        <v>42461</v>
      </c>
      <c r="L16" s="16">
        <f t="shared" si="2"/>
        <v>6.6453135151771647E-3</v>
      </c>
      <c r="M16" s="16">
        <f t="shared" si="3"/>
        <v>4.517547289064372E-2</v>
      </c>
      <c r="N16" s="3">
        <f t="shared" si="16"/>
        <v>-1</v>
      </c>
      <c r="O16" s="20">
        <f t="shared" si="17"/>
        <v>2.5910393202910442E-2</v>
      </c>
      <c r="P16" s="20">
        <f t="shared" si="4"/>
        <v>6.6453135151771647E-3</v>
      </c>
      <c r="Q16" s="29">
        <f t="shared" si="18"/>
        <v>1</v>
      </c>
      <c r="R16" s="29"/>
      <c r="S16" s="30">
        <f t="shared" si="31"/>
        <v>42429</v>
      </c>
      <c r="T16" s="32">
        <f t="shared" si="27"/>
        <v>102.84351115209674</v>
      </c>
      <c r="U16" s="32">
        <f t="shared" si="28"/>
        <v>99.016423057443589</v>
      </c>
      <c r="V16" s="32">
        <f t="shared" si="29"/>
        <v>100.92624107203699</v>
      </c>
      <c r="W16" s="32">
        <f t="shared" si="30"/>
        <v>101.79770622099049</v>
      </c>
      <c r="X16" s="31">
        <f t="shared" si="19"/>
        <v>0.87146514895350435</v>
      </c>
      <c r="Y16" s="3">
        <f t="shared" si="20"/>
        <v>1</v>
      </c>
      <c r="Z16" s="3">
        <f t="shared" si="21"/>
        <v>30</v>
      </c>
      <c r="AA16" s="3">
        <f t="shared" si="22"/>
        <v>0</v>
      </c>
      <c r="AB16" s="3">
        <f t="shared" si="23"/>
        <v>0</v>
      </c>
      <c r="AC16" s="29"/>
      <c r="AD16" s="13">
        <v>41662</v>
      </c>
      <c r="AE16" s="12">
        <v>24.51</v>
      </c>
      <c r="AF16" s="13">
        <v>41662</v>
      </c>
      <c r="AG16" s="12">
        <v>115.44</v>
      </c>
      <c r="AJ16" s="3" t="s">
        <v>29</v>
      </c>
      <c r="AK16" s="3" t="s">
        <v>28</v>
      </c>
      <c r="AL16" s="25">
        <f t="shared" si="5"/>
        <v>7</v>
      </c>
      <c r="AM16" s="26">
        <f>AVERAGEIFS(L$2:L$132,$C$2:$C$132,AJ16, $D$2:$D$132,AK16)</f>
        <v>-2.4968768710112998E-3</v>
      </c>
      <c r="AN16" s="26">
        <f>AVERAGEIFS(M$2:M$132,$C$2:$C$132,AJ16, $D$2:$D$132,AK16)</f>
        <v>-8.6799935353644637E-4</v>
      </c>
      <c r="AO16" s="25">
        <f>COUNTIFS($C$2:$C$132,$AJ16, $D$2:$D$132, $AK16, $N$2:$N$132, 1)</f>
        <v>3</v>
      </c>
      <c r="AP16" s="25">
        <f>COUNTIFS($C$2:$C$132,$AJ16, $D$2:$D$132, $AK16, $N$2:$N$132, -1)</f>
        <v>4</v>
      </c>
      <c r="AQ16" s="27">
        <f t="shared" ref="AQ16:AQ17" si="32">AO16/SUM(AO16:AP16)</f>
        <v>0.42857142857142855</v>
      </c>
      <c r="AR16" s="28">
        <f t="shared" si="25"/>
        <v>0.5714285714285714</v>
      </c>
      <c r="AS16" s="3" t="str">
        <f t="shared" si="26"/>
        <v>Recovery/Repair</v>
      </c>
      <c r="AT16" s="3">
        <v>0</v>
      </c>
      <c r="AU16" s="3" t="s">
        <v>122</v>
      </c>
    </row>
    <row r="17" spans="1:47" x14ac:dyDescent="0.2">
      <c r="A17" s="11">
        <v>42430</v>
      </c>
      <c r="B17" s="11">
        <f t="shared" si="0"/>
        <v>42460</v>
      </c>
      <c r="C17" s="3" t="s">
        <v>27</v>
      </c>
      <c r="D17" s="3" t="s">
        <v>28</v>
      </c>
      <c r="E17" s="3" t="str">
        <f t="shared" si="10"/>
        <v>Downturn/Repair</v>
      </c>
      <c r="F17" s="14">
        <f t="shared" si="1"/>
        <v>42461</v>
      </c>
      <c r="G17" s="14">
        <f t="shared" si="11"/>
        <v>42461</v>
      </c>
      <c r="H17" s="17">
        <f t="shared" si="12"/>
        <v>42461</v>
      </c>
      <c r="I17" s="14">
        <f t="shared" si="13"/>
        <v>42491</v>
      </c>
      <c r="J17" s="14">
        <f t="shared" si="14"/>
        <v>42492</v>
      </c>
      <c r="K17" s="17">
        <f t="shared" si="15"/>
        <v>42492</v>
      </c>
      <c r="L17" s="16">
        <f t="shared" si="2"/>
        <v>-3.883868922254563E-3</v>
      </c>
      <c r="M17" s="16">
        <f t="shared" si="3"/>
        <v>1.09754035315488E-2</v>
      </c>
      <c r="N17" s="3">
        <f t="shared" si="16"/>
        <v>-1</v>
      </c>
      <c r="O17" s="20">
        <f t="shared" si="17"/>
        <v>3.5457673046471183E-3</v>
      </c>
      <c r="P17" s="20">
        <f t="shared" si="4"/>
        <v>-3.883868922254563E-3</v>
      </c>
      <c r="Q17" s="29">
        <f t="shared" si="18"/>
        <v>1</v>
      </c>
      <c r="R17" s="29"/>
      <c r="S17" s="30">
        <f t="shared" si="31"/>
        <v>42460</v>
      </c>
      <c r="T17" s="32">
        <f t="shared" si="27"/>
        <v>103.52693852670404</v>
      </c>
      <c r="U17" s="32">
        <f t="shared" si="28"/>
        <v>103.48953679300364</v>
      </c>
      <c r="V17" s="32">
        <f t="shared" si="29"/>
        <v>103.54127966270518</v>
      </c>
      <c r="W17" s="32">
        <f t="shared" si="30"/>
        <v>102.47418389395487</v>
      </c>
      <c r="X17" s="31">
        <f t="shared" si="19"/>
        <v>-1.0670957687503062</v>
      </c>
      <c r="Y17" s="3">
        <f t="shared" si="20"/>
        <v>1</v>
      </c>
      <c r="Z17" s="3">
        <f t="shared" si="21"/>
        <v>30</v>
      </c>
      <c r="AA17" s="3">
        <f t="shared" si="22"/>
        <v>0</v>
      </c>
      <c r="AB17" s="3">
        <f t="shared" si="23"/>
        <v>0</v>
      </c>
      <c r="AC17" s="29"/>
      <c r="AD17" s="13">
        <v>41663</v>
      </c>
      <c r="AE17" s="12">
        <v>24.528700000000001</v>
      </c>
      <c r="AF17" s="13">
        <v>41663</v>
      </c>
      <c r="AG17" s="12">
        <v>115.36</v>
      </c>
      <c r="AJ17" s="3" t="s">
        <v>29</v>
      </c>
      <c r="AK17" s="3" t="s">
        <v>29</v>
      </c>
      <c r="AL17" s="18">
        <f t="shared" si="5"/>
        <v>5</v>
      </c>
      <c r="AM17" s="21">
        <f>AVERAGEIFS(L$2:L$132,$C$2:$C$132,AJ17, $D$2:$D$132,AK17)</f>
        <v>2.9531075649532833E-3</v>
      </c>
      <c r="AN17" s="21">
        <f>AVERAGEIFS(M$2:M$132,$C$2:$C$132,AJ17, $D$2:$D$132,AK17)</f>
        <v>1.1480777267411479E-3</v>
      </c>
      <c r="AO17" s="18">
        <f>COUNTIFS($C$2:$C$132,$AJ17, $D$2:$D$132, $AK17, $N$2:$N$132, 1)</f>
        <v>3</v>
      </c>
      <c r="AP17" s="18">
        <f>COUNTIFS($C$2:$C$132,$AJ17, $D$2:$D$132, $AK17, $N$2:$N$132, -1)</f>
        <v>2</v>
      </c>
      <c r="AQ17" s="22">
        <f t="shared" si="32"/>
        <v>0.6</v>
      </c>
      <c r="AR17" s="24">
        <f t="shared" si="25"/>
        <v>0.4</v>
      </c>
      <c r="AS17" s="3" t="str">
        <f t="shared" si="26"/>
        <v>Recovery/Recovery</v>
      </c>
      <c r="AT17" s="3">
        <v>1</v>
      </c>
      <c r="AU17" s="3" t="s">
        <v>126</v>
      </c>
    </row>
    <row r="18" spans="1:47" x14ac:dyDescent="0.2">
      <c r="A18" s="11">
        <v>42461</v>
      </c>
      <c r="B18" s="11">
        <f t="shared" si="0"/>
        <v>42490</v>
      </c>
      <c r="C18" s="3" t="s">
        <v>27</v>
      </c>
      <c r="D18" s="3" t="s">
        <v>28</v>
      </c>
      <c r="E18" s="3" t="str">
        <f t="shared" si="10"/>
        <v>Downturn/Repair</v>
      </c>
      <c r="F18" s="14">
        <f t="shared" si="1"/>
        <v>42491</v>
      </c>
      <c r="G18" s="14">
        <f t="shared" si="11"/>
        <v>42492</v>
      </c>
      <c r="H18" s="17">
        <f t="shared" si="12"/>
        <v>42492</v>
      </c>
      <c r="I18" s="14">
        <f t="shared" si="13"/>
        <v>42522</v>
      </c>
      <c r="J18" s="14">
        <f t="shared" si="14"/>
        <v>42522</v>
      </c>
      <c r="K18" s="17">
        <f t="shared" si="15"/>
        <v>42522</v>
      </c>
      <c r="L18" s="16">
        <f t="shared" si="2"/>
        <v>2.0196049455691867E-3</v>
      </c>
      <c r="M18" s="16">
        <f t="shared" si="3"/>
        <v>-3.1357023765199443E-3</v>
      </c>
      <c r="N18" s="3">
        <f t="shared" si="16"/>
        <v>1</v>
      </c>
      <c r="O18" s="20">
        <f t="shared" si="17"/>
        <v>-5.5804871547537882E-4</v>
      </c>
      <c r="P18" s="20">
        <f t="shared" si="4"/>
        <v>2.0196049455691867E-3</v>
      </c>
      <c r="Q18" s="29">
        <f t="shared" si="18"/>
        <v>1</v>
      </c>
      <c r="R18" s="29"/>
      <c r="S18" s="30">
        <f t="shared" si="31"/>
        <v>42490</v>
      </c>
      <c r="T18" s="32">
        <f t="shared" si="27"/>
        <v>103.12485346754401</v>
      </c>
      <c r="U18" s="32">
        <f t="shared" si="28"/>
        <v>104.62537622059992</v>
      </c>
      <c r="V18" s="32">
        <f t="shared" si="29"/>
        <v>103.90841294681452</v>
      </c>
      <c r="W18" s="32">
        <f t="shared" si="30"/>
        <v>102.07618759579574</v>
      </c>
      <c r="X18" s="31">
        <f t="shared" si="19"/>
        <v>-1.8322253510187778</v>
      </c>
      <c r="Y18" s="3">
        <f t="shared" si="20"/>
        <v>1</v>
      </c>
      <c r="Z18" s="3">
        <f t="shared" si="21"/>
        <v>30</v>
      </c>
      <c r="AA18" s="3">
        <f t="shared" si="22"/>
        <v>0</v>
      </c>
      <c r="AB18" s="3">
        <f t="shared" si="23"/>
        <v>0</v>
      </c>
      <c r="AC18" s="29"/>
      <c r="AD18" s="13">
        <v>41666</v>
      </c>
      <c r="AE18" s="12">
        <v>24.515000000000001</v>
      </c>
      <c r="AF18" s="13">
        <v>41666</v>
      </c>
      <c r="AG18" s="12">
        <v>115.14</v>
      </c>
    </row>
    <row r="19" spans="1:47" x14ac:dyDescent="0.2">
      <c r="A19" s="11">
        <v>42491</v>
      </c>
      <c r="B19" s="11">
        <f t="shared" si="0"/>
        <v>42521</v>
      </c>
      <c r="C19" s="3" t="s">
        <v>26</v>
      </c>
      <c r="D19" s="3" t="s">
        <v>29</v>
      </c>
      <c r="E19" s="3" t="str">
        <f t="shared" si="10"/>
        <v>Expansion/Recovery</v>
      </c>
      <c r="F19" s="14">
        <f t="shared" si="1"/>
        <v>42522</v>
      </c>
      <c r="G19" s="14">
        <f t="shared" si="11"/>
        <v>42522</v>
      </c>
      <c r="H19" s="17">
        <f t="shared" si="12"/>
        <v>42522</v>
      </c>
      <c r="I19" s="14">
        <f t="shared" si="13"/>
        <v>42552</v>
      </c>
      <c r="J19" s="14">
        <f t="shared" si="14"/>
        <v>42552</v>
      </c>
      <c r="K19" s="17">
        <f t="shared" si="15"/>
        <v>42552</v>
      </c>
      <c r="L19" s="16">
        <f t="shared" si="2"/>
        <v>2.6103627961852283E-2</v>
      </c>
      <c r="M19" s="16">
        <f t="shared" si="3"/>
        <v>3.5600259501457066E-2</v>
      </c>
      <c r="N19" s="3">
        <f t="shared" si="16"/>
        <v>-1</v>
      </c>
      <c r="O19" s="20">
        <f t="shared" si="17"/>
        <v>3.0851943731654674E-2</v>
      </c>
      <c r="P19" s="20">
        <f t="shared" si="4"/>
        <v>3.0851943731654674E-2</v>
      </c>
      <c r="Q19" s="29">
        <f t="shared" si="18"/>
        <v>0</v>
      </c>
      <c r="R19" s="29"/>
      <c r="S19" s="30">
        <f t="shared" si="31"/>
        <v>42521</v>
      </c>
      <c r="T19" s="32">
        <f t="shared" si="27"/>
        <v>103.33312493161816</v>
      </c>
      <c r="U19" s="32">
        <f t="shared" si="28"/>
        <v>104.29730217974068</v>
      </c>
      <c r="V19" s="32">
        <f t="shared" si="29"/>
        <v>103.85042699044247</v>
      </c>
      <c r="W19" s="32">
        <f t="shared" si="30"/>
        <v>102.28234116908907</v>
      </c>
      <c r="X19" s="31">
        <f t="shared" si="19"/>
        <v>-1.5680858213534066</v>
      </c>
      <c r="Y19" s="3">
        <f t="shared" si="20"/>
        <v>0</v>
      </c>
      <c r="Z19" s="3">
        <f t="shared" si="21"/>
        <v>0</v>
      </c>
      <c r="AA19" s="3">
        <f t="shared" si="22"/>
        <v>30</v>
      </c>
      <c r="AB19" s="3">
        <f t="shared" si="23"/>
        <v>0</v>
      </c>
      <c r="AC19" s="29"/>
      <c r="AD19" s="13">
        <v>41667</v>
      </c>
      <c r="AE19" s="12">
        <v>24.520099999999999</v>
      </c>
      <c r="AF19" s="13">
        <v>41667</v>
      </c>
      <c r="AG19" s="12">
        <v>115.7</v>
      </c>
    </row>
    <row r="20" spans="1:47" x14ac:dyDescent="0.2">
      <c r="A20" s="11">
        <v>42522</v>
      </c>
      <c r="B20" s="11">
        <f t="shared" ref="B20:B83" si="33">EOMONTH(A20,0)</f>
        <v>42551</v>
      </c>
      <c r="C20" s="3" t="s">
        <v>26</v>
      </c>
      <c r="D20" s="3" t="s">
        <v>26</v>
      </c>
      <c r="E20" s="3" t="str">
        <f t="shared" si="10"/>
        <v>Expansion/Expansion</v>
      </c>
      <c r="F20" s="14">
        <f t="shared" ref="F20:F83" si="34">B20+1</f>
        <v>42552</v>
      </c>
      <c r="G20" s="14">
        <f t="shared" si="11"/>
        <v>42552</v>
      </c>
      <c r="H20" s="17">
        <f t="shared" si="12"/>
        <v>42552</v>
      </c>
      <c r="I20" s="14">
        <f t="shared" si="13"/>
        <v>42583</v>
      </c>
      <c r="J20" s="14">
        <f t="shared" si="14"/>
        <v>42583</v>
      </c>
      <c r="K20" s="17">
        <f t="shared" si="15"/>
        <v>42583</v>
      </c>
      <c r="L20" s="16">
        <f t="shared" si="2"/>
        <v>-2.2885656479293415E-3</v>
      </c>
      <c r="M20" s="16">
        <f t="shared" si="3"/>
        <v>1.9726884936708267E-3</v>
      </c>
      <c r="N20" s="3">
        <f t="shared" si="16"/>
        <v>-1</v>
      </c>
      <c r="O20" s="20">
        <f t="shared" si="17"/>
        <v>-1.5793857712925741E-4</v>
      </c>
      <c r="P20" s="20">
        <f t="shared" si="4"/>
        <v>-1.5793857712925741E-4</v>
      </c>
      <c r="Q20" s="29">
        <f t="shared" si="18"/>
        <v>0</v>
      </c>
      <c r="R20" s="29"/>
      <c r="S20" s="30">
        <f t="shared" si="31"/>
        <v>42551</v>
      </c>
      <c r="T20" s="32">
        <f t="shared" si="27"/>
        <v>106.03049438096872</v>
      </c>
      <c r="U20" s="32">
        <f t="shared" si="28"/>
        <v>108.01031320264134</v>
      </c>
      <c r="V20" s="32">
        <f t="shared" si="29"/>
        <v>107.05441452045993</v>
      </c>
      <c r="W20" s="32">
        <f t="shared" si="30"/>
        <v>105.43795020357972</v>
      </c>
      <c r="X20" s="31">
        <f t="shared" si="19"/>
        <v>-1.6164643168802115</v>
      </c>
      <c r="Y20" s="3">
        <f t="shared" si="20"/>
        <v>0</v>
      </c>
      <c r="Z20" s="3">
        <f t="shared" si="21"/>
        <v>0</v>
      </c>
      <c r="AA20" s="3">
        <f t="shared" si="22"/>
        <v>30</v>
      </c>
      <c r="AB20" s="3">
        <f t="shared" si="23"/>
        <v>0</v>
      </c>
      <c r="AC20" s="29"/>
      <c r="AD20" s="13">
        <v>41668</v>
      </c>
      <c r="AE20" s="12">
        <v>24.57</v>
      </c>
      <c r="AF20" s="13">
        <v>41668</v>
      </c>
      <c r="AG20" s="12">
        <v>115.93</v>
      </c>
    </row>
    <row r="21" spans="1:47" x14ac:dyDescent="0.2">
      <c r="A21" s="11">
        <v>42552</v>
      </c>
      <c r="B21" s="11">
        <f t="shared" si="33"/>
        <v>42582</v>
      </c>
      <c r="C21" s="3" t="s">
        <v>27</v>
      </c>
      <c r="D21" s="3" t="s">
        <v>26</v>
      </c>
      <c r="E21" s="3" t="str">
        <f t="shared" si="10"/>
        <v>Downturn/Expansion</v>
      </c>
      <c r="F21" s="14">
        <f t="shared" si="34"/>
        <v>42583</v>
      </c>
      <c r="G21" s="14">
        <f t="shared" si="11"/>
        <v>42583</v>
      </c>
      <c r="H21" s="17">
        <f t="shared" si="12"/>
        <v>42583</v>
      </c>
      <c r="I21" s="14">
        <f t="shared" si="13"/>
        <v>42614</v>
      </c>
      <c r="J21" s="14">
        <f t="shared" si="14"/>
        <v>42614</v>
      </c>
      <c r="K21" s="17">
        <f t="shared" si="15"/>
        <v>42614</v>
      </c>
      <c r="L21" s="16">
        <f t="shared" si="2"/>
        <v>-2.3233651487840623E-3</v>
      </c>
      <c r="M21" s="16">
        <f t="shared" si="3"/>
        <v>7.4802653787713336E-3</v>
      </c>
      <c r="N21" s="3">
        <f t="shared" si="16"/>
        <v>-1</v>
      </c>
      <c r="O21" s="20">
        <f t="shared" si="17"/>
        <v>2.5784501149936356E-3</v>
      </c>
      <c r="P21" s="20">
        <f t="shared" si="4"/>
        <v>2.5784501149936356E-3</v>
      </c>
      <c r="Q21" s="29">
        <f t="shared" si="18"/>
        <v>0</v>
      </c>
      <c r="R21" s="29"/>
      <c r="S21" s="30">
        <f t="shared" si="31"/>
        <v>42582</v>
      </c>
      <c r="T21" s="32">
        <f t="shared" si="27"/>
        <v>105.78783663389547</v>
      </c>
      <c r="U21" s="32">
        <f t="shared" si="28"/>
        <v>108.22338390469397</v>
      </c>
      <c r="V21" s="32">
        <f t="shared" si="29"/>
        <v>107.03750649855516</v>
      </c>
      <c r="W21" s="32">
        <f t="shared" si="30"/>
        <v>105.42129748374913</v>
      </c>
      <c r="X21" s="31">
        <f t="shared" si="19"/>
        <v>-1.6162090148060315</v>
      </c>
      <c r="Y21" s="3">
        <f t="shared" si="20"/>
        <v>0</v>
      </c>
      <c r="Z21" s="3">
        <f t="shared" si="21"/>
        <v>0</v>
      </c>
      <c r="AA21" s="3">
        <f t="shared" si="22"/>
        <v>30</v>
      </c>
      <c r="AB21" s="3">
        <f t="shared" si="23"/>
        <v>0</v>
      </c>
      <c r="AC21" s="29"/>
      <c r="AD21" s="13">
        <v>41669</v>
      </c>
      <c r="AE21" s="12">
        <v>24.58</v>
      </c>
      <c r="AF21" s="13">
        <v>41669</v>
      </c>
      <c r="AG21" s="12">
        <v>115.99</v>
      </c>
    </row>
    <row r="22" spans="1:47" x14ac:dyDescent="0.2">
      <c r="A22" s="11">
        <v>42583</v>
      </c>
      <c r="B22" s="11">
        <f t="shared" si="33"/>
        <v>42613</v>
      </c>
      <c r="C22" s="3" t="s">
        <v>27</v>
      </c>
      <c r="D22" s="3" t="s">
        <v>26</v>
      </c>
      <c r="E22" s="3" t="str">
        <f t="shared" si="10"/>
        <v>Downturn/Expansion</v>
      </c>
      <c r="F22" s="14">
        <f t="shared" si="34"/>
        <v>42614</v>
      </c>
      <c r="G22" s="14">
        <f t="shared" si="11"/>
        <v>42614</v>
      </c>
      <c r="H22" s="17">
        <f t="shared" si="12"/>
        <v>42614</v>
      </c>
      <c r="I22" s="14">
        <f t="shared" si="13"/>
        <v>42644</v>
      </c>
      <c r="J22" s="14">
        <f t="shared" si="14"/>
        <v>42646</v>
      </c>
      <c r="K22" s="17">
        <f t="shared" si="15"/>
        <v>42646</v>
      </c>
      <c r="L22" s="16">
        <f t="shared" si="2"/>
        <v>-2.7471408631648542E-3</v>
      </c>
      <c r="M22" s="16">
        <f t="shared" si="3"/>
        <v>-5.9749890714948517E-3</v>
      </c>
      <c r="N22" s="3">
        <f t="shared" si="16"/>
        <v>1</v>
      </c>
      <c r="O22" s="20">
        <f t="shared" si="17"/>
        <v>-4.3610649673298529E-3</v>
      </c>
      <c r="P22" s="20">
        <f t="shared" si="4"/>
        <v>-4.3610649673298529E-3</v>
      </c>
      <c r="Q22" s="29">
        <f t="shared" si="18"/>
        <v>0</v>
      </c>
      <c r="R22" s="29"/>
      <c r="S22" s="30">
        <f t="shared" si="31"/>
        <v>42613</v>
      </c>
      <c r="T22" s="32">
        <f t="shared" si="27"/>
        <v>105.54205286109502</v>
      </c>
      <c r="U22" s="32">
        <f t="shared" si="28"/>
        <v>109.03292353648973</v>
      </c>
      <c r="V22" s="32">
        <f t="shared" si="29"/>
        <v>107.313497369495</v>
      </c>
      <c r="W22" s="32">
        <f t="shared" si="30"/>
        <v>105.69312104036888</v>
      </c>
      <c r="X22" s="31">
        <f t="shared" si="19"/>
        <v>-1.6203763291261168</v>
      </c>
      <c r="Y22" s="3">
        <f t="shared" si="20"/>
        <v>0</v>
      </c>
      <c r="Z22" s="3">
        <f t="shared" si="21"/>
        <v>0</v>
      </c>
      <c r="AA22" s="3">
        <f t="shared" si="22"/>
        <v>30</v>
      </c>
      <c r="AB22" s="3">
        <f t="shared" si="23"/>
        <v>0</v>
      </c>
      <c r="AC22" s="29"/>
      <c r="AD22" s="13">
        <v>41670</v>
      </c>
      <c r="AE22" s="12">
        <v>24.603200000000001</v>
      </c>
      <c r="AF22" s="13">
        <v>41670</v>
      </c>
      <c r="AG22" s="12">
        <v>116.34</v>
      </c>
      <c r="AJ22" s="33" t="s">
        <v>26</v>
      </c>
      <c r="AK22" s="33" t="s">
        <v>26</v>
      </c>
      <c r="AL22" s="33" t="s">
        <v>122</v>
      </c>
    </row>
    <row r="23" spans="1:47" x14ac:dyDescent="0.2">
      <c r="A23" s="11">
        <v>42614</v>
      </c>
      <c r="B23" s="11">
        <f t="shared" si="33"/>
        <v>42643</v>
      </c>
      <c r="C23" s="3" t="s">
        <v>26</v>
      </c>
      <c r="D23" s="3" t="s">
        <v>26</v>
      </c>
      <c r="E23" s="3" t="str">
        <f t="shared" si="10"/>
        <v>Expansion/Expansion</v>
      </c>
      <c r="F23" s="14">
        <f t="shared" si="34"/>
        <v>42644</v>
      </c>
      <c r="G23" s="14">
        <f t="shared" si="11"/>
        <v>42646</v>
      </c>
      <c r="H23" s="17">
        <f t="shared" si="12"/>
        <v>42646</v>
      </c>
      <c r="I23" s="14">
        <f t="shared" si="13"/>
        <v>42675</v>
      </c>
      <c r="J23" s="14">
        <f t="shared" si="14"/>
        <v>42675</v>
      </c>
      <c r="K23" s="17">
        <f t="shared" si="15"/>
        <v>42675</v>
      </c>
      <c r="L23" s="16">
        <f t="shared" si="2"/>
        <v>-9.7380056950441274E-3</v>
      </c>
      <c r="M23" s="16">
        <f t="shared" si="3"/>
        <v>-1.3725815560934773E-2</v>
      </c>
      <c r="N23" s="3">
        <f t="shared" si="16"/>
        <v>1</v>
      </c>
      <c r="O23" s="20">
        <f t="shared" si="17"/>
        <v>-1.173191062798945E-2</v>
      </c>
      <c r="P23" s="20">
        <f t="shared" si="4"/>
        <v>-1.173191062798945E-2</v>
      </c>
      <c r="Q23" s="29">
        <f t="shared" si="18"/>
        <v>0</v>
      </c>
      <c r="R23" s="29"/>
      <c r="S23" s="30">
        <f t="shared" si="31"/>
        <v>42643</v>
      </c>
      <c r="T23" s="32">
        <f t="shared" si="27"/>
        <v>105.25211397489799</v>
      </c>
      <c r="U23" s="32">
        <f t="shared" si="28"/>
        <v>108.38145300992608</v>
      </c>
      <c r="V23" s="32">
        <f t="shared" si="29"/>
        <v>106.84549623559525</v>
      </c>
      <c r="W23" s="32">
        <f t="shared" si="30"/>
        <v>105.23218647291198</v>
      </c>
      <c r="X23" s="31">
        <f t="shared" si="19"/>
        <v>-1.6133097626832722</v>
      </c>
      <c r="Y23" s="3">
        <f t="shared" si="20"/>
        <v>0</v>
      </c>
      <c r="Z23" s="3">
        <f t="shared" si="21"/>
        <v>0</v>
      </c>
      <c r="AA23" s="3">
        <f t="shared" si="22"/>
        <v>30</v>
      </c>
      <c r="AB23" s="3">
        <f t="shared" si="23"/>
        <v>0</v>
      </c>
      <c r="AC23" s="29"/>
      <c r="AD23" s="13">
        <v>41673</v>
      </c>
      <c r="AE23" s="12">
        <v>24.703199999999999</v>
      </c>
      <c r="AF23" s="13">
        <v>41673</v>
      </c>
      <c r="AG23" s="12">
        <v>117.0879</v>
      </c>
      <c r="AJ23" s="33" t="s">
        <v>26</v>
      </c>
      <c r="AK23" s="33" t="s">
        <v>27</v>
      </c>
      <c r="AL23" s="33" t="s">
        <v>131</v>
      </c>
    </row>
    <row r="24" spans="1:47" x14ac:dyDescent="0.2">
      <c r="A24" s="11">
        <v>42644</v>
      </c>
      <c r="B24" s="11">
        <f t="shared" si="33"/>
        <v>42674</v>
      </c>
      <c r="C24" s="3" t="s">
        <v>26</v>
      </c>
      <c r="D24" s="3" t="s">
        <v>26</v>
      </c>
      <c r="E24" s="3" t="str">
        <f t="shared" si="10"/>
        <v>Expansion/Expansion</v>
      </c>
      <c r="F24" s="14">
        <f t="shared" si="34"/>
        <v>42675</v>
      </c>
      <c r="G24" s="14">
        <f t="shared" si="11"/>
        <v>42675</v>
      </c>
      <c r="H24" s="17">
        <f t="shared" si="12"/>
        <v>42675</v>
      </c>
      <c r="I24" s="14">
        <f t="shared" si="13"/>
        <v>42705</v>
      </c>
      <c r="J24" s="14">
        <f t="shared" si="14"/>
        <v>42705</v>
      </c>
      <c r="K24" s="17">
        <f t="shared" si="15"/>
        <v>42705</v>
      </c>
      <c r="L24" s="16">
        <f t="shared" si="2"/>
        <v>-3.1064656174316085E-2</v>
      </c>
      <c r="M24" s="16">
        <f t="shared" si="3"/>
        <v>-3.5874743953917321E-2</v>
      </c>
      <c r="N24" s="3">
        <f t="shared" si="16"/>
        <v>1</v>
      </c>
      <c r="O24" s="20">
        <f t="shared" si="17"/>
        <v>-3.3469700064116703E-2</v>
      </c>
      <c r="P24" s="20">
        <f t="shared" si="4"/>
        <v>-3.3469700064116703E-2</v>
      </c>
      <c r="Q24" s="29">
        <f t="shared" si="18"/>
        <v>0</v>
      </c>
      <c r="R24" s="29"/>
      <c r="S24" s="30">
        <f t="shared" si="31"/>
        <v>42674</v>
      </c>
      <c r="T24" s="32">
        <f t="shared" si="27"/>
        <v>104.227168289595</v>
      </c>
      <c r="U24" s="32">
        <f t="shared" si="28"/>
        <v>106.89382917568571</v>
      </c>
      <c r="V24" s="32">
        <f t="shared" si="29"/>
        <v>105.59199442275607</v>
      </c>
      <c r="W24" s="32">
        <f t="shared" si="30"/>
        <v>103.99761186602386</v>
      </c>
      <c r="X24" s="31">
        <f t="shared" si="19"/>
        <v>-1.5943825567322136</v>
      </c>
      <c r="Y24" s="3">
        <f t="shared" si="20"/>
        <v>0</v>
      </c>
      <c r="Z24" s="3">
        <f t="shared" si="21"/>
        <v>0</v>
      </c>
      <c r="AA24" s="3">
        <f t="shared" si="22"/>
        <v>30</v>
      </c>
      <c r="AB24" s="3">
        <f t="shared" si="23"/>
        <v>0</v>
      </c>
      <c r="AC24" s="29"/>
      <c r="AD24" s="13">
        <v>41674</v>
      </c>
      <c r="AE24" s="12">
        <v>24.653199999999998</v>
      </c>
      <c r="AF24" s="13">
        <v>41674</v>
      </c>
      <c r="AG24" s="12">
        <v>116.5262</v>
      </c>
      <c r="AJ24" s="33" t="s">
        <v>26</v>
      </c>
      <c r="AK24" s="33" t="s">
        <v>28</v>
      </c>
      <c r="AL24" s="33" t="s">
        <v>132</v>
      </c>
    </row>
    <row r="25" spans="1:47" x14ac:dyDescent="0.2">
      <c r="A25" s="11">
        <v>42675</v>
      </c>
      <c r="B25" s="11">
        <f t="shared" si="33"/>
        <v>42704</v>
      </c>
      <c r="C25" s="3" t="s">
        <v>26</v>
      </c>
      <c r="D25" s="3" t="s">
        <v>26</v>
      </c>
      <c r="E25" s="3" t="str">
        <f t="shared" si="10"/>
        <v>Expansion/Expansion</v>
      </c>
      <c r="F25" s="14">
        <f t="shared" si="34"/>
        <v>42705</v>
      </c>
      <c r="G25" s="14">
        <f t="shared" si="11"/>
        <v>42705</v>
      </c>
      <c r="H25" s="17">
        <f t="shared" si="12"/>
        <v>42705</v>
      </c>
      <c r="I25" s="14">
        <f t="shared" si="13"/>
        <v>42736</v>
      </c>
      <c r="J25" s="14">
        <f t="shared" si="14"/>
        <v>42737</v>
      </c>
      <c r="K25" s="17">
        <f t="shared" si="15"/>
        <v>42737</v>
      </c>
      <c r="L25" s="16">
        <f t="shared" si="2"/>
        <v>1.7566396335046974E-3</v>
      </c>
      <c r="M25" s="16">
        <f t="shared" si="3"/>
        <v>1.4072361187734472E-2</v>
      </c>
      <c r="N25" s="3">
        <f t="shared" si="16"/>
        <v>-1</v>
      </c>
      <c r="O25" s="20">
        <f t="shared" si="17"/>
        <v>7.9145004106195849E-3</v>
      </c>
      <c r="P25" s="20">
        <f t="shared" si="4"/>
        <v>7.9145004106195849E-3</v>
      </c>
      <c r="Q25" s="29">
        <f t="shared" si="18"/>
        <v>0</v>
      </c>
      <c r="R25" s="29"/>
      <c r="S25" s="30">
        <f t="shared" si="31"/>
        <v>42704</v>
      </c>
      <c r="T25" s="32">
        <f t="shared" si="27"/>
        <v>100.98938714265616</v>
      </c>
      <c r="U25" s="32">
        <f t="shared" si="28"/>
        <v>103.05904042375421</v>
      </c>
      <c r="V25" s="32">
        <f t="shared" si="29"/>
        <v>102.05786204025455</v>
      </c>
      <c r="W25" s="32">
        <f t="shared" si="30"/>
        <v>100.51684298948362</v>
      </c>
      <c r="X25" s="31">
        <f t="shared" si="19"/>
        <v>-1.5410190507709274</v>
      </c>
      <c r="Y25" s="3">
        <f t="shared" si="20"/>
        <v>0</v>
      </c>
      <c r="Z25" s="3">
        <f t="shared" si="21"/>
        <v>0</v>
      </c>
      <c r="AA25" s="3">
        <f t="shared" si="22"/>
        <v>30</v>
      </c>
      <c r="AB25" s="3">
        <f t="shared" si="23"/>
        <v>0</v>
      </c>
      <c r="AC25" s="29"/>
      <c r="AD25" s="13">
        <v>41675</v>
      </c>
      <c r="AE25" s="12">
        <v>24.613299999999999</v>
      </c>
      <c r="AF25" s="13">
        <v>41675</v>
      </c>
      <c r="AG25" s="12">
        <v>116.1551</v>
      </c>
      <c r="AJ25" s="33" t="s">
        <v>26</v>
      </c>
      <c r="AK25" s="33" t="s">
        <v>29</v>
      </c>
      <c r="AL25" s="33" t="s">
        <v>122</v>
      </c>
    </row>
    <row r="26" spans="1:47" x14ac:dyDescent="0.2">
      <c r="A26" s="11">
        <v>42705</v>
      </c>
      <c r="B26" s="11">
        <f t="shared" si="33"/>
        <v>42735</v>
      </c>
      <c r="C26" s="3" t="s">
        <v>26</v>
      </c>
      <c r="D26" s="3" t="s">
        <v>26</v>
      </c>
      <c r="E26" s="3" t="str">
        <f t="shared" si="10"/>
        <v>Expansion/Expansion</v>
      </c>
      <c r="F26" s="14">
        <f t="shared" si="34"/>
        <v>42736</v>
      </c>
      <c r="G26" s="14">
        <f t="shared" si="11"/>
        <v>42737</v>
      </c>
      <c r="H26" s="17">
        <f t="shared" si="12"/>
        <v>42737</v>
      </c>
      <c r="I26" s="14">
        <f t="shared" si="13"/>
        <v>42767</v>
      </c>
      <c r="J26" s="14">
        <f t="shared" si="14"/>
        <v>42767</v>
      </c>
      <c r="K26" s="17">
        <f t="shared" si="15"/>
        <v>42767</v>
      </c>
      <c r="L26" s="16">
        <f t="shared" si="2"/>
        <v>1.614510509768019E-3</v>
      </c>
      <c r="M26" s="16">
        <f t="shared" si="3"/>
        <v>2.1992811051663175E-4</v>
      </c>
      <c r="N26" s="3">
        <f t="shared" si="16"/>
        <v>1</v>
      </c>
      <c r="O26" s="20">
        <f t="shared" si="17"/>
        <v>9.1721931014232538E-4</v>
      </c>
      <c r="P26" s="20">
        <f t="shared" si="4"/>
        <v>9.1721931014232538E-4</v>
      </c>
      <c r="Q26" s="29">
        <f t="shared" si="18"/>
        <v>0</v>
      </c>
      <c r="R26" s="29"/>
      <c r="S26" s="30">
        <f t="shared" si="31"/>
        <v>42735</v>
      </c>
      <c r="T26" s="32">
        <f t="shared" si="27"/>
        <v>101.1667891026743</v>
      </c>
      <c r="U26" s="32">
        <f t="shared" si="28"/>
        <v>104.50932446425861</v>
      </c>
      <c r="V26" s="32">
        <f t="shared" si="29"/>
        <v>102.8655990312791</v>
      </c>
      <c r="W26" s="32">
        <f t="shared" si="30"/>
        <v>101.31238358459807</v>
      </c>
      <c r="X26" s="31">
        <f t="shared" si="19"/>
        <v>-1.5532154466810368</v>
      </c>
      <c r="Y26" s="3">
        <f t="shared" si="20"/>
        <v>0</v>
      </c>
      <c r="Z26" s="3">
        <f t="shared" si="21"/>
        <v>0</v>
      </c>
      <c r="AA26" s="3">
        <f t="shared" si="22"/>
        <v>30</v>
      </c>
      <c r="AB26" s="3">
        <f t="shared" si="23"/>
        <v>0</v>
      </c>
      <c r="AC26" s="29"/>
      <c r="AD26" s="13">
        <v>41676</v>
      </c>
      <c r="AE26" s="12">
        <v>24.563199999999998</v>
      </c>
      <c r="AF26" s="13">
        <v>41676</v>
      </c>
      <c r="AG26" s="12">
        <v>116.0448</v>
      </c>
      <c r="AJ26" s="33" t="s">
        <v>27</v>
      </c>
      <c r="AK26" s="33" t="s">
        <v>26</v>
      </c>
      <c r="AL26" s="33" t="s">
        <v>122</v>
      </c>
    </row>
    <row r="27" spans="1:47" x14ac:dyDescent="0.2">
      <c r="A27" s="11">
        <v>42736</v>
      </c>
      <c r="B27" s="11">
        <f t="shared" si="33"/>
        <v>42766</v>
      </c>
      <c r="C27" s="3" t="s">
        <v>26</v>
      </c>
      <c r="D27" s="3" t="s">
        <v>26</v>
      </c>
      <c r="E27" s="3" t="str">
        <f t="shared" si="10"/>
        <v>Expansion/Expansion</v>
      </c>
      <c r="F27" s="14">
        <f t="shared" si="34"/>
        <v>42767</v>
      </c>
      <c r="G27" s="14">
        <f t="shared" si="11"/>
        <v>42767</v>
      </c>
      <c r="H27" s="17">
        <f t="shared" si="12"/>
        <v>42767</v>
      </c>
      <c r="I27" s="14">
        <f t="shared" si="13"/>
        <v>42795</v>
      </c>
      <c r="J27" s="14">
        <f t="shared" si="14"/>
        <v>42795</v>
      </c>
      <c r="K27" s="17">
        <f t="shared" si="15"/>
        <v>42795</v>
      </c>
      <c r="L27" s="16">
        <f t="shared" si="2"/>
        <v>-2.9693043344125591E-4</v>
      </c>
      <c r="M27" s="16">
        <f t="shared" si="3"/>
        <v>8.4765573465683808E-3</v>
      </c>
      <c r="N27" s="3">
        <f t="shared" si="16"/>
        <v>-1</v>
      </c>
      <c r="O27" s="20">
        <f t="shared" si="17"/>
        <v>4.0898134565635624E-3</v>
      </c>
      <c r="P27" s="20">
        <f t="shared" si="4"/>
        <v>4.0898134565635624E-3</v>
      </c>
      <c r="Q27" s="29">
        <f t="shared" si="18"/>
        <v>0</v>
      </c>
      <c r="R27" s="29"/>
      <c r="S27" s="30">
        <f t="shared" si="31"/>
        <v>42766</v>
      </c>
      <c r="T27" s="32">
        <f t="shared" si="27"/>
        <v>101.33012394692005</v>
      </c>
      <c r="U27" s="32">
        <f t="shared" si="28"/>
        <v>104.53230900251941</v>
      </c>
      <c r="V27" s="32">
        <f t="shared" si="29"/>
        <v>102.95994934505995</v>
      </c>
      <c r="W27" s="32">
        <f t="shared" si="30"/>
        <v>101.40530925917841</v>
      </c>
      <c r="X27" s="31">
        <f t="shared" si="19"/>
        <v>-1.5546400858815446</v>
      </c>
      <c r="Y27" s="3">
        <f t="shared" si="20"/>
        <v>0</v>
      </c>
      <c r="Z27" s="3">
        <f t="shared" si="21"/>
        <v>0</v>
      </c>
      <c r="AA27" s="3">
        <f t="shared" si="22"/>
        <v>30</v>
      </c>
      <c r="AB27" s="3">
        <f t="shared" si="23"/>
        <v>0</v>
      </c>
      <c r="AC27" s="29"/>
      <c r="AD27" s="13">
        <v>41677</v>
      </c>
      <c r="AE27" s="12">
        <v>24.593299999999999</v>
      </c>
      <c r="AF27" s="13">
        <v>41677</v>
      </c>
      <c r="AG27" s="12">
        <v>116.4059</v>
      </c>
      <c r="AJ27" s="33" t="s">
        <v>27</v>
      </c>
      <c r="AK27" s="33" t="s">
        <v>27</v>
      </c>
      <c r="AL27" s="33" t="s">
        <v>122</v>
      </c>
    </row>
    <row r="28" spans="1:47" x14ac:dyDescent="0.2">
      <c r="A28" s="11">
        <v>42767</v>
      </c>
      <c r="B28" s="11">
        <f t="shared" si="33"/>
        <v>42794</v>
      </c>
      <c r="C28" s="3" t="s">
        <v>26</v>
      </c>
      <c r="D28" s="3" t="s">
        <v>26</v>
      </c>
      <c r="E28" s="3" t="str">
        <f t="shared" si="10"/>
        <v>Expansion/Expansion</v>
      </c>
      <c r="F28" s="14">
        <f t="shared" si="34"/>
        <v>42795</v>
      </c>
      <c r="G28" s="14">
        <f t="shared" si="11"/>
        <v>42795</v>
      </c>
      <c r="H28" s="17">
        <f t="shared" si="12"/>
        <v>42795</v>
      </c>
      <c r="I28" s="14">
        <f t="shared" si="13"/>
        <v>42826</v>
      </c>
      <c r="J28" s="14">
        <f t="shared" si="14"/>
        <v>42828</v>
      </c>
      <c r="K28" s="17">
        <f t="shared" si="15"/>
        <v>42828</v>
      </c>
      <c r="L28" s="16">
        <f t="shared" si="2"/>
        <v>8.8372685086965941E-3</v>
      </c>
      <c r="M28" s="16">
        <f t="shared" si="3"/>
        <v>7.4704509811420738E-3</v>
      </c>
      <c r="N28" s="3">
        <f t="shared" si="16"/>
        <v>1</v>
      </c>
      <c r="O28" s="20">
        <f t="shared" si="17"/>
        <v>8.153859744919334E-3</v>
      </c>
      <c r="P28" s="20">
        <f t="shared" si="4"/>
        <v>8.153859744919334E-3</v>
      </c>
      <c r="Q28" s="29">
        <f t="shared" si="18"/>
        <v>0</v>
      </c>
      <c r="R28" s="29"/>
      <c r="S28" s="30">
        <f t="shared" si="31"/>
        <v>42794</v>
      </c>
      <c r="T28" s="32">
        <f t="shared" si="27"/>
        <v>101.30003594929583</v>
      </c>
      <c r="U28" s="32">
        <f t="shared" si="28"/>
        <v>105.41838311434847</v>
      </c>
      <c r="V28" s="32">
        <f t="shared" si="29"/>
        <v>103.38103633137847</v>
      </c>
      <c r="W28" s="32">
        <f t="shared" si="30"/>
        <v>101.82003805755357</v>
      </c>
      <c r="X28" s="31">
        <f t="shared" si="19"/>
        <v>-1.5609982738248931</v>
      </c>
      <c r="Y28" s="3">
        <f t="shared" si="20"/>
        <v>0</v>
      </c>
      <c r="Z28" s="3">
        <f t="shared" si="21"/>
        <v>0</v>
      </c>
      <c r="AA28" s="3">
        <f t="shared" si="22"/>
        <v>30</v>
      </c>
      <c r="AB28" s="3">
        <f t="shared" si="23"/>
        <v>0</v>
      </c>
      <c r="AC28" s="29"/>
      <c r="AD28" s="13">
        <v>41680</v>
      </c>
      <c r="AE28" s="12">
        <v>24.613299999999999</v>
      </c>
      <c r="AF28" s="13">
        <v>41680</v>
      </c>
      <c r="AG28" s="12">
        <v>116.456</v>
      </c>
      <c r="AJ28" s="33" t="s">
        <v>27</v>
      </c>
      <c r="AK28" s="33" t="s">
        <v>28</v>
      </c>
      <c r="AL28" s="33" t="s">
        <v>131</v>
      </c>
    </row>
    <row r="29" spans="1:47" x14ac:dyDescent="0.2">
      <c r="A29" s="11">
        <v>42795</v>
      </c>
      <c r="B29" s="11">
        <f t="shared" si="33"/>
        <v>42825</v>
      </c>
      <c r="C29" s="3" t="s">
        <v>26</v>
      </c>
      <c r="D29" s="3" t="s">
        <v>26</v>
      </c>
      <c r="E29" s="3" t="str">
        <f t="shared" si="10"/>
        <v>Expansion/Expansion</v>
      </c>
      <c r="F29" s="14">
        <f t="shared" si="34"/>
        <v>42826</v>
      </c>
      <c r="G29" s="14">
        <f t="shared" si="11"/>
        <v>42828</v>
      </c>
      <c r="H29" s="17">
        <f t="shared" si="12"/>
        <v>42828</v>
      </c>
      <c r="I29" s="14">
        <f t="shared" si="13"/>
        <v>42856</v>
      </c>
      <c r="J29" s="14">
        <f t="shared" si="14"/>
        <v>42856</v>
      </c>
      <c r="K29" s="17">
        <f t="shared" si="15"/>
        <v>42856</v>
      </c>
      <c r="L29" s="16">
        <f t="shared" si="2"/>
        <v>2.4968072984772327E-3</v>
      </c>
      <c r="M29" s="16">
        <f t="shared" si="3"/>
        <v>4.2470470759312651E-3</v>
      </c>
      <c r="N29" s="3">
        <f t="shared" si="16"/>
        <v>-1</v>
      </c>
      <c r="O29" s="20">
        <f t="shared" si="17"/>
        <v>3.3719271872042489E-3</v>
      </c>
      <c r="P29" s="20">
        <f t="shared" si="4"/>
        <v>3.3719271872042489E-3</v>
      </c>
      <c r="Q29" s="29">
        <f t="shared" si="18"/>
        <v>0</v>
      </c>
      <c r="R29" s="29"/>
      <c r="S29" s="30">
        <f t="shared" si="31"/>
        <v>42825</v>
      </c>
      <c r="T29" s="32">
        <f t="shared" si="27"/>
        <v>102.19525156692038</v>
      </c>
      <c r="U29" s="32">
        <f t="shared" si="28"/>
        <v>106.20590597791546</v>
      </c>
      <c r="V29" s="32">
        <f t="shared" si="29"/>
        <v>104.22399080190894</v>
      </c>
      <c r="W29" s="32">
        <f t="shared" si="30"/>
        <v>102.65026436709722</v>
      </c>
      <c r="X29" s="31">
        <f t="shared" si="19"/>
        <v>-1.5737264348117179</v>
      </c>
      <c r="Y29" s="3">
        <f t="shared" si="20"/>
        <v>0</v>
      </c>
      <c r="Z29" s="3">
        <f t="shared" si="21"/>
        <v>0</v>
      </c>
      <c r="AA29" s="3">
        <f t="shared" si="22"/>
        <v>30</v>
      </c>
      <c r="AB29" s="3">
        <f t="shared" si="23"/>
        <v>0</v>
      </c>
      <c r="AC29" s="29"/>
      <c r="AD29" s="13">
        <v>41681</v>
      </c>
      <c r="AE29" s="12">
        <v>24.5532</v>
      </c>
      <c r="AF29" s="13">
        <v>41681</v>
      </c>
      <c r="AG29" s="12">
        <v>116.2153</v>
      </c>
      <c r="AJ29" s="33" t="s">
        <v>27</v>
      </c>
      <c r="AK29" s="33" t="s">
        <v>29</v>
      </c>
      <c r="AL29" s="33" t="s">
        <v>122</v>
      </c>
    </row>
    <row r="30" spans="1:47" x14ac:dyDescent="0.2">
      <c r="A30" s="11">
        <v>42826</v>
      </c>
      <c r="B30" s="11">
        <f t="shared" si="33"/>
        <v>42855</v>
      </c>
      <c r="C30" s="3" t="s">
        <v>26</v>
      </c>
      <c r="D30" s="3" t="s">
        <v>26</v>
      </c>
      <c r="E30" s="3" t="str">
        <f t="shared" si="10"/>
        <v>Expansion/Expansion</v>
      </c>
      <c r="F30" s="14">
        <f t="shared" si="34"/>
        <v>42856</v>
      </c>
      <c r="G30" s="14">
        <f t="shared" si="11"/>
        <v>42856</v>
      </c>
      <c r="H30" s="17">
        <f t="shared" si="12"/>
        <v>42856</v>
      </c>
      <c r="I30" s="14">
        <f t="shared" si="13"/>
        <v>42887</v>
      </c>
      <c r="J30" s="14">
        <f t="shared" si="14"/>
        <v>42887</v>
      </c>
      <c r="K30" s="17">
        <f t="shared" si="15"/>
        <v>42887</v>
      </c>
      <c r="L30" s="16">
        <f t="shared" si="2"/>
        <v>7.7120528477765404E-3</v>
      </c>
      <c r="M30" s="16">
        <f t="shared" si="3"/>
        <v>1.6706137127336707E-2</v>
      </c>
      <c r="N30" s="3">
        <f t="shared" si="16"/>
        <v>-1</v>
      </c>
      <c r="O30" s="20">
        <f t="shared" si="17"/>
        <v>1.2209094987556623E-2</v>
      </c>
      <c r="P30" s="20">
        <f t="shared" si="4"/>
        <v>1.2209094987556623E-2</v>
      </c>
      <c r="Q30" s="29">
        <f t="shared" si="18"/>
        <v>0</v>
      </c>
      <c r="R30" s="29"/>
      <c r="S30" s="30">
        <f t="shared" si="31"/>
        <v>42855</v>
      </c>
      <c r="T30" s="32">
        <f t="shared" si="27"/>
        <v>102.45041341690238</v>
      </c>
      <c r="U30" s="32">
        <f t="shared" si="28"/>
        <v>106.6569674603456</v>
      </c>
      <c r="V30" s="32">
        <f t="shared" si="29"/>
        <v>104.57542651005284</v>
      </c>
      <c r="W30" s="32">
        <f t="shared" si="30"/>
        <v>102.99639358429035</v>
      </c>
      <c r="X30" s="31">
        <f t="shared" si="19"/>
        <v>-1.5790329257624904</v>
      </c>
      <c r="Y30" s="3">
        <f t="shared" si="20"/>
        <v>0</v>
      </c>
      <c r="Z30" s="3">
        <f t="shared" si="21"/>
        <v>0</v>
      </c>
      <c r="AA30" s="3">
        <f t="shared" si="22"/>
        <v>30</v>
      </c>
      <c r="AB30" s="3">
        <f t="shared" si="23"/>
        <v>0</v>
      </c>
      <c r="AC30" s="29"/>
      <c r="AD30" s="13">
        <v>41682</v>
      </c>
      <c r="AE30" s="12">
        <v>24.533200000000001</v>
      </c>
      <c r="AF30" s="13">
        <v>41682</v>
      </c>
      <c r="AG30" s="12">
        <v>115.8643</v>
      </c>
      <c r="AJ30" s="33" t="s">
        <v>28</v>
      </c>
      <c r="AK30" s="33" t="s">
        <v>26</v>
      </c>
      <c r="AL30" s="33" t="s">
        <v>122</v>
      </c>
    </row>
    <row r="31" spans="1:47" x14ac:dyDescent="0.2">
      <c r="A31" s="11">
        <v>42856</v>
      </c>
      <c r="B31" s="11">
        <f t="shared" si="33"/>
        <v>42886</v>
      </c>
      <c r="C31" s="3" t="s">
        <v>27</v>
      </c>
      <c r="D31" s="3" t="s">
        <v>26</v>
      </c>
      <c r="E31" s="3" t="str">
        <f t="shared" si="10"/>
        <v>Downturn/Expansion</v>
      </c>
      <c r="F31" s="14">
        <f t="shared" si="34"/>
        <v>42887</v>
      </c>
      <c r="G31" s="14">
        <f t="shared" si="11"/>
        <v>42887</v>
      </c>
      <c r="H31" s="17">
        <f t="shared" si="12"/>
        <v>42887</v>
      </c>
      <c r="I31" s="14">
        <f t="shared" si="13"/>
        <v>42917</v>
      </c>
      <c r="J31" s="14">
        <f t="shared" si="14"/>
        <v>42919</v>
      </c>
      <c r="K31" s="17">
        <f t="shared" si="15"/>
        <v>42919</v>
      </c>
      <c r="L31" s="16">
        <f t="shared" si="2"/>
        <v>-3.0241210556793963E-3</v>
      </c>
      <c r="M31" s="16">
        <f t="shared" si="3"/>
        <v>2.4185595440140428E-3</v>
      </c>
      <c r="N31" s="3">
        <f t="shared" si="16"/>
        <v>-1</v>
      </c>
      <c r="O31" s="20">
        <f t="shared" si="17"/>
        <v>-3.0278075583267672E-4</v>
      </c>
      <c r="P31" s="20">
        <f t="shared" si="4"/>
        <v>-3.0278075583267672E-4</v>
      </c>
      <c r="Q31" s="29">
        <f t="shared" si="18"/>
        <v>0</v>
      </c>
      <c r="R31" s="29"/>
      <c r="S31" s="30">
        <f t="shared" si="31"/>
        <v>42886</v>
      </c>
      <c r="T31" s="32">
        <f t="shared" si="27"/>
        <v>103.24051641945009</v>
      </c>
      <c r="U31" s="32">
        <f t="shared" si="28"/>
        <v>108.43879338432401</v>
      </c>
      <c r="V31" s="32">
        <f t="shared" si="29"/>
        <v>105.85219782567832</v>
      </c>
      <c r="W31" s="32">
        <f t="shared" si="30"/>
        <v>104.25388633693672</v>
      </c>
      <c r="X31" s="31">
        <f t="shared" si="19"/>
        <v>-1.5983114887416008</v>
      </c>
      <c r="Y31" s="3">
        <f t="shared" si="20"/>
        <v>0</v>
      </c>
      <c r="Z31" s="3">
        <f t="shared" si="21"/>
        <v>0</v>
      </c>
      <c r="AA31" s="3">
        <f t="shared" si="22"/>
        <v>30</v>
      </c>
      <c r="AB31" s="3">
        <f t="shared" si="23"/>
        <v>0</v>
      </c>
      <c r="AC31" s="29"/>
      <c r="AD31" s="13">
        <v>41683</v>
      </c>
      <c r="AE31" s="12">
        <v>24.583200000000001</v>
      </c>
      <c r="AF31" s="13">
        <v>41683</v>
      </c>
      <c r="AG31" s="12">
        <v>116.34569999999999</v>
      </c>
      <c r="AJ31" s="33" t="s">
        <v>28</v>
      </c>
      <c r="AK31" s="33" t="s">
        <v>27</v>
      </c>
      <c r="AL31" s="33" t="s">
        <v>132</v>
      </c>
    </row>
    <row r="32" spans="1:47" x14ac:dyDescent="0.2">
      <c r="A32" s="11">
        <v>42887</v>
      </c>
      <c r="B32" s="11">
        <f t="shared" si="33"/>
        <v>42916</v>
      </c>
      <c r="C32" s="3" t="s">
        <v>27</v>
      </c>
      <c r="D32" s="3" t="s">
        <v>26</v>
      </c>
      <c r="E32" s="3" t="str">
        <f t="shared" si="10"/>
        <v>Downturn/Expansion</v>
      </c>
      <c r="F32" s="14">
        <f t="shared" si="34"/>
        <v>42917</v>
      </c>
      <c r="G32" s="14">
        <f t="shared" si="11"/>
        <v>42919</v>
      </c>
      <c r="H32" s="17">
        <f t="shared" si="12"/>
        <v>42919</v>
      </c>
      <c r="I32" s="14">
        <f t="shared" si="13"/>
        <v>42948</v>
      </c>
      <c r="J32" s="14">
        <f t="shared" si="14"/>
        <v>42948</v>
      </c>
      <c r="K32" s="17">
        <f t="shared" si="15"/>
        <v>42948</v>
      </c>
      <c r="L32" s="16">
        <f t="shared" si="2"/>
        <v>5.743897346342175E-3</v>
      </c>
      <c r="M32" s="16">
        <f t="shared" si="3"/>
        <v>1.3490333522770293E-2</v>
      </c>
      <c r="N32" s="3">
        <f t="shared" si="16"/>
        <v>-1</v>
      </c>
      <c r="O32" s="20">
        <f t="shared" si="17"/>
        <v>9.6171154345562337E-3</v>
      </c>
      <c r="P32" s="20">
        <f t="shared" si="4"/>
        <v>9.6171154345562337E-3</v>
      </c>
      <c r="Q32" s="29">
        <f t="shared" si="18"/>
        <v>0</v>
      </c>
      <c r="R32" s="29"/>
      <c r="S32" s="30">
        <f t="shared" si="31"/>
        <v>42916</v>
      </c>
      <c r="T32" s="32">
        <f t="shared" si="27"/>
        <v>102.92830459994681</v>
      </c>
      <c r="U32" s="32">
        <f t="shared" si="28"/>
        <v>108.70105906300503</v>
      </c>
      <c r="V32" s="32">
        <f t="shared" si="29"/>
        <v>105.82014781721411</v>
      </c>
      <c r="W32" s="32">
        <f t="shared" si="30"/>
        <v>104.22232026643313</v>
      </c>
      <c r="X32" s="31">
        <f t="shared" si="19"/>
        <v>-1.5978275507809769</v>
      </c>
      <c r="Y32" s="3">
        <f t="shared" si="20"/>
        <v>0</v>
      </c>
      <c r="Z32" s="3">
        <f t="shared" si="21"/>
        <v>0</v>
      </c>
      <c r="AA32" s="3">
        <f t="shared" si="22"/>
        <v>30</v>
      </c>
      <c r="AB32" s="3">
        <f t="shared" si="23"/>
        <v>0</v>
      </c>
      <c r="AC32" s="29"/>
      <c r="AD32" s="13">
        <v>41684</v>
      </c>
      <c r="AE32" s="12">
        <v>24.583200000000001</v>
      </c>
      <c r="AF32" s="13">
        <v>41684</v>
      </c>
      <c r="AG32" s="12">
        <v>116.5663</v>
      </c>
      <c r="AJ32" s="33" t="s">
        <v>28</v>
      </c>
      <c r="AK32" s="33" t="s">
        <v>28</v>
      </c>
      <c r="AL32" s="33" t="s">
        <v>132</v>
      </c>
    </row>
    <row r="33" spans="1:38" x14ac:dyDescent="0.2">
      <c r="A33" s="11">
        <v>42917</v>
      </c>
      <c r="B33" s="11">
        <f t="shared" si="33"/>
        <v>42947</v>
      </c>
      <c r="C33" s="3" t="s">
        <v>27</v>
      </c>
      <c r="D33" s="3" t="s">
        <v>26</v>
      </c>
      <c r="E33" s="3" t="str">
        <f t="shared" si="10"/>
        <v>Downturn/Expansion</v>
      </c>
      <c r="F33" s="14">
        <f t="shared" si="34"/>
        <v>42948</v>
      </c>
      <c r="G33" s="14">
        <f t="shared" si="11"/>
        <v>42948</v>
      </c>
      <c r="H33" s="17">
        <f t="shared" si="12"/>
        <v>42948</v>
      </c>
      <c r="I33" s="14">
        <f t="shared" si="13"/>
        <v>42979</v>
      </c>
      <c r="J33" s="14">
        <f t="shared" si="14"/>
        <v>42979</v>
      </c>
      <c r="K33" s="17">
        <f t="shared" si="15"/>
        <v>42979</v>
      </c>
      <c r="L33" s="16">
        <f t="shared" si="2"/>
        <v>6.3263665291424243E-3</v>
      </c>
      <c r="M33" s="16">
        <f t="shared" si="3"/>
        <v>-8.235501673821144E-4</v>
      </c>
      <c r="N33" s="3">
        <f t="shared" si="16"/>
        <v>1</v>
      </c>
      <c r="O33" s="20">
        <f t="shared" si="17"/>
        <v>2.7514081808801549E-3</v>
      </c>
      <c r="P33" s="20">
        <f t="shared" si="4"/>
        <v>2.7514081808801549E-3</v>
      </c>
      <c r="Q33" s="29">
        <f t="shared" si="18"/>
        <v>0</v>
      </c>
      <c r="R33" s="29"/>
      <c r="S33" s="30">
        <f t="shared" si="31"/>
        <v>42947</v>
      </c>
      <c r="T33" s="32">
        <f t="shared" si="27"/>
        <v>103.51951421560194</v>
      </c>
      <c r="U33" s="32">
        <f t="shared" si="28"/>
        <v>110.16747260404333</v>
      </c>
      <c r="V33" s="32">
        <f t="shared" si="29"/>
        <v>106.83783239407404</v>
      </c>
      <c r="W33" s="32">
        <f t="shared" si="30"/>
        <v>105.2246383512927</v>
      </c>
      <c r="X33" s="31">
        <f t="shared" si="19"/>
        <v>-1.6131940427813447</v>
      </c>
      <c r="Y33" s="3">
        <f t="shared" si="20"/>
        <v>0</v>
      </c>
      <c r="Z33" s="3">
        <f t="shared" si="21"/>
        <v>0</v>
      </c>
      <c r="AA33" s="3">
        <f t="shared" si="22"/>
        <v>30</v>
      </c>
      <c r="AB33" s="3">
        <f t="shared" si="23"/>
        <v>0</v>
      </c>
      <c r="AC33" s="29"/>
      <c r="AD33" s="13">
        <v>41688</v>
      </c>
      <c r="AE33" s="12">
        <v>24.613299999999999</v>
      </c>
      <c r="AF33" s="13">
        <v>41688</v>
      </c>
      <c r="AG33" s="12">
        <v>116.80710000000001</v>
      </c>
      <c r="AJ33" s="33" t="s">
        <v>28</v>
      </c>
      <c r="AK33" s="33" t="s">
        <v>29</v>
      </c>
      <c r="AL33" s="33" t="s">
        <v>132</v>
      </c>
    </row>
    <row r="34" spans="1:38" x14ac:dyDescent="0.2">
      <c r="A34" s="11">
        <v>42948</v>
      </c>
      <c r="B34" s="11">
        <f t="shared" si="33"/>
        <v>42978</v>
      </c>
      <c r="C34" s="3" t="s">
        <v>27</v>
      </c>
      <c r="D34" s="3" t="s">
        <v>26</v>
      </c>
      <c r="E34" s="3" t="str">
        <f t="shared" si="10"/>
        <v>Downturn/Expansion</v>
      </c>
      <c r="F34" s="14">
        <f t="shared" si="34"/>
        <v>42979</v>
      </c>
      <c r="G34" s="14">
        <f t="shared" si="11"/>
        <v>42979</v>
      </c>
      <c r="H34" s="17">
        <f t="shared" si="12"/>
        <v>42979</v>
      </c>
      <c r="I34" s="14">
        <f t="shared" si="13"/>
        <v>43009</v>
      </c>
      <c r="J34" s="14">
        <f t="shared" si="14"/>
        <v>43010</v>
      </c>
      <c r="K34" s="17">
        <f t="shared" si="15"/>
        <v>43010</v>
      </c>
      <c r="L34" s="16">
        <f t="shared" ref="L34:L65" si="35">VLOOKUP(K34,$AD$2:$AE$2985, 2, 1)/VLOOKUP(H34,$AD$2:$AE$2985, 2, 1)-1</f>
        <v>-7.8957535474626361E-3</v>
      </c>
      <c r="M34" s="16">
        <f t="shared" ref="M34:M65" si="36">VLOOKUP(K34,$AF$2:$AG$2985, 2, 1)/VLOOKUP(H34,$AF$2:$AG$2985, 2, 1)-1</f>
        <v>4.4105407528105545E-3</v>
      </c>
      <c r="N34" s="3">
        <f t="shared" si="16"/>
        <v>-1</v>
      </c>
      <c r="O34" s="20">
        <f t="shared" si="17"/>
        <v>-1.7426063973260408E-3</v>
      </c>
      <c r="P34" s="20">
        <f t="shared" ref="P34:P65" si="37">IF(VLOOKUP(E34,$AS$2:$AT$17, 2, 0)=0, O34, IF(VLOOKUP(E34,$AS$2:$AT$17, 2, 0)=1, L34, M34))</f>
        <v>-1.7426063973260408E-3</v>
      </c>
      <c r="Q34" s="29">
        <f t="shared" si="18"/>
        <v>0</v>
      </c>
      <c r="R34" s="29"/>
      <c r="S34" s="30">
        <f t="shared" si="31"/>
        <v>42978</v>
      </c>
      <c r="T34" s="32">
        <f t="shared" si="27"/>
        <v>104.17441660544861</v>
      </c>
      <c r="U34" s="32">
        <f t="shared" si="28"/>
        <v>110.0767441635402</v>
      </c>
      <c r="V34" s="32">
        <f t="shared" si="29"/>
        <v>107.1317868801506</v>
      </c>
      <c r="W34" s="32">
        <f t="shared" si="30"/>
        <v>105.5141542820826</v>
      </c>
      <c r="X34" s="31">
        <f t="shared" si="19"/>
        <v>-1.6176325980679991</v>
      </c>
      <c r="Y34" s="3">
        <f t="shared" si="20"/>
        <v>0</v>
      </c>
      <c r="Z34" s="3">
        <f t="shared" si="21"/>
        <v>0</v>
      </c>
      <c r="AA34" s="3">
        <f t="shared" si="22"/>
        <v>30</v>
      </c>
      <c r="AB34" s="3">
        <f t="shared" si="23"/>
        <v>0</v>
      </c>
      <c r="AC34" s="29"/>
      <c r="AD34" s="13">
        <v>41689</v>
      </c>
      <c r="AE34" s="12">
        <v>24.5732</v>
      </c>
      <c r="AF34" s="13">
        <v>41689</v>
      </c>
      <c r="AG34" s="12">
        <v>116.6767</v>
      </c>
      <c r="AJ34" s="33" t="s">
        <v>29</v>
      </c>
      <c r="AK34" s="33" t="s">
        <v>26</v>
      </c>
      <c r="AL34" s="33" t="s">
        <v>122</v>
      </c>
    </row>
    <row r="35" spans="1:38" x14ac:dyDescent="0.2">
      <c r="A35" s="11">
        <v>42979</v>
      </c>
      <c r="B35" s="11">
        <f t="shared" si="33"/>
        <v>43008</v>
      </c>
      <c r="C35" s="3" t="s">
        <v>27</v>
      </c>
      <c r="D35" s="3" t="s">
        <v>26</v>
      </c>
      <c r="E35" s="3" t="str">
        <f t="shared" si="10"/>
        <v>Downturn/Expansion</v>
      </c>
      <c r="F35" s="14">
        <f t="shared" si="34"/>
        <v>43009</v>
      </c>
      <c r="G35" s="14">
        <f t="shared" si="11"/>
        <v>43010</v>
      </c>
      <c r="H35" s="17">
        <f t="shared" si="12"/>
        <v>43010</v>
      </c>
      <c r="I35" s="14">
        <f t="shared" si="13"/>
        <v>43040</v>
      </c>
      <c r="J35" s="14">
        <f t="shared" si="14"/>
        <v>43040</v>
      </c>
      <c r="K35" s="17">
        <f t="shared" si="15"/>
        <v>43040</v>
      </c>
      <c r="L35" s="16">
        <f t="shared" si="35"/>
        <v>-1.6257457636092987E-4</v>
      </c>
      <c r="M35" s="16">
        <f t="shared" si="36"/>
        <v>2.5705140736376197E-3</v>
      </c>
      <c r="N35" s="3">
        <f t="shared" si="16"/>
        <v>-1</v>
      </c>
      <c r="O35" s="20">
        <f t="shared" si="17"/>
        <v>1.2039697486383449E-3</v>
      </c>
      <c r="P35" s="20">
        <f t="shared" si="37"/>
        <v>1.2039697486383449E-3</v>
      </c>
      <c r="Q35" s="29">
        <f t="shared" si="18"/>
        <v>0</v>
      </c>
      <c r="R35" s="29"/>
      <c r="S35" s="30">
        <f t="shared" si="31"/>
        <v>43008</v>
      </c>
      <c r="T35" s="32">
        <f t="shared" si="27"/>
        <v>103.35188108598129</v>
      </c>
      <c r="U35" s="32">
        <f t="shared" si="28"/>
        <v>110.5622421296102</v>
      </c>
      <c r="V35" s="32">
        <f t="shared" si="29"/>
        <v>106.94509834297628</v>
      </c>
      <c r="W35" s="32">
        <f t="shared" si="30"/>
        <v>105.3302846418222</v>
      </c>
      <c r="X35" s="31">
        <f t="shared" si="19"/>
        <v>-1.6148137011540769</v>
      </c>
      <c r="Y35" s="3">
        <f t="shared" si="20"/>
        <v>0</v>
      </c>
      <c r="Z35" s="3">
        <f t="shared" si="21"/>
        <v>0</v>
      </c>
      <c r="AA35" s="3">
        <f t="shared" si="22"/>
        <v>30</v>
      </c>
      <c r="AB35" s="3">
        <f t="shared" si="23"/>
        <v>0</v>
      </c>
      <c r="AC35" s="29"/>
      <c r="AD35" s="13">
        <v>41690</v>
      </c>
      <c r="AE35" s="12">
        <v>24.543199999999999</v>
      </c>
      <c r="AF35" s="13">
        <v>41690</v>
      </c>
      <c r="AG35" s="12">
        <v>116.5262</v>
      </c>
      <c r="AJ35" s="33" t="s">
        <v>29</v>
      </c>
      <c r="AK35" s="33" t="s">
        <v>27</v>
      </c>
      <c r="AL35" s="33" t="s">
        <v>122</v>
      </c>
    </row>
    <row r="36" spans="1:38" x14ac:dyDescent="0.2">
      <c r="A36" s="11">
        <v>43009</v>
      </c>
      <c r="B36" s="11">
        <f t="shared" si="33"/>
        <v>43039</v>
      </c>
      <c r="C36" s="3" t="s">
        <v>27</v>
      </c>
      <c r="D36" s="3" t="s">
        <v>26</v>
      </c>
      <c r="E36" s="3" t="str">
        <f t="shared" si="10"/>
        <v>Downturn/Expansion</v>
      </c>
      <c r="F36" s="14">
        <f t="shared" si="34"/>
        <v>43040</v>
      </c>
      <c r="G36" s="14">
        <f t="shared" si="11"/>
        <v>43040</v>
      </c>
      <c r="H36" s="17">
        <f t="shared" si="12"/>
        <v>43040</v>
      </c>
      <c r="I36" s="14">
        <f t="shared" si="13"/>
        <v>43070</v>
      </c>
      <c r="J36" s="14">
        <f t="shared" si="14"/>
        <v>43070</v>
      </c>
      <c r="K36" s="17">
        <f t="shared" si="15"/>
        <v>43070</v>
      </c>
      <c r="L36" s="16">
        <f t="shared" si="35"/>
        <v>1.7999553792573675E-3</v>
      </c>
      <c r="M36" s="16">
        <f t="shared" si="36"/>
        <v>2.6701473164658651E-4</v>
      </c>
      <c r="N36" s="3">
        <f t="shared" si="16"/>
        <v>1</v>
      </c>
      <c r="O36" s="20">
        <f t="shared" si="17"/>
        <v>1.033485055451977E-3</v>
      </c>
      <c r="P36" s="20">
        <f t="shared" si="37"/>
        <v>1.033485055451977E-3</v>
      </c>
      <c r="Q36" s="29">
        <f t="shared" si="18"/>
        <v>0</v>
      </c>
      <c r="R36" s="29"/>
      <c r="S36" s="30">
        <f t="shared" si="31"/>
        <v>43039</v>
      </c>
      <c r="T36" s="32">
        <f t="shared" si="27"/>
        <v>103.33507869769763</v>
      </c>
      <c r="U36" s="32">
        <f t="shared" si="28"/>
        <v>110.8464439290173</v>
      </c>
      <c r="V36" s="32">
        <f t="shared" si="29"/>
        <v>107.07385700614638</v>
      </c>
      <c r="W36" s="32">
        <f t="shared" si="30"/>
        <v>105.45709911814642</v>
      </c>
      <c r="X36" s="31">
        <f t="shared" si="19"/>
        <v>-1.6167578879999667</v>
      </c>
      <c r="Y36" s="3">
        <f t="shared" si="20"/>
        <v>0</v>
      </c>
      <c r="Z36" s="3">
        <f t="shared" si="21"/>
        <v>0</v>
      </c>
      <c r="AA36" s="3">
        <f t="shared" si="22"/>
        <v>30</v>
      </c>
      <c r="AB36" s="3">
        <f t="shared" si="23"/>
        <v>0</v>
      </c>
      <c r="AC36" s="29"/>
      <c r="AD36" s="13">
        <v>41691</v>
      </c>
      <c r="AE36" s="12">
        <v>24.5732</v>
      </c>
      <c r="AF36" s="13">
        <v>41691</v>
      </c>
      <c r="AG36" s="12">
        <v>116.64660000000001</v>
      </c>
      <c r="AJ36" s="33" t="s">
        <v>29</v>
      </c>
      <c r="AK36" s="33" t="s">
        <v>28</v>
      </c>
      <c r="AL36" s="33" t="s">
        <v>122</v>
      </c>
    </row>
    <row r="37" spans="1:38" x14ac:dyDescent="0.2">
      <c r="A37" s="11">
        <v>43040</v>
      </c>
      <c r="B37" s="11">
        <f t="shared" si="33"/>
        <v>43069</v>
      </c>
      <c r="C37" s="3" t="s">
        <v>26</v>
      </c>
      <c r="D37" s="3" t="s">
        <v>26</v>
      </c>
      <c r="E37" s="3" t="str">
        <f t="shared" si="10"/>
        <v>Expansion/Expansion</v>
      </c>
      <c r="F37" s="14">
        <f t="shared" si="34"/>
        <v>43070</v>
      </c>
      <c r="G37" s="14">
        <f t="shared" si="11"/>
        <v>43070</v>
      </c>
      <c r="H37" s="17">
        <f t="shared" si="12"/>
        <v>43070</v>
      </c>
      <c r="I37" s="14">
        <f t="shared" si="13"/>
        <v>43101</v>
      </c>
      <c r="J37" s="14">
        <f t="shared" si="14"/>
        <v>43101</v>
      </c>
      <c r="K37" s="17">
        <f t="shared" si="15"/>
        <v>43102</v>
      </c>
      <c r="L37" s="16">
        <f t="shared" si="35"/>
        <v>-4.121890181068677E-3</v>
      </c>
      <c r="M37" s="16">
        <f t="shared" si="36"/>
        <v>2.3566670036796467E-3</v>
      </c>
      <c r="N37" s="3">
        <f t="shared" si="16"/>
        <v>-1</v>
      </c>
      <c r="O37" s="20">
        <f t="shared" si="17"/>
        <v>-8.8261158869451517E-4</v>
      </c>
      <c r="P37" s="20">
        <f t="shared" si="37"/>
        <v>-8.8261158869451517E-4</v>
      </c>
      <c r="Q37" s="29">
        <f t="shared" si="18"/>
        <v>0</v>
      </c>
      <c r="R37" s="29"/>
      <c r="S37" s="30">
        <f t="shared" si="31"/>
        <v>43069</v>
      </c>
      <c r="T37" s="32">
        <f t="shared" si="27"/>
        <v>103.52107722846553</v>
      </c>
      <c r="U37" s="32">
        <f t="shared" si="28"/>
        <v>110.87604156249698</v>
      </c>
      <c r="V37" s="32">
        <f t="shared" si="29"/>
        <v>107.18451623719183</v>
      </c>
      <c r="W37" s="32">
        <f t="shared" si="30"/>
        <v>105.56608745407632</v>
      </c>
      <c r="X37" s="31">
        <f t="shared" si="19"/>
        <v>-1.6184287831155046</v>
      </c>
      <c r="Y37" s="3">
        <f t="shared" si="20"/>
        <v>0</v>
      </c>
      <c r="Z37" s="3">
        <f t="shared" si="21"/>
        <v>0</v>
      </c>
      <c r="AA37" s="3">
        <f t="shared" si="22"/>
        <v>30</v>
      </c>
      <c r="AB37" s="3">
        <f t="shared" si="23"/>
        <v>0</v>
      </c>
      <c r="AC37" s="29"/>
      <c r="AD37" s="13">
        <v>41694</v>
      </c>
      <c r="AE37" s="12">
        <v>24.5532</v>
      </c>
      <c r="AF37" s="13">
        <v>41694</v>
      </c>
      <c r="AG37" s="12">
        <v>116.7068</v>
      </c>
      <c r="AJ37" s="33" t="s">
        <v>29</v>
      </c>
      <c r="AK37" s="33" t="s">
        <v>29</v>
      </c>
      <c r="AL37" s="33" t="s">
        <v>131</v>
      </c>
    </row>
    <row r="38" spans="1:38" x14ac:dyDescent="0.2">
      <c r="A38" s="11">
        <v>43070</v>
      </c>
      <c r="B38" s="11">
        <f t="shared" si="33"/>
        <v>43100</v>
      </c>
      <c r="C38" s="3" t="s">
        <v>26</v>
      </c>
      <c r="D38" s="3" t="s">
        <v>26</v>
      </c>
      <c r="E38" s="3" t="str">
        <f t="shared" si="10"/>
        <v>Expansion/Expansion</v>
      </c>
      <c r="F38" s="14">
        <f t="shared" si="34"/>
        <v>43101</v>
      </c>
      <c r="G38" s="14">
        <f t="shared" si="11"/>
        <v>43101</v>
      </c>
      <c r="H38" s="17">
        <f t="shared" si="12"/>
        <v>43102</v>
      </c>
      <c r="I38" s="14">
        <f t="shared" si="13"/>
        <v>43132</v>
      </c>
      <c r="J38" s="14">
        <f t="shared" si="14"/>
        <v>43132</v>
      </c>
      <c r="K38" s="17">
        <f t="shared" si="15"/>
        <v>43132</v>
      </c>
      <c r="L38" s="16">
        <f t="shared" si="35"/>
        <v>-1.4133833646028826E-2</v>
      </c>
      <c r="M38" s="16">
        <f t="shared" si="36"/>
        <v>-1.0008976367553601E-2</v>
      </c>
      <c r="N38" s="3">
        <f t="shared" si="16"/>
        <v>-1</v>
      </c>
      <c r="O38" s="20">
        <f t="shared" si="17"/>
        <v>-1.2071405006791214E-2</v>
      </c>
      <c r="P38" s="20">
        <f t="shared" si="37"/>
        <v>-1.2071405006791214E-2</v>
      </c>
      <c r="Q38" s="29">
        <f t="shared" si="18"/>
        <v>0</v>
      </c>
      <c r="R38" s="29"/>
      <c r="S38" s="30">
        <f t="shared" si="31"/>
        <v>43100</v>
      </c>
      <c r="T38" s="32">
        <f t="shared" si="27"/>
        <v>103.09437471670387</v>
      </c>
      <c r="U38" s="32">
        <f t="shared" si="28"/>
        <v>111.13733947114594</v>
      </c>
      <c r="V38" s="32">
        <f t="shared" si="29"/>
        <v>107.08991394103226</v>
      </c>
      <c r="W38" s="32">
        <f t="shared" si="30"/>
        <v>105.47291360191622</v>
      </c>
      <c r="X38" s="31">
        <f t="shared" si="19"/>
        <v>-1.6170003391160463</v>
      </c>
      <c r="Y38" s="3">
        <f t="shared" si="20"/>
        <v>0</v>
      </c>
      <c r="Z38" s="3">
        <f t="shared" si="21"/>
        <v>0</v>
      </c>
      <c r="AA38" s="3">
        <f t="shared" si="22"/>
        <v>30</v>
      </c>
      <c r="AB38" s="3">
        <f t="shared" si="23"/>
        <v>0</v>
      </c>
      <c r="AC38" s="29"/>
      <c r="AD38" s="13">
        <v>41695</v>
      </c>
      <c r="AE38" s="12">
        <v>24.613299999999999</v>
      </c>
      <c r="AF38" s="13">
        <v>41695</v>
      </c>
      <c r="AG38" s="12">
        <v>117.1581</v>
      </c>
    </row>
    <row r="39" spans="1:38" x14ac:dyDescent="0.2">
      <c r="A39" s="11">
        <v>43101</v>
      </c>
      <c r="B39" s="11">
        <f t="shared" si="33"/>
        <v>43131</v>
      </c>
      <c r="C39" s="3" t="s">
        <v>27</v>
      </c>
      <c r="D39" s="3" t="s">
        <v>26</v>
      </c>
      <c r="E39" s="3" t="str">
        <f t="shared" si="10"/>
        <v>Downturn/Expansion</v>
      </c>
      <c r="F39" s="14">
        <f t="shared" si="34"/>
        <v>43132</v>
      </c>
      <c r="G39" s="14">
        <f t="shared" si="11"/>
        <v>43132</v>
      </c>
      <c r="H39" s="17">
        <f t="shared" si="12"/>
        <v>43132</v>
      </c>
      <c r="I39" s="14">
        <f t="shared" si="13"/>
        <v>43160</v>
      </c>
      <c r="J39" s="14">
        <f t="shared" si="14"/>
        <v>43160</v>
      </c>
      <c r="K39" s="17">
        <f t="shared" si="15"/>
        <v>43160</v>
      </c>
      <c r="L39" s="16">
        <f t="shared" si="35"/>
        <v>-1.9991849476741486E-4</v>
      </c>
      <c r="M39" s="16">
        <f t="shared" si="36"/>
        <v>-1.9038020333218442E-2</v>
      </c>
      <c r="N39" s="3">
        <f t="shared" si="16"/>
        <v>1</v>
      </c>
      <c r="O39" s="20">
        <f t="shared" si="17"/>
        <v>-9.6189694139929283E-3</v>
      </c>
      <c r="P39" s="20">
        <f t="shared" si="37"/>
        <v>-9.6189694139929283E-3</v>
      </c>
      <c r="Q39" s="29">
        <f t="shared" si="18"/>
        <v>0</v>
      </c>
      <c r="R39" s="29"/>
      <c r="S39" s="30">
        <f t="shared" si="31"/>
        <v>43131</v>
      </c>
      <c r="T39" s="32">
        <f t="shared" si="27"/>
        <v>101.63725597461662</v>
      </c>
      <c r="U39" s="32">
        <f t="shared" si="28"/>
        <v>110.02496846682645</v>
      </c>
      <c r="V39" s="32">
        <f t="shared" si="29"/>
        <v>105.79718821770766</v>
      </c>
      <c r="W39" s="32">
        <f t="shared" si="30"/>
        <v>104.1997073445812</v>
      </c>
      <c r="X39" s="31">
        <f t="shared" si="19"/>
        <v>-1.5974808731264574</v>
      </c>
      <c r="Y39" s="3">
        <f t="shared" si="20"/>
        <v>0</v>
      </c>
      <c r="Z39" s="3">
        <f t="shared" si="21"/>
        <v>0</v>
      </c>
      <c r="AA39" s="3">
        <f t="shared" si="22"/>
        <v>30</v>
      </c>
      <c r="AB39" s="3">
        <f t="shared" si="23"/>
        <v>0</v>
      </c>
      <c r="AC39" s="29"/>
      <c r="AD39" s="13">
        <v>41696</v>
      </c>
      <c r="AE39" s="12">
        <v>24.633299999999998</v>
      </c>
      <c r="AF39" s="13">
        <v>41696</v>
      </c>
      <c r="AG39" s="12">
        <v>117.53919999999999</v>
      </c>
    </row>
    <row r="40" spans="1:38" x14ac:dyDescent="0.2">
      <c r="A40" s="11">
        <v>43132</v>
      </c>
      <c r="B40" s="11">
        <f t="shared" si="33"/>
        <v>43159</v>
      </c>
      <c r="C40" s="3" t="s">
        <v>27</v>
      </c>
      <c r="D40" s="3" t="s">
        <v>26</v>
      </c>
      <c r="E40" s="3" t="str">
        <f t="shared" si="10"/>
        <v>Downturn/Expansion</v>
      </c>
      <c r="F40" s="14">
        <f t="shared" si="34"/>
        <v>43160</v>
      </c>
      <c r="G40" s="14">
        <f t="shared" si="11"/>
        <v>43160</v>
      </c>
      <c r="H40" s="17">
        <f t="shared" si="12"/>
        <v>43160</v>
      </c>
      <c r="I40" s="14">
        <f t="shared" si="13"/>
        <v>43191</v>
      </c>
      <c r="J40" s="14">
        <f t="shared" si="14"/>
        <v>43192</v>
      </c>
      <c r="K40" s="17">
        <f t="shared" si="15"/>
        <v>43192</v>
      </c>
      <c r="L40" s="16">
        <f t="shared" si="35"/>
        <v>6.4448153075897796E-3</v>
      </c>
      <c r="M40" s="16">
        <f t="shared" si="36"/>
        <v>6.0606875753290712E-3</v>
      </c>
      <c r="N40" s="3">
        <f t="shared" si="16"/>
        <v>1</v>
      </c>
      <c r="O40" s="20">
        <f t="shared" si="17"/>
        <v>6.2527514414594254E-3</v>
      </c>
      <c r="P40" s="20">
        <f t="shared" si="37"/>
        <v>6.2527514414594254E-3</v>
      </c>
      <c r="Q40" s="29">
        <f t="shared" si="18"/>
        <v>0</v>
      </c>
      <c r="R40" s="29"/>
      <c r="S40" s="30">
        <f t="shared" si="31"/>
        <v>43159</v>
      </c>
      <c r="T40" s="32">
        <f t="shared" si="27"/>
        <v>101.61693680738989</v>
      </c>
      <c r="U40" s="32">
        <f t="shared" si="28"/>
        <v>107.93031087999329</v>
      </c>
      <c r="V40" s="32">
        <f t="shared" si="29"/>
        <v>104.77952830015506</v>
      </c>
      <c r="W40" s="32">
        <f t="shared" si="30"/>
        <v>103.19741354668665</v>
      </c>
      <c r="X40" s="31">
        <f t="shared" si="19"/>
        <v>-1.5821147534684172</v>
      </c>
      <c r="Y40" s="3">
        <f t="shared" si="20"/>
        <v>0</v>
      </c>
      <c r="Z40" s="3">
        <f t="shared" si="21"/>
        <v>0</v>
      </c>
      <c r="AA40" s="3">
        <f t="shared" si="22"/>
        <v>30</v>
      </c>
      <c r="AB40" s="3">
        <f t="shared" si="23"/>
        <v>0</v>
      </c>
      <c r="AC40" s="29"/>
      <c r="AD40" s="13">
        <v>41697</v>
      </c>
      <c r="AE40" s="12">
        <v>24.683299999999999</v>
      </c>
      <c r="AF40" s="13">
        <v>41697</v>
      </c>
      <c r="AG40" s="12">
        <v>117.7398</v>
      </c>
    </row>
    <row r="41" spans="1:38" x14ac:dyDescent="0.2">
      <c r="A41" s="11">
        <v>43160</v>
      </c>
      <c r="B41" s="11">
        <f t="shared" si="33"/>
        <v>43190</v>
      </c>
      <c r="C41" s="3" t="s">
        <v>27</v>
      </c>
      <c r="D41" s="3" t="s">
        <v>27</v>
      </c>
      <c r="E41" s="3" t="str">
        <f t="shared" si="10"/>
        <v>Downturn/Downturn</v>
      </c>
      <c r="F41" s="14">
        <f t="shared" si="34"/>
        <v>43191</v>
      </c>
      <c r="G41" s="14">
        <f t="shared" si="11"/>
        <v>43192</v>
      </c>
      <c r="H41" s="17">
        <f t="shared" si="12"/>
        <v>43192</v>
      </c>
      <c r="I41" s="14">
        <f t="shared" si="13"/>
        <v>43221</v>
      </c>
      <c r="J41" s="14">
        <f t="shared" si="14"/>
        <v>43221</v>
      </c>
      <c r="K41" s="17">
        <f t="shared" si="15"/>
        <v>43221</v>
      </c>
      <c r="L41" s="16">
        <f t="shared" si="35"/>
        <v>-1.0984602452909442E-2</v>
      </c>
      <c r="M41" s="16">
        <f t="shared" si="36"/>
        <v>-1.7784356599188533E-2</v>
      </c>
      <c r="N41" s="3">
        <f t="shared" si="16"/>
        <v>1</v>
      </c>
      <c r="O41" s="20">
        <f t="shared" si="17"/>
        <v>-1.4384479526048988E-2</v>
      </c>
      <c r="P41" s="20">
        <f t="shared" si="37"/>
        <v>-1.4384479526048988E-2</v>
      </c>
      <c r="Q41" s="29">
        <f t="shared" si="18"/>
        <v>0</v>
      </c>
      <c r="R41" s="29"/>
      <c r="S41" s="30">
        <f t="shared" si="31"/>
        <v>43190</v>
      </c>
      <c r="T41" s="32">
        <f t="shared" si="27"/>
        <v>102.27183919723655</v>
      </c>
      <c r="U41" s="32">
        <f t="shared" si="28"/>
        <v>108.58444277414506</v>
      </c>
      <c r="V41" s="32">
        <f t="shared" si="29"/>
        <v>105.4346886467693</v>
      </c>
      <c r="W41" s="32">
        <f t="shared" si="30"/>
        <v>103.84268132299557</v>
      </c>
      <c r="X41" s="31">
        <f t="shared" si="19"/>
        <v>-1.5920073237737284</v>
      </c>
      <c r="Y41" s="3">
        <f t="shared" si="20"/>
        <v>0</v>
      </c>
      <c r="Z41" s="3">
        <f t="shared" si="21"/>
        <v>0</v>
      </c>
      <c r="AA41" s="3">
        <f t="shared" si="22"/>
        <v>30</v>
      </c>
      <c r="AB41" s="3">
        <f t="shared" si="23"/>
        <v>0</v>
      </c>
      <c r="AC41" s="29"/>
      <c r="AD41" s="13">
        <v>41698</v>
      </c>
      <c r="AE41" s="12">
        <v>24.673300000000001</v>
      </c>
      <c r="AF41" s="13">
        <v>41698</v>
      </c>
      <c r="AG41" s="12">
        <v>117.6696</v>
      </c>
    </row>
    <row r="42" spans="1:38" x14ac:dyDescent="0.2">
      <c r="A42" s="11">
        <v>43191</v>
      </c>
      <c r="B42" s="11">
        <f t="shared" si="33"/>
        <v>43220</v>
      </c>
      <c r="C42" s="3" t="s">
        <v>27</v>
      </c>
      <c r="D42" s="3" t="s">
        <v>27</v>
      </c>
      <c r="E42" s="3" t="str">
        <f t="shared" si="10"/>
        <v>Downturn/Downturn</v>
      </c>
      <c r="F42" s="14">
        <f t="shared" si="34"/>
        <v>43221</v>
      </c>
      <c r="G42" s="14">
        <f t="shared" si="11"/>
        <v>43221</v>
      </c>
      <c r="H42" s="17">
        <f t="shared" si="12"/>
        <v>43221</v>
      </c>
      <c r="I42" s="14">
        <f t="shared" si="13"/>
        <v>43252</v>
      </c>
      <c r="J42" s="14">
        <f t="shared" si="14"/>
        <v>43252</v>
      </c>
      <c r="K42" s="17">
        <f t="shared" si="15"/>
        <v>43252</v>
      </c>
      <c r="L42" s="16">
        <f t="shared" si="35"/>
        <v>6.663962450020211E-3</v>
      </c>
      <c r="M42" s="16">
        <f t="shared" si="36"/>
        <v>6.0115103409321691E-3</v>
      </c>
      <c r="N42" s="3">
        <f t="shared" si="16"/>
        <v>1</v>
      </c>
      <c r="O42" s="20">
        <f t="shared" si="17"/>
        <v>6.3377363954761901E-3</v>
      </c>
      <c r="P42" s="20">
        <f t="shared" si="37"/>
        <v>6.3377363954761901E-3</v>
      </c>
      <c r="Q42" s="29">
        <f t="shared" si="18"/>
        <v>0</v>
      </c>
      <c r="R42" s="29"/>
      <c r="S42" s="30">
        <f t="shared" si="31"/>
        <v>43220</v>
      </c>
      <c r="T42" s="32">
        <f t="shared" si="27"/>
        <v>101.14842370152702</v>
      </c>
      <c r="U42" s="32">
        <f t="shared" si="28"/>
        <v>106.65333832272549</v>
      </c>
      <c r="V42" s="32">
        <f t="shared" si="29"/>
        <v>103.91806552659449</v>
      </c>
      <c r="W42" s="32">
        <f t="shared" si="30"/>
        <v>102.34895839957491</v>
      </c>
      <c r="X42" s="31">
        <f t="shared" si="19"/>
        <v>-1.5691071270195778</v>
      </c>
      <c r="Y42" s="3">
        <f t="shared" si="20"/>
        <v>0</v>
      </c>
      <c r="Z42" s="3">
        <f t="shared" si="21"/>
        <v>0</v>
      </c>
      <c r="AA42" s="3">
        <f t="shared" si="22"/>
        <v>30</v>
      </c>
      <c r="AB42" s="3">
        <f t="shared" si="23"/>
        <v>0</v>
      </c>
      <c r="AC42" s="29"/>
      <c r="AD42" s="13">
        <v>41701</v>
      </c>
      <c r="AE42" s="12">
        <v>24.7148</v>
      </c>
      <c r="AF42" s="13">
        <v>41701</v>
      </c>
      <c r="AG42" s="12">
        <v>117.97620000000001</v>
      </c>
    </row>
    <row r="43" spans="1:38" x14ac:dyDescent="0.2">
      <c r="A43" s="11">
        <v>43221</v>
      </c>
      <c r="B43" s="11">
        <f t="shared" si="33"/>
        <v>43251</v>
      </c>
      <c r="C43" s="3" t="s">
        <v>27</v>
      </c>
      <c r="D43" s="3" t="s">
        <v>27</v>
      </c>
      <c r="E43" s="3" t="str">
        <f t="shared" si="10"/>
        <v>Downturn/Downturn</v>
      </c>
      <c r="F43" s="14">
        <f t="shared" si="34"/>
        <v>43252</v>
      </c>
      <c r="G43" s="14">
        <f t="shared" si="11"/>
        <v>43252</v>
      </c>
      <c r="H43" s="17">
        <f t="shared" si="12"/>
        <v>43252</v>
      </c>
      <c r="I43" s="14">
        <f t="shared" si="13"/>
        <v>43282</v>
      </c>
      <c r="J43" s="14">
        <f t="shared" si="14"/>
        <v>43283</v>
      </c>
      <c r="K43" s="17">
        <f t="shared" si="15"/>
        <v>43283</v>
      </c>
      <c r="L43" s="16">
        <f t="shared" si="35"/>
        <v>3.2389285440170834E-3</v>
      </c>
      <c r="M43" s="16">
        <f t="shared" si="36"/>
        <v>-2.8254384164917434E-3</v>
      </c>
      <c r="N43" s="3">
        <f t="shared" si="16"/>
        <v>1</v>
      </c>
      <c r="O43" s="20">
        <f t="shared" si="17"/>
        <v>2.0674506376266999E-4</v>
      </c>
      <c r="P43" s="20">
        <f t="shared" si="37"/>
        <v>2.0674506376266999E-4</v>
      </c>
      <c r="Q43" s="29">
        <f t="shared" si="18"/>
        <v>0</v>
      </c>
      <c r="R43" s="29"/>
      <c r="S43" s="30">
        <f t="shared" si="31"/>
        <v>43251</v>
      </c>
      <c r="T43" s="32">
        <f t="shared" si="27"/>
        <v>101.82247299895273</v>
      </c>
      <c r="U43" s="32">
        <f t="shared" si="28"/>
        <v>107.29448596894748</v>
      </c>
      <c r="V43" s="32">
        <f t="shared" si="29"/>
        <v>104.57667083262987</v>
      </c>
      <c r="W43" s="32">
        <f t="shared" si="30"/>
        <v>102.99761911826297</v>
      </c>
      <c r="X43" s="31">
        <f t="shared" si="19"/>
        <v>-1.5790517143668978</v>
      </c>
      <c r="Y43" s="3">
        <f t="shared" si="20"/>
        <v>0</v>
      </c>
      <c r="Z43" s="3">
        <f t="shared" si="21"/>
        <v>0</v>
      </c>
      <c r="AA43" s="3">
        <f t="shared" si="22"/>
        <v>30</v>
      </c>
      <c r="AB43" s="3">
        <f t="shared" si="23"/>
        <v>0</v>
      </c>
      <c r="AC43" s="29"/>
      <c r="AD43" s="13">
        <v>41702</v>
      </c>
      <c r="AE43" s="12">
        <v>24.614699999999999</v>
      </c>
      <c r="AF43" s="13">
        <v>41702</v>
      </c>
      <c r="AG43" s="12">
        <v>117.3425</v>
      </c>
    </row>
    <row r="44" spans="1:38" x14ac:dyDescent="0.2">
      <c r="A44" s="11">
        <v>43252</v>
      </c>
      <c r="B44" s="11">
        <f t="shared" si="33"/>
        <v>43281</v>
      </c>
      <c r="C44" s="3" t="s">
        <v>27</v>
      </c>
      <c r="D44" s="3" t="s">
        <v>27</v>
      </c>
      <c r="E44" s="3" t="str">
        <f t="shared" si="10"/>
        <v>Downturn/Downturn</v>
      </c>
      <c r="F44" s="14">
        <f t="shared" si="34"/>
        <v>43282</v>
      </c>
      <c r="G44" s="14">
        <f t="shared" si="11"/>
        <v>43283</v>
      </c>
      <c r="H44" s="17">
        <f t="shared" si="12"/>
        <v>43283</v>
      </c>
      <c r="I44" s="14">
        <f t="shared" si="13"/>
        <v>43313</v>
      </c>
      <c r="J44" s="14">
        <f t="shared" si="14"/>
        <v>43313</v>
      </c>
      <c r="K44" s="17">
        <f t="shared" si="15"/>
        <v>43313</v>
      </c>
      <c r="L44" s="16">
        <f t="shared" si="35"/>
        <v>-5.1869759471203647E-3</v>
      </c>
      <c r="M44" s="16">
        <f t="shared" si="36"/>
        <v>9.7395402267659303E-3</v>
      </c>
      <c r="N44" s="3">
        <f t="shared" si="16"/>
        <v>-1</v>
      </c>
      <c r="O44" s="20">
        <f t="shared" si="17"/>
        <v>2.2762821398227828E-3</v>
      </c>
      <c r="P44" s="20">
        <f t="shared" si="37"/>
        <v>2.2762821398227828E-3</v>
      </c>
      <c r="Q44" s="29">
        <f t="shared" si="18"/>
        <v>0</v>
      </c>
      <c r="R44" s="29"/>
      <c r="S44" s="30">
        <f t="shared" si="31"/>
        <v>43281</v>
      </c>
      <c r="T44" s="32">
        <f t="shared" si="27"/>
        <v>102.15226871317145</v>
      </c>
      <c r="U44" s="32">
        <f t="shared" si="28"/>
        <v>106.99133200641309</v>
      </c>
      <c r="V44" s="32">
        <f t="shared" si="29"/>
        <v>104.59829154310924</v>
      </c>
      <c r="W44" s="32">
        <f t="shared" si="30"/>
        <v>103.01891336759498</v>
      </c>
      <c r="X44" s="31">
        <f t="shared" si="19"/>
        <v>-1.5793781755142646</v>
      </c>
      <c r="Y44" s="3">
        <f t="shared" si="20"/>
        <v>0</v>
      </c>
      <c r="Z44" s="3">
        <f t="shared" si="21"/>
        <v>0</v>
      </c>
      <c r="AA44" s="3">
        <f t="shared" si="22"/>
        <v>30</v>
      </c>
      <c r="AB44" s="3">
        <f t="shared" si="23"/>
        <v>0</v>
      </c>
      <c r="AC44" s="29"/>
      <c r="AD44" s="13">
        <v>41703</v>
      </c>
      <c r="AE44" s="12">
        <v>24.634699999999999</v>
      </c>
      <c r="AF44" s="13">
        <v>41703</v>
      </c>
      <c r="AG44" s="12">
        <v>117.2821</v>
      </c>
    </row>
    <row r="45" spans="1:38" x14ac:dyDescent="0.2">
      <c r="A45" s="11">
        <v>43282</v>
      </c>
      <c r="B45" s="11">
        <f t="shared" si="33"/>
        <v>43312</v>
      </c>
      <c r="C45" s="3" t="s">
        <v>27</v>
      </c>
      <c r="D45" s="3" t="s">
        <v>27</v>
      </c>
      <c r="E45" s="3" t="str">
        <f t="shared" si="10"/>
        <v>Downturn/Downturn</v>
      </c>
      <c r="F45" s="14">
        <f t="shared" si="34"/>
        <v>43313</v>
      </c>
      <c r="G45" s="14">
        <f t="shared" si="11"/>
        <v>43313</v>
      </c>
      <c r="H45" s="17">
        <f t="shared" si="12"/>
        <v>43313</v>
      </c>
      <c r="I45" s="14">
        <f t="shared" si="13"/>
        <v>43344</v>
      </c>
      <c r="J45" s="14">
        <f t="shared" si="14"/>
        <v>43346</v>
      </c>
      <c r="K45" s="17">
        <f t="shared" si="15"/>
        <v>43346</v>
      </c>
      <c r="L45" s="16">
        <f t="shared" si="35"/>
        <v>9.4321485150037354E-3</v>
      </c>
      <c r="M45" s="16">
        <f t="shared" si="36"/>
        <v>3.7384991508500054E-3</v>
      </c>
      <c r="N45" s="3">
        <f t="shared" si="16"/>
        <v>1</v>
      </c>
      <c r="O45" s="20">
        <f t="shared" si="17"/>
        <v>6.5853238329268704E-3</v>
      </c>
      <c r="P45" s="20">
        <f t="shared" si="37"/>
        <v>6.5853238329268704E-3</v>
      </c>
      <c r="Q45" s="29">
        <f t="shared" si="18"/>
        <v>0</v>
      </c>
      <c r="R45" s="29"/>
      <c r="S45" s="30">
        <f t="shared" si="31"/>
        <v>43312</v>
      </c>
      <c r="T45" s="32">
        <f t="shared" si="27"/>
        <v>101.62240735241245</v>
      </c>
      <c r="U45" s="32">
        <f t="shared" si="28"/>
        <v>108.03337838840481</v>
      </c>
      <c r="V45" s="32">
        <f t="shared" si="29"/>
        <v>104.83638676600479</v>
      </c>
      <c r="W45" s="32">
        <f t="shared" si="30"/>
        <v>103.25341348015759</v>
      </c>
      <c r="X45" s="31">
        <f t="shared" si="19"/>
        <v>-1.5829732858472028</v>
      </c>
      <c r="Y45" s="3">
        <f t="shared" si="20"/>
        <v>0</v>
      </c>
      <c r="Z45" s="3">
        <f t="shared" si="21"/>
        <v>0</v>
      </c>
      <c r="AA45" s="3">
        <f t="shared" si="22"/>
        <v>30</v>
      </c>
      <c r="AB45" s="3">
        <f t="shared" si="23"/>
        <v>0</v>
      </c>
      <c r="AC45" s="29"/>
      <c r="AD45" s="13">
        <v>41704</v>
      </c>
      <c r="AE45" s="12">
        <v>24.5746</v>
      </c>
      <c r="AF45" s="13">
        <v>41704</v>
      </c>
      <c r="AG45" s="12">
        <v>116.93</v>
      </c>
    </row>
    <row r="46" spans="1:38" x14ac:dyDescent="0.2">
      <c r="A46" s="11">
        <v>43313</v>
      </c>
      <c r="B46" s="11">
        <f t="shared" si="33"/>
        <v>43343</v>
      </c>
      <c r="C46" s="3" t="s">
        <v>26</v>
      </c>
      <c r="D46" s="3" t="s">
        <v>27</v>
      </c>
      <c r="E46" s="3" t="str">
        <f t="shared" si="10"/>
        <v>Expansion/Downturn</v>
      </c>
      <c r="F46" s="14">
        <f t="shared" si="34"/>
        <v>43344</v>
      </c>
      <c r="G46" s="14">
        <f t="shared" si="11"/>
        <v>43346</v>
      </c>
      <c r="H46" s="17">
        <f t="shared" si="12"/>
        <v>43346</v>
      </c>
      <c r="I46" s="14">
        <f t="shared" si="13"/>
        <v>43374</v>
      </c>
      <c r="J46" s="14">
        <f t="shared" si="14"/>
        <v>43374</v>
      </c>
      <c r="K46" s="17">
        <f t="shared" si="15"/>
        <v>43374</v>
      </c>
      <c r="L46" s="16">
        <f t="shared" si="35"/>
        <v>-1.1199104071674126E-2</v>
      </c>
      <c r="M46" s="16">
        <f t="shared" si="36"/>
        <v>-2.777812898125398E-3</v>
      </c>
      <c r="N46" s="3">
        <f t="shared" si="16"/>
        <v>-1</v>
      </c>
      <c r="O46" s="20">
        <f t="shared" si="17"/>
        <v>-6.9884584848997622E-3</v>
      </c>
      <c r="P46" s="20">
        <f t="shared" si="37"/>
        <v>-1.1199104071674126E-2</v>
      </c>
      <c r="Q46" s="29">
        <f t="shared" si="18"/>
        <v>1</v>
      </c>
      <c r="R46" s="29"/>
      <c r="S46" s="30">
        <f t="shared" si="31"/>
        <v>43343</v>
      </c>
      <c r="T46" s="32">
        <f t="shared" si="27"/>
        <v>102.58092499101261</v>
      </c>
      <c r="U46" s="32">
        <f t="shared" si="28"/>
        <v>108.43726108177333</v>
      </c>
      <c r="V46" s="32">
        <f t="shared" si="29"/>
        <v>105.52676832233291</v>
      </c>
      <c r="W46" s="32">
        <f t="shared" si="30"/>
        <v>103.93337064477953</v>
      </c>
      <c r="X46" s="31">
        <f t="shared" si="19"/>
        <v>-1.5933976775533836</v>
      </c>
      <c r="Y46" s="3">
        <f t="shared" si="20"/>
        <v>1</v>
      </c>
      <c r="Z46" s="3">
        <f t="shared" si="21"/>
        <v>30</v>
      </c>
      <c r="AA46" s="3">
        <f t="shared" si="22"/>
        <v>0</v>
      </c>
      <c r="AB46" s="3">
        <f t="shared" si="23"/>
        <v>0</v>
      </c>
      <c r="AC46" s="29"/>
      <c r="AD46" s="13">
        <v>41705</v>
      </c>
      <c r="AE46" s="12">
        <v>24.514500000000002</v>
      </c>
      <c r="AF46" s="13">
        <v>41705</v>
      </c>
      <c r="AG46" s="12">
        <v>116.50749999999999</v>
      </c>
    </row>
    <row r="47" spans="1:38" x14ac:dyDescent="0.2">
      <c r="A47" s="11">
        <v>43344</v>
      </c>
      <c r="B47" s="11">
        <f t="shared" si="33"/>
        <v>43373</v>
      </c>
      <c r="C47" s="3" t="s">
        <v>26</v>
      </c>
      <c r="D47" s="3" t="s">
        <v>27</v>
      </c>
      <c r="E47" s="3" t="str">
        <f t="shared" si="10"/>
        <v>Expansion/Downturn</v>
      </c>
      <c r="F47" s="14">
        <f t="shared" si="34"/>
        <v>43374</v>
      </c>
      <c r="G47" s="14">
        <f t="shared" si="11"/>
        <v>43374</v>
      </c>
      <c r="H47" s="17">
        <f t="shared" si="12"/>
        <v>43374</v>
      </c>
      <c r="I47" s="14">
        <f t="shared" si="13"/>
        <v>43405</v>
      </c>
      <c r="J47" s="14">
        <f t="shared" si="14"/>
        <v>43405</v>
      </c>
      <c r="K47" s="17">
        <f t="shared" si="15"/>
        <v>43405</v>
      </c>
      <c r="L47" s="16">
        <f t="shared" si="35"/>
        <v>-1.0671042949985665E-3</v>
      </c>
      <c r="M47" s="16">
        <f t="shared" si="36"/>
        <v>-1.6174092812906493E-2</v>
      </c>
      <c r="N47" s="3">
        <f t="shared" si="16"/>
        <v>1</v>
      </c>
      <c r="O47" s="20">
        <f t="shared" si="17"/>
        <v>-8.6205985539525298E-3</v>
      </c>
      <c r="P47" s="20">
        <f t="shared" si="37"/>
        <v>-1.0671042949985665E-3</v>
      </c>
      <c r="Q47" s="29">
        <f t="shared" si="18"/>
        <v>1</v>
      </c>
      <c r="R47" s="29"/>
      <c r="S47" s="30">
        <f t="shared" si="31"/>
        <v>43373</v>
      </c>
      <c r="T47" s="32">
        <f t="shared" si="27"/>
        <v>101.43211053626966</v>
      </c>
      <c r="U47" s="32">
        <f t="shared" si="28"/>
        <v>108.13604265930299</v>
      </c>
      <c r="V47" s="32">
        <f t="shared" si="29"/>
        <v>104.78929888286665</v>
      </c>
      <c r="W47" s="32">
        <f t="shared" si="30"/>
        <v>102.76941001040876</v>
      </c>
      <c r="X47" s="31">
        <f t="shared" si="19"/>
        <v>-2.0198888724578836</v>
      </c>
      <c r="Y47" s="3">
        <f t="shared" si="20"/>
        <v>1</v>
      </c>
      <c r="Z47" s="3">
        <f t="shared" si="21"/>
        <v>30</v>
      </c>
      <c r="AA47" s="3">
        <f t="shared" si="22"/>
        <v>0</v>
      </c>
      <c r="AB47" s="3">
        <f t="shared" si="23"/>
        <v>0</v>
      </c>
      <c r="AC47" s="29"/>
      <c r="AD47" s="13">
        <v>41708</v>
      </c>
      <c r="AE47" s="12">
        <v>24.544499999999999</v>
      </c>
      <c r="AF47" s="13">
        <v>41708</v>
      </c>
      <c r="AG47" s="12">
        <v>116.3265</v>
      </c>
    </row>
    <row r="48" spans="1:38" x14ac:dyDescent="0.2">
      <c r="A48" s="11">
        <v>43374</v>
      </c>
      <c r="B48" s="11">
        <f t="shared" si="33"/>
        <v>43404</v>
      </c>
      <c r="C48" s="3" t="s">
        <v>26</v>
      </c>
      <c r="D48" s="3" t="s">
        <v>27</v>
      </c>
      <c r="E48" s="3" t="str">
        <f t="shared" si="10"/>
        <v>Expansion/Downturn</v>
      </c>
      <c r="F48" s="14">
        <f t="shared" si="34"/>
        <v>43405</v>
      </c>
      <c r="G48" s="14">
        <f t="shared" si="11"/>
        <v>43405</v>
      </c>
      <c r="H48" s="17">
        <f t="shared" si="12"/>
        <v>43405</v>
      </c>
      <c r="I48" s="14">
        <f t="shared" si="13"/>
        <v>43435</v>
      </c>
      <c r="J48" s="14">
        <f t="shared" si="14"/>
        <v>43437</v>
      </c>
      <c r="K48" s="17">
        <f t="shared" si="15"/>
        <v>43437</v>
      </c>
      <c r="L48" s="16">
        <f t="shared" si="35"/>
        <v>8.8429025391048022E-3</v>
      </c>
      <c r="M48" s="16">
        <f t="shared" si="36"/>
        <v>-2.9185216967451133E-3</v>
      </c>
      <c r="N48" s="3">
        <f t="shared" si="16"/>
        <v>1</v>
      </c>
      <c r="O48" s="20">
        <f t="shared" si="17"/>
        <v>2.9621904211798444E-3</v>
      </c>
      <c r="P48" s="20">
        <f t="shared" si="37"/>
        <v>8.8429025391048022E-3</v>
      </c>
      <c r="Q48" s="29">
        <f t="shared" si="18"/>
        <v>1</v>
      </c>
      <c r="R48" s="29"/>
      <c r="S48" s="30">
        <f t="shared" si="31"/>
        <v>43404</v>
      </c>
      <c r="T48" s="32">
        <f t="shared" si="27"/>
        <v>101.32387189546564</v>
      </c>
      <c r="U48" s="32">
        <f t="shared" si="28"/>
        <v>106.38704026891101</v>
      </c>
      <c r="V48" s="32">
        <f t="shared" si="29"/>
        <v>103.88595240444731</v>
      </c>
      <c r="W48" s="32">
        <f t="shared" si="30"/>
        <v>102.65974433159219</v>
      </c>
      <c r="X48" s="31">
        <f t="shared" si="19"/>
        <v>-1.2262080728551155</v>
      </c>
      <c r="Y48" s="3">
        <f t="shared" si="20"/>
        <v>1</v>
      </c>
      <c r="Z48" s="3">
        <f t="shared" si="21"/>
        <v>30</v>
      </c>
      <c r="AA48" s="3">
        <f t="shared" si="22"/>
        <v>0</v>
      </c>
      <c r="AB48" s="3">
        <f t="shared" si="23"/>
        <v>0</v>
      </c>
      <c r="AC48" s="29"/>
      <c r="AD48" s="13">
        <v>41709</v>
      </c>
      <c r="AE48" s="12">
        <v>24.564599999999999</v>
      </c>
      <c r="AF48" s="13">
        <v>41709</v>
      </c>
      <c r="AG48" s="12">
        <v>116.36669999999999</v>
      </c>
    </row>
    <row r="49" spans="1:33" x14ac:dyDescent="0.2">
      <c r="A49" s="11">
        <v>43405</v>
      </c>
      <c r="B49" s="11">
        <f t="shared" si="33"/>
        <v>43434</v>
      </c>
      <c r="C49" s="3" t="s">
        <v>27</v>
      </c>
      <c r="D49" s="3" t="s">
        <v>27</v>
      </c>
      <c r="E49" s="3" t="str">
        <f t="shared" si="10"/>
        <v>Downturn/Downturn</v>
      </c>
      <c r="F49" s="14">
        <f t="shared" si="34"/>
        <v>43435</v>
      </c>
      <c r="G49" s="14">
        <f t="shared" si="11"/>
        <v>43437</v>
      </c>
      <c r="H49" s="17">
        <f t="shared" si="12"/>
        <v>43437</v>
      </c>
      <c r="I49" s="14">
        <f t="shared" si="13"/>
        <v>43466</v>
      </c>
      <c r="J49" s="14">
        <f t="shared" si="14"/>
        <v>43466</v>
      </c>
      <c r="K49" s="17">
        <f t="shared" si="15"/>
        <v>43467</v>
      </c>
      <c r="L49" s="16">
        <f t="shared" si="35"/>
        <v>2.2190621452080839E-2</v>
      </c>
      <c r="M49" s="16">
        <f t="shared" si="36"/>
        <v>1.7956209596057482E-2</v>
      </c>
      <c r="N49" s="3">
        <f t="shared" si="16"/>
        <v>1</v>
      </c>
      <c r="O49" s="20">
        <f t="shared" si="17"/>
        <v>2.007341552406916E-2</v>
      </c>
      <c r="P49" s="20">
        <f t="shared" si="37"/>
        <v>2.007341552406916E-2</v>
      </c>
      <c r="Q49" s="29">
        <f t="shared" si="18"/>
        <v>0</v>
      </c>
      <c r="R49" s="29"/>
      <c r="S49" s="30">
        <f t="shared" si="31"/>
        <v>43434</v>
      </c>
      <c r="T49" s="32">
        <f t="shared" si="27"/>
        <v>102.21986901952198</v>
      </c>
      <c r="U49" s="32">
        <f t="shared" si="28"/>
        <v>106.0765473836337</v>
      </c>
      <c r="V49" s="32">
        <f t="shared" si="29"/>
        <v>104.19368237755491</v>
      </c>
      <c r="W49" s="32">
        <f t="shared" si="30"/>
        <v>103.56755444540588</v>
      </c>
      <c r="X49" s="31">
        <f t="shared" si="19"/>
        <v>-0.62612793214903206</v>
      </c>
      <c r="Y49" s="3">
        <f t="shared" si="20"/>
        <v>0</v>
      </c>
      <c r="Z49" s="3">
        <f t="shared" si="21"/>
        <v>0</v>
      </c>
      <c r="AA49" s="3">
        <f t="shared" si="22"/>
        <v>30</v>
      </c>
      <c r="AB49" s="3">
        <f t="shared" si="23"/>
        <v>0</v>
      </c>
      <c r="AC49" s="29"/>
      <c r="AD49" s="13">
        <v>41710</v>
      </c>
      <c r="AE49" s="12">
        <v>24.599799999999998</v>
      </c>
      <c r="AF49" s="13">
        <v>41710</v>
      </c>
      <c r="AG49" s="12">
        <v>116.7791</v>
      </c>
    </row>
    <row r="50" spans="1:33" x14ac:dyDescent="0.2">
      <c r="A50" s="11">
        <v>43435</v>
      </c>
      <c r="B50" s="11">
        <f t="shared" si="33"/>
        <v>43465</v>
      </c>
      <c r="C50" s="3" t="s">
        <v>27</v>
      </c>
      <c r="D50" s="3" t="s">
        <v>27</v>
      </c>
      <c r="E50" s="3" t="str">
        <f t="shared" si="10"/>
        <v>Downturn/Downturn</v>
      </c>
      <c r="F50" s="14">
        <f t="shared" si="34"/>
        <v>43466</v>
      </c>
      <c r="G50" s="14">
        <f t="shared" si="11"/>
        <v>43466</v>
      </c>
      <c r="H50" s="17">
        <f t="shared" si="12"/>
        <v>43467</v>
      </c>
      <c r="I50" s="14">
        <f t="shared" si="13"/>
        <v>43497</v>
      </c>
      <c r="J50" s="14">
        <f t="shared" si="14"/>
        <v>43497</v>
      </c>
      <c r="K50" s="17">
        <f t="shared" si="15"/>
        <v>43497</v>
      </c>
      <c r="L50" s="16">
        <f t="shared" si="35"/>
        <v>-5.6095317162929703E-4</v>
      </c>
      <c r="M50" s="16">
        <f t="shared" si="36"/>
        <v>2.803359998924515E-2</v>
      </c>
      <c r="N50" s="3">
        <f t="shared" si="16"/>
        <v>-1</v>
      </c>
      <c r="O50" s="20">
        <f t="shared" si="17"/>
        <v>1.3736323408807927E-2</v>
      </c>
      <c r="P50" s="20">
        <f t="shared" si="37"/>
        <v>1.3736323408807927E-2</v>
      </c>
      <c r="Q50" s="29">
        <f t="shared" si="18"/>
        <v>0</v>
      </c>
      <c r="R50" s="29"/>
      <c r="S50" s="30">
        <f t="shared" si="31"/>
        <v>43465</v>
      </c>
      <c r="T50" s="32">
        <f t="shared" si="27"/>
        <v>104.48819143781547</v>
      </c>
      <c r="U50" s="32">
        <f t="shared" si="28"/>
        <v>107.98128010168034</v>
      </c>
      <c r="V50" s="32">
        <f t="shared" si="29"/>
        <v>106.28520545890245</v>
      </c>
      <c r="W50" s="32">
        <f t="shared" si="30"/>
        <v>105.64650900060016</v>
      </c>
      <c r="X50" s="31">
        <f t="shared" si="19"/>
        <v>-0.6386964583022916</v>
      </c>
      <c r="Y50" s="3">
        <f t="shared" si="20"/>
        <v>0</v>
      </c>
      <c r="Z50" s="3">
        <f t="shared" si="21"/>
        <v>0</v>
      </c>
      <c r="AA50" s="3">
        <f t="shared" si="22"/>
        <v>30</v>
      </c>
      <c r="AB50" s="3">
        <f t="shared" si="23"/>
        <v>0</v>
      </c>
      <c r="AC50" s="29"/>
      <c r="AD50" s="13">
        <v>41711</v>
      </c>
      <c r="AE50" s="12">
        <v>24.654699999999998</v>
      </c>
      <c r="AF50" s="13">
        <v>41711</v>
      </c>
      <c r="AG50" s="12">
        <v>117.19159999999999</v>
      </c>
    </row>
    <row r="51" spans="1:33" x14ac:dyDescent="0.2">
      <c r="A51" s="11">
        <v>43466</v>
      </c>
      <c r="B51" s="11">
        <f t="shared" si="33"/>
        <v>43496</v>
      </c>
      <c r="C51" s="3" t="s">
        <v>27</v>
      </c>
      <c r="D51" s="3" t="s">
        <v>27</v>
      </c>
      <c r="E51" s="3" t="str">
        <f t="shared" si="10"/>
        <v>Downturn/Downturn</v>
      </c>
      <c r="F51" s="14">
        <f t="shared" si="34"/>
        <v>43497</v>
      </c>
      <c r="G51" s="14">
        <f t="shared" si="11"/>
        <v>43497</v>
      </c>
      <c r="H51" s="17">
        <f t="shared" si="12"/>
        <v>43497</v>
      </c>
      <c r="I51" s="14">
        <f t="shared" si="13"/>
        <v>43525</v>
      </c>
      <c r="J51" s="14">
        <f t="shared" si="14"/>
        <v>43525</v>
      </c>
      <c r="K51" s="17">
        <f t="shared" si="15"/>
        <v>43525</v>
      </c>
      <c r="L51" s="16">
        <f t="shared" si="35"/>
        <v>-2.7502132818463254E-3</v>
      </c>
      <c r="M51" s="16">
        <f t="shared" si="36"/>
        <v>-1.3926989736019468E-3</v>
      </c>
      <c r="N51" s="3">
        <f t="shared" si="16"/>
        <v>-1</v>
      </c>
      <c r="O51" s="20">
        <f t="shared" si="17"/>
        <v>-2.0714561277241361E-3</v>
      </c>
      <c r="P51" s="20">
        <f t="shared" si="37"/>
        <v>-2.0714561277241361E-3</v>
      </c>
      <c r="Q51" s="29">
        <f t="shared" si="18"/>
        <v>0</v>
      </c>
      <c r="R51" s="29"/>
      <c r="S51" s="30">
        <f t="shared" si="31"/>
        <v>43496</v>
      </c>
      <c r="T51" s="32">
        <f t="shared" si="27"/>
        <v>104.42957845543062</v>
      </c>
      <c r="U51" s="32">
        <f t="shared" si="28"/>
        <v>111.00838411437748</v>
      </c>
      <c r="V51" s="32">
        <f t="shared" si="29"/>
        <v>107.74517341465753</v>
      </c>
      <c r="W51" s="32">
        <f t="shared" si="30"/>
        <v>107.09770361524394</v>
      </c>
      <c r="X51" s="31">
        <f t="shared" si="19"/>
        <v>-0.64746979941358518</v>
      </c>
      <c r="Y51" s="3">
        <f t="shared" si="20"/>
        <v>0</v>
      </c>
      <c r="Z51" s="3">
        <f t="shared" si="21"/>
        <v>0</v>
      </c>
      <c r="AA51" s="3">
        <f t="shared" si="22"/>
        <v>30</v>
      </c>
      <c r="AB51" s="3">
        <f t="shared" si="23"/>
        <v>0</v>
      </c>
      <c r="AC51" s="29"/>
      <c r="AD51" s="13">
        <v>41712</v>
      </c>
      <c r="AE51" s="12">
        <v>24.684799999999999</v>
      </c>
      <c r="AF51" s="13">
        <v>41712</v>
      </c>
      <c r="AG51" s="12">
        <v>117.0608</v>
      </c>
    </row>
    <row r="52" spans="1:33" x14ac:dyDescent="0.2">
      <c r="A52" s="11">
        <v>43497</v>
      </c>
      <c r="B52" s="11">
        <f t="shared" si="33"/>
        <v>43524</v>
      </c>
      <c r="C52" s="3" t="s">
        <v>27</v>
      </c>
      <c r="D52" s="3" t="s">
        <v>27</v>
      </c>
      <c r="E52" s="3" t="str">
        <f t="shared" si="10"/>
        <v>Downturn/Downturn</v>
      </c>
      <c r="F52" s="14">
        <f t="shared" si="34"/>
        <v>43525</v>
      </c>
      <c r="G52" s="14">
        <f t="shared" si="11"/>
        <v>43525</v>
      </c>
      <c r="H52" s="17">
        <f t="shared" si="12"/>
        <v>43525</v>
      </c>
      <c r="I52" s="14">
        <f t="shared" si="13"/>
        <v>43556</v>
      </c>
      <c r="J52" s="14">
        <f t="shared" si="14"/>
        <v>43556</v>
      </c>
      <c r="K52" s="17">
        <f t="shared" si="15"/>
        <v>43556</v>
      </c>
      <c r="L52" s="16">
        <f t="shared" si="35"/>
        <v>1.6835699036084062E-2</v>
      </c>
      <c r="M52" s="16">
        <f t="shared" si="36"/>
        <v>2.7262072522802105E-2</v>
      </c>
      <c r="N52" s="3">
        <f t="shared" si="16"/>
        <v>-1</v>
      </c>
      <c r="O52" s="20">
        <f t="shared" si="17"/>
        <v>2.2048885779443084E-2</v>
      </c>
      <c r="P52" s="20">
        <f t="shared" si="37"/>
        <v>2.2048885779443084E-2</v>
      </c>
      <c r="Q52" s="29">
        <f t="shared" si="18"/>
        <v>0</v>
      </c>
      <c r="R52" s="29"/>
      <c r="S52" s="30">
        <f t="shared" si="31"/>
        <v>43524</v>
      </c>
      <c r="T52" s="32">
        <f t="shared" si="27"/>
        <v>104.14237484174488</v>
      </c>
      <c r="U52" s="32">
        <f t="shared" si="28"/>
        <v>110.85378285176017</v>
      </c>
      <c r="V52" s="32">
        <f t="shared" si="29"/>
        <v>107.52198401495504</v>
      </c>
      <c r="W52" s="32">
        <f t="shared" si="30"/>
        <v>106.87585542082496</v>
      </c>
      <c r="X52" s="31">
        <f t="shared" si="19"/>
        <v>-0.64612859413007584</v>
      </c>
      <c r="Y52" s="3">
        <f t="shared" si="20"/>
        <v>0</v>
      </c>
      <c r="Z52" s="3">
        <f t="shared" si="21"/>
        <v>0</v>
      </c>
      <c r="AA52" s="3">
        <f t="shared" si="22"/>
        <v>30</v>
      </c>
      <c r="AB52" s="3">
        <f t="shared" si="23"/>
        <v>0</v>
      </c>
      <c r="AC52" s="29"/>
      <c r="AD52" s="13">
        <v>41715</v>
      </c>
      <c r="AE52" s="12">
        <v>24.629100000000001</v>
      </c>
      <c r="AF52" s="13">
        <v>41715</v>
      </c>
      <c r="AG52" s="12">
        <v>116.90989999999999</v>
      </c>
    </row>
    <row r="53" spans="1:33" x14ac:dyDescent="0.2">
      <c r="A53" s="11">
        <v>43525</v>
      </c>
      <c r="B53" s="11">
        <f t="shared" si="33"/>
        <v>43555</v>
      </c>
      <c r="C53" s="3" t="s">
        <v>27</v>
      </c>
      <c r="D53" s="3" t="s">
        <v>27</v>
      </c>
      <c r="E53" s="3" t="str">
        <f t="shared" si="10"/>
        <v>Downturn/Downturn</v>
      </c>
      <c r="F53" s="14">
        <f t="shared" si="34"/>
        <v>43556</v>
      </c>
      <c r="G53" s="14">
        <f t="shared" si="11"/>
        <v>43556</v>
      </c>
      <c r="H53" s="17">
        <f t="shared" si="12"/>
        <v>43556</v>
      </c>
      <c r="I53" s="14">
        <f t="shared" si="13"/>
        <v>43586</v>
      </c>
      <c r="J53" s="14">
        <f t="shared" si="14"/>
        <v>43586</v>
      </c>
      <c r="K53" s="17">
        <f t="shared" si="15"/>
        <v>43586</v>
      </c>
      <c r="L53" s="16">
        <f t="shared" si="35"/>
        <v>2.1992295316675126E-3</v>
      </c>
      <c r="M53" s="16">
        <f t="shared" si="36"/>
        <v>7.7930907494228041E-3</v>
      </c>
      <c r="N53" s="3">
        <f t="shared" si="16"/>
        <v>-1</v>
      </c>
      <c r="O53" s="20">
        <f t="shared" si="17"/>
        <v>4.9961601405451583E-3</v>
      </c>
      <c r="P53" s="20">
        <f t="shared" si="37"/>
        <v>4.9961601405451583E-3</v>
      </c>
      <c r="Q53" s="29">
        <f t="shared" si="18"/>
        <v>0</v>
      </c>
      <c r="R53" s="29"/>
      <c r="S53" s="30">
        <f t="shared" si="31"/>
        <v>43555</v>
      </c>
      <c r="T53" s="32">
        <f t="shared" si="27"/>
        <v>105.89568452148355</v>
      </c>
      <c r="U53" s="32">
        <f t="shared" si="28"/>
        <v>113.87588671929181</v>
      </c>
      <c r="V53" s="32">
        <f t="shared" si="29"/>
        <v>109.89272395927988</v>
      </c>
      <c r="W53" s="32">
        <f t="shared" si="30"/>
        <v>109.23234894957899</v>
      </c>
      <c r="X53" s="31">
        <f t="shared" si="19"/>
        <v>-0.66037500970088558</v>
      </c>
      <c r="Y53" s="3">
        <f t="shared" si="20"/>
        <v>0</v>
      </c>
      <c r="Z53" s="3">
        <f t="shared" si="21"/>
        <v>0</v>
      </c>
      <c r="AA53" s="3">
        <f t="shared" si="22"/>
        <v>30</v>
      </c>
      <c r="AB53" s="3">
        <f t="shared" si="23"/>
        <v>0</v>
      </c>
      <c r="AC53" s="29"/>
      <c r="AD53" s="13">
        <v>41716</v>
      </c>
      <c r="AE53" s="12">
        <v>24.662700000000001</v>
      </c>
      <c r="AF53" s="13">
        <v>41716</v>
      </c>
      <c r="AG53" s="12">
        <v>117.27200000000001</v>
      </c>
    </row>
    <row r="54" spans="1:33" x14ac:dyDescent="0.2">
      <c r="A54" s="11">
        <v>43556</v>
      </c>
      <c r="B54" s="11">
        <f t="shared" si="33"/>
        <v>43585</v>
      </c>
      <c r="C54" s="3" t="s">
        <v>27</v>
      </c>
      <c r="D54" s="3" t="s">
        <v>27</v>
      </c>
      <c r="E54" s="3" t="str">
        <f t="shared" si="10"/>
        <v>Downturn/Downturn</v>
      </c>
      <c r="F54" s="14">
        <f t="shared" si="34"/>
        <v>43586</v>
      </c>
      <c r="G54" s="14">
        <f t="shared" si="11"/>
        <v>43586</v>
      </c>
      <c r="H54" s="17">
        <f t="shared" si="12"/>
        <v>43586</v>
      </c>
      <c r="I54" s="14">
        <f t="shared" si="13"/>
        <v>43617</v>
      </c>
      <c r="J54" s="14">
        <f t="shared" si="14"/>
        <v>43619</v>
      </c>
      <c r="K54" s="17">
        <f t="shared" si="15"/>
        <v>43619</v>
      </c>
      <c r="L54" s="16">
        <f t="shared" si="35"/>
        <v>2.757363770250354E-2</v>
      </c>
      <c r="M54" s="16">
        <f t="shared" si="36"/>
        <v>1.9951174400431704E-2</v>
      </c>
      <c r="N54" s="3">
        <f t="shared" si="16"/>
        <v>1</v>
      </c>
      <c r="O54" s="20">
        <f t="shared" si="17"/>
        <v>2.3762406051467622E-2</v>
      </c>
      <c r="P54" s="20">
        <f t="shared" si="37"/>
        <v>2.3762406051467622E-2</v>
      </c>
      <c r="Q54" s="29">
        <f t="shared" si="18"/>
        <v>0</v>
      </c>
      <c r="R54" s="29"/>
      <c r="S54" s="30">
        <f t="shared" si="31"/>
        <v>43585</v>
      </c>
      <c r="T54" s="32">
        <f t="shared" si="27"/>
        <v>106.12857343815934</v>
      </c>
      <c r="U54" s="32">
        <f t="shared" si="28"/>
        <v>114.76333183866625</v>
      </c>
      <c r="V54" s="32">
        <f t="shared" si="29"/>
        <v>110.44176560646115</v>
      </c>
      <c r="W54" s="32">
        <f t="shared" si="30"/>
        <v>109.77809125745898</v>
      </c>
      <c r="X54" s="31">
        <f t="shared" si="19"/>
        <v>-0.66367434900216438</v>
      </c>
      <c r="Y54" s="3">
        <f t="shared" si="20"/>
        <v>0</v>
      </c>
      <c r="Z54" s="3">
        <f t="shared" si="21"/>
        <v>0</v>
      </c>
      <c r="AA54" s="3">
        <f t="shared" si="22"/>
        <v>30</v>
      </c>
      <c r="AB54" s="3">
        <f t="shared" si="23"/>
        <v>0</v>
      </c>
      <c r="AC54" s="29"/>
      <c r="AD54" s="13">
        <v>41717</v>
      </c>
      <c r="AE54" s="12">
        <v>24.5413</v>
      </c>
      <c r="AF54" s="13">
        <v>41717</v>
      </c>
      <c r="AG54" s="12">
        <v>116.4271</v>
      </c>
    </row>
    <row r="55" spans="1:33" x14ac:dyDescent="0.2">
      <c r="A55" s="11">
        <v>43586</v>
      </c>
      <c r="B55" s="11">
        <f t="shared" si="33"/>
        <v>43616</v>
      </c>
      <c r="C55" s="3" t="s">
        <v>26</v>
      </c>
      <c r="D55" s="3" t="s">
        <v>27</v>
      </c>
      <c r="E55" s="3" t="str">
        <f t="shared" si="10"/>
        <v>Expansion/Downturn</v>
      </c>
      <c r="F55" s="14">
        <f t="shared" si="34"/>
        <v>43617</v>
      </c>
      <c r="G55" s="14">
        <f t="shared" si="11"/>
        <v>43619</v>
      </c>
      <c r="H55" s="17">
        <f t="shared" si="12"/>
        <v>43619</v>
      </c>
      <c r="I55" s="14">
        <f t="shared" si="13"/>
        <v>43647</v>
      </c>
      <c r="J55" s="14">
        <f t="shared" si="14"/>
        <v>43647</v>
      </c>
      <c r="K55" s="17">
        <f t="shared" si="15"/>
        <v>43647</v>
      </c>
      <c r="L55" s="16">
        <f t="shared" si="35"/>
        <v>2.9739617111388394E-3</v>
      </c>
      <c r="M55" s="16">
        <f t="shared" si="36"/>
        <v>3.1237792085654359E-2</v>
      </c>
      <c r="N55" s="3">
        <f t="shared" si="16"/>
        <v>-1</v>
      </c>
      <c r="O55" s="20">
        <f t="shared" si="17"/>
        <v>1.7105876898396599E-2</v>
      </c>
      <c r="P55" s="20">
        <f t="shared" si="37"/>
        <v>2.9739617111388394E-3</v>
      </c>
      <c r="Q55" s="29">
        <f t="shared" si="18"/>
        <v>1</v>
      </c>
      <c r="R55" s="29"/>
      <c r="S55" s="30">
        <f t="shared" si="31"/>
        <v>43616</v>
      </c>
      <c r="T55" s="32">
        <f t="shared" si="27"/>
        <v>109.05492427202668</v>
      </c>
      <c r="U55" s="32">
        <f t="shared" si="28"/>
        <v>117.0529950869541</v>
      </c>
      <c r="V55" s="32">
        <f t="shared" si="29"/>
        <v>113.06612768584289</v>
      </c>
      <c r="W55" s="32">
        <f t="shared" si="30"/>
        <v>112.38668283747378</v>
      </c>
      <c r="X55" s="31">
        <f t="shared" si="19"/>
        <v>-0.67944484836910135</v>
      </c>
      <c r="Y55" s="3">
        <f t="shared" si="20"/>
        <v>1</v>
      </c>
      <c r="Z55" s="3">
        <f t="shared" si="21"/>
        <v>30</v>
      </c>
      <c r="AA55" s="3">
        <f t="shared" si="22"/>
        <v>0</v>
      </c>
      <c r="AB55" s="3">
        <f t="shared" si="23"/>
        <v>0</v>
      </c>
      <c r="AC55" s="29"/>
      <c r="AD55" s="13">
        <v>41718</v>
      </c>
      <c r="AE55" s="12">
        <v>24.534500000000001</v>
      </c>
      <c r="AF55" s="13">
        <v>41718</v>
      </c>
      <c r="AG55" s="12">
        <v>116.58799999999999</v>
      </c>
    </row>
    <row r="56" spans="1:33" x14ac:dyDescent="0.2">
      <c r="A56" s="11">
        <v>43617</v>
      </c>
      <c r="B56" s="11">
        <f t="shared" si="33"/>
        <v>43646</v>
      </c>
      <c r="C56" s="3" t="s">
        <v>27</v>
      </c>
      <c r="D56" s="3" t="s">
        <v>26</v>
      </c>
      <c r="E56" s="3" t="str">
        <f t="shared" si="10"/>
        <v>Downturn/Expansion</v>
      </c>
      <c r="F56" s="14">
        <f t="shared" si="34"/>
        <v>43647</v>
      </c>
      <c r="G56" s="14">
        <f t="shared" si="11"/>
        <v>43647</v>
      </c>
      <c r="H56" s="17">
        <f t="shared" si="12"/>
        <v>43647</v>
      </c>
      <c r="I56" s="14">
        <f t="shared" si="13"/>
        <v>43678</v>
      </c>
      <c r="J56" s="14">
        <f t="shared" si="14"/>
        <v>43678</v>
      </c>
      <c r="K56" s="17">
        <f t="shared" si="15"/>
        <v>43678</v>
      </c>
      <c r="L56" s="16">
        <f t="shared" si="35"/>
        <v>8.6417856594227516E-3</v>
      </c>
      <c r="M56" s="16">
        <f t="shared" si="36"/>
        <v>8.7549457025002386E-3</v>
      </c>
      <c r="N56" s="3">
        <f t="shared" si="16"/>
        <v>-1</v>
      </c>
      <c r="O56" s="20">
        <f t="shared" si="17"/>
        <v>8.6983656809614951E-3</v>
      </c>
      <c r="P56" s="20">
        <f t="shared" si="37"/>
        <v>8.6983656809614951E-3</v>
      </c>
      <c r="Q56" s="29">
        <f t="shared" si="18"/>
        <v>0</v>
      </c>
      <c r="R56" s="29"/>
      <c r="S56" s="30">
        <f t="shared" si="31"/>
        <v>43646</v>
      </c>
      <c r="T56" s="32">
        <f t="shared" si="27"/>
        <v>109.37924944122284</v>
      </c>
      <c r="U56" s="32">
        <f t="shared" si="28"/>
        <v>120.7094722104835</v>
      </c>
      <c r="V56" s="32">
        <f t="shared" si="29"/>
        <v>115.0002229474153</v>
      </c>
      <c r="W56" s="32">
        <f t="shared" si="30"/>
        <v>112.72091652907433</v>
      </c>
      <c r="X56" s="31">
        <f t="shared" si="19"/>
        <v>-2.2793064183409655</v>
      </c>
      <c r="Y56" s="3">
        <f t="shared" si="20"/>
        <v>0</v>
      </c>
      <c r="Z56" s="3">
        <f t="shared" si="21"/>
        <v>0</v>
      </c>
      <c r="AA56" s="3">
        <f t="shared" si="22"/>
        <v>30</v>
      </c>
      <c r="AB56" s="3">
        <f t="shared" si="23"/>
        <v>0</v>
      </c>
      <c r="AC56" s="29"/>
      <c r="AD56" s="13">
        <v>41719</v>
      </c>
      <c r="AE56" s="12">
        <v>24.561399999999999</v>
      </c>
      <c r="AF56" s="13">
        <v>41719</v>
      </c>
      <c r="AG56" s="12">
        <v>116.99039999999999</v>
      </c>
    </row>
    <row r="57" spans="1:33" x14ac:dyDescent="0.2">
      <c r="A57" s="11">
        <v>43647</v>
      </c>
      <c r="B57" s="11">
        <f t="shared" si="33"/>
        <v>43677</v>
      </c>
      <c r="C57" s="3" t="s">
        <v>27</v>
      </c>
      <c r="D57" s="3" t="s">
        <v>26</v>
      </c>
      <c r="E57" s="3" t="str">
        <f t="shared" si="10"/>
        <v>Downturn/Expansion</v>
      </c>
      <c r="F57" s="14">
        <f t="shared" si="34"/>
        <v>43678</v>
      </c>
      <c r="G57" s="14">
        <f t="shared" si="11"/>
        <v>43678</v>
      </c>
      <c r="H57" s="17">
        <f t="shared" si="12"/>
        <v>43678</v>
      </c>
      <c r="I57" s="14">
        <f t="shared" si="13"/>
        <v>43709</v>
      </c>
      <c r="J57" s="14">
        <f t="shared" si="14"/>
        <v>43710</v>
      </c>
      <c r="K57" s="17">
        <f t="shared" si="15"/>
        <v>43710</v>
      </c>
      <c r="L57" s="16">
        <f t="shared" si="35"/>
        <v>2.5848451147206575E-2</v>
      </c>
      <c r="M57" s="16">
        <f t="shared" si="36"/>
        <v>3.0482336749548589E-2</v>
      </c>
      <c r="N57" s="3">
        <f t="shared" si="16"/>
        <v>-1</v>
      </c>
      <c r="O57" s="20">
        <f t="shared" si="17"/>
        <v>2.8165393948377582E-2</v>
      </c>
      <c r="P57" s="20">
        <f t="shared" si="37"/>
        <v>2.8165393948377582E-2</v>
      </c>
      <c r="Q57" s="29">
        <f t="shared" si="18"/>
        <v>0</v>
      </c>
      <c r="R57" s="29"/>
      <c r="S57" s="30">
        <f t="shared" si="31"/>
        <v>43677</v>
      </c>
      <c r="T57" s="32">
        <f t="shared" si="27"/>
        <v>110.32448147048243</v>
      </c>
      <c r="U57" s="32">
        <f t="shared" si="28"/>
        <v>121.76627708546374</v>
      </c>
      <c r="V57" s="32">
        <f t="shared" si="29"/>
        <v>116.000536940004</v>
      </c>
      <c r="W57" s="32">
        <f t="shared" si="30"/>
        <v>113.70140428093734</v>
      </c>
      <c r="X57" s="31">
        <f t="shared" si="19"/>
        <v>-2.2991326590666574</v>
      </c>
      <c r="Y57" s="3">
        <f t="shared" si="20"/>
        <v>0</v>
      </c>
      <c r="Z57" s="3">
        <f t="shared" si="21"/>
        <v>0</v>
      </c>
      <c r="AA57" s="3">
        <f t="shared" si="22"/>
        <v>30</v>
      </c>
      <c r="AB57" s="3">
        <f t="shared" si="23"/>
        <v>0</v>
      </c>
      <c r="AC57" s="29"/>
      <c r="AD57" s="13">
        <v>41722</v>
      </c>
      <c r="AE57" s="12">
        <v>24.564599999999999</v>
      </c>
      <c r="AF57" s="13">
        <v>41722</v>
      </c>
      <c r="AG57" s="12">
        <v>117.21169999999999</v>
      </c>
    </row>
    <row r="58" spans="1:33" x14ac:dyDescent="0.2">
      <c r="A58" s="11">
        <v>43678</v>
      </c>
      <c r="B58" s="11">
        <f t="shared" si="33"/>
        <v>43708</v>
      </c>
      <c r="C58" s="3" t="s">
        <v>27</v>
      </c>
      <c r="D58" s="3" t="s">
        <v>26</v>
      </c>
      <c r="E58" s="3" t="str">
        <f t="shared" si="10"/>
        <v>Downturn/Expansion</v>
      </c>
      <c r="F58" s="14">
        <f t="shared" si="34"/>
        <v>43709</v>
      </c>
      <c r="G58" s="14">
        <f t="shared" si="11"/>
        <v>43710</v>
      </c>
      <c r="H58" s="17">
        <f t="shared" si="12"/>
        <v>43710</v>
      </c>
      <c r="I58" s="14">
        <f t="shared" si="13"/>
        <v>43739</v>
      </c>
      <c r="J58" s="14">
        <f t="shared" si="14"/>
        <v>43739</v>
      </c>
      <c r="K58" s="17">
        <f t="shared" si="15"/>
        <v>43739</v>
      </c>
      <c r="L58" s="16">
        <f t="shared" si="35"/>
        <v>-5.9074148241240465E-3</v>
      </c>
      <c r="M58" s="16">
        <f t="shared" si="36"/>
        <v>-6.4227235741528554E-3</v>
      </c>
      <c r="N58" s="3">
        <f t="shared" si="16"/>
        <v>1</v>
      </c>
      <c r="O58" s="20">
        <f t="shared" si="17"/>
        <v>-6.165069199138451E-3</v>
      </c>
      <c r="P58" s="20">
        <f t="shared" si="37"/>
        <v>-6.165069199138451E-3</v>
      </c>
      <c r="Q58" s="29">
        <f t="shared" si="18"/>
        <v>0</v>
      </c>
      <c r="R58" s="29"/>
      <c r="S58" s="30">
        <f t="shared" si="31"/>
        <v>43708</v>
      </c>
      <c r="T58" s="32">
        <f t="shared" si="27"/>
        <v>113.17619844011308</v>
      </c>
      <c r="U58" s="32">
        <f t="shared" si="28"/>
        <v>125.47799774832168</v>
      </c>
      <c r="V58" s="32">
        <f t="shared" si="29"/>
        <v>119.26773776114253</v>
      </c>
      <c r="W58" s="32">
        <f t="shared" si="30"/>
        <v>116.90384912499367</v>
      </c>
      <c r="X58" s="31">
        <f t="shared" si="19"/>
        <v>-2.3638886361488574</v>
      </c>
      <c r="Y58" s="3">
        <f t="shared" si="20"/>
        <v>0</v>
      </c>
      <c r="Z58" s="3">
        <f t="shared" si="21"/>
        <v>0</v>
      </c>
      <c r="AA58" s="3">
        <f t="shared" si="22"/>
        <v>30</v>
      </c>
      <c r="AB58" s="3">
        <f t="shared" si="23"/>
        <v>0</v>
      </c>
      <c r="AC58" s="29"/>
      <c r="AD58" s="13">
        <v>41723</v>
      </c>
      <c r="AE58" s="12">
        <v>24.554500000000001</v>
      </c>
      <c r="AF58" s="13">
        <v>41723</v>
      </c>
      <c r="AG58" s="12">
        <v>117.25190000000001</v>
      </c>
    </row>
    <row r="59" spans="1:33" x14ac:dyDescent="0.2">
      <c r="A59" s="11">
        <v>43709</v>
      </c>
      <c r="B59" s="11">
        <f t="shared" si="33"/>
        <v>43738</v>
      </c>
      <c r="C59" s="3" t="s">
        <v>28</v>
      </c>
      <c r="D59" s="3" t="s">
        <v>26</v>
      </c>
      <c r="E59" s="3" t="str">
        <f t="shared" si="10"/>
        <v>Repair/Expansion</v>
      </c>
      <c r="F59" s="14">
        <f t="shared" si="34"/>
        <v>43739</v>
      </c>
      <c r="G59" s="14">
        <f t="shared" si="11"/>
        <v>43739</v>
      </c>
      <c r="H59" s="17">
        <f t="shared" si="12"/>
        <v>43739</v>
      </c>
      <c r="I59" s="14">
        <f t="shared" si="13"/>
        <v>43770</v>
      </c>
      <c r="J59" s="14">
        <f t="shared" si="14"/>
        <v>43770</v>
      </c>
      <c r="K59" s="17">
        <f t="shared" si="15"/>
        <v>43770</v>
      </c>
      <c r="L59" s="16">
        <f t="shared" si="35"/>
        <v>-3.945471911087961E-3</v>
      </c>
      <c r="M59" s="16">
        <f t="shared" si="36"/>
        <v>4.2823255744752764E-3</v>
      </c>
      <c r="N59" s="3">
        <f t="shared" si="16"/>
        <v>-1</v>
      </c>
      <c r="O59" s="20">
        <f t="shared" si="17"/>
        <v>1.6842683169365769E-4</v>
      </c>
      <c r="P59" s="20">
        <f t="shared" si="37"/>
        <v>1.6842683169365769E-4</v>
      </c>
      <c r="Q59" s="29">
        <f t="shared" si="18"/>
        <v>0</v>
      </c>
      <c r="R59" s="29"/>
      <c r="S59" s="30">
        <f t="shared" si="31"/>
        <v>43738</v>
      </c>
      <c r="T59" s="32">
        <f t="shared" si="27"/>
        <v>112.50761968770995</v>
      </c>
      <c r="U59" s="32">
        <f t="shared" si="28"/>
        <v>124.67208725414604</v>
      </c>
      <c r="V59" s="32">
        <f t="shared" si="29"/>
        <v>118.53244390462039</v>
      </c>
      <c r="W59" s="32">
        <f t="shared" si="30"/>
        <v>116.18312880549244</v>
      </c>
      <c r="X59" s="31">
        <f t="shared" si="19"/>
        <v>-2.3493150991279492</v>
      </c>
      <c r="Y59" s="3">
        <f t="shared" si="20"/>
        <v>0</v>
      </c>
      <c r="Z59" s="3">
        <f t="shared" si="21"/>
        <v>0</v>
      </c>
      <c r="AA59" s="3">
        <f t="shared" si="22"/>
        <v>30</v>
      </c>
      <c r="AB59" s="3">
        <f t="shared" si="23"/>
        <v>0</v>
      </c>
      <c r="AC59" s="29"/>
      <c r="AD59" s="13">
        <v>41724</v>
      </c>
      <c r="AE59" s="12">
        <v>24.621500000000001</v>
      </c>
      <c r="AF59" s="13">
        <v>41724</v>
      </c>
      <c r="AG59" s="12">
        <v>117.7046</v>
      </c>
    </row>
    <row r="60" spans="1:33" x14ac:dyDescent="0.2">
      <c r="A60" s="11">
        <v>43739</v>
      </c>
      <c r="B60" s="11">
        <f t="shared" si="33"/>
        <v>43769</v>
      </c>
      <c r="C60" s="3" t="s">
        <v>28</v>
      </c>
      <c r="D60" s="3" t="s">
        <v>26</v>
      </c>
      <c r="E60" s="3" t="str">
        <f t="shared" si="10"/>
        <v>Repair/Expansion</v>
      </c>
      <c r="F60" s="14">
        <f t="shared" si="34"/>
        <v>43770</v>
      </c>
      <c r="G60" s="14">
        <f t="shared" si="11"/>
        <v>43770</v>
      </c>
      <c r="H60" s="17">
        <f t="shared" si="12"/>
        <v>43770</v>
      </c>
      <c r="I60" s="14">
        <f t="shared" si="13"/>
        <v>43800</v>
      </c>
      <c r="J60" s="14">
        <f t="shared" si="14"/>
        <v>43801</v>
      </c>
      <c r="K60" s="17">
        <f t="shared" si="15"/>
        <v>43801</v>
      </c>
      <c r="L60" s="16">
        <f t="shared" si="35"/>
        <v>-4.7595967767243286E-3</v>
      </c>
      <c r="M60" s="16">
        <f t="shared" si="36"/>
        <v>-5.8035090295782688E-4</v>
      </c>
      <c r="N60" s="3">
        <f t="shared" si="16"/>
        <v>-1</v>
      </c>
      <c r="O60" s="20">
        <f t="shared" si="17"/>
        <v>-2.6699738398410777E-3</v>
      </c>
      <c r="P60" s="20">
        <f t="shared" si="37"/>
        <v>-2.6699738398410777E-3</v>
      </c>
      <c r="Q60" s="29">
        <f t="shared" si="18"/>
        <v>0</v>
      </c>
      <c r="R60" s="29"/>
      <c r="S60" s="30">
        <f t="shared" si="31"/>
        <v>43769</v>
      </c>
      <c r="T60" s="32">
        <f t="shared" si="27"/>
        <v>112.06372403444873</v>
      </c>
      <c r="U60" s="32">
        <f t="shared" si="28"/>
        <v>125.20597372181768</v>
      </c>
      <c r="V60" s="32">
        <f t="shared" si="29"/>
        <v>118.55240794860016</v>
      </c>
      <c r="W60" s="32">
        <f t="shared" si="30"/>
        <v>116.20269716177341</v>
      </c>
      <c r="X60" s="31">
        <f t="shared" si="19"/>
        <v>-2.3497107868267477</v>
      </c>
      <c r="Y60" s="3">
        <f t="shared" si="20"/>
        <v>0</v>
      </c>
      <c r="Z60" s="3">
        <f t="shared" si="21"/>
        <v>0</v>
      </c>
      <c r="AA60" s="3">
        <f t="shared" si="22"/>
        <v>30</v>
      </c>
      <c r="AB60" s="3">
        <f t="shared" si="23"/>
        <v>0</v>
      </c>
      <c r="AC60" s="29"/>
      <c r="AD60" s="13">
        <v>41725</v>
      </c>
      <c r="AE60" s="12">
        <v>24.614699999999999</v>
      </c>
      <c r="AF60" s="13">
        <v>41725</v>
      </c>
      <c r="AG60" s="12">
        <v>117.73480000000001</v>
      </c>
    </row>
    <row r="61" spans="1:33" x14ac:dyDescent="0.2">
      <c r="A61" s="11">
        <v>43770</v>
      </c>
      <c r="B61" s="11">
        <f t="shared" si="33"/>
        <v>43799</v>
      </c>
      <c r="C61" s="3" t="s">
        <v>28</v>
      </c>
      <c r="D61" s="3" t="s">
        <v>27</v>
      </c>
      <c r="E61" s="3" t="str">
        <f t="shared" si="10"/>
        <v>Repair/Downturn</v>
      </c>
      <c r="F61" s="14">
        <f t="shared" si="34"/>
        <v>43800</v>
      </c>
      <c r="G61" s="14">
        <f t="shared" si="11"/>
        <v>43801</v>
      </c>
      <c r="H61" s="17">
        <f t="shared" si="12"/>
        <v>43801</v>
      </c>
      <c r="I61" s="14">
        <f t="shared" si="13"/>
        <v>43831</v>
      </c>
      <c r="J61" s="14">
        <f t="shared" si="14"/>
        <v>43831</v>
      </c>
      <c r="K61" s="17">
        <f t="shared" si="15"/>
        <v>43832</v>
      </c>
      <c r="L61" s="16">
        <f t="shared" si="35"/>
        <v>-3.9239867705598286E-4</v>
      </c>
      <c r="M61" s="16">
        <f t="shared" si="36"/>
        <v>1.1785837660027498E-2</v>
      </c>
      <c r="N61" s="3">
        <f t="shared" si="16"/>
        <v>-1</v>
      </c>
      <c r="O61" s="20">
        <f t="shared" si="17"/>
        <v>5.6967194914857577E-3</v>
      </c>
      <c r="P61" s="20">
        <f t="shared" si="37"/>
        <v>1.1785837660027498E-2</v>
      </c>
      <c r="Q61" s="29">
        <f t="shared" si="18"/>
        <v>-1</v>
      </c>
      <c r="R61" s="29"/>
      <c r="S61" s="30">
        <f t="shared" si="31"/>
        <v>43799</v>
      </c>
      <c r="T61" s="32">
        <f t="shared" si="27"/>
        <v>111.53034589474665</v>
      </c>
      <c r="U61" s="32">
        <f t="shared" si="28"/>
        <v>125.13331032191252</v>
      </c>
      <c r="V61" s="32">
        <f t="shared" si="29"/>
        <v>118.23587612072724</v>
      </c>
      <c r="W61" s="32">
        <f t="shared" si="30"/>
        <v>115.89243900023251</v>
      </c>
      <c r="X61" s="31">
        <f t="shared" si="19"/>
        <v>-2.3434371204947269</v>
      </c>
      <c r="Y61" s="3">
        <f t="shared" si="20"/>
        <v>-1</v>
      </c>
      <c r="Z61" s="3">
        <f t="shared" si="21"/>
        <v>0</v>
      </c>
      <c r="AA61" s="3">
        <f t="shared" si="22"/>
        <v>0</v>
      </c>
      <c r="AB61" s="3">
        <f t="shared" si="23"/>
        <v>30</v>
      </c>
      <c r="AC61" s="29"/>
      <c r="AD61" s="13">
        <v>41726</v>
      </c>
      <c r="AE61" s="12">
        <v>24.5946</v>
      </c>
      <c r="AF61" s="13">
        <v>41726</v>
      </c>
      <c r="AG61" s="12">
        <v>117.6442</v>
      </c>
    </row>
    <row r="62" spans="1:33" x14ac:dyDescent="0.2">
      <c r="A62" s="11">
        <v>43800</v>
      </c>
      <c r="B62" s="11">
        <f t="shared" si="33"/>
        <v>43830</v>
      </c>
      <c r="C62" s="3" t="s">
        <v>28</v>
      </c>
      <c r="D62" s="3" t="s">
        <v>27</v>
      </c>
      <c r="E62" s="3" t="str">
        <f t="shared" si="10"/>
        <v>Repair/Downturn</v>
      </c>
      <c r="F62" s="14">
        <f t="shared" si="34"/>
        <v>43831</v>
      </c>
      <c r="G62" s="14">
        <f t="shared" si="11"/>
        <v>43831</v>
      </c>
      <c r="H62" s="17">
        <f t="shared" si="12"/>
        <v>43832</v>
      </c>
      <c r="I62" s="14">
        <f t="shared" si="13"/>
        <v>43862</v>
      </c>
      <c r="J62" s="14">
        <f t="shared" si="14"/>
        <v>43864</v>
      </c>
      <c r="K62" s="17">
        <f t="shared" si="15"/>
        <v>43864</v>
      </c>
      <c r="L62" s="16">
        <f t="shared" si="35"/>
        <v>2.2340455361148592E-2</v>
      </c>
      <c r="M62" s="16">
        <f t="shared" si="36"/>
        <v>2.1498890053156527E-2</v>
      </c>
      <c r="N62" s="3">
        <f t="shared" si="16"/>
        <v>1</v>
      </c>
      <c r="O62" s="20">
        <f t="shared" si="17"/>
        <v>2.191967270715256E-2</v>
      </c>
      <c r="P62" s="20">
        <f t="shared" si="37"/>
        <v>2.1498890053156527E-2</v>
      </c>
      <c r="Q62" s="29">
        <f t="shared" si="18"/>
        <v>-1</v>
      </c>
      <c r="R62" s="29"/>
      <c r="S62" s="30">
        <f t="shared" si="31"/>
        <v>43830</v>
      </c>
      <c r="T62" s="32">
        <f t="shared" si="27"/>
        <v>111.48658153456596</v>
      </c>
      <c r="U62" s="32">
        <f t="shared" si="28"/>
        <v>126.60811120322842</v>
      </c>
      <c r="V62" s="32">
        <f t="shared" si="29"/>
        <v>118.9094327408171</v>
      </c>
      <c r="W62" s="32">
        <f t="shared" si="30"/>
        <v>117.25832847231389</v>
      </c>
      <c r="X62" s="31">
        <f t="shared" si="19"/>
        <v>-1.6511042685032038</v>
      </c>
      <c r="Y62" s="3">
        <f t="shared" si="20"/>
        <v>-1</v>
      </c>
      <c r="Z62" s="3">
        <f t="shared" si="21"/>
        <v>0</v>
      </c>
      <c r="AA62" s="3">
        <f t="shared" si="22"/>
        <v>0</v>
      </c>
      <c r="AB62" s="3">
        <f t="shared" si="23"/>
        <v>30</v>
      </c>
      <c r="AC62" s="29"/>
      <c r="AD62" s="13">
        <v>41729</v>
      </c>
      <c r="AE62" s="12">
        <v>24.5746</v>
      </c>
      <c r="AF62" s="13">
        <v>41729</v>
      </c>
      <c r="AG62" s="12">
        <v>117.63420000000001</v>
      </c>
    </row>
    <row r="63" spans="1:33" x14ac:dyDescent="0.2">
      <c r="A63" s="11">
        <v>43831</v>
      </c>
      <c r="B63" s="11">
        <f t="shared" si="33"/>
        <v>43861</v>
      </c>
      <c r="C63" s="3" t="s">
        <v>27</v>
      </c>
      <c r="D63" s="3" t="s">
        <v>27</v>
      </c>
      <c r="E63" s="3" t="str">
        <f t="shared" si="10"/>
        <v>Downturn/Downturn</v>
      </c>
      <c r="F63" s="14">
        <f t="shared" si="34"/>
        <v>43862</v>
      </c>
      <c r="G63" s="14">
        <f t="shared" si="11"/>
        <v>43864</v>
      </c>
      <c r="H63" s="17">
        <f t="shared" si="12"/>
        <v>43864</v>
      </c>
      <c r="I63" s="14">
        <f t="shared" si="13"/>
        <v>43891</v>
      </c>
      <c r="J63" s="14">
        <f t="shared" si="14"/>
        <v>43892</v>
      </c>
      <c r="K63" s="17">
        <f t="shared" si="15"/>
        <v>43892</v>
      </c>
      <c r="L63" s="16">
        <f t="shared" si="35"/>
        <v>2.4025836001727807E-2</v>
      </c>
      <c r="M63" s="16">
        <f t="shared" si="36"/>
        <v>1.0710593235664367E-2</v>
      </c>
      <c r="N63" s="3">
        <f t="shared" si="16"/>
        <v>1</v>
      </c>
      <c r="O63" s="20">
        <f t="shared" si="17"/>
        <v>1.7368214618696087E-2</v>
      </c>
      <c r="P63" s="20">
        <f t="shared" si="37"/>
        <v>1.7368214618696087E-2</v>
      </c>
      <c r="Q63" s="29">
        <f t="shared" si="18"/>
        <v>0</v>
      </c>
      <c r="R63" s="29"/>
      <c r="S63" s="30">
        <f t="shared" si="31"/>
        <v>43861</v>
      </c>
      <c r="T63" s="32">
        <f t="shared" si="27"/>
        <v>113.97724253270599</v>
      </c>
      <c r="U63" s="32">
        <f t="shared" si="28"/>
        <v>129.33004506582444</v>
      </c>
      <c r="V63" s="32">
        <f t="shared" si="29"/>
        <v>121.51588858828899</v>
      </c>
      <c r="W63" s="32">
        <f t="shared" si="30"/>
        <v>119.77925238395709</v>
      </c>
      <c r="X63" s="31">
        <f t="shared" si="19"/>
        <v>-1.7366362043319015</v>
      </c>
      <c r="Y63" s="3">
        <f t="shared" si="20"/>
        <v>0</v>
      </c>
      <c r="Z63" s="3">
        <f t="shared" si="21"/>
        <v>0</v>
      </c>
      <c r="AA63" s="3">
        <f t="shared" si="22"/>
        <v>30</v>
      </c>
      <c r="AB63" s="3">
        <f t="shared" si="23"/>
        <v>0</v>
      </c>
      <c r="AC63" s="29"/>
      <c r="AD63" s="13">
        <v>41730</v>
      </c>
      <c r="AE63" s="12">
        <v>24.5687</v>
      </c>
      <c r="AF63" s="13">
        <v>41730</v>
      </c>
      <c r="AG63" s="12">
        <v>117.34220000000001</v>
      </c>
    </row>
    <row r="64" spans="1:33" x14ac:dyDescent="0.2">
      <c r="A64" s="11">
        <v>43862</v>
      </c>
      <c r="B64" s="11">
        <f t="shared" si="33"/>
        <v>43890</v>
      </c>
      <c r="C64" s="3" t="s">
        <v>26</v>
      </c>
      <c r="D64" s="3" t="s">
        <v>27</v>
      </c>
      <c r="E64" s="3" t="str">
        <f t="shared" si="10"/>
        <v>Expansion/Downturn</v>
      </c>
      <c r="F64" s="14">
        <f t="shared" si="34"/>
        <v>43891</v>
      </c>
      <c r="G64" s="14">
        <f t="shared" si="11"/>
        <v>43892</v>
      </c>
      <c r="H64" s="17">
        <f t="shared" si="12"/>
        <v>43892</v>
      </c>
      <c r="I64" s="14">
        <f t="shared" si="13"/>
        <v>43922</v>
      </c>
      <c r="J64" s="14">
        <f t="shared" si="14"/>
        <v>43922</v>
      </c>
      <c r="K64" s="17">
        <f t="shared" si="15"/>
        <v>43922</v>
      </c>
      <c r="L64" s="16">
        <f t="shared" si="35"/>
        <v>3.7131646434143351E-2</v>
      </c>
      <c r="M64" s="16">
        <f t="shared" si="36"/>
        <v>-7.5778216238427065E-2</v>
      </c>
      <c r="N64" s="3">
        <f t="shared" si="16"/>
        <v>1</v>
      </c>
      <c r="O64" s="20">
        <f t="shared" si="17"/>
        <v>-1.9323284902141857E-2</v>
      </c>
      <c r="P64" s="20">
        <f t="shared" si="37"/>
        <v>3.7131646434143351E-2</v>
      </c>
      <c r="Q64" s="29">
        <f t="shared" si="18"/>
        <v>1</v>
      </c>
      <c r="R64" s="29"/>
      <c r="S64" s="30">
        <f t="shared" si="31"/>
        <v>43890</v>
      </c>
      <c r="T64" s="32">
        <f t="shared" si="27"/>
        <v>116.71564106972593</v>
      </c>
      <c r="U64" s="32">
        <f t="shared" si="28"/>
        <v>130.71524657167461</v>
      </c>
      <c r="V64" s="32">
        <f t="shared" si="29"/>
        <v>123.62640262087194</v>
      </c>
      <c r="W64" s="32">
        <f t="shared" si="30"/>
        <v>121.85960414622861</v>
      </c>
      <c r="X64" s="31">
        <f t="shared" si="19"/>
        <v>-1.7667984746433376</v>
      </c>
      <c r="Y64" s="3">
        <f t="shared" si="20"/>
        <v>1</v>
      </c>
      <c r="Z64" s="3">
        <f t="shared" si="21"/>
        <v>30</v>
      </c>
      <c r="AA64" s="3">
        <f t="shared" si="22"/>
        <v>0</v>
      </c>
      <c r="AB64" s="3">
        <f t="shared" si="23"/>
        <v>0</v>
      </c>
      <c r="AC64" s="29"/>
      <c r="AD64" s="13">
        <v>41731</v>
      </c>
      <c r="AE64" s="12">
        <v>24.518599999999999</v>
      </c>
      <c r="AF64" s="13">
        <v>41731</v>
      </c>
      <c r="AG64" s="12">
        <v>117.1808</v>
      </c>
    </row>
    <row r="65" spans="1:33" x14ac:dyDescent="0.2">
      <c r="A65" s="11">
        <v>43891</v>
      </c>
      <c r="B65" s="11">
        <f t="shared" si="33"/>
        <v>43921</v>
      </c>
      <c r="C65" s="3" t="s">
        <v>28</v>
      </c>
      <c r="D65" s="3" t="s">
        <v>27</v>
      </c>
      <c r="E65" s="3" t="str">
        <f t="shared" si="10"/>
        <v>Repair/Downturn</v>
      </c>
      <c r="F65" s="14">
        <f t="shared" si="34"/>
        <v>43922</v>
      </c>
      <c r="G65" s="14">
        <f t="shared" si="11"/>
        <v>43922</v>
      </c>
      <c r="H65" s="17">
        <f t="shared" si="12"/>
        <v>43922</v>
      </c>
      <c r="I65" s="14">
        <f t="shared" si="13"/>
        <v>43952</v>
      </c>
      <c r="J65" s="14">
        <f t="shared" si="14"/>
        <v>43952</v>
      </c>
      <c r="K65" s="17">
        <f t="shared" si="15"/>
        <v>43952</v>
      </c>
      <c r="L65" s="16">
        <f t="shared" si="35"/>
        <v>1.1943767451616516E-4</v>
      </c>
      <c r="M65" s="16">
        <f t="shared" si="36"/>
        <v>5.9716328248549999E-2</v>
      </c>
      <c r="N65" s="3">
        <f t="shared" si="16"/>
        <v>-1</v>
      </c>
      <c r="O65" s="20">
        <f t="shared" si="17"/>
        <v>2.9917882961533082E-2</v>
      </c>
      <c r="P65" s="20">
        <f t="shared" si="37"/>
        <v>5.9716328248549999E-2</v>
      </c>
      <c r="Q65" s="29">
        <f t="shared" si="18"/>
        <v>-1</v>
      </c>
      <c r="R65" s="29"/>
      <c r="S65" s="30">
        <f t="shared" si="31"/>
        <v>43921</v>
      </c>
      <c r="T65" s="32">
        <f t="shared" si="27"/>
        <v>121.04948498726138</v>
      </c>
      <c r="U65" s="32">
        <f t="shared" si="28"/>
        <v>120.80987835130693</v>
      </c>
      <c r="V65" s="32">
        <f t="shared" si="29"/>
        <v>121.23753442160194</v>
      </c>
      <c r="W65" s="32">
        <f t="shared" si="30"/>
        <v>126.38445188199104</v>
      </c>
      <c r="X65" s="31">
        <f t="shared" si="19"/>
        <v>5.1469174603891048</v>
      </c>
      <c r="Y65" s="3">
        <f t="shared" si="20"/>
        <v>-1</v>
      </c>
      <c r="Z65" s="3">
        <f t="shared" si="21"/>
        <v>0</v>
      </c>
      <c r="AA65" s="3">
        <f t="shared" si="22"/>
        <v>0</v>
      </c>
      <c r="AB65" s="3">
        <f t="shared" si="23"/>
        <v>30</v>
      </c>
      <c r="AC65" s="29"/>
      <c r="AD65" s="13">
        <v>41732</v>
      </c>
      <c r="AE65" s="12">
        <v>24.518599999999999</v>
      </c>
      <c r="AF65" s="13">
        <v>41732</v>
      </c>
      <c r="AG65" s="12">
        <v>117.4027</v>
      </c>
    </row>
    <row r="66" spans="1:33" x14ac:dyDescent="0.2">
      <c r="A66" s="11">
        <v>43922</v>
      </c>
      <c r="B66" s="11">
        <f t="shared" si="33"/>
        <v>43951</v>
      </c>
      <c r="C66" s="3" t="s">
        <v>28</v>
      </c>
      <c r="D66" s="3" t="s">
        <v>28</v>
      </c>
      <c r="E66" s="3" t="str">
        <f t="shared" si="10"/>
        <v>Repair/Repair</v>
      </c>
      <c r="F66" s="14">
        <f t="shared" si="34"/>
        <v>43952</v>
      </c>
      <c r="G66" s="14">
        <f t="shared" si="11"/>
        <v>43952</v>
      </c>
      <c r="H66" s="17">
        <f t="shared" si="12"/>
        <v>43952</v>
      </c>
      <c r="I66" s="14">
        <f t="shared" si="13"/>
        <v>43983</v>
      </c>
      <c r="J66" s="14">
        <f t="shared" si="14"/>
        <v>43983</v>
      </c>
      <c r="K66" s="17">
        <f t="shared" si="15"/>
        <v>43983</v>
      </c>
      <c r="L66" s="16">
        <f t="shared" ref="L66:L97" si="38">VLOOKUP(K66,$AD$2:$AE$2985, 2, 1)/VLOOKUP(H66,$AD$2:$AE$2985, 2, 1)-1</f>
        <v>-4.3799342848473977E-3</v>
      </c>
      <c r="M66" s="16">
        <f t="shared" ref="M66:M97" si="39">VLOOKUP(K66,$AF$2:$AG$2985, 2, 1)/VLOOKUP(H66,$AF$2:$AG$2985, 2, 1)-1</f>
        <v>2.822129019171582E-2</v>
      </c>
      <c r="N66" s="3">
        <f t="shared" si="16"/>
        <v>-1</v>
      </c>
      <c r="O66" s="20">
        <f t="shared" si="17"/>
        <v>1.1920677953434211E-2</v>
      </c>
      <c r="P66" s="20">
        <f t="shared" ref="P66:P97" si="40">IF(VLOOKUP(E66,$AS$2:$AT$17, 2, 0)=0, O66, IF(VLOOKUP(E66,$AS$2:$AT$17, 2, 0)=1, L66, M66))</f>
        <v>2.822129019171582E-2</v>
      </c>
      <c r="Q66" s="29">
        <f t="shared" si="18"/>
        <v>-1</v>
      </c>
      <c r="R66" s="29"/>
      <c r="S66" s="30">
        <f t="shared" si="31"/>
        <v>43951</v>
      </c>
      <c r="T66" s="32">
        <f t="shared" si="27"/>
        <v>121.06394285624964</v>
      </c>
      <c r="U66" s="32">
        <f t="shared" si="28"/>
        <v>128.02420070260098</v>
      </c>
      <c r="V66" s="32">
        <f t="shared" si="29"/>
        <v>124.86470478697225</v>
      </c>
      <c r="W66" s="32">
        <f t="shared" si="30"/>
        <v>133.9316672960891</v>
      </c>
      <c r="X66" s="31">
        <f t="shared" si="19"/>
        <v>9.0669625091168484</v>
      </c>
      <c r="Y66" s="3">
        <f t="shared" si="20"/>
        <v>-1</v>
      </c>
      <c r="Z66" s="3">
        <f t="shared" si="21"/>
        <v>0</v>
      </c>
      <c r="AA66" s="3">
        <f t="shared" si="22"/>
        <v>0</v>
      </c>
      <c r="AB66" s="3">
        <f t="shared" si="23"/>
        <v>30</v>
      </c>
      <c r="AC66" s="29"/>
      <c r="AD66" s="13">
        <v>41733</v>
      </c>
      <c r="AE66" s="12">
        <v>24.598800000000001</v>
      </c>
      <c r="AF66" s="13">
        <v>41733</v>
      </c>
      <c r="AG66" s="12">
        <v>117.8668</v>
      </c>
    </row>
    <row r="67" spans="1:33" x14ac:dyDescent="0.2">
      <c r="A67" s="11">
        <v>43952</v>
      </c>
      <c r="B67" s="11">
        <f t="shared" si="33"/>
        <v>43982</v>
      </c>
      <c r="C67" s="3" t="s">
        <v>28</v>
      </c>
      <c r="D67" s="3" t="s">
        <v>28</v>
      </c>
      <c r="E67" s="3" t="str">
        <f t="shared" ref="E67:E130" si="41">C67&amp;"/"&amp;D67</f>
        <v>Repair/Repair</v>
      </c>
      <c r="F67" s="14">
        <f t="shared" si="34"/>
        <v>43983</v>
      </c>
      <c r="G67" s="14">
        <f t="shared" ref="G67:G130" si="42">IF(WEEKDAY(F67)=1, F67+1, IF(WEEKDAY(F67)=7, F67+2, F67))</f>
        <v>43983</v>
      </c>
      <c r="H67" s="17">
        <f t="shared" ref="H67:H130" si="43">IF(AND(MONTH(G67)=1,DAY(G67)=1,WEEKDAY(G67+1)=1),G67+2,IF(AND(MONTH(G67)=1,DAY(G67)=1,WEEKDAY(G67+1)=7),G67+3,IF(AND(MONTH(G67)=1,DAY(G67)=1),G67+1,G67)))</f>
        <v>43983</v>
      </c>
      <c r="I67" s="14">
        <f t="shared" ref="I67:I130" si="44">EOMONTH(F67, 0)+1</f>
        <v>44013</v>
      </c>
      <c r="J67" s="14">
        <f t="shared" ref="J67:J130" si="45">IF(WEEKDAY(I67)=1, I67+1, IF(WEEKDAY(I67)=7, I67+2, I67))</f>
        <v>44013</v>
      </c>
      <c r="K67" s="17">
        <f t="shared" ref="K67:K130" si="46">IF(AND(MONTH(J67)=1,DAY(J67)=1,WEEKDAY(J67+1)=1),J67+2,IF(AND(MONTH(J67)=1,DAY(J67)=1,WEEKDAY(J67+1)=7),J67+3,IF(AND(MONTH(J67)=1,DAY(J67)=1),J67+1,J67)))</f>
        <v>44013</v>
      </c>
      <c r="L67" s="16">
        <f t="shared" si="38"/>
        <v>1.562575981067571E-3</v>
      </c>
      <c r="M67" s="16">
        <f t="shared" si="39"/>
        <v>2.5754570060787074E-2</v>
      </c>
      <c r="N67" s="3">
        <f t="shared" ref="N67:N130" si="47">IF(L67&gt;M67, 1, -1)</f>
        <v>-1</v>
      </c>
      <c r="O67" s="20">
        <f t="shared" ref="O67:O130" si="48">0.5*M67+0.5*L67</f>
        <v>1.3658573020927323E-2</v>
      </c>
      <c r="P67" s="20">
        <f t="shared" si="40"/>
        <v>2.5754570060787074E-2</v>
      </c>
      <c r="Q67" s="29">
        <f t="shared" ref="Q67:Q130" si="49">VLOOKUP(E67,$AS$2:$AT$17, 2, 0)</f>
        <v>-1</v>
      </c>
      <c r="R67" s="29"/>
      <c r="S67" s="30">
        <f t="shared" si="31"/>
        <v>43982</v>
      </c>
      <c r="T67" s="32">
        <f t="shared" si="27"/>
        <v>120.53369074227474</v>
      </c>
      <c r="U67" s="32">
        <f t="shared" si="28"/>
        <v>131.63720882219155</v>
      </c>
      <c r="V67" s="32">
        <f t="shared" si="29"/>
        <v>126.35317672048839</v>
      </c>
      <c r="W67" s="32">
        <f t="shared" si="30"/>
        <v>137.71139174471236</v>
      </c>
      <c r="X67" s="31">
        <f t="shared" ref="X67:X130" si="50">W67-V67</f>
        <v>11.358215024223966</v>
      </c>
      <c r="Y67" s="3">
        <f t="shared" ref="Y67:Y130" si="51">Q67</f>
        <v>-1</v>
      </c>
      <c r="Z67" s="3">
        <f t="shared" ref="Z67:Z130" si="52">IF(Y67=1, 30, 0)</f>
        <v>0</v>
      </c>
      <c r="AA67" s="3">
        <f t="shared" ref="AA67:AA130" si="53">IF(Y67=0, 30, 0)</f>
        <v>0</v>
      </c>
      <c r="AB67" s="3">
        <f t="shared" ref="AB67:AB130" si="54">IF(Y67=-1, 30, 0)</f>
        <v>30</v>
      </c>
      <c r="AC67" s="29"/>
      <c r="AD67" s="13">
        <v>41736</v>
      </c>
      <c r="AE67" s="12">
        <v>24.6389</v>
      </c>
      <c r="AF67" s="13">
        <v>41736</v>
      </c>
      <c r="AG67" s="12">
        <v>118.1493</v>
      </c>
    </row>
    <row r="68" spans="1:33" x14ac:dyDescent="0.2">
      <c r="A68" s="11">
        <v>43983</v>
      </c>
      <c r="B68" s="11">
        <f t="shared" si="33"/>
        <v>44012</v>
      </c>
      <c r="C68" s="3" t="s">
        <v>29</v>
      </c>
      <c r="D68" s="3" t="s">
        <v>28</v>
      </c>
      <c r="E68" s="3" t="str">
        <f t="shared" si="41"/>
        <v>Recovery/Repair</v>
      </c>
      <c r="F68" s="14">
        <f t="shared" si="34"/>
        <v>44013</v>
      </c>
      <c r="G68" s="14">
        <f t="shared" si="42"/>
        <v>44013</v>
      </c>
      <c r="H68" s="17">
        <f t="shared" si="43"/>
        <v>44013</v>
      </c>
      <c r="I68" s="14">
        <f t="shared" si="44"/>
        <v>44044</v>
      </c>
      <c r="J68" s="14">
        <f t="shared" si="45"/>
        <v>44046</v>
      </c>
      <c r="K68" s="17">
        <f t="shared" si="46"/>
        <v>44046</v>
      </c>
      <c r="L68" s="16">
        <f t="shared" si="38"/>
        <v>1.1710746503445613E-2</v>
      </c>
      <c r="M68" s="16">
        <f t="shared" si="39"/>
        <v>2.8320627465221015E-2</v>
      </c>
      <c r="N68" s="3">
        <f t="shared" si="47"/>
        <v>-1</v>
      </c>
      <c r="O68" s="20">
        <f t="shared" si="48"/>
        <v>2.0015686984333314E-2</v>
      </c>
      <c r="P68" s="20">
        <f t="shared" si="40"/>
        <v>2.0015686984333314E-2</v>
      </c>
      <c r="Q68" s="29">
        <f t="shared" si="49"/>
        <v>0</v>
      </c>
      <c r="R68" s="29"/>
      <c r="S68" s="30">
        <f t="shared" si="31"/>
        <v>44012</v>
      </c>
      <c r="T68" s="32">
        <f t="shared" ref="T68:T131" si="55">T67*(1+L67)</f>
        <v>120.72203379233805</v>
      </c>
      <c r="U68" s="32">
        <f t="shared" ref="U68:U131" si="56">U67*(1+M67)</f>
        <v>135.02746853940914</v>
      </c>
      <c r="V68" s="32">
        <f t="shared" ref="V68:V131" si="57">V67*(1+O67)</f>
        <v>128.07898081115133</v>
      </c>
      <c r="W68" s="32">
        <f t="shared" ref="W68:W131" si="58">W67*(1+P67)</f>
        <v>141.25808943157006</v>
      </c>
      <c r="X68" s="31">
        <f t="shared" si="50"/>
        <v>13.179108620418731</v>
      </c>
      <c r="Y68" s="3">
        <f t="shared" si="51"/>
        <v>0</v>
      </c>
      <c r="Z68" s="3">
        <f t="shared" si="52"/>
        <v>0</v>
      </c>
      <c r="AA68" s="3">
        <f t="shared" si="53"/>
        <v>30</v>
      </c>
      <c r="AB68" s="3">
        <f t="shared" si="54"/>
        <v>0</v>
      </c>
      <c r="AC68" s="29"/>
      <c r="AD68" s="13">
        <v>41737</v>
      </c>
      <c r="AE68" s="12">
        <v>24.648900000000001</v>
      </c>
      <c r="AF68" s="13">
        <v>41737</v>
      </c>
      <c r="AG68" s="12">
        <v>118.462</v>
      </c>
    </row>
    <row r="69" spans="1:33" x14ac:dyDescent="0.2">
      <c r="A69" s="11">
        <v>44013</v>
      </c>
      <c r="B69" s="11">
        <f t="shared" si="33"/>
        <v>44043</v>
      </c>
      <c r="C69" s="3" t="s">
        <v>29</v>
      </c>
      <c r="D69" s="3" t="s">
        <v>28</v>
      </c>
      <c r="E69" s="3" t="str">
        <f t="shared" si="41"/>
        <v>Recovery/Repair</v>
      </c>
      <c r="F69" s="14">
        <f t="shared" si="34"/>
        <v>44044</v>
      </c>
      <c r="G69" s="14">
        <f t="shared" si="42"/>
        <v>44046</v>
      </c>
      <c r="H69" s="17">
        <f t="shared" si="43"/>
        <v>44046</v>
      </c>
      <c r="I69" s="14">
        <f t="shared" si="44"/>
        <v>44075</v>
      </c>
      <c r="J69" s="14">
        <f t="shared" si="45"/>
        <v>44075</v>
      </c>
      <c r="K69" s="17">
        <f t="shared" si="46"/>
        <v>44075</v>
      </c>
      <c r="L69" s="16">
        <f t="shared" si="38"/>
        <v>-8.6573992609536576E-3</v>
      </c>
      <c r="M69" s="16">
        <f t="shared" si="39"/>
        <v>-1.2911008770936205E-2</v>
      </c>
      <c r="N69" s="3">
        <f t="shared" si="47"/>
        <v>1</v>
      </c>
      <c r="O69" s="20">
        <f t="shared" si="48"/>
        <v>-1.0784204015944931E-2</v>
      </c>
      <c r="P69" s="20">
        <f t="shared" si="40"/>
        <v>-1.0784204015944931E-2</v>
      </c>
      <c r="Q69" s="29">
        <f t="shared" si="49"/>
        <v>0</v>
      </c>
      <c r="R69" s="29"/>
      <c r="S69" s="30">
        <f t="shared" ref="S69:S132" si="59">EOMONTH(S68,1)</f>
        <v>44043</v>
      </c>
      <c r="T69" s="32">
        <f t="shared" si="55"/>
        <v>122.13577892746052</v>
      </c>
      <c r="U69" s="32">
        <f t="shared" si="56"/>
        <v>138.8515311734856</v>
      </c>
      <c r="V69" s="32">
        <f t="shared" si="57"/>
        <v>130.64256960033975</v>
      </c>
      <c r="W69" s="32">
        <f t="shared" si="58"/>
        <v>144.08546713363734</v>
      </c>
      <c r="X69" s="31">
        <f t="shared" si="50"/>
        <v>13.442897533297582</v>
      </c>
      <c r="Y69" s="3">
        <f t="shared" si="51"/>
        <v>0</v>
      </c>
      <c r="Z69" s="3">
        <f t="shared" si="52"/>
        <v>0</v>
      </c>
      <c r="AA69" s="3">
        <f t="shared" si="53"/>
        <v>30</v>
      </c>
      <c r="AB69" s="3">
        <f t="shared" si="54"/>
        <v>0</v>
      </c>
      <c r="AC69" s="29"/>
      <c r="AD69" s="13">
        <v>41738</v>
      </c>
      <c r="AE69" s="12">
        <v>24.669</v>
      </c>
      <c r="AF69" s="13">
        <v>41738</v>
      </c>
      <c r="AG69" s="12">
        <v>118.5629</v>
      </c>
    </row>
    <row r="70" spans="1:33" x14ac:dyDescent="0.2">
      <c r="A70" s="11">
        <v>44044</v>
      </c>
      <c r="B70" s="11">
        <f t="shared" si="33"/>
        <v>44074</v>
      </c>
      <c r="C70" s="3" t="s">
        <v>29</v>
      </c>
      <c r="D70" s="3" t="s">
        <v>28</v>
      </c>
      <c r="E70" s="3" t="str">
        <f t="shared" si="41"/>
        <v>Recovery/Repair</v>
      </c>
      <c r="F70" s="14">
        <f t="shared" si="34"/>
        <v>44075</v>
      </c>
      <c r="G70" s="14">
        <f t="shared" si="42"/>
        <v>44075</v>
      </c>
      <c r="H70" s="17">
        <f t="shared" si="43"/>
        <v>44075</v>
      </c>
      <c r="I70" s="14">
        <f t="shared" si="44"/>
        <v>44105</v>
      </c>
      <c r="J70" s="14">
        <f t="shared" si="45"/>
        <v>44105</v>
      </c>
      <c r="K70" s="17">
        <f t="shared" si="46"/>
        <v>44105</v>
      </c>
      <c r="L70" s="16">
        <f t="shared" si="38"/>
        <v>-2.5172739859091742E-4</v>
      </c>
      <c r="M70" s="16">
        <f t="shared" si="39"/>
        <v>-7.89888671829031E-3</v>
      </c>
      <c r="N70" s="3">
        <f t="shared" si="47"/>
        <v>1</v>
      </c>
      <c r="O70" s="20">
        <f t="shared" si="48"/>
        <v>-4.0753070584406137E-3</v>
      </c>
      <c r="P70" s="20">
        <f t="shared" si="40"/>
        <v>-4.0753070584406137E-3</v>
      </c>
      <c r="Q70" s="29">
        <f t="shared" si="49"/>
        <v>0</v>
      </c>
      <c r="R70" s="29"/>
      <c r="S70" s="30">
        <f t="shared" si="59"/>
        <v>44074</v>
      </c>
      <c r="T70" s="32">
        <f t="shared" si="55"/>
        <v>121.07840072523793</v>
      </c>
      <c r="U70" s="32">
        <f t="shared" si="56"/>
        <v>137.0588178366468</v>
      </c>
      <c r="V70" s="32">
        <f t="shared" si="57"/>
        <v>129.23369347660241</v>
      </c>
      <c r="W70" s="32">
        <f t="shared" si="58"/>
        <v>142.53162006033546</v>
      </c>
      <c r="X70" s="31">
        <f t="shared" si="50"/>
        <v>13.297926583733044</v>
      </c>
      <c r="Y70" s="3">
        <f t="shared" si="51"/>
        <v>0</v>
      </c>
      <c r="Z70" s="3">
        <f t="shared" si="52"/>
        <v>0</v>
      </c>
      <c r="AA70" s="3">
        <f t="shared" si="53"/>
        <v>30</v>
      </c>
      <c r="AB70" s="3">
        <f t="shared" si="54"/>
        <v>0</v>
      </c>
      <c r="AC70" s="29"/>
      <c r="AD70" s="13">
        <v>41739</v>
      </c>
      <c r="AE70" s="12">
        <v>24.729099999999999</v>
      </c>
      <c r="AF70" s="13">
        <v>41739</v>
      </c>
      <c r="AG70" s="12">
        <v>118.7243</v>
      </c>
    </row>
    <row r="71" spans="1:33" x14ac:dyDescent="0.2">
      <c r="A71" s="11">
        <v>44075</v>
      </c>
      <c r="B71" s="11">
        <f t="shared" si="33"/>
        <v>44104</v>
      </c>
      <c r="C71" s="3" t="s">
        <v>29</v>
      </c>
      <c r="D71" s="3" t="s">
        <v>28</v>
      </c>
      <c r="E71" s="3" t="str">
        <f t="shared" si="41"/>
        <v>Recovery/Repair</v>
      </c>
      <c r="F71" s="14">
        <f t="shared" si="34"/>
        <v>44105</v>
      </c>
      <c r="G71" s="14">
        <f t="shared" si="42"/>
        <v>44105</v>
      </c>
      <c r="H71" s="17">
        <f t="shared" si="43"/>
        <v>44105</v>
      </c>
      <c r="I71" s="14">
        <f t="shared" si="44"/>
        <v>44136</v>
      </c>
      <c r="J71" s="14">
        <f t="shared" si="45"/>
        <v>44137</v>
      </c>
      <c r="K71" s="17">
        <f t="shared" si="46"/>
        <v>44137</v>
      </c>
      <c r="L71" s="16">
        <f t="shared" si="38"/>
        <v>-9.5938743822249206E-3</v>
      </c>
      <c r="M71" s="16">
        <f t="shared" si="39"/>
        <v>-3.9868189431431222E-3</v>
      </c>
      <c r="N71" s="3">
        <f t="shared" si="47"/>
        <v>-1</v>
      </c>
      <c r="O71" s="20">
        <f t="shared" si="48"/>
        <v>-6.7903466626840214E-3</v>
      </c>
      <c r="P71" s="20">
        <f t="shared" si="40"/>
        <v>-6.7903466626840214E-3</v>
      </c>
      <c r="Q71" s="29">
        <f t="shared" si="49"/>
        <v>0</v>
      </c>
      <c r="R71" s="29"/>
      <c r="S71" s="30">
        <f t="shared" si="59"/>
        <v>44104</v>
      </c>
      <c r="T71" s="32">
        <f t="shared" si="55"/>
        <v>121.04792197439781</v>
      </c>
      <c r="U71" s="32">
        <f t="shared" si="56"/>
        <v>135.97620576081235</v>
      </c>
      <c r="V71" s="32">
        <f t="shared" si="57"/>
        <v>128.70702649338887</v>
      </c>
      <c r="W71" s="32">
        <f t="shared" si="58"/>
        <v>141.95075994305259</v>
      </c>
      <c r="X71" s="31">
        <f t="shared" si="50"/>
        <v>13.243733449663722</v>
      </c>
      <c r="Y71" s="3">
        <f t="shared" si="51"/>
        <v>0</v>
      </c>
      <c r="Z71" s="3">
        <f t="shared" si="52"/>
        <v>0</v>
      </c>
      <c r="AA71" s="3">
        <f t="shared" si="53"/>
        <v>30</v>
      </c>
      <c r="AB71" s="3">
        <f t="shared" si="54"/>
        <v>0</v>
      </c>
      <c r="AC71" s="29"/>
      <c r="AD71" s="13">
        <v>41740</v>
      </c>
      <c r="AE71" s="12">
        <v>24.7592</v>
      </c>
      <c r="AF71" s="13">
        <v>41740</v>
      </c>
      <c r="AG71" s="12">
        <v>118.80500000000001</v>
      </c>
    </row>
    <row r="72" spans="1:33" x14ac:dyDescent="0.2">
      <c r="A72" s="11">
        <v>44105</v>
      </c>
      <c r="B72" s="11">
        <f t="shared" si="33"/>
        <v>44135</v>
      </c>
      <c r="C72" s="3" t="s">
        <v>26</v>
      </c>
      <c r="D72" s="3" t="s">
        <v>28</v>
      </c>
      <c r="E72" s="3" t="str">
        <f t="shared" si="41"/>
        <v>Expansion/Repair</v>
      </c>
      <c r="F72" s="14">
        <f t="shared" si="34"/>
        <v>44136</v>
      </c>
      <c r="G72" s="14">
        <f t="shared" si="42"/>
        <v>44137</v>
      </c>
      <c r="H72" s="17">
        <f t="shared" si="43"/>
        <v>44137</v>
      </c>
      <c r="I72" s="14">
        <f t="shared" si="44"/>
        <v>44166</v>
      </c>
      <c r="J72" s="14">
        <f t="shared" si="45"/>
        <v>44166</v>
      </c>
      <c r="K72" s="17">
        <f t="shared" si="46"/>
        <v>44166</v>
      </c>
      <c r="L72" s="16">
        <f t="shared" si="38"/>
        <v>-1.7307184600191539E-3</v>
      </c>
      <c r="M72" s="16">
        <f t="shared" si="39"/>
        <v>2.9752866314860515E-2</v>
      </c>
      <c r="N72" s="3">
        <f t="shared" si="47"/>
        <v>-1</v>
      </c>
      <c r="O72" s="20">
        <f t="shared" si="48"/>
        <v>1.4011073927420681E-2</v>
      </c>
      <c r="P72" s="20">
        <f t="shared" si="40"/>
        <v>2.9752866314860515E-2</v>
      </c>
      <c r="Q72" s="29">
        <f t="shared" si="49"/>
        <v>-1</v>
      </c>
      <c r="R72" s="29"/>
      <c r="S72" s="30">
        <f t="shared" si="59"/>
        <v>44135</v>
      </c>
      <c r="T72" s="32">
        <f t="shared" si="55"/>
        <v>119.88660341674607</v>
      </c>
      <c r="U72" s="32">
        <f t="shared" si="56"/>
        <v>135.43409324786842</v>
      </c>
      <c r="V72" s="32">
        <f t="shared" si="57"/>
        <v>127.8330611655755</v>
      </c>
      <c r="W72" s="32">
        <f t="shared" si="58"/>
        <v>140.98686507400782</v>
      </c>
      <c r="X72" s="31">
        <f t="shared" si="50"/>
        <v>13.153803908432323</v>
      </c>
      <c r="Y72" s="3">
        <f t="shared" si="51"/>
        <v>-1</v>
      </c>
      <c r="Z72" s="3">
        <f t="shared" si="52"/>
        <v>0</v>
      </c>
      <c r="AA72" s="3">
        <f t="shared" si="53"/>
        <v>0</v>
      </c>
      <c r="AB72" s="3">
        <f t="shared" si="54"/>
        <v>30</v>
      </c>
      <c r="AC72" s="29"/>
      <c r="AD72" s="13">
        <v>41743</v>
      </c>
      <c r="AE72" s="12">
        <v>24.769300000000001</v>
      </c>
      <c r="AF72" s="13">
        <v>41743</v>
      </c>
      <c r="AG72" s="12">
        <v>118.8857</v>
      </c>
    </row>
    <row r="73" spans="1:33" x14ac:dyDescent="0.2">
      <c r="A73" s="11">
        <v>44136</v>
      </c>
      <c r="B73" s="11">
        <f t="shared" si="33"/>
        <v>44165</v>
      </c>
      <c r="C73" s="3" t="s">
        <v>28</v>
      </c>
      <c r="D73" s="3" t="s">
        <v>28</v>
      </c>
      <c r="E73" s="3" t="str">
        <f t="shared" si="41"/>
        <v>Repair/Repair</v>
      </c>
      <c r="F73" s="14">
        <f t="shared" si="34"/>
        <v>44166</v>
      </c>
      <c r="G73" s="14">
        <f t="shared" si="42"/>
        <v>44166</v>
      </c>
      <c r="H73" s="17">
        <f t="shared" si="43"/>
        <v>44166</v>
      </c>
      <c r="I73" s="14">
        <f t="shared" si="44"/>
        <v>44197</v>
      </c>
      <c r="J73" s="14">
        <f t="shared" si="45"/>
        <v>44197</v>
      </c>
      <c r="K73" s="17">
        <f t="shared" si="46"/>
        <v>44200</v>
      </c>
      <c r="L73" s="16">
        <f t="shared" si="38"/>
        <v>2.4324306675633789E-3</v>
      </c>
      <c r="M73" s="16">
        <f t="shared" si="39"/>
        <v>2.2032048824405237E-4</v>
      </c>
      <c r="N73" s="3">
        <f t="shared" si="47"/>
        <v>1</v>
      </c>
      <c r="O73" s="20">
        <f t="shared" si="48"/>
        <v>1.3263755779037156E-3</v>
      </c>
      <c r="P73" s="20">
        <f t="shared" si="40"/>
        <v>2.2032048824405237E-4</v>
      </c>
      <c r="Q73" s="29">
        <f t="shared" si="49"/>
        <v>-1</v>
      </c>
      <c r="R73" s="29"/>
      <c r="S73" s="30">
        <f t="shared" si="59"/>
        <v>44165</v>
      </c>
      <c r="T73" s="32">
        <f t="shared" si="55"/>
        <v>119.67911345910372</v>
      </c>
      <c r="U73" s="32">
        <f t="shared" si="56"/>
        <v>139.46364571874659</v>
      </c>
      <c r="V73" s="32">
        <f t="shared" si="57"/>
        <v>129.62413963593485</v>
      </c>
      <c r="W73" s="32">
        <f t="shared" si="58"/>
        <v>145.18162842270607</v>
      </c>
      <c r="X73" s="31">
        <f t="shared" si="50"/>
        <v>15.557488786771216</v>
      </c>
      <c r="Y73" s="3">
        <f t="shared" si="51"/>
        <v>-1</v>
      </c>
      <c r="Z73" s="3">
        <f t="shared" si="52"/>
        <v>0</v>
      </c>
      <c r="AA73" s="3">
        <f t="shared" si="53"/>
        <v>0</v>
      </c>
      <c r="AB73" s="3">
        <f t="shared" si="54"/>
        <v>30</v>
      </c>
      <c r="AC73" s="29"/>
      <c r="AD73" s="13">
        <v>41744</v>
      </c>
      <c r="AE73" s="12">
        <v>24.7592</v>
      </c>
      <c r="AF73" s="13">
        <v>41744</v>
      </c>
      <c r="AG73" s="12">
        <v>119.13800000000001</v>
      </c>
    </row>
    <row r="74" spans="1:33" x14ac:dyDescent="0.2">
      <c r="A74" s="11">
        <v>44166</v>
      </c>
      <c r="B74" s="11">
        <f t="shared" si="33"/>
        <v>44196</v>
      </c>
      <c r="C74" s="3" t="s">
        <v>29</v>
      </c>
      <c r="D74" s="3" t="s">
        <v>29</v>
      </c>
      <c r="E74" s="3" t="str">
        <f t="shared" si="41"/>
        <v>Recovery/Recovery</v>
      </c>
      <c r="F74" s="14">
        <f t="shared" si="34"/>
        <v>44197</v>
      </c>
      <c r="G74" s="14">
        <f t="shared" si="42"/>
        <v>44197</v>
      </c>
      <c r="H74" s="17">
        <f t="shared" si="43"/>
        <v>44200</v>
      </c>
      <c r="I74" s="14">
        <f t="shared" si="44"/>
        <v>44228</v>
      </c>
      <c r="J74" s="14">
        <f t="shared" si="45"/>
        <v>44228</v>
      </c>
      <c r="K74" s="17">
        <f t="shared" si="46"/>
        <v>44228</v>
      </c>
      <c r="L74" s="16">
        <f t="shared" si="38"/>
        <v>-8.5596193119082953E-3</v>
      </c>
      <c r="M74" s="16">
        <f t="shared" si="39"/>
        <v>-1.1370889413070517E-2</v>
      </c>
      <c r="N74" s="3">
        <f t="shared" si="47"/>
        <v>1</v>
      </c>
      <c r="O74" s="20">
        <f t="shared" si="48"/>
        <v>-9.9652543624894063E-3</v>
      </c>
      <c r="P74" s="20">
        <f t="shared" si="40"/>
        <v>-8.5596193119082953E-3</v>
      </c>
      <c r="Q74" s="29">
        <f t="shared" si="49"/>
        <v>1</v>
      </c>
      <c r="R74" s="29"/>
      <c r="S74" s="30">
        <f t="shared" si="59"/>
        <v>44196</v>
      </c>
      <c r="T74" s="32">
        <v>100</v>
      </c>
      <c r="U74" s="32">
        <v>100</v>
      </c>
      <c r="V74" s="32">
        <v>100</v>
      </c>
      <c r="W74" s="32">
        <v>100</v>
      </c>
      <c r="X74" s="31">
        <f t="shared" si="50"/>
        <v>0</v>
      </c>
      <c r="Y74" s="3">
        <f t="shared" si="51"/>
        <v>1</v>
      </c>
      <c r="Z74" s="3">
        <f t="shared" si="52"/>
        <v>30</v>
      </c>
      <c r="AA74" s="3">
        <f t="shared" si="53"/>
        <v>0</v>
      </c>
      <c r="AB74" s="3">
        <f t="shared" si="54"/>
        <v>0</v>
      </c>
      <c r="AC74" s="29"/>
      <c r="AD74" s="13">
        <v>41745</v>
      </c>
      <c r="AE74" s="12">
        <v>24.719100000000001</v>
      </c>
      <c r="AF74" s="13">
        <v>41745</v>
      </c>
      <c r="AG74" s="12">
        <v>119.1884</v>
      </c>
    </row>
    <row r="75" spans="1:33" x14ac:dyDescent="0.2">
      <c r="A75" s="11">
        <v>44197</v>
      </c>
      <c r="B75" s="11">
        <f t="shared" si="33"/>
        <v>44227</v>
      </c>
      <c r="C75" s="3" t="s">
        <v>29</v>
      </c>
      <c r="D75" s="3" t="s">
        <v>28</v>
      </c>
      <c r="E75" s="3" t="str">
        <f t="shared" si="41"/>
        <v>Recovery/Repair</v>
      </c>
      <c r="F75" s="14">
        <f t="shared" si="34"/>
        <v>44228</v>
      </c>
      <c r="G75" s="14">
        <f t="shared" si="42"/>
        <v>44228</v>
      </c>
      <c r="H75" s="17">
        <f t="shared" si="43"/>
        <v>44228</v>
      </c>
      <c r="I75" s="14">
        <f t="shared" si="44"/>
        <v>44256</v>
      </c>
      <c r="J75" s="14">
        <f t="shared" si="45"/>
        <v>44256</v>
      </c>
      <c r="K75" s="17">
        <f t="shared" si="46"/>
        <v>44256</v>
      </c>
      <c r="L75" s="16">
        <f t="shared" si="38"/>
        <v>-2.2175134282757525E-2</v>
      </c>
      <c r="M75" s="16">
        <f t="shared" si="39"/>
        <v>-2.3604512716869919E-2</v>
      </c>
      <c r="N75" s="3">
        <f t="shared" si="47"/>
        <v>1</v>
      </c>
      <c r="O75" s="20">
        <f t="shared" si="48"/>
        <v>-2.2889823499813722E-2</v>
      </c>
      <c r="P75" s="20">
        <f t="shared" si="40"/>
        <v>-2.2889823499813722E-2</v>
      </c>
      <c r="Q75" s="29">
        <f t="shared" si="49"/>
        <v>0</v>
      </c>
      <c r="R75" s="29"/>
      <c r="S75" s="30">
        <f t="shared" si="59"/>
        <v>44227</v>
      </c>
      <c r="T75" s="32">
        <f t="shared" si="55"/>
        <v>99.144038068809166</v>
      </c>
      <c r="U75" s="32">
        <f t="shared" si="56"/>
        <v>98.862911058692944</v>
      </c>
      <c r="V75" s="32">
        <f t="shared" si="57"/>
        <v>99.003474563751055</v>
      </c>
      <c r="W75" s="32">
        <f t="shared" si="58"/>
        <v>99.144038068809166</v>
      </c>
      <c r="X75" s="31">
        <f t="shared" si="50"/>
        <v>0.1405635050581111</v>
      </c>
      <c r="Y75" s="3">
        <f t="shared" si="51"/>
        <v>0</v>
      </c>
      <c r="Z75" s="3">
        <f t="shared" si="52"/>
        <v>0</v>
      </c>
      <c r="AA75" s="3">
        <f t="shared" si="53"/>
        <v>30</v>
      </c>
      <c r="AB75" s="3">
        <f t="shared" si="54"/>
        <v>0</v>
      </c>
      <c r="AC75" s="29"/>
      <c r="AD75" s="13">
        <v>41746</v>
      </c>
      <c r="AE75" s="12">
        <v>24.767199999999999</v>
      </c>
      <c r="AF75" s="13">
        <v>41746</v>
      </c>
      <c r="AG75" s="12">
        <v>118.50239999999999</v>
      </c>
    </row>
    <row r="76" spans="1:33" x14ac:dyDescent="0.2">
      <c r="A76" s="11">
        <v>44228</v>
      </c>
      <c r="B76" s="11">
        <f t="shared" si="33"/>
        <v>44255</v>
      </c>
      <c r="C76" s="3" t="s">
        <v>27</v>
      </c>
      <c r="D76" s="3" t="s">
        <v>28</v>
      </c>
      <c r="E76" s="3" t="str">
        <f t="shared" si="41"/>
        <v>Downturn/Repair</v>
      </c>
      <c r="F76" s="14">
        <f t="shared" si="34"/>
        <v>44256</v>
      </c>
      <c r="G76" s="14">
        <f t="shared" si="42"/>
        <v>44256</v>
      </c>
      <c r="H76" s="17">
        <f t="shared" si="43"/>
        <v>44256</v>
      </c>
      <c r="I76" s="14">
        <f t="shared" si="44"/>
        <v>44287</v>
      </c>
      <c r="J76" s="14">
        <f t="shared" si="45"/>
        <v>44287</v>
      </c>
      <c r="K76" s="17">
        <f t="shared" si="46"/>
        <v>44287</v>
      </c>
      <c r="L76" s="16">
        <f t="shared" si="38"/>
        <v>-8.8965042248316806E-3</v>
      </c>
      <c r="M76" s="16">
        <f t="shared" si="39"/>
        <v>-9.5822592546452867E-3</v>
      </c>
      <c r="N76" s="3">
        <f t="shared" si="47"/>
        <v>1</v>
      </c>
      <c r="O76" s="20">
        <f t="shared" si="48"/>
        <v>-9.2393817397384836E-3</v>
      </c>
      <c r="P76" s="20">
        <f t="shared" si="40"/>
        <v>-8.8965042248316806E-3</v>
      </c>
      <c r="Q76" s="29">
        <f t="shared" si="49"/>
        <v>1</v>
      </c>
      <c r="R76" s="29"/>
      <c r="S76" s="30">
        <f t="shared" si="59"/>
        <v>44255</v>
      </c>
      <c r="T76" s="32">
        <f t="shared" si="55"/>
        <v>96.945505711298495</v>
      </c>
      <c r="U76" s="32">
        <f t="shared" si="56"/>
        <v>96.529300217381248</v>
      </c>
      <c r="V76" s="32">
        <f t="shared" si="57"/>
        <v>96.737302505118492</v>
      </c>
      <c r="W76" s="32">
        <f t="shared" si="58"/>
        <v>96.874648536355309</v>
      </c>
      <c r="X76" s="31">
        <f t="shared" si="50"/>
        <v>0.13734603123681666</v>
      </c>
      <c r="Y76" s="3">
        <f t="shared" si="51"/>
        <v>1</v>
      </c>
      <c r="Z76" s="3">
        <f t="shared" si="52"/>
        <v>30</v>
      </c>
      <c r="AA76" s="3">
        <f t="shared" si="53"/>
        <v>0</v>
      </c>
      <c r="AB76" s="3">
        <f t="shared" si="54"/>
        <v>0</v>
      </c>
      <c r="AC76" s="29"/>
      <c r="AD76" s="13">
        <v>41750</v>
      </c>
      <c r="AE76" s="12">
        <v>24.6389</v>
      </c>
      <c r="AF76" s="13">
        <v>41750</v>
      </c>
      <c r="AG76" s="12">
        <v>118.66379999999999</v>
      </c>
    </row>
    <row r="77" spans="1:33" x14ac:dyDescent="0.2">
      <c r="A77" s="11">
        <v>44256</v>
      </c>
      <c r="B77" s="11">
        <f t="shared" si="33"/>
        <v>44286</v>
      </c>
      <c r="C77" s="3" t="s">
        <v>26</v>
      </c>
      <c r="D77" s="3" t="s">
        <v>28</v>
      </c>
      <c r="E77" s="3" t="str">
        <f t="shared" si="41"/>
        <v>Expansion/Repair</v>
      </c>
      <c r="F77" s="14">
        <f t="shared" si="34"/>
        <v>44287</v>
      </c>
      <c r="G77" s="14">
        <f t="shared" si="42"/>
        <v>44287</v>
      </c>
      <c r="H77" s="17">
        <f t="shared" si="43"/>
        <v>44287</v>
      </c>
      <c r="I77" s="14">
        <f t="shared" si="44"/>
        <v>44317</v>
      </c>
      <c r="J77" s="14">
        <f t="shared" si="45"/>
        <v>44319</v>
      </c>
      <c r="K77" s="17">
        <f t="shared" si="46"/>
        <v>44319</v>
      </c>
      <c r="L77" s="16">
        <f t="shared" si="38"/>
        <v>4.7729298942023046E-3</v>
      </c>
      <c r="M77" s="16">
        <f t="shared" si="39"/>
        <v>6.5473386432066683E-3</v>
      </c>
      <c r="N77" s="3">
        <f t="shared" si="47"/>
        <v>-1</v>
      </c>
      <c r="O77" s="20">
        <f t="shared" si="48"/>
        <v>5.6601342687044864E-3</v>
      </c>
      <c r="P77" s="20">
        <f t="shared" si="40"/>
        <v>6.5473386432066683E-3</v>
      </c>
      <c r="Q77" s="29">
        <f t="shared" si="49"/>
        <v>-1</v>
      </c>
      <c r="R77" s="29"/>
      <c r="S77" s="30">
        <f t="shared" si="59"/>
        <v>44286</v>
      </c>
      <c r="T77" s="32">
        <f t="shared" si="55"/>
        <v>96.083029610159485</v>
      </c>
      <c r="U77" s="32">
        <f t="shared" si="56"/>
        <v>95.604331437028819</v>
      </c>
      <c r="V77" s="32">
        <f t="shared" si="57"/>
        <v>95.843509638801137</v>
      </c>
      <c r="W77" s="32">
        <f t="shared" si="58"/>
        <v>96.012802816372542</v>
      </c>
      <c r="X77" s="31">
        <f t="shared" si="50"/>
        <v>0.16929317757140439</v>
      </c>
      <c r="Y77" s="3">
        <f t="shared" si="51"/>
        <v>-1</v>
      </c>
      <c r="Z77" s="3">
        <f t="shared" si="52"/>
        <v>0</v>
      </c>
      <c r="AA77" s="3">
        <f t="shared" si="53"/>
        <v>0</v>
      </c>
      <c r="AB77" s="3">
        <f t="shared" si="54"/>
        <v>30</v>
      </c>
      <c r="AC77" s="29"/>
      <c r="AD77" s="13">
        <v>41751</v>
      </c>
      <c r="AE77" s="12">
        <v>24.6389</v>
      </c>
      <c r="AF77" s="13">
        <v>41751</v>
      </c>
      <c r="AG77" s="12">
        <v>118.7243</v>
      </c>
    </row>
    <row r="78" spans="1:33" x14ac:dyDescent="0.2">
      <c r="A78" s="11">
        <v>44287</v>
      </c>
      <c r="B78" s="11">
        <f t="shared" si="33"/>
        <v>44316</v>
      </c>
      <c r="C78" s="3" t="s">
        <v>26</v>
      </c>
      <c r="D78" s="3" t="s">
        <v>29</v>
      </c>
      <c r="E78" s="3" t="str">
        <f t="shared" si="41"/>
        <v>Expansion/Recovery</v>
      </c>
      <c r="F78" s="14">
        <f t="shared" si="34"/>
        <v>44317</v>
      </c>
      <c r="G78" s="14">
        <f t="shared" si="42"/>
        <v>44319</v>
      </c>
      <c r="H78" s="17">
        <f t="shared" si="43"/>
        <v>44319</v>
      </c>
      <c r="I78" s="14">
        <f t="shared" si="44"/>
        <v>44348</v>
      </c>
      <c r="J78" s="14">
        <f t="shared" si="45"/>
        <v>44348</v>
      </c>
      <c r="K78" s="17">
        <f t="shared" si="46"/>
        <v>44348</v>
      </c>
      <c r="L78" s="16">
        <f t="shared" si="38"/>
        <v>4.4533661712864436E-4</v>
      </c>
      <c r="M78" s="16">
        <f t="shared" si="39"/>
        <v>3.9375755493020748E-3</v>
      </c>
      <c r="N78" s="3">
        <f t="shared" si="47"/>
        <v>-1</v>
      </c>
      <c r="O78" s="20">
        <f t="shared" si="48"/>
        <v>2.1914560832153596E-3</v>
      </c>
      <c r="P78" s="20">
        <f t="shared" si="40"/>
        <v>2.1914560832153596E-3</v>
      </c>
      <c r="Q78" s="29">
        <f t="shared" si="49"/>
        <v>0</v>
      </c>
      <c r="R78" s="29"/>
      <c r="S78" s="30">
        <f t="shared" si="59"/>
        <v>44316</v>
      </c>
      <c r="T78" s="32">
        <f t="shared" si="55"/>
        <v>96.541627174511348</v>
      </c>
      <c r="U78" s="32">
        <f t="shared" si="56"/>
        <v>96.230285370704422</v>
      </c>
      <c r="V78" s="32">
        <f t="shared" si="57"/>
        <v>96.385996772140615</v>
      </c>
      <c r="W78" s="32">
        <f t="shared" si="58"/>
        <v>96.641431150494753</v>
      </c>
      <c r="X78" s="31">
        <f t="shared" si="50"/>
        <v>0.2554343783541384</v>
      </c>
      <c r="Y78" s="3">
        <f t="shared" si="51"/>
        <v>0</v>
      </c>
      <c r="Z78" s="3">
        <f t="shared" si="52"/>
        <v>0</v>
      </c>
      <c r="AA78" s="3">
        <f t="shared" si="53"/>
        <v>30</v>
      </c>
      <c r="AB78" s="3">
        <f t="shared" si="54"/>
        <v>0</v>
      </c>
      <c r="AC78" s="29"/>
      <c r="AD78" s="13">
        <v>41752</v>
      </c>
      <c r="AE78" s="12">
        <v>24.699100000000001</v>
      </c>
      <c r="AF78" s="13">
        <v>41752</v>
      </c>
      <c r="AG78" s="12">
        <v>118.9866</v>
      </c>
    </row>
    <row r="79" spans="1:33" x14ac:dyDescent="0.2">
      <c r="A79" s="11">
        <v>44317</v>
      </c>
      <c r="B79" s="11">
        <f t="shared" si="33"/>
        <v>44347</v>
      </c>
      <c r="C79" s="3" t="s">
        <v>26</v>
      </c>
      <c r="D79" s="3" t="s">
        <v>29</v>
      </c>
      <c r="E79" s="3" t="str">
        <f t="shared" si="41"/>
        <v>Expansion/Recovery</v>
      </c>
      <c r="F79" s="14">
        <f t="shared" si="34"/>
        <v>44348</v>
      </c>
      <c r="G79" s="14">
        <f t="shared" si="42"/>
        <v>44348</v>
      </c>
      <c r="H79" s="17">
        <f t="shared" si="43"/>
        <v>44348</v>
      </c>
      <c r="I79" s="14">
        <f t="shared" si="44"/>
        <v>44378</v>
      </c>
      <c r="J79" s="14">
        <f t="shared" si="45"/>
        <v>44378</v>
      </c>
      <c r="K79" s="17">
        <f t="shared" si="46"/>
        <v>44378</v>
      </c>
      <c r="L79" s="16">
        <f t="shared" si="38"/>
        <v>8.0226076341232133E-3</v>
      </c>
      <c r="M79" s="16">
        <f t="shared" si="39"/>
        <v>2.1092380148770573E-2</v>
      </c>
      <c r="N79" s="3">
        <f t="shared" si="47"/>
        <v>-1</v>
      </c>
      <c r="O79" s="20">
        <f t="shared" si="48"/>
        <v>1.4557493891446893E-2</v>
      </c>
      <c r="P79" s="20">
        <f t="shared" si="40"/>
        <v>1.4557493891446893E-2</v>
      </c>
      <c r="Q79" s="29">
        <f t="shared" si="49"/>
        <v>0</v>
      </c>
      <c r="R79" s="29"/>
      <c r="S79" s="30">
        <f t="shared" si="59"/>
        <v>44347</v>
      </c>
      <c r="T79" s="32">
        <f t="shared" si="55"/>
        <v>96.584620696169338</v>
      </c>
      <c r="U79" s="32">
        <f t="shared" si="56"/>
        <v>96.60919938948247</v>
      </c>
      <c r="V79" s="32">
        <f t="shared" si="57"/>
        <v>96.597222451103704</v>
      </c>
      <c r="W79" s="32">
        <f t="shared" si="58"/>
        <v>96.853216602680149</v>
      </c>
      <c r="X79" s="31">
        <f t="shared" si="50"/>
        <v>0.25599415157644501</v>
      </c>
      <c r="Y79" s="3">
        <f t="shared" si="51"/>
        <v>0</v>
      </c>
      <c r="Z79" s="3">
        <f t="shared" si="52"/>
        <v>0</v>
      </c>
      <c r="AA79" s="3">
        <f t="shared" si="53"/>
        <v>30</v>
      </c>
      <c r="AB79" s="3">
        <f t="shared" si="54"/>
        <v>0</v>
      </c>
      <c r="AC79" s="29"/>
      <c r="AD79" s="13">
        <v>41753</v>
      </c>
      <c r="AE79" s="12">
        <v>24.709099999999999</v>
      </c>
      <c r="AF79" s="13">
        <v>41753</v>
      </c>
      <c r="AG79" s="12">
        <v>119.0068</v>
      </c>
    </row>
    <row r="80" spans="1:33" x14ac:dyDescent="0.2">
      <c r="A80" s="11">
        <v>44348</v>
      </c>
      <c r="B80" s="11">
        <f t="shared" si="33"/>
        <v>44377</v>
      </c>
      <c r="C80" s="3" t="s">
        <v>26</v>
      </c>
      <c r="D80" s="3" t="s">
        <v>26</v>
      </c>
      <c r="E80" s="3" t="str">
        <f t="shared" si="41"/>
        <v>Expansion/Expansion</v>
      </c>
      <c r="F80" s="14">
        <f t="shared" si="34"/>
        <v>44378</v>
      </c>
      <c r="G80" s="14">
        <f t="shared" si="42"/>
        <v>44378</v>
      </c>
      <c r="H80" s="17">
        <f t="shared" si="43"/>
        <v>44378</v>
      </c>
      <c r="I80" s="14">
        <f t="shared" si="44"/>
        <v>44409</v>
      </c>
      <c r="J80" s="14">
        <f t="shared" si="45"/>
        <v>44410</v>
      </c>
      <c r="K80" s="17">
        <f t="shared" si="46"/>
        <v>44410</v>
      </c>
      <c r="L80" s="16">
        <f t="shared" si="38"/>
        <v>1.7068340269507098E-2</v>
      </c>
      <c r="M80" s="16">
        <f t="shared" si="39"/>
        <v>1.8009395900780545E-2</v>
      </c>
      <c r="N80" s="3">
        <f t="shared" si="47"/>
        <v>-1</v>
      </c>
      <c r="O80" s="20">
        <f t="shared" si="48"/>
        <v>1.7538868085143822E-2</v>
      </c>
      <c r="P80" s="20">
        <f t="shared" si="40"/>
        <v>1.7538868085143822E-2</v>
      </c>
      <c r="Q80" s="29">
        <f t="shared" si="49"/>
        <v>0</v>
      </c>
      <c r="R80" s="29"/>
      <c r="S80" s="30">
        <f t="shared" si="59"/>
        <v>44377</v>
      </c>
      <c r="T80" s="32">
        <f t="shared" si="55"/>
        <v>97.359481211505326</v>
      </c>
      <c r="U80" s="32">
        <f t="shared" si="56"/>
        <v>98.646917348873814</v>
      </c>
      <c r="V80" s="32">
        <f t="shared" si="57"/>
        <v>98.003435926866374</v>
      </c>
      <c r="W80" s="32">
        <f t="shared" si="58"/>
        <v>98.263156711740635</v>
      </c>
      <c r="X80" s="31">
        <f t="shared" si="50"/>
        <v>0.25972078487426131</v>
      </c>
      <c r="Y80" s="3">
        <f t="shared" si="51"/>
        <v>0</v>
      </c>
      <c r="Z80" s="3">
        <f t="shared" si="52"/>
        <v>0</v>
      </c>
      <c r="AA80" s="3">
        <f t="shared" si="53"/>
        <v>30</v>
      </c>
      <c r="AB80" s="3">
        <f t="shared" si="54"/>
        <v>0</v>
      </c>
      <c r="AC80" s="29"/>
      <c r="AD80" s="13">
        <v>41754</v>
      </c>
      <c r="AE80" s="12">
        <v>24.715900000000001</v>
      </c>
      <c r="AF80" s="13">
        <v>41754</v>
      </c>
      <c r="AG80" s="12">
        <v>118.9866</v>
      </c>
    </row>
    <row r="81" spans="1:33" x14ac:dyDescent="0.2">
      <c r="A81" s="11">
        <v>44378</v>
      </c>
      <c r="B81" s="11">
        <f t="shared" si="33"/>
        <v>44408</v>
      </c>
      <c r="C81" s="3" t="s">
        <v>26</v>
      </c>
      <c r="D81" s="3" t="s">
        <v>26</v>
      </c>
      <c r="E81" s="3" t="str">
        <f t="shared" si="41"/>
        <v>Expansion/Expansion</v>
      </c>
      <c r="F81" s="14">
        <f t="shared" si="34"/>
        <v>44409</v>
      </c>
      <c r="G81" s="14">
        <f t="shared" si="42"/>
        <v>44410</v>
      </c>
      <c r="H81" s="17">
        <f t="shared" si="43"/>
        <v>44410</v>
      </c>
      <c r="I81" s="14">
        <f t="shared" si="44"/>
        <v>44440</v>
      </c>
      <c r="J81" s="14">
        <f t="shared" si="45"/>
        <v>44440</v>
      </c>
      <c r="K81" s="17">
        <f t="shared" si="46"/>
        <v>44440</v>
      </c>
      <c r="L81" s="16">
        <f t="shared" si="38"/>
        <v>-4.7234045352578802E-3</v>
      </c>
      <c r="M81" s="16">
        <f t="shared" si="39"/>
        <v>-5.0374063402235381E-3</v>
      </c>
      <c r="N81" s="3">
        <f t="shared" si="47"/>
        <v>1</v>
      </c>
      <c r="O81" s="20">
        <f t="shared" si="48"/>
        <v>-4.8804054377407091E-3</v>
      </c>
      <c r="P81" s="20">
        <f t="shared" si="40"/>
        <v>-4.8804054377407091E-3</v>
      </c>
      <c r="Q81" s="29">
        <f t="shared" si="49"/>
        <v>0</v>
      </c>
      <c r="R81" s="29"/>
      <c r="S81" s="30">
        <f t="shared" si="59"/>
        <v>44408</v>
      </c>
      <c r="T81" s="32">
        <f t="shared" si="55"/>
        <v>99.021245965285985</v>
      </c>
      <c r="U81" s="32">
        <f t="shared" si="56"/>
        <v>100.42348873780126</v>
      </c>
      <c r="V81" s="32">
        <f t="shared" si="57"/>
        <v>99.722305261478525</v>
      </c>
      <c r="W81" s="32">
        <f t="shared" si="58"/>
        <v>99.986581254937676</v>
      </c>
      <c r="X81" s="31">
        <f t="shared" si="50"/>
        <v>0.26427599345915098</v>
      </c>
      <c r="Y81" s="3">
        <f t="shared" si="51"/>
        <v>0</v>
      </c>
      <c r="Z81" s="3">
        <f t="shared" si="52"/>
        <v>0</v>
      </c>
      <c r="AA81" s="3">
        <f t="shared" si="53"/>
        <v>30</v>
      </c>
      <c r="AB81" s="3">
        <f t="shared" si="54"/>
        <v>0</v>
      </c>
      <c r="AC81" s="29"/>
      <c r="AD81" s="13">
        <v>41757</v>
      </c>
      <c r="AE81" s="12">
        <v>24.678999999999998</v>
      </c>
      <c r="AF81" s="13">
        <v>41757</v>
      </c>
      <c r="AG81" s="12">
        <v>118.8454</v>
      </c>
    </row>
    <row r="82" spans="1:33" x14ac:dyDescent="0.2">
      <c r="A82" s="11">
        <v>44409</v>
      </c>
      <c r="B82" s="11">
        <f t="shared" si="33"/>
        <v>44439</v>
      </c>
      <c r="C82" s="3" t="s">
        <v>27</v>
      </c>
      <c r="D82" s="3" t="s">
        <v>26</v>
      </c>
      <c r="E82" s="3" t="str">
        <f t="shared" si="41"/>
        <v>Downturn/Expansion</v>
      </c>
      <c r="F82" s="14">
        <f t="shared" si="34"/>
        <v>44440</v>
      </c>
      <c r="G82" s="14">
        <f t="shared" si="42"/>
        <v>44440</v>
      </c>
      <c r="H82" s="17">
        <f t="shared" si="43"/>
        <v>44440</v>
      </c>
      <c r="I82" s="14">
        <f t="shared" si="44"/>
        <v>44470</v>
      </c>
      <c r="J82" s="14">
        <f t="shared" si="45"/>
        <v>44470</v>
      </c>
      <c r="K82" s="17">
        <f t="shared" si="46"/>
        <v>44470</v>
      </c>
      <c r="L82" s="16">
        <f t="shared" si="38"/>
        <v>-7.9813075463840422E-3</v>
      </c>
      <c r="M82" s="16">
        <f t="shared" si="39"/>
        <v>-9.2023457186585222E-3</v>
      </c>
      <c r="N82" s="3">
        <f t="shared" si="47"/>
        <v>1</v>
      </c>
      <c r="O82" s="20">
        <f t="shared" si="48"/>
        <v>-8.5918266325212822E-3</v>
      </c>
      <c r="P82" s="20">
        <f t="shared" si="40"/>
        <v>-8.5918266325212822E-3</v>
      </c>
      <c r="Q82" s="29">
        <f t="shared" si="49"/>
        <v>0</v>
      </c>
      <c r="R82" s="29"/>
      <c r="S82" s="30">
        <f t="shared" si="59"/>
        <v>44439</v>
      </c>
      <c r="T82" s="32">
        <f t="shared" si="55"/>
        <v>98.553528563006665</v>
      </c>
      <c r="U82" s="32">
        <f t="shared" si="56"/>
        <v>99.917614818926097</v>
      </c>
      <c r="V82" s="32">
        <f t="shared" si="57"/>
        <v>99.235619980616363</v>
      </c>
      <c r="W82" s="32">
        <f t="shared" si="58"/>
        <v>99.498606200079976</v>
      </c>
      <c r="X82" s="31">
        <f t="shared" si="50"/>
        <v>0.26298621946361322</v>
      </c>
      <c r="Y82" s="3">
        <f t="shared" si="51"/>
        <v>0</v>
      </c>
      <c r="Z82" s="3">
        <f t="shared" si="52"/>
        <v>0</v>
      </c>
      <c r="AA82" s="3">
        <f t="shared" si="53"/>
        <v>30</v>
      </c>
      <c r="AB82" s="3">
        <f t="shared" si="54"/>
        <v>0</v>
      </c>
      <c r="AC82" s="29"/>
      <c r="AD82" s="13">
        <v>41758</v>
      </c>
      <c r="AE82" s="12">
        <v>24.7041</v>
      </c>
      <c r="AF82" s="13">
        <v>41758</v>
      </c>
      <c r="AG82" s="12">
        <v>118.8656</v>
      </c>
    </row>
    <row r="83" spans="1:33" x14ac:dyDescent="0.2">
      <c r="A83" s="11">
        <v>44440</v>
      </c>
      <c r="B83" s="11">
        <f t="shared" si="33"/>
        <v>44469</v>
      </c>
      <c r="C83" s="3" t="s">
        <v>26</v>
      </c>
      <c r="D83" s="3" t="s">
        <v>26</v>
      </c>
      <c r="E83" s="3" t="str">
        <f t="shared" si="41"/>
        <v>Expansion/Expansion</v>
      </c>
      <c r="F83" s="14">
        <f t="shared" si="34"/>
        <v>44470</v>
      </c>
      <c r="G83" s="14">
        <f t="shared" si="42"/>
        <v>44470</v>
      </c>
      <c r="H83" s="17">
        <f t="shared" si="43"/>
        <v>44470</v>
      </c>
      <c r="I83" s="14">
        <f t="shared" si="44"/>
        <v>44501</v>
      </c>
      <c r="J83" s="14">
        <f t="shared" si="45"/>
        <v>44501</v>
      </c>
      <c r="K83" s="17">
        <f t="shared" si="46"/>
        <v>44501</v>
      </c>
      <c r="L83" s="16">
        <f t="shared" si="38"/>
        <v>-5.2304217319025792E-3</v>
      </c>
      <c r="M83" s="16">
        <f t="shared" si="39"/>
        <v>-3.7211996839431327E-3</v>
      </c>
      <c r="N83" s="3">
        <f t="shared" si="47"/>
        <v>-1</v>
      </c>
      <c r="O83" s="20">
        <f t="shared" si="48"/>
        <v>-4.475810707922856E-3</v>
      </c>
      <c r="P83" s="20">
        <f t="shared" si="40"/>
        <v>-4.475810707922856E-3</v>
      </c>
      <c r="Q83" s="29">
        <f t="shared" si="49"/>
        <v>0</v>
      </c>
      <c r="R83" s="29"/>
      <c r="S83" s="30">
        <f t="shared" si="59"/>
        <v>44469</v>
      </c>
      <c r="T83" s="32">
        <f t="shared" si="55"/>
        <v>97.766942541763967</v>
      </c>
      <c r="U83" s="32">
        <f t="shared" si="56"/>
        <v>98.998138383978585</v>
      </c>
      <c r="V83" s="32">
        <f t="shared" si="57"/>
        <v>98.383004737972144</v>
      </c>
      <c r="W83" s="32">
        <f t="shared" si="58"/>
        <v>98.643731425431383</v>
      </c>
      <c r="X83" s="31">
        <f t="shared" si="50"/>
        <v>0.26072668745923977</v>
      </c>
      <c r="Y83" s="3">
        <f t="shared" si="51"/>
        <v>0</v>
      </c>
      <c r="Z83" s="3">
        <f t="shared" si="52"/>
        <v>0</v>
      </c>
      <c r="AA83" s="3">
        <f t="shared" si="53"/>
        <v>30</v>
      </c>
      <c r="AB83" s="3">
        <f t="shared" si="54"/>
        <v>0</v>
      </c>
      <c r="AC83" s="29"/>
      <c r="AD83" s="13">
        <v>41759</v>
      </c>
      <c r="AE83" s="12">
        <v>24.7592</v>
      </c>
      <c r="AF83" s="13">
        <v>41759</v>
      </c>
      <c r="AG83" s="12">
        <v>119.1985</v>
      </c>
    </row>
    <row r="84" spans="1:33" x14ac:dyDescent="0.2">
      <c r="A84" s="11">
        <v>44470</v>
      </c>
      <c r="B84" s="11">
        <f t="shared" ref="B84:B132" si="60">EOMONTH(A84,0)</f>
        <v>44500</v>
      </c>
      <c r="C84" s="3" t="s">
        <v>26</v>
      </c>
      <c r="D84" s="3" t="s">
        <v>26</v>
      </c>
      <c r="E84" s="3" t="str">
        <f t="shared" si="41"/>
        <v>Expansion/Expansion</v>
      </c>
      <c r="F84" s="14">
        <f t="shared" ref="F84:F132" si="61">B84+1</f>
        <v>44501</v>
      </c>
      <c r="G84" s="14">
        <f t="shared" si="42"/>
        <v>44501</v>
      </c>
      <c r="H84" s="17">
        <f t="shared" si="43"/>
        <v>44501</v>
      </c>
      <c r="I84" s="14">
        <f t="shared" si="44"/>
        <v>44531</v>
      </c>
      <c r="J84" s="14">
        <f t="shared" si="45"/>
        <v>44531</v>
      </c>
      <c r="K84" s="17">
        <f t="shared" si="46"/>
        <v>44531</v>
      </c>
      <c r="L84" s="16">
        <f t="shared" si="38"/>
        <v>1.0482355817372557E-2</v>
      </c>
      <c r="M84" s="16">
        <f t="shared" si="39"/>
        <v>7.4385440852431373E-4</v>
      </c>
      <c r="N84" s="3">
        <f t="shared" si="47"/>
        <v>1</v>
      </c>
      <c r="O84" s="20">
        <f t="shared" si="48"/>
        <v>5.6131051129484355E-3</v>
      </c>
      <c r="P84" s="20">
        <f t="shared" si="40"/>
        <v>5.6131051129484355E-3</v>
      </c>
      <c r="Q84" s="29">
        <f t="shared" si="49"/>
        <v>0</v>
      </c>
      <c r="R84" s="29"/>
      <c r="S84" s="30">
        <f t="shared" si="59"/>
        <v>44500</v>
      </c>
      <c r="T84" s="32">
        <f t="shared" si="55"/>
        <v>97.255580200831858</v>
      </c>
      <c r="U84" s="32">
        <f t="shared" si="56"/>
        <v>98.629746542713164</v>
      </c>
      <c r="V84" s="32">
        <f t="shared" si="57"/>
        <v>97.942661031888306</v>
      </c>
      <c r="W84" s="32">
        <f t="shared" si="58"/>
        <v>98.202220756047979</v>
      </c>
      <c r="X84" s="31">
        <f t="shared" si="50"/>
        <v>0.2595597241596721</v>
      </c>
      <c r="Y84" s="3">
        <f t="shared" si="51"/>
        <v>0</v>
      </c>
      <c r="Z84" s="3">
        <f t="shared" si="52"/>
        <v>0</v>
      </c>
      <c r="AA84" s="3">
        <f t="shared" si="53"/>
        <v>30</v>
      </c>
      <c r="AB84" s="3">
        <f t="shared" si="54"/>
        <v>0</v>
      </c>
      <c r="AC84" s="29"/>
      <c r="AD84" s="13">
        <v>41760</v>
      </c>
      <c r="AE84" s="12">
        <v>24.7744</v>
      </c>
      <c r="AF84" s="13">
        <v>41760</v>
      </c>
      <c r="AG84" s="12">
        <v>119.69670000000001</v>
      </c>
    </row>
    <row r="85" spans="1:33" x14ac:dyDescent="0.2">
      <c r="A85" s="11">
        <v>44501</v>
      </c>
      <c r="B85" s="11">
        <f t="shared" si="60"/>
        <v>44530</v>
      </c>
      <c r="C85" s="3" t="s">
        <v>26</v>
      </c>
      <c r="D85" s="3" t="s">
        <v>26</v>
      </c>
      <c r="E85" s="3" t="str">
        <f t="shared" si="41"/>
        <v>Expansion/Expansion</v>
      </c>
      <c r="F85" s="14">
        <f t="shared" si="61"/>
        <v>44531</v>
      </c>
      <c r="G85" s="14">
        <f t="shared" si="42"/>
        <v>44531</v>
      </c>
      <c r="H85" s="17">
        <f t="shared" si="43"/>
        <v>44531</v>
      </c>
      <c r="I85" s="14">
        <f t="shared" si="44"/>
        <v>44562</v>
      </c>
      <c r="J85" s="14">
        <f t="shared" si="45"/>
        <v>44564</v>
      </c>
      <c r="K85" s="17">
        <f t="shared" si="46"/>
        <v>44564</v>
      </c>
      <c r="L85" s="16">
        <f t="shared" si="38"/>
        <v>-1.5997905391297307E-2</v>
      </c>
      <c r="M85" s="16">
        <f t="shared" si="39"/>
        <v>-1.1116135441365249E-2</v>
      </c>
      <c r="N85" s="3">
        <f t="shared" si="47"/>
        <v>-1</v>
      </c>
      <c r="O85" s="20">
        <f t="shared" si="48"/>
        <v>-1.3557020416331278E-2</v>
      </c>
      <c r="P85" s="20">
        <f t="shared" si="40"/>
        <v>-1.3557020416331278E-2</v>
      </c>
      <c r="Q85" s="29">
        <f t="shared" si="49"/>
        <v>0</v>
      </c>
      <c r="R85" s="29"/>
      <c r="S85" s="30">
        <f t="shared" si="59"/>
        <v>44530</v>
      </c>
      <c r="T85" s="32">
        <f t="shared" si="55"/>
        <v>98.275047797721996</v>
      </c>
      <c r="U85" s="32">
        <f t="shared" si="56"/>
        <v>98.703112714490601</v>
      </c>
      <c r="V85" s="32">
        <f t="shared" si="57"/>
        <v>98.492423483302176</v>
      </c>
      <c r="W85" s="32">
        <f t="shared" si="58"/>
        <v>98.753440143476638</v>
      </c>
      <c r="X85" s="31">
        <f t="shared" si="50"/>
        <v>0.26101666017446234</v>
      </c>
      <c r="Y85" s="3">
        <f t="shared" si="51"/>
        <v>0</v>
      </c>
      <c r="Z85" s="3">
        <f t="shared" si="52"/>
        <v>0</v>
      </c>
      <c r="AA85" s="3">
        <f t="shared" si="53"/>
        <v>30</v>
      </c>
      <c r="AB85" s="3">
        <f t="shared" si="54"/>
        <v>0</v>
      </c>
      <c r="AC85" s="29"/>
      <c r="AD85" s="13">
        <v>41761</v>
      </c>
      <c r="AE85" s="12">
        <v>24.794499999999999</v>
      </c>
      <c r="AF85" s="13">
        <v>41761</v>
      </c>
      <c r="AG85" s="12">
        <v>119.9496</v>
      </c>
    </row>
    <row r="86" spans="1:33" x14ac:dyDescent="0.2">
      <c r="A86" s="11">
        <v>44531</v>
      </c>
      <c r="B86" s="11">
        <f t="shared" si="60"/>
        <v>44561</v>
      </c>
      <c r="C86" s="3" t="s">
        <v>26</v>
      </c>
      <c r="D86" s="3" t="s">
        <v>26</v>
      </c>
      <c r="E86" s="3" t="str">
        <f t="shared" si="41"/>
        <v>Expansion/Expansion</v>
      </c>
      <c r="F86" s="14">
        <f t="shared" si="61"/>
        <v>44562</v>
      </c>
      <c r="G86" s="14">
        <f t="shared" si="42"/>
        <v>44564</v>
      </c>
      <c r="H86" s="17">
        <f t="shared" si="43"/>
        <v>44564</v>
      </c>
      <c r="I86" s="14">
        <f t="shared" si="44"/>
        <v>44593</v>
      </c>
      <c r="J86" s="14">
        <f t="shared" si="45"/>
        <v>44593</v>
      </c>
      <c r="K86" s="17">
        <f t="shared" si="46"/>
        <v>44593</v>
      </c>
      <c r="L86" s="16">
        <f t="shared" si="38"/>
        <v>-1.0926237790501836E-2</v>
      </c>
      <c r="M86" s="16">
        <f t="shared" si="39"/>
        <v>-2.393396790797675E-2</v>
      </c>
      <c r="N86" s="3">
        <f t="shared" si="47"/>
        <v>1</v>
      </c>
      <c r="O86" s="20">
        <f t="shared" si="48"/>
        <v>-1.7430102849239293E-2</v>
      </c>
      <c r="P86" s="20">
        <f t="shared" si="40"/>
        <v>-1.7430102849239293E-2</v>
      </c>
      <c r="Q86" s="29">
        <f t="shared" si="49"/>
        <v>0</v>
      </c>
      <c r="R86" s="29"/>
      <c r="S86" s="30">
        <f t="shared" si="59"/>
        <v>44561</v>
      </c>
      <c r="T86" s="32">
        <f t="shared" si="55"/>
        <v>96.702852880728813</v>
      </c>
      <c r="U86" s="32">
        <f t="shared" si="56"/>
        <v>97.60591554507198</v>
      </c>
      <c r="V86" s="32">
        <f t="shared" si="57"/>
        <v>97.157159687285102</v>
      </c>
      <c r="W86" s="32">
        <f t="shared" si="58"/>
        <v>97.414637739268571</v>
      </c>
      <c r="X86" s="31">
        <f t="shared" si="50"/>
        <v>0.25747805198346896</v>
      </c>
      <c r="Y86" s="3">
        <f t="shared" si="51"/>
        <v>0</v>
      </c>
      <c r="Z86" s="3">
        <f t="shared" si="52"/>
        <v>0</v>
      </c>
      <c r="AA86" s="3">
        <f t="shared" si="53"/>
        <v>30</v>
      </c>
      <c r="AB86" s="3">
        <f t="shared" si="54"/>
        <v>0</v>
      </c>
      <c r="AC86" s="29"/>
      <c r="AD86" s="13">
        <v>41764</v>
      </c>
      <c r="AE86" s="12">
        <v>24.834599999999998</v>
      </c>
      <c r="AF86" s="13">
        <v>41764</v>
      </c>
      <c r="AG86" s="12">
        <v>119.6461</v>
      </c>
    </row>
    <row r="87" spans="1:33" x14ac:dyDescent="0.2">
      <c r="A87" s="11">
        <v>44562</v>
      </c>
      <c r="B87" s="11">
        <f t="shared" si="60"/>
        <v>44592</v>
      </c>
      <c r="C87" s="3" t="s">
        <v>26</v>
      </c>
      <c r="D87" s="3" t="s">
        <v>26</v>
      </c>
      <c r="E87" s="3" t="str">
        <f t="shared" si="41"/>
        <v>Expansion/Expansion</v>
      </c>
      <c r="F87" s="14">
        <f t="shared" si="61"/>
        <v>44593</v>
      </c>
      <c r="G87" s="14">
        <f t="shared" si="42"/>
        <v>44593</v>
      </c>
      <c r="H87" s="17">
        <f t="shared" si="43"/>
        <v>44593</v>
      </c>
      <c r="I87" s="14">
        <f t="shared" si="44"/>
        <v>44621</v>
      </c>
      <c r="J87" s="14">
        <f t="shared" si="45"/>
        <v>44621</v>
      </c>
      <c r="K87" s="17">
        <f t="shared" si="46"/>
        <v>44621</v>
      </c>
      <c r="L87" s="16">
        <f t="shared" si="38"/>
        <v>1.6311602691583271E-3</v>
      </c>
      <c r="M87" s="16">
        <f t="shared" si="39"/>
        <v>-1.9607212492786297E-2</v>
      </c>
      <c r="N87" s="3">
        <f t="shared" si="47"/>
        <v>1</v>
      </c>
      <c r="O87" s="20">
        <f t="shared" si="48"/>
        <v>-8.9880261118139848E-3</v>
      </c>
      <c r="P87" s="20">
        <f t="shared" si="40"/>
        <v>-8.9880261118139848E-3</v>
      </c>
      <c r="Q87" s="29">
        <f t="shared" si="49"/>
        <v>0</v>
      </c>
      <c r="R87" s="29"/>
      <c r="S87" s="30">
        <f t="shared" si="59"/>
        <v>44592</v>
      </c>
      <c r="T87" s="32">
        <f t="shared" si="55"/>
        <v>95.646254515134061</v>
      </c>
      <c r="U87" s="32">
        <f t="shared" si="56"/>
        <v>95.269818694787531</v>
      </c>
      <c r="V87" s="32">
        <f t="shared" si="57"/>
        <v>95.463700401395755</v>
      </c>
      <c r="W87" s="32">
        <f t="shared" si="58"/>
        <v>95.716690584451726</v>
      </c>
      <c r="X87" s="31">
        <f t="shared" si="50"/>
        <v>0.25299018305597087</v>
      </c>
      <c r="Y87" s="3">
        <f t="shared" si="51"/>
        <v>0</v>
      </c>
      <c r="Z87" s="3">
        <f t="shared" si="52"/>
        <v>0</v>
      </c>
      <c r="AA87" s="3">
        <f t="shared" si="53"/>
        <v>30</v>
      </c>
      <c r="AB87" s="3">
        <f t="shared" si="54"/>
        <v>0</v>
      </c>
      <c r="AC87" s="29"/>
      <c r="AD87" s="13">
        <v>41765</v>
      </c>
      <c r="AE87" s="12">
        <v>24.8246</v>
      </c>
      <c r="AF87" s="13">
        <v>41765</v>
      </c>
      <c r="AG87" s="12">
        <v>119.8485</v>
      </c>
    </row>
    <row r="88" spans="1:33" x14ac:dyDescent="0.2">
      <c r="A88" s="11">
        <v>44593</v>
      </c>
      <c r="B88" s="11">
        <f t="shared" si="60"/>
        <v>44620</v>
      </c>
      <c r="C88" s="3" t="s">
        <v>27</v>
      </c>
      <c r="D88" s="3" t="s">
        <v>27</v>
      </c>
      <c r="E88" s="3" t="str">
        <f t="shared" si="41"/>
        <v>Downturn/Downturn</v>
      </c>
      <c r="F88" s="14">
        <f t="shared" si="61"/>
        <v>44621</v>
      </c>
      <c r="G88" s="14">
        <f t="shared" si="42"/>
        <v>44621</v>
      </c>
      <c r="H88" s="17">
        <f t="shared" si="43"/>
        <v>44621</v>
      </c>
      <c r="I88" s="14">
        <f t="shared" si="44"/>
        <v>44652</v>
      </c>
      <c r="J88" s="14">
        <f t="shared" si="45"/>
        <v>44652</v>
      </c>
      <c r="K88" s="17">
        <f t="shared" si="46"/>
        <v>44652</v>
      </c>
      <c r="L88" s="16">
        <f t="shared" si="38"/>
        <v>-4.179713396909579E-2</v>
      </c>
      <c r="M88" s="16">
        <f t="shared" si="39"/>
        <v>-2.9008642860989364E-2</v>
      </c>
      <c r="N88" s="3">
        <f t="shared" si="47"/>
        <v>-1</v>
      </c>
      <c r="O88" s="20">
        <f t="shared" si="48"/>
        <v>-3.5402888415042577E-2</v>
      </c>
      <c r="P88" s="20">
        <f t="shared" si="40"/>
        <v>-3.5402888415042577E-2</v>
      </c>
      <c r="Q88" s="29">
        <f t="shared" si="49"/>
        <v>0</v>
      </c>
      <c r="R88" s="29"/>
      <c r="S88" s="30">
        <f t="shared" si="59"/>
        <v>44620</v>
      </c>
      <c r="T88" s="32">
        <f t="shared" si="55"/>
        <v>95.802268885392948</v>
      </c>
      <c r="U88" s="32">
        <f t="shared" si="56"/>
        <v>93.401843115489612</v>
      </c>
      <c r="V88" s="32">
        <f t="shared" si="57"/>
        <v>94.605670169457611</v>
      </c>
      <c r="W88" s="32">
        <f t="shared" si="58"/>
        <v>94.856386470142255</v>
      </c>
      <c r="X88" s="31">
        <f t="shared" si="50"/>
        <v>0.25071630068464401</v>
      </c>
      <c r="Y88" s="3">
        <f t="shared" si="51"/>
        <v>0</v>
      </c>
      <c r="Z88" s="3">
        <f t="shared" si="52"/>
        <v>0</v>
      </c>
      <c r="AA88" s="3">
        <f t="shared" si="53"/>
        <v>30</v>
      </c>
      <c r="AB88" s="3">
        <f t="shared" si="54"/>
        <v>0</v>
      </c>
      <c r="AC88" s="29"/>
      <c r="AD88" s="13">
        <v>41766</v>
      </c>
      <c r="AE88" s="12">
        <v>24.784400000000002</v>
      </c>
      <c r="AF88" s="13">
        <v>41766</v>
      </c>
      <c r="AG88" s="12">
        <v>119.8687</v>
      </c>
    </row>
    <row r="89" spans="1:33" x14ac:dyDescent="0.2">
      <c r="A89" s="11">
        <v>44621</v>
      </c>
      <c r="B89" s="11">
        <f t="shared" si="60"/>
        <v>44651</v>
      </c>
      <c r="C89" s="3" t="s">
        <v>27</v>
      </c>
      <c r="D89" s="3" t="s">
        <v>28</v>
      </c>
      <c r="E89" s="3" t="str">
        <f t="shared" si="41"/>
        <v>Downturn/Repair</v>
      </c>
      <c r="F89" s="14">
        <f t="shared" si="61"/>
        <v>44652</v>
      </c>
      <c r="G89" s="14">
        <f t="shared" si="42"/>
        <v>44652</v>
      </c>
      <c r="H89" s="17">
        <f t="shared" si="43"/>
        <v>44652</v>
      </c>
      <c r="I89" s="14">
        <f t="shared" si="44"/>
        <v>44682</v>
      </c>
      <c r="J89" s="14">
        <f t="shared" si="45"/>
        <v>44683</v>
      </c>
      <c r="K89" s="17">
        <f t="shared" si="46"/>
        <v>44683</v>
      </c>
      <c r="L89" s="16">
        <f t="shared" si="38"/>
        <v>-3.3203118070117554E-2</v>
      </c>
      <c r="M89" s="16">
        <f t="shared" si="39"/>
        <v>-7.5616693695623294E-2</v>
      </c>
      <c r="N89" s="3">
        <f t="shared" si="47"/>
        <v>1</v>
      </c>
      <c r="O89" s="20">
        <f t="shared" si="48"/>
        <v>-5.4409905882870424E-2</v>
      </c>
      <c r="P89" s="20">
        <f t="shared" si="40"/>
        <v>-3.3203118070117554E-2</v>
      </c>
      <c r="Q89" s="29">
        <f t="shared" si="49"/>
        <v>1</v>
      </c>
      <c r="R89" s="29"/>
      <c r="S89" s="30">
        <f t="shared" si="59"/>
        <v>44651</v>
      </c>
      <c r="T89" s="32">
        <f t="shared" si="55"/>
        <v>91.79800861824684</v>
      </c>
      <c r="U89" s="32">
        <f t="shared" si="56"/>
        <v>90.692382405994209</v>
      </c>
      <c r="V89" s="32">
        <f t="shared" si="57"/>
        <v>91.256356185017978</v>
      </c>
      <c r="W89" s="32">
        <f t="shared" si="58"/>
        <v>91.498196404485654</v>
      </c>
      <c r="X89" s="31">
        <f t="shared" si="50"/>
        <v>0.24184021946767587</v>
      </c>
      <c r="Y89" s="3">
        <f t="shared" si="51"/>
        <v>1</v>
      </c>
      <c r="Z89" s="3">
        <f t="shared" si="52"/>
        <v>30</v>
      </c>
      <c r="AA89" s="3">
        <f t="shared" si="53"/>
        <v>0</v>
      </c>
      <c r="AB89" s="3">
        <f t="shared" si="54"/>
        <v>0</v>
      </c>
      <c r="AC89" s="29"/>
      <c r="AD89" s="13">
        <v>41767</v>
      </c>
      <c r="AE89" s="12">
        <v>24.864699999999999</v>
      </c>
      <c r="AF89" s="13">
        <v>41767</v>
      </c>
      <c r="AG89" s="12">
        <v>119.8991</v>
      </c>
    </row>
    <row r="90" spans="1:33" x14ac:dyDescent="0.2">
      <c r="A90" s="11">
        <v>44652</v>
      </c>
      <c r="B90" s="11">
        <f t="shared" si="60"/>
        <v>44681</v>
      </c>
      <c r="C90" s="3" t="s">
        <v>26</v>
      </c>
      <c r="D90" s="3" t="s">
        <v>28</v>
      </c>
      <c r="E90" s="3" t="str">
        <f t="shared" si="41"/>
        <v>Expansion/Repair</v>
      </c>
      <c r="F90" s="14">
        <f t="shared" si="61"/>
        <v>44682</v>
      </c>
      <c r="G90" s="14">
        <f t="shared" si="42"/>
        <v>44683</v>
      </c>
      <c r="H90" s="17">
        <f t="shared" si="43"/>
        <v>44683</v>
      </c>
      <c r="I90" s="14">
        <f t="shared" si="44"/>
        <v>44713</v>
      </c>
      <c r="J90" s="14">
        <f t="shared" si="45"/>
        <v>44713</v>
      </c>
      <c r="K90" s="17">
        <f t="shared" si="46"/>
        <v>44713</v>
      </c>
      <c r="L90" s="16">
        <f t="shared" si="38"/>
        <v>4.0442890015155442E-3</v>
      </c>
      <c r="M90" s="16">
        <f t="shared" si="39"/>
        <v>1.8747383745187252E-2</v>
      </c>
      <c r="N90" s="3">
        <f t="shared" si="47"/>
        <v>-1</v>
      </c>
      <c r="O90" s="20">
        <f t="shared" si="48"/>
        <v>1.1395836373351398E-2</v>
      </c>
      <c r="P90" s="20">
        <f t="shared" si="40"/>
        <v>1.8747383745187252E-2</v>
      </c>
      <c r="Q90" s="29">
        <f t="shared" si="49"/>
        <v>-1</v>
      </c>
      <c r="R90" s="29"/>
      <c r="S90" s="30">
        <f t="shared" si="59"/>
        <v>44681</v>
      </c>
      <c r="T90" s="32">
        <f t="shared" si="55"/>
        <v>88.750028499493524</v>
      </c>
      <c r="U90" s="32">
        <f t="shared" si="56"/>
        <v>83.834524305073813</v>
      </c>
      <c r="V90" s="32">
        <f t="shared" si="57"/>
        <v>86.291106433777443</v>
      </c>
      <c r="W90" s="32">
        <f t="shared" si="58"/>
        <v>88.460170986064711</v>
      </c>
      <c r="X90" s="31">
        <f t="shared" si="50"/>
        <v>2.1690645522872671</v>
      </c>
      <c r="Y90" s="3">
        <f t="shared" si="51"/>
        <v>-1</v>
      </c>
      <c r="Z90" s="3">
        <f t="shared" si="52"/>
        <v>0</v>
      </c>
      <c r="AA90" s="3">
        <f t="shared" si="53"/>
        <v>0</v>
      </c>
      <c r="AB90" s="3">
        <f t="shared" si="54"/>
        <v>30</v>
      </c>
      <c r="AC90" s="29"/>
      <c r="AD90" s="13">
        <v>41768</v>
      </c>
      <c r="AE90" s="12">
        <v>24.814599999999999</v>
      </c>
      <c r="AF90" s="13">
        <v>41768</v>
      </c>
      <c r="AG90" s="12">
        <v>119.7675</v>
      </c>
    </row>
    <row r="91" spans="1:33" x14ac:dyDescent="0.2">
      <c r="A91" s="11">
        <v>44682</v>
      </c>
      <c r="B91" s="11">
        <f t="shared" si="60"/>
        <v>44712</v>
      </c>
      <c r="C91" s="3" t="s">
        <v>27</v>
      </c>
      <c r="D91" s="3" t="s">
        <v>28</v>
      </c>
      <c r="E91" s="3" t="str">
        <f t="shared" si="41"/>
        <v>Downturn/Repair</v>
      </c>
      <c r="F91" s="14">
        <f t="shared" si="61"/>
        <v>44713</v>
      </c>
      <c r="G91" s="14">
        <f t="shared" si="42"/>
        <v>44713</v>
      </c>
      <c r="H91" s="17">
        <f t="shared" si="43"/>
        <v>44713</v>
      </c>
      <c r="I91" s="14">
        <f t="shared" si="44"/>
        <v>44743</v>
      </c>
      <c r="J91" s="14">
        <f t="shared" si="45"/>
        <v>44743</v>
      </c>
      <c r="K91" s="17">
        <f t="shared" si="46"/>
        <v>44743</v>
      </c>
      <c r="L91" s="16">
        <f t="shared" si="38"/>
        <v>2.533033609298796E-3</v>
      </c>
      <c r="M91" s="16">
        <f t="shared" si="39"/>
        <v>-1.8352294189083351E-2</v>
      </c>
      <c r="N91" s="3">
        <f t="shared" si="47"/>
        <v>1</v>
      </c>
      <c r="O91" s="20">
        <f t="shared" si="48"/>
        <v>-7.9096302898922777E-3</v>
      </c>
      <c r="P91" s="20">
        <f t="shared" si="40"/>
        <v>2.533033609298796E-3</v>
      </c>
      <c r="Q91" s="29">
        <f t="shared" si="49"/>
        <v>1</v>
      </c>
      <c r="R91" s="29"/>
      <c r="S91" s="30">
        <f t="shared" si="59"/>
        <v>44712</v>
      </c>
      <c r="T91" s="32">
        <f t="shared" si="55"/>
        <v>89.108959263638212</v>
      </c>
      <c r="U91" s="32">
        <f t="shared" si="56"/>
        <v>85.406202303316263</v>
      </c>
      <c r="V91" s="32">
        <f t="shared" si="57"/>
        <v>87.274465763172216</v>
      </c>
      <c r="W91" s="32">
        <f t="shared" si="58"/>
        <v>90.11856775770535</v>
      </c>
      <c r="X91" s="31">
        <f t="shared" si="50"/>
        <v>2.8441019945331334</v>
      </c>
      <c r="Y91" s="3">
        <f t="shared" si="51"/>
        <v>1</v>
      </c>
      <c r="Z91" s="3">
        <f t="shared" si="52"/>
        <v>30</v>
      </c>
      <c r="AA91" s="3">
        <f t="shared" si="53"/>
        <v>0</v>
      </c>
      <c r="AB91" s="3">
        <f t="shared" si="54"/>
        <v>0</v>
      </c>
      <c r="AC91" s="29"/>
      <c r="AD91" s="13">
        <v>41771</v>
      </c>
      <c r="AE91" s="12">
        <v>24.794499999999999</v>
      </c>
      <c r="AF91" s="13">
        <v>41771</v>
      </c>
      <c r="AG91" s="12">
        <v>119.464</v>
      </c>
    </row>
    <row r="92" spans="1:33" x14ac:dyDescent="0.2">
      <c r="A92" s="11">
        <v>44713</v>
      </c>
      <c r="B92" s="11">
        <f t="shared" si="60"/>
        <v>44742</v>
      </c>
      <c r="C92" s="3" t="s">
        <v>27</v>
      </c>
      <c r="D92" s="3" t="s">
        <v>28</v>
      </c>
      <c r="E92" s="3" t="str">
        <f t="shared" si="41"/>
        <v>Downturn/Repair</v>
      </c>
      <c r="F92" s="14">
        <f t="shared" si="61"/>
        <v>44743</v>
      </c>
      <c r="G92" s="14">
        <f t="shared" si="42"/>
        <v>44743</v>
      </c>
      <c r="H92" s="17">
        <f t="shared" si="43"/>
        <v>44743</v>
      </c>
      <c r="I92" s="14">
        <f t="shared" si="44"/>
        <v>44774</v>
      </c>
      <c r="J92" s="14">
        <f t="shared" si="45"/>
        <v>44774</v>
      </c>
      <c r="K92" s="17">
        <f t="shared" si="46"/>
        <v>44774</v>
      </c>
      <c r="L92" s="16">
        <f t="shared" si="38"/>
        <v>1.3599340814793637E-2</v>
      </c>
      <c r="M92" s="16">
        <f t="shared" si="39"/>
        <v>3.3440150385168899E-2</v>
      </c>
      <c r="N92" s="3">
        <f t="shared" si="47"/>
        <v>-1</v>
      </c>
      <c r="O92" s="20">
        <f t="shared" si="48"/>
        <v>2.3519745599981268E-2</v>
      </c>
      <c r="P92" s="20">
        <f t="shared" si="40"/>
        <v>1.3599340814793637E-2</v>
      </c>
      <c r="Q92" s="29">
        <f t="shared" si="49"/>
        <v>1</v>
      </c>
      <c r="R92" s="29"/>
      <c r="S92" s="30">
        <f t="shared" si="59"/>
        <v>44742</v>
      </c>
      <c r="T92" s="32">
        <f t="shared" si="55"/>
        <v>89.334675252342649</v>
      </c>
      <c r="U92" s="32">
        <f t="shared" si="56"/>
        <v>83.838802553073435</v>
      </c>
      <c r="V92" s="32">
        <f t="shared" si="57"/>
        <v>86.584157005237671</v>
      </c>
      <c r="W92" s="32">
        <f t="shared" si="58"/>
        <v>90.346841118657494</v>
      </c>
      <c r="X92" s="31">
        <f t="shared" si="50"/>
        <v>3.762684113419823</v>
      </c>
      <c r="Y92" s="3">
        <f t="shared" si="51"/>
        <v>1</v>
      </c>
      <c r="Z92" s="3">
        <f t="shared" si="52"/>
        <v>30</v>
      </c>
      <c r="AA92" s="3">
        <f t="shared" si="53"/>
        <v>0</v>
      </c>
      <c r="AB92" s="3">
        <f t="shared" si="54"/>
        <v>0</v>
      </c>
      <c r="AC92" s="29"/>
      <c r="AD92" s="13">
        <v>41772</v>
      </c>
      <c r="AE92" s="12">
        <v>24.8246</v>
      </c>
      <c r="AF92" s="13">
        <v>41772</v>
      </c>
      <c r="AG92" s="12">
        <v>119.9092</v>
      </c>
    </row>
    <row r="93" spans="1:33" x14ac:dyDescent="0.2">
      <c r="A93" s="11">
        <v>44743</v>
      </c>
      <c r="B93" s="11">
        <f t="shared" si="60"/>
        <v>44773</v>
      </c>
      <c r="C93" s="3" t="s">
        <v>27</v>
      </c>
      <c r="D93" s="3" t="s">
        <v>28</v>
      </c>
      <c r="E93" s="3" t="str">
        <f t="shared" si="41"/>
        <v>Downturn/Repair</v>
      </c>
      <c r="F93" s="14">
        <f t="shared" si="61"/>
        <v>44774</v>
      </c>
      <c r="G93" s="14">
        <f t="shared" si="42"/>
        <v>44774</v>
      </c>
      <c r="H93" s="17">
        <f t="shared" si="43"/>
        <v>44774</v>
      </c>
      <c r="I93" s="14">
        <f t="shared" si="44"/>
        <v>44805</v>
      </c>
      <c r="J93" s="14">
        <f t="shared" si="45"/>
        <v>44805</v>
      </c>
      <c r="K93" s="17">
        <f t="shared" si="46"/>
        <v>44805</v>
      </c>
      <c r="L93" s="16">
        <f t="shared" si="38"/>
        <v>-3.6304710655808425E-2</v>
      </c>
      <c r="M93" s="16">
        <f t="shared" si="39"/>
        <v>-5.1900528213655539E-2</v>
      </c>
      <c r="N93" s="3">
        <f t="shared" si="47"/>
        <v>1</v>
      </c>
      <c r="O93" s="20">
        <f t="shared" si="48"/>
        <v>-4.4102619434731982E-2</v>
      </c>
      <c r="P93" s="20">
        <f t="shared" si="40"/>
        <v>-3.6304710655808425E-2</v>
      </c>
      <c r="Q93" s="29">
        <f t="shared" si="49"/>
        <v>1</v>
      </c>
      <c r="R93" s="29"/>
      <c r="S93" s="30">
        <f t="shared" si="59"/>
        <v>44773</v>
      </c>
      <c r="T93" s="32">
        <f t="shared" si="55"/>
        <v>90.54956794767817</v>
      </c>
      <c r="U93" s="32">
        <f t="shared" si="56"/>
        <v>86.642384718560692</v>
      </c>
      <c r="V93" s="32">
        <f t="shared" si="57"/>
        <v>88.620594350989691</v>
      </c>
      <c r="W93" s="32">
        <f t="shared" si="58"/>
        <v>91.575498602570136</v>
      </c>
      <c r="X93" s="31">
        <f t="shared" si="50"/>
        <v>2.9549042515804445</v>
      </c>
      <c r="Y93" s="3">
        <f t="shared" si="51"/>
        <v>1</v>
      </c>
      <c r="Z93" s="3">
        <f t="shared" si="52"/>
        <v>30</v>
      </c>
      <c r="AA93" s="3">
        <f t="shared" si="53"/>
        <v>0</v>
      </c>
      <c r="AB93" s="3">
        <f t="shared" si="54"/>
        <v>0</v>
      </c>
      <c r="AC93" s="29"/>
      <c r="AD93" s="13">
        <v>41773</v>
      </c>
      <c r="AE93" s="12">
        <v>24.934899999999999</v>
      </c>
      <c r="AF93" s="13">
        <v>41773</v>
      </c>
      <c r="AG93" s="12">
        <v>120.5061</v>
      </c>
    </row>
    <row r="94" spans="1:33" x14ac:dyDescent="0.2">
      <c r="A94" s="11">
        <v>44774</v>
      </c>
      <c r="B94" s="11">
        <f t="shared" si="60"/>
        <v>44804</v>
      </c>
      <c r="C94" s="3" t="s">
        <v>27</v>
      </c>
      <c r="D94" s="3" t="s">
        <v>28</v>
      </c>
      <c r="E94" s="3" t="str">
        <f t="shared" si="41"/>
        <v>Downturn/Repair</v>
      </c>
      <c r="F94" s="14">
        <f t="shared" si="61"/>
        <v>44805</v>
      </c>
      <c r="G94" s="14">
        <f t="shared" si="42"/>
        <v>44805</v>
      </c>
      <c r="H94" s="17">
        <f t="shared" si="43"/>
        <v>44805</v>
      </c>
      <c r="I94" s="14">
        <f t="shared" si="44"/>
        <v>44835</v>
      </c>
      <c r="J94" s="14">
        <f t="shared" si="45"/>
        <v>44837</v>
      </c>
      <c r="K94" s="17">
        <f t="shared" si="46"/>
        <v>44837</v>
      </c>
      <c r="L94" s="16">
        <f t="shared" si="38"/>
        <v>-2.1812888416102072E-2</v>
      </c>
      <c r="M94" s="16">
        <f t="shared" si="39"/>
        <v>-3.6661702522986173E-2</v>
      </c>
      <c r="N94" s="3">
        <f t="shared" si="47"/>
        <v>1</v>
      </c>
      <c r="O94" s="20">
        <f t="shared" si="48"/>
        <v>-2.9237295469544122E-2</v>
      </c>
      <c r="P94" s="20">
        <f t="shared" si="40"/>
        <v>-2.1812888416102072E-2</v>
      </c>
      <c r="Q94" s="29">
        <f t="shared" si="49"/>
        <v>1</v>
      </c>
      <c r="R94" s="29"/>
      <c r="S94" s="30">
        <f t="shared" si="59"/>
        <v>44804</v>
      </c>
      <c r="T94" s="32">
        <f t="shared" si="55"/>
        <v>87.262192083329253</v>
      </c>
      <c r="U94" s="32">
        <f t="shared" si="56"/>
        <v>82.145599185976636</v>
      </c>
      <c r="V94" s="32">
        <f t="shared" si="57"/>
        <v>84.712194004248232</v>
      </c>
      <c r="W94" s="32">
        <f t="shared" si="58"/>
        <v>88.250876622642437</v>
      </c>
      <c r="X94" s="31">
        <f t="shared" si="50"/>
        <v>3.5386826183942048</v>
      </c>
      <c r="Y94" s="3">
        <f t="shared" si="51"/>
        <v>1</v>
      </c>
      <c r="Z94" s="3">
        <f t="shared" si="52"/>
        <v>30</v>
      </c>
      <c r="AA94" s="3">
        <f t="shared" si="53"/>
        <v>0</v>
      </c>
      <c r="AB94" s="3">
        <f t="shared" si="54"/>
        <v>0</v>
      </c>
      <c r="AC94" s="29"/>
      <c r="AD94" s="13">
        <v>41774</v>
      </c>
      <c r="AE94" s="12">
        <v>24.914899999999999</v>
      </c>
      <c r="AF94" s="13">
        <v>41774</v>
      </c>
      <c r="AG94" s="12">
        <v>120.7186</v>
      </c>
    </row>
    <row r="95" spans="1:33" x14ac:dyDescent="0.2">
      <c r="A95" s="11">
        <v>44805</v>
      </c>
      <c r="B95" s="11">
        <f t="shared" si="60"/>
        <v>44834</v>
      </c>
      <c r="C95" s="3" t="s">
        <v>27</v>
      </c>
      <c r="D95" s="3" t="s">
        <v>28</v>
      </c>
      <c r="E95" s="3" t="str">
        <f t="shared" si="41"/>
        <v>Downturn/Repair</v>
      </c>
      <c r="F95" s="14">
        <f t="shared" si="61"/>
        <v>44835</v>
      </c>
      <c r="G95" s="14">
        <f t="shared" si="42"/>
        <v>44837</v>
      </c>
      <c r="H95" s="17">
        <f t="shared" si="43"/>
        <v>44837</v>
      </c>
      <c r="I95" s="14">
        <f t="shared" si="44"/>
        <v>44866</v>
      </c>
      <c r="J95" s="14">
        <f t="shared" si="45"/>
        <v>44866</v>
      </c>
      <c r="K95" s="17">
        <f t="shared" si="46"/>
        <v>44866</v>
      </c>
      <c r="L95" s="16">
        <f t="shared" si="38"/>
        <v>-2.0093791377145953E-2</v>
      </c>
      <c r="M95" s="16">
        <f t="shared" si="39"/>
        <v>-1.8489660387283391E-2</v>
      </c>
      <c r="N95" s="3">
        <f t="shared" si="47"/>
        <v>-1</v>
      </c>
      <c r="O95" s="20">
        <f t="shared" si="48"/>
        <v>-1.9291725882214672E-2</v>
      </c>
      <c r="P95" s="20">
        <f t="shared" si="40"/>
        <v>-2.0093791377145953E-2</v>
      </c>
      <c r="Q95" s="29">
        <f t="shared" si="49"/>
        <v>1</v>
      </c>
      <c r="R95" s="29"/>
      <c r="S95" s="30">
        <f t="shared" si="59"/>
        <v>44834</v>
      </c>
      <c r="T95" s="32">
        <f t="shared" si="55"/>
        <v>85.358751624471125</v>
      </c>
      <c r="U95" s="32">
        <f t="shared" si="56"/>
        <v>79.134001665047904</v>
      </c>
      <c r="V95" s="32">
        <f t="shared" si="57"/>
        <v>82.235438558272676</v>
      </c>
      <c r="W95" s="32">
        <f t="shared" si="58"/>
        <v>86.325870098249553</v>
      </c>
      <c r="X95" s="31">
        <f t="shared" si="50"/>
        <v>4.0904315399768763</v>
      </c>
      <c r="Y95" s="3">
        <f t="shared" si="51"/>
        <v>1</v>
      </c>
      <c r="Z95" s="3">
        <f t="shared" si="52"/>
        <v>30</v>
      </c>
      <c r="AA95" s="3">
        <f t="shared" si="53"/>
        <v>0</v>
      </c>
      <c r="AB95" s="3">
        <f t="shared" si="54"/>
        <v>0</v>
      </c>
      <c r="AC95" s="29"/>
      <c r="AD95" s="13">
        <v>41775</v>
      </c>
      <c r="AE95" s="12">
        <v>24.931999999999999</v>
      </c>
      <c r="AF95" s="13">
        <v>41775</v>
      </c>
      <c r="AG95" s="12">
        <v>120.577</v>
      </c>
    </row>
    <row r="96" spans="1:33" x14ac:dyDescent="0.2">
      <c r="A96" s="11">
        <v>44835</v>
      </c>
      <c r="B96" s="11">
        <f t="shared" si="60"/>
        <v>44865</v>
      </c>
      <c r="C96" s="3" t="s">
        <v>27</v>
      </c>
      <c r="D96" s="3" t="s">
        <v>28</v>
      </c>
      <c r="E96" s="3" t="str">
        <f t="shared" si="41"/>
        <v>Downturn/Repair</v>
      </c>
      <c r="F96" s="14">
        <f t="shared" si="61"/>
        <v>44866</v>
      </c>
      <c r="G96" s="14">
        <f t="shared" si="42"/>
        <v>44866</v>
      </c>
      <c r="H96" s="17">
        <f t="shared" si="43"/>
        <v>44866</v>
      </c>
      <c r="I96" s="14">
        <f t="shared" si="44"/>
        <v>44896</v>
      </c>
      <c r="J96" s="14">
        <f t="shared" si="45"/>
        <v>44896</v>
      </c>
      <c r="K96" s="17">
        <f t="shared" si="46"/>
        <v>44896</v>
      </c>
      <c r="L96" s="16">
        <f t="shared" si="38"/>
        <v>3.6042911937073097E-2</v>
      </c>
      <c r="M96" s="16">
        <f t="shared" si="39"/>
        <v>7.20648297638109E-2</v>
      </c>
      <c r="N96" s="3">
        <f t="shared" si="47"/>
        <v>-1</v>
      </c>
      <c r="O96" s="20">
        <f t="shared" si="48"/>
        <v>5.4053870850441998E-2</v>
      </c>
      <c r="P96" s="20">
        <f t="shared" si="40"/>
        <v>3.6042911937073097E-2</v>
      </c>
      <c r="Q96" s="29">
        <f t="shared" si="49"/>
        <v>1</v>
      </c>
      <c r="R96" s="29"/>
      <c r="S96" s="30">
        <f t="shared" si="59"/>
        <v>44865</v>
      </c>
      <c r="T96" s="32">
        <f t="shared" si="55"/>
        <v>83.643570677115378</v>
      </c>
      <c r="U96" s="32">
        <f t="shared" si="56"/>
        <v>77.670840849174454</v>
      </c>
      <c r="V96" s="32">
        <f t="shared" si="57"/>
        <v>80.648975019802762</v>
      </c>
      <c r="W96" s="32">
        <f t="shared" si="58"/>
        <v>84.591256074044722</v>
      </c>
      <c r="X96" s="31">
        <f t="shared" si="50"/>
        <v>3.9422810542419597</v>
      </c>
      <c r="Y96" s="3">
        <f t="shared" si="51"/>
        <v>1</v>
      </c>
      <c r="Z96" s="3">
        <f t="shared" si="52"/>
        <v>30</v>
      </c>
      <c r="AA96" s="3">
        <f t="shared" si="53"/>
        <v>0</v>
      </c>
      <c r="AB96" s="3">
        <f t="shared" si="54"/>
        <v>0</v>
      </c>
      <c r="AC96" s="29"/>
      <c r="AD96" s="13">
        <v>41778</v>
      </c>
      <c r="AE96" s="12">
        <v>24.8748</v>
      </c>
      <c r="AF96" s="13">
        <v>41778</v>
      </c>
      <c r="AG96" s="12">
        <v>120.4657</v>
      </c>
    </row>
    <row r="97" spans="1:33" x14ac:dyDescent="0.2">
      <c r="A97" s="11">
        <v>44866</v>
      </c>
      <c r="B97" s="11">
        <f t="shared" si="60"/>
        <v>44895</v>
      </c>
      <c r="C97" s="3" t="s">
        <v>27</v>
      </c>
      <c r="D97" s="3" t="s">
        <v>28</v>
      </c>
      <c r="E97" s="3" t="str">
        <f t="shared" si="41"/>
        <v>Downturn/Repair</v>
      </c>
      <c r="F97" s="14">
        <f t="shared" si="61"/>
        <v>44896</v>
      </c>
      <c r="G97" s="14">
        <f t="shared" si="42"/>
        <v>44896</v>
      </c>
      <c r="H97" s="17">
        <f t="shared" si="43"/>
        <v>44896</v>
      </c>
      <c r="I97" s="14">
        <f t="shared" si="44"/>
        <v>44927</v>
      </c>
      <c r="J97" s="14">
        <f t="shared" si="45"/>
        <v>44928</v>
      </c>
      <c r="K97" s="17">
        <f t="shared" si="46"/>
        <v>44928</v>
      </c>
      <c r="L97" s="16">
        <f t="shared" si="38"/>
        <v>-1.6571387764460099E-2</v>
      </c>
      <c r="M97" s="16">
        <f t="shared" si="39"/>
        <v>-2.7683640532037979E-2</v>
      </c>
      <c r="N97" s="3">
        <f t="shared" si="47"/>
        <v>1</v>
      </c>
      <c r="O97" s="20">
        <f t="shared" si="48"/>
        <v>-2.2127514148249039E-2</v>
      </c>
      <c r="P97" s="20">
        <f t="shared" si="40"/>
        <v>-1.6571387764460099E-2</v>
      </c>
      <c r="Q97" s="29">
        <f t="shared" si="49"/>
        <v>1</v>
      </c>
      <c r="R97" s="29"/>
      <c r="S97" s="30">
        <f t="shared" si="59"/>
        <v>44895</v>
      </c>
      <c r="T97" s="32">
        <f t="shared" si="55"/>
        <v>86.658328529133001</v>
      </c>
      <c r="U97" s="32">
        <f t="shared" si="56"/>
        <v>83.268176772582265</v>
      </c>
      <c r="V97" s="32">
        <f t="shared" si="57"/>
        <v>85.008364299743718</v>
      </c>
      <c r="W97" s="32">
        <f t="shared" si="58"/>
        <v>87.640171267367919</v>
      </c>
      <c r="X97" s="31">
        <f t="shared" si="50"/>
        <v>2.6318069676242004</v>
      </c>
      <c r="Y97" s="3">
        <f t="shared" si="51"/>
        <v>1</v>
      </c>
      <c r="Z97" s="3">
        <f t="shared" si="52"/>
        <v>30</v>
      </c>
      <c r="AA97" s="3">
        <f t="shared" si="53"/>
        <v>0</v>
      </c>
      <c r="AB97" s="3">
        <f t="shared" si="54"/>
        <v>0</v>
      </c>
      <c r="AC97" s="29"/>
      <c r="AD97" s="13">
        <v>41779</v>
      </c>
      <c r="AE97" s="12">
        <v>24.925000000000001</v>
      </c>
      <c r="AF97" s="13">
        <v>41779</v>
      </c>
      <c r="AG97" s="12">
        <v>120.4657</v>
      </c>
    </row>
    <row r="98" spans="1:33" x14ac:dyDescent="0.2">
      <c r="A98" s="11">
        <v>44896</v>
      </c>
      <c r="B98" s="11">
        <f t="shared" si="60"/>
        <v>44926</v>
      </c>
      <c r="C98" s="3" t="s">
        <v>26</v>
      </c>
      <c r="D98" s="3" t="s">
        <v>28</v>
      </c>
      <c r="E98" s="3" t="str">
        <f t="shared" si="41"/>
        <v>Expansion/Repair</v>
      </c>
      <c r="F98" s="14">
        <f t="shared" si="61"/>
        <v>44927</v>
      </c>
      <c r="G98" s="14">
        <f t="shared" si="42"/>
        <v>44928</v>
      </c>
      <c r="H98" s="17">
        <f t="shared" si="43"/>
        <v>44928</v>
      </c>
      <c r="I98" s="14">
        <f t="shared" si="44"/>
        <v>44958</v>
      </c>
      <c r="J98" s="14">
        <f t="shared" si="45"/>
        <v>44958</v>
      </c>
      <c r="K98" s="17">
        <f t="shared" si="46"/>
        <v>44958</v>
      </c>
      <c r="L98" s="16">
        <f t="shared" ref="L98:L129" si="62">VLOOKUP(K98,$AD$2:$AE$2985, 2, 1)/VLOOKUP(H98,$AD$2:$AE$2985, 2, 1)-1</f>
        <v>3.2741962606821273E-2</v>
      </c>
      <c r="M98" s="16">
        <f t="shared" ref="M98:M132" si="63">VLOOKUP(K98,$AF$2:$AG$2985, 2, 1)/VLOOKUP(H98,$AF$2:$AG$2985, 2, 1)-1</f>
        <v>6.2241457982392223E-2</v>
      </c>
      <c r="N98" s="3">
        <f t="shared" si="47"/>
        <v>-1</v>
      </c>
      <c r="O98" s="20">
        <f t="shared" si="48"/>
        <v>4.7491710294606748E-2</v>
      </c>
      <c r="P98" s="20">
        <f t="shared" ref="P98:P129" si="64">IF(VLOOKUP(E98,$AS$2:$AT$17, 2, 0)=0, O98, IF(VLOOKUP(E98,$AS$2:$AT$17, 2, 0)=1, L98, M98))</f>
        <v>6.2241457982392223E-2</v>
      </c>
      <c r="Q98" s="29">
        <f t="shared" si="49"/>
        <v>-1</v>
      </c>
      <c r="R98" s="29"/>
      <c r="S98" s="30">
        <f t="shared" si="59"/>
        <v>44926</v>
      </c>
      <c r="T98" s="32">
        <f t="shared" si="55"/>
        <v>85.222279764056765</v>
      </c>
      <c r="U98" s="32">
        <f t="shared" si="56"/>
        <v>80.963010499051904</v>
      </c>
      <c r="V98" s="32">
        <f t="shared" si="57"/>
        <v>83.127340515981629</v>
      </c>
      <c r="W98" s="32">
        <f t="shared" si="58"/>
        <v>86.187852005552671</v>
      </c>
      <c r="X98" s="31">
        <f t="shared" si="50"/>
        <v>3.0605114895710415</v>
      </c>
      <c r="Y98" s="3">
        <f t="shared" si="51"/>
        <v>-1</v>
      </c>
      <c r="Z98" s="3">
        <f t="shared" si="52"/>
        <v>0</v>
      </c>
      <c r="AA98" s="3">
        <f t="shared" si="53"/>
        <v>0</v>
      </c>
      <c r="AB98" s="3">
        <f t="shared" si="54"/>
        <v>30</v>
      </c>
      <c r="AC98" s="29"/>
      <c r="AD98" s="13">
        <v>41780</v>
      </c>
      <c r="AE98" s="12">
        <v>24.884799999999998</v>
      </c>
      <c r="AF98" s="13">
        <v>41780</v>
      </c>
      <c r="AG98" s="12">
        <v>120.2431</v>
      </c>
    </row>
    <row r="99" spans="1:33" x14ac:dyDescent="0.2">
      <c r="A99" s="11">
        <v>44927</v>
      </c>
      <c r="B99" s="11">
        <f t="shared" si="60"/>
        <v>44957</v>
      </c>
      <c r="C99" s="3" t="s">
        <v>27</v>
      </c>
      <c r="D99" s="3" t="s">
        <v>28</v>
      </c>
      <c r="E99" s="3" t="str">
        <f t="shared" si="41"/>
        <v>Downturn/Repair</v>
      </c>
      <c r="F99" s="14">
        <f t="shared" si="61"/>
        <v>44958</v>
      </c>
      <c r="G99" s="14">
        <f t="shared" si="42"/>
        <v>44958</v>
      </c>
      <c r="H99" s="17">
        <f t="shared" si="43"/>
        <v>44958</v>
      </c>
      <c r="I99" s="14">
        <f t="shared" si="44"/>
        <v>44986</v>
      </c>
      <c r="J99" s="14">
        <f t="shared" si="45"/>
        <v>44986</v>
      </c>
      <c r="K99" s="17">
        <f t="shared" si="46"/>
        <v>44986</v>
      </c>
      <c r="L99" s="16">
        <f t="shared" si="62"/>
        <v>-3.3498754713769063E-2</v>
      </c>
      <c r="M99" s="16">
        <f t="shared" si="63"/>
        <v>-5.7216361783425818E-2</v>
      </c>
      <c r="N99" s="3">
        <f t="shared" si="47"/>
        <v>1</v>
      </c>
      <c r="O99" s="20">
        <f t="shared" si="48"/>
        <v>-4.535755824859744E-2</v>
      </c>
      <c r="P99" s="20">
        <f t="shared" si="64"/>
        <v>-3.3498754713769063E-2</v>
      </c>
      <c r="Q99" s="29">
        <f t="shared" si="49"/>
        <v>1</v>
      </c>
      <c r="R99" s="29"/>
      <c r="S99" s="30">
        <f t="shared" si="59"/>
        <v>44957</v>
      </c>
      <c r="T99" s="32">
        <f t="shared" si="55"/>
        <v>88.012624461359579</v>
      </c>
      <c r="U99" s="32">
        <f t="shared" si="56"/>
        <v>86.002266315156618</v>
      </c>
      <c r="V99" s="32">
        <f t="shared" si="57"/>
        <v>87.075200089327751</v>
      </c>
      <c r="W99" s="32">
        <f t="shared" si="58"/>
        <v>91.552309574748918</v>
      </c>
      <c r="X99" s="31">
        <f t="shared" si="50"/>
        <v>4.4771094854211668</v>
      </c>
      <c r="Y99" s="3">
        <f t="shared" si="51"/>
        <v>1</v>
      </c>
      <c r="Z99" s="3">
        <f t="shared" si="52"/>
        <v>30</v>
      </c>
      <c r="AA99" s="3">
        <f t="shared" si="53"/>
        <v>0</v>
      </c>
      <c r="AB99" s="3">
        <f t="shared" si="54"/>
        <v>0</v>
      </c>
      <c r="AC99" s="29"/>
      <c r="AD99" s="13">
        <v>41781</v>
      </c>
      <c r="AE99" s="12">
        <v>24.925000000000001</v>
      </c>
      <c r="AF99" s="13">
        <v>41781</v>
      </c>
      <c r="AG99" s="12">
        <v>120.2026</v>
      </c>
    </row>
    <row r="100" spans="1:33" x14ac:dyDescent="0.2">
      <c r="A100" s="11">
        <v>44958</v>
      </c>
      <c r="B100" s="11">
        <f t="shared" si="60"/>
        <v>44985</v>
      </c>
      <c r="C100" s="3" t="s">
        <v>27</v>
      </c>
      <c r="D100" s="3" t="s">
        <v>28</v>
      </c>
      <c r="E100" s="3" t="str">
        <f t="shared" si="41"/>
        <v>Downturn/Repair</v>
      </c>
      <c r="F100" s="14">
        <f t="shared" si="61"/>
        <v>44986</v>
      </c>
      <c r="G100" s="14">
        <f t="shared" si="42"/>
        <v>44986</v>
      </c>
      <c r="H100" s="17">
        <f t="shared" si="43"/>
        <v>44986</v>
      </c>
      <c r="I100" s="14">
        <f t="shared" si="44"/>
        <v>45017</v>
      </c>
      <c r="J100" s="14">
        <f t="shared" si="45"/>
        <v>45019</v>
      </c>
      <c r="K100" s="17">
        <f t="shared" si="46"/>
        <v>45019</v>
      </c>
      <c r="L100" s="16">
        <f t="shared" si="62"/>
        <v>3.7772766084535947E-2</v>
      </c>
      <c r="M100" s="16">
        <f t="shared" si="63"/>
        <v>5.1295909803622308E-2</v>
      </c>
      <c r="N100" s="3">
        <f t="shared" si="47"/>
        <v>-1</v>
      </c>
      <c r="O100" s="20">
        <f t="shared" si="48"/>
        <v>4.4534337944079128E-2</v>
      </c>
      <c r="P100" s="20">
        <f t="shared" si="64"/>
        <v>3.7772766084535947E-2</v>
      </c>
      <c r="Q100" s="29">
        <f t="shared" si="49"/>
        <v>1</v>
      </c>
      <c r="R100" s="29"/>
      <c r="S100" s="30">
        <f t="shared" si="59"/>
        <v>44985</v>
      </c>
      <c r="T100" s="32">
        <f t="shared" si="55"/>
        <v>85.064311142813423</v>
      </c>
      <c r="U100" s="32">
        <f t="shared" si="56"/>
        <v>81.081529531474075</v>
      </c>
      <c r="V100" s="32">
        <f t="shared" si="57"/>
        <v>83.125681629267788</v>
      </c>
      <c r="W100" s="32">
        <f t="shared" si="58"/>
        <v>88.485421212825358</v>
      </c>
      <c r="X100" s="31">
        <f t="shared" si="50"/>
        <v>5.3597395835575696</v>
      </c>
      <c r="Y100" s="3">
        <f t="shared" si="51"/>
        <v>1</v>
      </c>
      <c r="Z100" s="3">
        <f t="shared" si="52"/>
        <v>30</v>
      </c>
      <c r="AA100" s="3">
        <f t="shared" si="53"/>
        <v>0</v>
      </c>
      <c r="AB100" s="3">
        <f t="shared" si="54"/>
        <v>0</v>
      </c>
      <c r="AC100" s="29"/>
      <c r="AD100" s="13">
        <v>41782</v>
      </c>
      <c r="AE100" s="12">
        <v>24.899899999999999</v>
      </c>
      <c r="AF100" s="13">
        <v>41782</v>
      </c>
      <c r="AG100" s="12">
        <v>120.33410000000001</v>
      </c>
    </row>
    <row r="101" spans="1:33" x14ac:dyDescent="0.2">
      <c r="A101" s="11">
        <v>44986</v>
      </c>
      <c r="B101" s="11">
        <f t="shared" si="60"/>
        <v>45016</v>
      </c>
      <c r="C101" s="3" t="s">
        <v>27</v>
      </c>
      <c r="D101" s="3" t="s">
        <v>28</v>
      </c>
      <c r="E101" s="3" t="str">
        <f t="shared" si="41"/>
        <v>Downturn/Repair</v>
      </c>
      <c r="F101" s="14">
        <f t="shared" si="61"/>
        <v>45017</v>
      </c>
      <c r="G101" s="14">
        <f t="shared" si="42"/>
        <v>45019</v>
      </c>
      <c r="H101" s="17">
        <f t="shared" si="43"/>
        <v>45019</v>
      </c>
      <c r="I101" s="14">
        <f t="shared" si="44"/>
        <v>45047</v>
      </c>
      <c r="J101" s="14">
        <f t="shared" si="45"/>
        <v>45047</v>
      </c>
      <c r="K101" s="17">
        <f t="shared" si="46"/>
        <v>45047</v>
      </c>
      <c r="L101" s="16">
        <f t="shared" si="62"/>
        <v>-7.3091000324685407E-3</v>
      </c>
      <c r="M101" s="16">
        <f t="shared" si="63"/>
        <v>-1.6087320120646287E-2</v>
      </c>
      <c r="N101" s="3">
        <f t="shared" si="47"/>
        <v>1</v>
      </c>
      <c r="O101" s="20">
        <f t="shared" si="48"/>
        <v>-1.1698210076557414E-2</v>
      </c>
      <c r="P101" s="20">
        <f t="shared" si="64"/>
        <v>-7.3091000324685407E-3</v>
      </c>
      <c r="Q101" s="29">
        <f t="shared" si="49"/>
        <v>1</v>
      </c>
      <c r="R101" s="29"/>
      <c r="S101" s="30">
        <f t="shared" si="59"/>
        <v>45016</v>
      </c>
      <c r="T101" s="32">
        <f t="shared" si="55"/>
        <v>88.277425469753098</v>
      </c>
      <c r="U101" s="32">
        <f t="shared" si="56"/>
        <v>85.240680357060313</v>
      </c>
      <c r="V101" s="32">
        <f t="shared" si="57"/>
        <v>86.827628826777527</v>
      </c>
      <c r="W101" s="32">
        <f t="shared" si="58"/>
        <v>91.827760330189051</v>
      </c>
      <c r="X101" s="31">
        <f t="shared" si="50"/>
        <v>5.0001315034115237</v>
      </c>
      <c r="Y101" s="3">
        <f t="shared" si="51"/>
        <v>1</v>
      </c>
      <c r="Z101" s="3">
        <f t="shared" si="52"/>
        <v>30</v>
      </c>
      <c r="AA101" s="3">
        <f t="shared" si="53"/>
        <v>0</v>
      </c>
      <c r="AB101" s="3">
        <f t="shared" si="54"/>
        <v>0</v>
      </c>
      <c r="AC101" s="29"/>
      <c r="AD101" s="13">
        <v>41786</v>
      </c>
      <c r="AE101" s="12">
        <v>24.955100000000002</v>
      </c>
      <c r="AF101" s="13">
        <v>41786</v>
      </c>
      <c r="AG101" s="12">
        <v>120.7591</v>
      </c>
    </row>
    <row r="102" spans="1:33" x14ac:dyDescent="0.2">
      <c r="A102" s="11">
        <v>45017</v>
      </c>
      <c r="B102" s="11">
        <f t="shared" si="60"/>
        <v>45046</v>
      </c>
      <c r="C102" s="3" t="s">
        <v>28</v>
      </c>
      <c r="D102" s="3" t="s">
        <v>29</v>
      </c>
      <c r="E102" s="3" t="str">
        <f t="shared" si="41"/>
        <v>Repair/Recovery</v>
      </c>
      <c r="F102" s="14">
        <f t="shared" si="61"/>
        <v>45047</v>
      </c>
      <c r="G102" s="14">
        <f t="shared" si="42"/>
        <v>45047</v>
      </c>
      <c r="H102" s="17">
        <f t="shared" si="43"/>
        <v>45047</v>
      </c>
      <c r="I102" s="14">
        <f t="shared" si="44"/>
        <v>45078</v>
      </c>
      <c r="J102" s="14">
        <f t="shared" si="45"/>
        <v>45078</v>
      </c>
      <c r="K102" s="17">
        <f t="shared" si="46"/>
        <v>45078</v>
      </c>
      <c r="L102" s="16">
        <f t="shared" si="62"/>
        <v>2.3043958208668336E-4</v>
      </c>
      <c r="M102" s="16">
        <f t="shared" si="63"/>
        <v>1.4731103929763734E-3</v>
      </c>
      <c r="N102" s="3">
        <f t="shared" si="47"/>
        <v>-1</v>
      </c>
      <c r="O102" s="20">
        <f t="shared" si="48"/>
        <v>8.5177498753152836E-4</v>
      </c>
      <c r="P102" s="20">
        <f t="shared" si="64"/>
        <v>1.4731103929763734E-3</v>
      </c>
      <c r="Q102" s="29">
        <f t="shared" si="49"/>
        <v>-1</v>
      </c>
      <c r="R102" s="29"/>
      <c r="S102" s="30">
        <f t="shared" si="59"/>
        <v>45046</v>
      </c>
      <c r="T102" s="32">
        <f t="shared" si="55"/>
        <v>87.632196936385881</v>
      </c>
      <c r="U102" s="32">
        <f t="shared" si="56"/>
        <v>83.869386244854596</v>
      </c>
      <c r="V102" s="32">
        <f t="shared" si="57"/>
        <v>85.81190098431253</v>
      </c>
      <c r="W102" s="32">
        <f t="shared" si="58"/>
        <v>91.156582044178151</v>
      </c>
      <c r="X102" s="31">
        <f t="shared" si="50"/>
        <v>5.3446810598656214</v>
      </c>
      <c r="Y102" s="3">
        <f t="shared" si="51"/>
        <v>-1</v>
      </c>
      <c r="Z102" s="3">
        <f t="shared" si="52"/>
        <v>0</v>
      </c>
      <c r="AA102" s="3">
        <f t="shared" si="53"/>
        <v>0</v>
      </c>
      <c r="AB102" s="3">
        <f t="shared" si="54"/>
        <v>30</v>
      </c>
      <c r="AC102" s="29"/>
      <c r="AD102" s="13">
        <v>41787</v>
      </c>
      <c r="AE102" s="12">
        <v>25.005299999999998</v>
      </c>
      <c r="AF102" s="13">
        <v>41787</v>
      </c>
      <c r="AG102" s="12">
        <v>121.33580000000001</v>
      </c>
    </row>
    <row r="103" spans="1:33" x14ac:dyDescent="0.2">
      <c r="A103" s="11">
        <v>45047</v>
      </c>
      <c r="B103" s="11">
        <f t="shared" si="60"/>
        <v>45077</v>
      </c>
      <c r="C103" s="3" t="s">
        <v>28</v>
      </c>
      <c r="D103" s="3" t="s">
        <v>29</v>
      </c>
      <c r="E103" s="3" t="str">
        <f t="shared" si="41"/>
        <v>Repair/Recovery</v>
      </c>
      <c r="F103" s="14">
        <f t="shared" si="61"/>
        <v>45078</v>
      </c>
      <c r="G103" s="14">
        <f t="shared" si="42"/>
        <v>45078</v>
      </c>
      <c r="H103" s="17">
        <f t="shared" si="43"/>
        <v>45078</v>
      </c>
      <c r="I103" s="14">
        <f t="shared" si="44"/>
        <v>45108</v>
      </c>
      <c r="J103" s="14">
        <f t="shared" si="45"/>
        <v>45110</v>
      </c>
      <c r="K103" s="17">
        <f t="shared" si="46"/>
        <v>45110</v>
      </c>
      <c r="L103" s="16">
        <f t="shared" si="62"/>
        <v>-1.2076711269986884E-2</v>
      </c>
      <c r="M103" s="16">
        <f t="shared" si="63"/>
        <v>2.2136426742951354E-3</v>
      </c>
      <c r="N103" s="3">
        <f t="shared" si="47"/>
        <v>-1</v>
      </c>
      <c r="O103" s="20">
        <f t="shared" si="48"/>
        <v>-4.9315342978458743E-3</v>
      </c>
      <c r="P103" s="20">
        <f t="shared" si="64"/>
        <v>2.2136426742951354E-3</v>
      </c>
      <c r="Q103" s="29">
        <f t="shared" si="49"/>
        <v>-1</v>
      </c>
      <c r="R103" s="29"/>
      <c r="S103" s="30">
        <f t="shared" si="59"/>
        <v>45077</v>
      </c>
      <c r="T103" s="32">
        <f t="shared" si="55"/>
        <v>87.652390863225236</v>
      </c>
      <c r="U103" s="32">
        <f t="shared" si="56"/>
        <v>83.992935109384447</v>
      </c>
      <c r="V103" s="32">
        <f t="shared" si="57"/>
        <v>85.884993415203496</v>
      </c>
      <c r="W103" s="32">
        <f t="shared" si="58"/>
        <v>91.290865752575627</v>
      </c>
      <c r="X103" s="31">
        <f t="shared" si="50"/>
        <v>5.4058723373721307</v>
      </c>
      <c r="Y103" s="3">
        <f t="shared" si="51"/>
        <v>-1</v>
      </c>
      <c r="Z103" s="3">
        <f t="shared" si="52"/>
        <v>0</v>
      </c>
      <c r="AA103" s="3">
        <f t="shared" si="53"/>
        <v>0</v>
      </c>
      <c r="AB103" s="3">
        <f t="shared" si="54"/>
        <v>30</v>
      </c>
      <c r="AC103" s="29"/>
      <c r="AD103" s="13">
        <v>41788</v>
      </c>
      <c r="AE103" s="12">
        <v>24.995200000000001</v>
      </c>
      <c r="AF103" s="13">
        <v>41788</v>
      </c>
      <c r="AG103" s="12">
        <v>120.9817</v>
      </c>
    </row>
    <row r="104" spans="1:33" x14ac:dyDescent="0.2">
      <c r="A104" s="11">
        <v>45078</v>
      </c>
      <c r="B104" s="11">
        <f t="shared" si="60"/>
        <v>45107</v>
      </c>
      <c r="C104" s="3" t="s">
        <v>28</v>
      </c>
      <c r="D104" s="3" t="s">
        <v>29</v>
      </c>
      <c r="E104" s="3" t="str">
        <f t="shared" si="41"/>
        <v>Repair/Recovery</v>
      </c>
      <c r="F104" s="14">
        <f t="shared" si="61"/>
        <v>45108</v>
      </c>
      <c r="G104" s="14">
        <f t="shared" si="42"/>
        <v>45110</v>
      </c>
      <c r="H104" s="17">
        <f t="shared" si="43"/>
        <v>45110</v>
      </c>
      <c r="I104" s="14">
        <f t="shared" si="44"/>
        <v>45139</v>
      </c>
      <c r="J104" s="14">
        <f t="shared" si="45"/>
        <v>45139</v>
      </c>
      <c r="K104" s="17">
        <f t="shared" si="46"/>
        <v>45139</v>
      </c>
      <c r="L104" s="16">
        <f t="shared" si="62"/>
        <v>-6.3641800476185173E-3</v>
      </c>
      <c r="M104" s="16">
        <f t="shared" si="63"/>
        <v>-6.6104634192407641E-3</v>
      </c>
      <c r="N104" s="3">
        <f t="shared" si="47"/>
        <v>1</v>
      </c>
      <c r="O104" s="20">
        <f t="shared" si="48"/>
        <v>-6.4873217334296407E-3</v>
      </c>
      <c r="P104" s="20">
        <f t="shared" si="64"/>
        <v>-6.6104634192407641E-3</v>
      </c>
      <c r="Q104" s="29">
        <f t="shared" si="49"/>
        <v>-1</v>
      </c>
      <c r="R104" s="29"/>
      <c r="S104" s="30">
        <f t="shared" si="59"/>
        <v>45107</v>
      </c>
      <c r="T104" s="32">
        <f t="shared" si="55"/>
        <v>86.59383824664603</v>
      </c>
      <c r="U104" s="32">
        <f t="shared" si="56"/>
        <v>84.178865454881887</v>
      </c>
      <c r="V104" s="32">
        <f t="shared" si="57"/>
        <v>85.461448624506147</v>
      </c>
      <c r="W104" s="32">
        <f t="shared" si="58"/>
        <v>91.492951108778882</v>
      </c>
      <c r="X104" s="31">
        <f t="shared" si="50"/>
        <v>6.0315024842727354</v>
      </c>
      <c r="Y104" s="3">
        <f t="shared" si="51"/>
        <v>-1</v>
      </c>
      <c r="Z104" s="3">
        <f t="shared" si="52"/>
        <v>0</v>
      </c>
      <c r="AA104" s="3">
        <f t="shared" si="53"/>
        <v>0</v>
      </c>
      <c r="AB104" s="3">
        <f t="shared" si="54"/>
        <v>30</v>
      </c>
      <c r="AC104" s="29"/>
      <c r="AD104" s="13">
        <v>41789</v>
      </c>
      <c r="AE104" s="12">
        <v>24.955100000000002</v>
      </c>
      <c r="AF104" s="13">
        <v>41789</v>
      </c>
      <c r="AG104" s="12">
        <v>121.00190000000001</v>
      </c>
    </row>
    <row r="105" spans="1:33" x14ac:dyDescent="0.2">
      <c r="A105" s="11">
        <v>45108</v>
      </c>
      <c r="B105" s="11">
        <f t="shared" si="60"/>
        <v>45138</v>
      </c>
      <c r="C105" s="3" t="s">
        <v>28</v>
      </c>
      <c r="D105" s="3" t="s">
        <v>29</v>
      </c>
      <c r="E105" s="3" t="str">
        <f t="shared" si="41"/>
        <v>Repair/Recovery</v>
      </c>
      <c r="F105" s="14">
        <f t="shared" si="61"/>
        <v>45139</v>
      </c>
      <c r="G105" s="14">
        <f t="shared" si="42"/>
        <v>45139</v>
      </c>
      <c r="H105" s="17">
        <f t="shared" si="43"/>
        <v>45139</v>
      </c>
      <c r="I105" s="14">
        <f t="shared" si="44"/>
        <v>45170</v>
      </c>
      <c r="J105" s="14">
        <f t="shared" si="45"/>
        <v>45170</v>
      </c>
      <c r="K105" s="17">
        <f t="shared" si="46"/>
        <v>45170</v>
      </c>
      <c r="L105" s="16">
        <f t="shared" si="62"/>
        <v>-4.5160142483468002E-3</v>
      </c>
      <c r="M105" s="16">
        <f t="shared" si="63"/>
        <v>-9.4220132743362273E-3</v>
      </c>
      <c r="N105" s="3">
        <f t="shared" si="47"/>
        <v>1</v>
      </c>
      <c r="O105" s="20">
        <f t="shared" si="48"/>
        <v>-6.9690137613415137E-3</v>
      </c>
      <c r="P105" s="20">
        <f t="shared" si="64"/>
        <v>-9.4220132743362273E-3</v>
      </c>
      <c r="Q105" s="29">
        <f t="shared" si="49"/>
        <v>-1</v>
      </c>
      <c r="R105" s="29"/>
      <c r="S105" s="30">
        <f t="shared" si="59"/>
        <v>45138</v>
      </c>
      <c r="T105" s="32">
        <f t="shared" si="55"/>
        <v>86.042739469030025</v>
      </c>
      <c r="U105" s="32">
        <f t="shared" si="56"/>
        <v>83.622404144119201</v>
      </c>
      <c r="V105" s="32">
        <f t="shared" si="57"/>
        <v>84.907032711474017</v>
      </c>
      <c r="W105" s="32">
        <f t="shared" si="58"/>
        <v>90.888140302355922</v>
      </c>
      <c r="X105" s="31">
        <f t="shared" si="50"/>
        <v>5.9811075908819049</v>
      </c>
      <c r="Y105" s="3">
        <f t="shared" si="51"/>
        <v>-1</v>
      </c>
      <c r="Z105" s="3">
        <f t="shared" si="52"/>
        <v>0</v>
      </c>
      <c r="AA105" s="3">
        <f t="shared" si="53"/>
        <v>0</v>
      </c>
      <c r="AB105" s="3">
        <f t="shared" si="54"/>
        <v>30</v>
      </c>
      <c r="AC105" s="29"/>
      <c r="AD105" s="13">
        <v>41792</v>
      </c>
      <c r="AE105" s="12">
        <v>24.938300000000002</v>
      </c>
      <c r="AF105" s="13">
        <v>41792</v>
      </c>
      <c r="AG105" s="12">
        <v>120.3317</v>
      </c>
    </row>
    <row r="106" spans="1:33" x14ac:dyDescent="0.2">
      <c r="A106" s="11">
        <v>45139</v>
      </c>
      <c r="B106" s="11">
        <f t="shared" si="60"/>
        <v>45169</v>
      </c>
      <c r="C106" s="3" t="s">
        <v>28</v>
      </c>
      <c r="D106" s="3" t="s">
        <v>29</v>
      </c>
      <c r="E106" s="3" t="str">
        <f t="shared" si="41"/>
        <v>Repair/Recovery</v>
      </c>
      <c r="F106" s="14">
        <f t="shared" si="61"/>
        <v>45170</v>
      </c>
      <c r="G106" s="14">
        <f t="shared" si="42"/>
        <v>45170</v>
      </c>
      <c r="H106" s="17">
        <f t="shared" si="43"/>
        <v>45170</v>
      </c>
      <c r="I106" s="14">
        <f t="shared" si="44"/>
        <v>45200</v>
      </c>
      <c r="J106" s="14">
        <f t="shared" si="45"/>
        <v>45201</v>
      </c>
      <c r="K106" s="17">
        <f t="shared" si="46"/>
        <v>45201</v>
      </c>
      <c r="L106" s="16">
        <f t="shared" si="62"/>
        <v>-2.3446828251792895E-2</v>
      </c>
      <c r="M106" s="16">
        <f t="shared" si="63"/>
        <v>-3.7522369225529095E-2</v>
      </c>
      <c r="N106" s="3">
        <f t="shared" si="47"/>
        <v>1</v>
      </c>
      <c r="O106" s="20">
        <f t="shared" si="48"/>
        <v>-3.0484598738660995E-2</v>
      </c>
      <c r="P106" s="20">
        <f t="shared" si="64"/>
        <v>-3.7522369225529095E-2</v>
      </c>
      <c r="Q106" s="29">
        <f t="shared" si="49"/>
        <v>-1</v>
      </c>
      <c r="R106" s="29"/>
      <c r="S106" s="30">
        <f t="shared" si="59"/>
        <v>45169</v>
      </c>
      <c r="T106" s="32">
        <f t="shared" si="55"/>
        <v>85.654169231621097</v>
      </c>
      <c r="U106" s="32">
        <f t="shared" si="56"/>
        <v>82.834512742241401</v>
      </c>
      <c r="V106" s="32">
        <f t="shared" si="57"/>
        <v>84.31531443207308</v>
      </c>
      <c r="W106" s="32">
        <f t="shared" si="58"/>
        <v>90.031791037947386</v>
      </c>
      <c r="X106" s="31">
        <f t="shared" si="50"/>
        <v>5.7164766058743055</v>
      </c>
      <c r="Y106" s="3">
        <f t="shared" si="51"/>
        <v>-1</v>
      </c>
      <c r="Z106" s="3">
        <f t="shared" si="52"/>
        <v>0</v>
      </c>
      <c r="AA106" s="3">
        <f t="shared" si="53"/>
        <v>0</v>
      </c>
      <c r="AB106" s="3">
        <f t="shared" si="54"/>
        <v>30</v>
      </c>
      <c r="AC106" s="29"/>
      <c r="AD106" s="13">
        <v>41793</v>
      </c>
      <c r="AE106" s="12">
        <v>24.817799999999998</v>
      </c>
      <c r="AF106" s="13">
        <v>41793</v>
      </c>
      <c r="AG106" s="12">
        <v>119.7837</v>
      </c>
    </row>
    <row r="107" spans="1:33" x14ac:dyDescent="0.2">
      <c r="A107" s="11">
        <v>45170</v>
      </c>
      <c r="B107" s="11">
        <f t="shared" si="60"/>
        <v>45199</v>
      </c>
      <c r="C107" s="3" t="s">
        <v>28</v>
      </c>
      <c r="D107" s="3" t="s">
        <v>29</v>
      </c>
      <c r="E107" s="3" t="str">
        <f t="shared" si="41"/>
        <v>Repair/Recovery</v>
      </c>
      <c r="F107" s="14">
        <f t="shared" si="61"/>
        <v>45200</v>
      </c>
      <c r="G107" s="14">
        <f t="shared" si="42"/>
        <v>45201</v>
      </c>
      <c r="H107" s="17">
        <f t="shared" si="43"/>
        <v>45201</v>
      </c>
      <c r="I107" s="14">
        <f t="shared" si="44"/>
        <v>45231</v>
      </c>
      <c r="J107" s="14">
        <f t="shared" si="45"/>
        <v>45231</v>
      </c>
      <c r="K107" s="17">
        <f t="shared" si="46"/>
        <v>45231</v>
      </c>
      <c r="L107" s="16">
        <f t="shared" si="62"/>
        <v>1.4446365434637176E-3</v>
      </c>
      <c r="M107" s="16">
        <f t="shared" si="63"/>
        <v>-1.0493027249238729E-3</v>
      </c>
      <c r="N107" s="3">
        <f t="shared" si="47"/>
        <v>1</v>
      </c>
      <c r="O107" s="20">
        <f t="shared" si="48"/>
        <v>1.9766690926992236E-4</v>
      </c>
      <c r="P107" s="20">
        <f t="shared" si="64"/>
        <v>-1.0493027249238729E-3</v>
      </c>
      <c r="Q107" s="29">
        <f t="shared" si="49"/>
        <v>-1</v>
      </c>
      <c r="R107" s="29"/>
      <c r="S107" s="30">
        <f t="shared" si="59"/>
        <v>45199</v>
      </c>
      <c r="T107" s="32">
        <f t="shared" si="55"/>
        <v>83.645850636597274</v>
      </c>
      <c r="U107" s="32">
        <f t="shared" si="56"/>
        <v>79.726365570510225</v>
      </c>
      <c r="V107" s="32">
        <f t="shared" si="57"/>
        <v>81.74499590408729</v>
      </c>
      <c r="W107" s="32">
        <f t="shared" si="58"/>
        <v>86.653584932585844</v>
      </c>
      <c r="X107" s="31">
        <f t="shared" si="50"/>
        <v>4.9085890284985538</v>
      </c>
      <c r="Y107" s="3">
        <f t="shared" si="51"/>
        <v>-1</v>
      </c>
      <c r="Z107" s="3">
        <f t="shared" si="52"/>
        <v>0</v>
      </c>
      <c r="AA107" s="3">
        <f t="shared" si="53"/>
        <v>0</v>
      </c>
      <c r="AB107" s="3">
        <f t="shared" si="54"/>
        <v>30</v>
      </c>
      <c r="AC107" s="29"/>
      <c r="AD107" s="13">
        <v>41794</v>
      </c>
      <c r="AE107" s="12">
        <v>24.8278</v>
      </c>
      <c r="AF107" s="13">
        <v>41794</v>
      </c>
      <c r="AG107" s="12">
        <v>119.72280000000001</v>
      </c>
    </row>
    <row r="108" spans="1:33" x14ac:dyDescent="0.2">
      <c r="A108" s="11">
        <v>45200</v>
      </c>
      <c r="B108" s="11">
        <f t="shared" si="60"/>
        <v>45230</v>
      </c>
      <c r="C108" s="3" t="s">
        <v>28</v>
      </c>
      <c r="D108" s="3" t="s">
        <v>29</v>
      </c>
      <c r="E108" s="3" t="str">
        <f t="shared" si="41"/>
        <v>Repair/Recovery</v>
      </c>
      <c r="F108" s="14">
        <f t="shared" si="61"/>
        <v>45231</v>
      </c>
      <c r="G108" s="14">
        <f t="shared" si="42"/>
        <v>45231</v>
      </c>
      <c r="H108" s="17">
        <f t="shared" si="43"/>
        <v>45231</v>
      </c>
      <c r="I108" s="14">
        <f t="shared" si="44"/>
        <v>45261</v>
      </c>
      <c r="J108" s="14">
        <f t="shared" si="45"/>
        <v>45261</v>
      </c>
      <c r="K108" s="17">
        <f t="shared" si="46"/>
        <v>45261</v>
      </c>
      <c r="L108" s="16">
        <f t="shared" si="62"/>
        <v>3.4543496265305285E-2</v>
      </c>
      <c r="M108" s="16">
        <f t="shared" si="63"/>
        <v>7.3285161342776073E-2</v>
      </c>
      <c r="N108" s="3">
        <f t="shared" si="47"/>
        <v>-1</v>
      </c>
      <c r="O108" s="20">
        <f t="shared" si="48"/>
        <v>5.3914328804040679E-2</v>
      </c>
      <c r="P108" s="20">
        <f t="shared" si="64"/>
        <v>7.3285161342776073E-2</v>
      </c>
      <c r="Q108" s="29">
        <f t="shared" si="49"/>
        <v>-1</v>
      </c>
      <c r="R108" s="29"/>
      <c r="S108" s="30">
        <f t="shared" si="59"/>
        <v>45230</v>
      </c>
      <c r="T108" s="32">
        <f t="shared" si="55"/>
        <v>83.766688489136016</v>
      </c>
      <c r="U108" s="32">
        <f t="shared" si="56"/>
        <v>79.642708477868808</v>
      </c>
      <c r="V108" s="32">
        <f t="shared" si="57"/>
        <v>81.761154184775947</v>
      </c>
      <c r="W108" s="32">
        <f t="shared" si="58"/>
        <v>86.562659089791666</v>
      </c>
      <c r="X108" s="31">
        <f t="shared" si="50"/>
        <v>4.8015049050157188</v>
      </c>
      <c r="Y108" s="3">
        <f t="shared" si="51"/>
        <v>-1</v>
      </c>
      <c r="Z108" s="3">
        <f t="shared" si="52"/>
        <v>0</v>
      </c>
      <c r="AA108" s="3">
        <f t="shared" si="53"/>
        <v>0</v>
      </c>
      <c r="AB108" s="3">
        <f t="shared" si="54"/>
        <v>30</v>
      </c>
      <c r="AC108" s="29"/>
      <c r="AD108" s="13">
        <v>41795</v>
      </c>
      <c r="AE108" s="12">
        <v>24.8278</v>
      </c>
      <c r="AF108" s="13">
        <v>41795</v>
      </c>
      <c r="AG108" s="12">
        <v>119.9765</v>
      </c>
    </row>
    <row r="109" spans="1:33" x14ac:dyDescent="0.2">
      <c r="A109" s="11">
        <v>45231</v>
      </c>
      <c r="B109" s="11">
        <f t="shared" si="60"/>
        <v>45260</v>
      </c>
      <c r="C109" s="3" t="s">
        <v>28</v>
      </c>
      <c r="D109" s="3" t="s">
        <v>29</v>
      </c>
      <c r="E109" s="3" t="str">
        <f t="shared" si="41"/>
        <v>Repair/Recovery</v>
      </c>
      <c r="F109" s="14">
        <f t="shared" si="61"/>
        <v>45261</v>
      </c>
      <c r="G109" s="14">
        <f t="shared" si="42"/>
        <v>45261</v>
      </c>
      <c r="H109" s="17">
        <f t="shared" si="43"/>
        <v>45261</v>
      </c>
      <c r="I109" s="14">
        <f t="shared" si="44"/>
        <v>45292</v>
      </c>
      <c r="J109" s="14">
        <f t="shared" si="45"/>
        <v>45292</v>
      </c>
      <c r="K109" s="17">
        <f t="shared" si="46"/>
        <v>45293</v>
      </c>
      <c r="L109" s="16">
        <f t="shared" si="62"/>
        <v>2.1317938714684681E-2</v>
      </c>
      <c r="M109" s="16">
        <f t="shared" si="63"/>
        <v>2.9210987481391948E-2</v>
      </c>
      <c r="N109" s="3">
        <f t="shared" si="47"/>
        <v>-1</v>
      </c>
      <c r="O109" s="20">
        <f t="shared" si="48"/>
        <v>2.5264463098038314E-2</v>
      </c>
      <c r="P109" s="20">
        <f t="shared" si="64"/>
        <v>2.9210987481391948E-2</v>
      </c>
      <c r="Q109" s="29">
        <f t="shared" si="49"/>
        <v>-1</v>
      </c>
      <c r="R109" s="29"/>
      <c r="S109" s="30">
        <f t="shared" si="59"/>
        <v>45260</v>
      </c>
      <c r="T109" s="32">
        <f t="shared" si="55"/>
        <v>86.66028278011747</v>
      </c>
      <c r="U109" s="32">
        <f t="shared" si="56"/>
        <v>85.47933721844511</v>
      </c>
      <c r="V109" s="32">
        <f t="shared" si="57"/>
        <v>86.169251934891818</v>
      </c>
      <c r="W109" s="32">
        <f t="shared" si="58"/>
        <v>92.906417527446763</v>
      </c>
      <c r="X109" s="31">
        <f t="shared" si="50"/>
        <v>6.7371655925549447</v>
      </c>
      <c r="Y109" s="3">
        <f t="shared" si="51"/>
        <v>-1</v>
      </c>
      <c r="Z109" s="3">
        <f t="shared" si="52"/>
        <v>0</v>
      </c>
      <c r="AA109" s="3">
        <f t="shared" si="53"/>
        <v>0</v>
      </c>
      <c r="AB109" s="3">
        <f t="shared" si="54"/>
        <v>30</v>
      </c>
      <c r="AC109" s="29"/>
      <c r="AD109" s="13">
        <v>41796</v>
      </c>
      <c r="AE109" s="12">
        <v>24.8277</v>
      </c>
      <c r="AF109" s="13">
        <v>41796</v>
      </c>
      <c r="AG109" s="12">
        <v>120.2302</v>
      </c>
    </row>
    <row r="110" spans="1:33" x14ac:dyDescent="0.2">
      <c r="A110" s="11">
        <v>45261</v>
      </c>
      <c r="B110" s="11">
        <f t="shared" si="60"/>
        <v>45291</v>
      </c>
      <c r="C110" s="3" t="s">
        <v>28</v>
      </c>
      <c r="D110" s="3" t="s">
        <v>29</v>
      </c>
      <c r="E110" s="3" t="str">
        <f t="shared" si="41"/>
        <v>Repair/Recovery</v>
      </c>
      <c r="F110" s="14">
        <f t="shared" si="61"/>
        <v>45292</v>
      </c>
      <c r="G110" s="14">
        <f t="shared" si="42"/>
        <v>45292</v>
      </c>
      <c r="H110" s="17">
        <f t="shared" si="43"/>
        <v>45293</v>
      </c>
      <c r="I110" s="14">
        <f t="shared" si="44"/>
        <v>45323</v>
      </c>
      <c r="J110" s="14">
        <f t="shared" si="45"/>
        <v>45323</v>
      </c>
      <c r="K110" s="17">
        <f t="shared" si="46"/>
        <v>45323</v>
      </c>
      <c r="L110" s="16">
        <f t="shared" si="62"/>
        <v>7.1024034091535793E-3</v>
      </c>
      <c r="M110" s="16">
        <f t="shared" si="63"/>
        <v>1.0086692059185998E-2</v>
      </c>
      <c r="N110" s="3">
        <f t="shared" si="47"/>
        <v>-1</v>
      </c>
      <c r="O110" s="20">
        <f t="shared" si="48"/>
        <v>8.5945477341697885E-3</v>
      </c>
      <c r="P110" s="20">
        <f t="shared" si="64"/>
        <v>1.0086692059185998E-2</v>
      </c>
      <c r="Q110" s="29">
        <f t="shared" si="49"/>
        <v>-1</v>
      </c>
      <c r="R110" s="29"/>
      <c r="S110" s="30">
        <f t="shared" si="59"/>
        <v>45291</v>
      </c>
      <c r="T110" s="32">
        <f t="shared" si="55"/>
        <v>88.507701377421256</v>
      </c>
      <c r="U110" s="32">
        <f t="shared" si="56"/>
        <v>87.976273067850798</v>
      </c>
      <c r="V110" s="32">
        <f t="shared" si="57"/>
        <v>88.346271820586466</v>
      </c>
      <c r="W110" s="32">
        <f t="shared" si="58"/>
        <v>95.620305726781979</v>
      </c>
      <c r="X110" s="31">
        <f t="shared" si="50"/>
        <v>7.2740339061955126</v>
      </c>
      <c r="Y110" s="3">
        <f t="shared" si="51"/>
        <v>-1</v>
      </c>
      <c r="Z110" s="3">
        <f t="shared" si="52"/>
        <v>0</v>
      </c>
      <c r="AA110" s="3">
        <f t="shared" si="53"/>
        <v>0</v>
      </c>
      <c r="AB110" s="3">
        <f t="shared" si="54"/>
        <v>30</v>
      </c>
      <c r="AC110" s="29"/>
      <c r="AD110" s="13">
        <v>41799</v>
      </c>
      <c r="AE110" s="12">
        <v>24.797699999999999</v>
      </c>
      <c r="AF110" s="13">
        <v>41799</v>
      </c>
      <c r="AG110" s="12">
        <v>119.9867</v>
      </c>
    </row>
    <row r="111" spans="1:33" x14ac:dyDescent="0.2">
      <c r="A111" s="11">
        <v>45292</v>
      </c>
      <c r="B111" s="11">
        <f t="shared" si="60"/>
        <v>45322</v>
      </c>
      <c r="C111" s="3" t="s">
        <v>28</v>
      </c>
      <c r="D111" s="3" t="s">
        <v>29</v>
      </c>
      <c r="E111" s="3" t="str">
        <f t="shared" si="41"/>
        <v>Repair/Recovery</v>
      </c>
      <c r="F111" s="14">
        <f t="shared" si="61"/>
        <v>45323</v>
      </c>
      <c r="G111" s="14">
        <f t="shared" si="42"/>
        <v>45323</v>
      </c>
      <c r="H111" s="17">
        <f t="shared" si="43"/>
        <v>45323</v>
      </c>
      <c r="I111" s="14">
        <f t="shared" si="44"/>
        <v>45352</v>
      </c>
      <c r="J111" s="14">
        <f t="shared" si="45"/>
        <v>45352</v>
      </c>
      <c r="K111" s="17">
        <f t="shared" si="46"/>
        <v>45352</v>
      </c>
      <c r="L111" s="16">
        <f t="shared" si="62"/>
        <v>-1.5014488305215457E-2</v>
      </c>
      <c r="M111" s="16">
        <f t="shared" si="63"/>
        <v>-2.0941968970571767E-2</v>
      </c>
      <c r="N111" s="3">
        <f t="shared" si="47"/>
        <v>1</v>
      </c>
      <c r="O111" s="20">
        <f t="shared" si="48"/>
        <v>-1.7978228637893612E-2</v>
      </c>
      <c r="P111" s="20">
        <f t="shared" si="64"/>
        <v>-2.0941968970571767E-2</v>
      </c>
      <c r="Q111" s="29">
        <f t="shared" si="49"/>
        <v>-1</v>
      </c>
      <c r="R111" s="29"/>
      <c r="S111" s="30">
        <f t="shared" si="59"/>
        <v>45322</v>
      </c>
      <c r="T111" s="32">
        <f t="shared" si="55"/>
        <v>89.136318777420598</v>
      </c>
      <c r="U111" s="32">
        <f t="shared" si="56"/>
        <v>88.863662642801074</v>
      </c>
      <c r="V111" s="32">
        <f t="shared" si="57"/>
        <v>89.105568070884431</v>
      </c>
      <c r="W111" s="32">
        <f t="shared" si="58"/>
        <v>96.584798305253244</v>
      </c>
      <c r="X111" s="31">
        <f t="shared" si="50"/>
        <v>7.4792302343688135</v>
      </c>
      <c r="Y111" s="3">
        <f t="shared" si="51"/>
        <v>-1</v>
      </c>
      <c r="Z111" s="3">
        <f t="shared" si="52"/>
        <v>0</v>
      </c>
      <c r="AA111" s="3">
        <f t="shared" si="53"/>
        <v>0</v>
      </c>
      <c r="AB111" s="3">
        <f t="shared" si="54"/>
        <v>30</v>
      </c>
      <c r="AC111" s="29"/>
      <c r="AD111" s="13">
        <v>41800</v>
      </c>
      <c r="AE111" s="12">
        <v>24.762499999999999</v>
      </c>
      <c r="AF111" s="13">
        <v>41800</v>
      </c>
      <c r="AG111" s="12">
        <v>119.7634</v>
      </c>
    </row>
    <row r="112" spans="1:33" x14ac:dyDescent="0.2">
      <c r="A112" s="11">
        <v>45323</v>
      </c>
      <c r="B112" s="11">
        <f t="shared" si="60"/>
        <v>45351</v>
      </c>
      <c r="C112" s="3" t="s">
        <v>28</v>
      </c>
      <c r="D112" s="3" t="s">
        <v>29</v>
      </c>
      <c r="E112" s="3" t="str">
        <f t="shared" si="41"/>
        <v>Repair/Recovery</v>
      </c>
      <c r="F112" s="14">
        <f t="shared" si="61"/>
        <v>45352</v>
      </c>
      <c r="G112" s="14">
        <f t="shared" si="42"/>
        <v>45352</v>
      </c>
      <c r="H112" s="17">
        <f t="shared" si="43"/>
        <v>45352</v>
      </c>
      <c r="I112" s="14">
        <f t="shared" si="44"/>
        <v>45383</v>
      </c>
      <c r="J112" s="14">
        <f t="shared" si="45"/>
        <v>45383</v>
      </c>
      <c r="K112" s="17">
        <f t="shared" si="46"/>
        <v>45383</v>
      </c>
      <c r="L112" s="16">
        <f t="shared" si="62"/>
        <v>-4.9265469654251604E-3</v>
      </c>
      <c r="M112" s="16">
        <f t="shared" si="63"/>
        <v>-3.641515402015294E-4</v>
      </c>
      <c r="N112" s="3">
        <f t="shared" si="47"/>
        <v>-1</v>
      </c>
      <c r="O112" s="20">
        <f t="shared" si="48"/>
        <v>-2.6453492528133449E-3</v>
      </c>
      <c r="P112" s="20">
        <f t="shared" si="64"/>
        <v>-3.641515402015294E-4</v>
      </c>
      <c r="Q112" s="29">
        <f t="shared" si="49"/>
        <v>-1</v>
      </c>
      <c r="R112" s="29"/>
      <c r="S112" s="30">
        <f t="shared" si="59"/>
        <v>45351</v>
      </c>
      <c r="T112" s="32">
        <f t="shared" si="55"/>
        <v>87.797982561567053</v>
      </c>
      <c r="U112" s="32">
        <f t="shared" si="56"/>
        <v>87.002682577124176</v>
      </c>
      <c r="V112" s="32">
        <f t="shared" si="57"/>
        <v>87.503607795196686</v>
      </c>
      <c r="W112" s="32">
        <f t="shared" si="58"/>
        <v>94.562122456115702</v>
      </c>
      <c r="X112" s="31">
        <f t="shared" si="50"/>
        <v>7.0585146609190161</v>
      </c>
      <c r="Y112" s="3">
        <f t="shared" si="51"/>
        <v>-1</v>
      </c>
      <c r="Z112" s="3">
        <f t="shared" si="52"/>
        <v>0</v>
      </c>
      <c r="AA112" s="3">
        <f t="shared" si="53"/>
        <v>0</v>
      </c>
      <c r="AB112" s="3">
        <f t="shared" si="54"/>
        <v>30</v>
      </c>
      <c r="AC112" s="29"/>
      <c r="AD112" s="13">
        <v>41801</v>
      </c>
      <c r="AE112" s="12">
        <v>24.787600000000001</v>
      </c>
      <c r="AF112" s="13">
        <v>41801</v>
      </c>
      <c r="AG112" s="12">
        <v>119.8548</v>
      </c>
    </row>
    <row r="113" spans="1:33" x14ac:dyDescent="0.2">
      <c r="A113" s="11">
        <v>45352</v>
      </c>
      <c r="B113" s="11">
        <f t="shared" si="60"/>
        <v>45382</v>
      </c>
      <c r="C113" s="3" t="s">
        <v>28</v>
      </c>
      <c r="D113" s="3" t="s">
        <v>29</v>
      </c>
      <c r="E113" s="3" t="str">
        <f t="shared" si="41"/>
        <v>Repair/Recovery</v>
      </c>
      <c r="F113" s="14">
        <f t="shared" si="61"/>
        <v>45383</v>
      </c>
      <c r="G113" s="14">
        <f t="shared" si="42"/>
        <v>45383</v>
      </c>
      <c r="H113" s="17">
        <f t="shared" si="43"/>
        <v>45383</v>
      </c>
      <c r="I113" s="14">
        <f t="shared" si="44"/>
        <v>45413</v>
      </c>
      <c r="J113" s="14">
        <f t="shared" si="45"/>
        <v>45413</v>
      </c>
      <c r="K113" s="17">
        <f t="shared" si="46"/>
        <v>45413</v>
      </c>
      <c r="L113" s="16">
        <f t="shared" si="62"/>
        <v>-1.3122968176802141E-2</v>
      </c>
      <c r="M113" s="16">
        <f t="shared" si="63"/>
        <v>-1.9028531163582052E-2</v>
      </c>
      <c r="N113" s="3">
        <f t="shared" si="47"/>
        <v>1</v>
      </c>
      <c r="O113" s="20">
        <f t="shared" si="48"/>
        <v>-1.6075749670192097E-2</v>
      </c>
      <c r="P113" s="20">
        <f t="shared" si="64"/>
        <v>-1.9028531163582052E-2</v>
      </c>
      <c r="Q113" s="29">
        <f t="shared" si="49"/>
        <v>-1</v>
      </c>
      <c r="R113" s="29"/>
      <c r="S113" s="30">
        <f t="shared" si="59"/>
        <v>45382</v>
      </c>
      <c r="T113" s="32">
        <f t="shared" si="55"/>
        <v>87.365441677007908</v>
      </c>
      <c r="U113" s="32">
        <f t="shared" si="56"/>
        <v>86.971000416262058</v>
      </c>
      <c r="V113" s="32">
        <f t="shared" si="57"/>
        <v>87.272130191697187</v>
      </c>
      <c r="W113" s="32">
        <f t="shared" si="58"/>
        <v>94.527687513578584</v>
      </c>
      <c r="X113" s="31">
        <f t="shared" si="50"/>
        <v>7.2555573218813976</v>
      </c>
      <c r="Y113" s="3">
        <f t="shared" si="51"/>
        <v>-1</v>
      </c>
      <c r="Z113" s="3">
        <f t="shared" si="52"/>
        <v>0</v>
      </c>
      <c r="AA113" s="3">
        <f t="shared" si="53"/>
        <v>0</v>
      </c>
      <c r="AB113" s="3">
        <f t="shared" si="54"/>
        <v>30</v>
      </c>
      <c r="AC113" s="29"/>
      <c r="AD113" s="13">
        <v>41802</v>
      </c>
      <c r="AE113" s="12">
        <v>24.847899999999999</v>
      </c>
      <c r="AF113" s="13">
        <v>41802</v>
      </c>
      <c r="AG113" s="12">
        <v>120.2403</v>
      </c>
    </row>
    <row r="114" spans="1:33" x14ac:dyDescent="0.2">
      <c r="A114" s="11">
        <v>45383</v>
      </c>
      <c r="B114" s="11">
        <f t="shared" si="60"/>
        <v>45412</v>
      </c>
      <c r="C114" s="3" t="s">
        <v>28</v>
      </c>
      <c r="D114" s="3" t="s">
        <v>29</v>
      </c>
      <c r="E114" s="3" t="str">
        <f t="shared" si="41"/>
        <v>Repair/Recovery</v>
      </c>
      <c r="F114" s="14">
        <f t="shared" si="61"/>
        <v>45413</v>
      </c>
      <c r="G114" s="14">
        <f t="shared" si="42"/>
        <v>45413</v>
      </c>
      <c r="H114" s="17">
        <f t="shared" si="43"/>
        <v>45413</v>
      </c>
      <c r="I114" s="14">
        <f t="shared" si="44"/>
        <v>45444</v>
      </c>
      <c r="J114" s="14">
        <f t="shared" si="45"/>
        <v>45446</v>
      </c>
      <c r="K114" s="17">
        <f t="shared" si="46"/>
        <v>45446</v>
      </c>
      <c r="L114" s="16">
        <f t="shared" si="62"/>
        <v>1.667472573967177E-2</v>
      </c>
      <c r="M114" s="16">
        <f t="shared" si="63"/>
        <v>2.4897421215088311E-2</v>
      </c>
      <c r="N114" s="3">
        <f t="shared" si="47"/>
        <v>-1</v>
      </c>
      <c r="O114" s="20">
        <f t="shared" si="48"/>
        <v>2.078607347738004E-2</v>
      </c>
      <c r="P114" s="20">
        <f t="shared" si="64"/>
        <v>2.4897421215088311E-2</v>
      </c>
      <c r="Q114" s="29">
        <f t="shared" si="49"/>
        <v>-1</v>
      </c>
      <c r="R114" s="29"/>
      <c r="S114" s="30">
        <f t="shared" si="59"/>
        <v>45412</v>
      </c>
      <c r="T114" s="32">
        <f t="shared" si="55"/>
        <v>86.218947766128267</v>
      </c>
      <c r="U114" s="32">
        <f t="shared" si="56"/>
        <v>85.316070024513309</v>
      </c>
      <c r="V114" s="32">
        <f t="shared" si="57"/>
        <v>85.869165273551047</v>
      </c>
      <c r="W114" s="32">
        <f t="shared" si="58"/>
        <v>92.728964465905108</v>
      </c>
      <c r="X114" s="31">
        <f t="shared" si="50"/>
        <v>6.8597991923540604</v>
      </c>
      <c r="Y114" s="3">
        <f t="shared" si="51"/>
        <v>-1</v>
      </c>
      <c r="Z114" s="3">
        <f t="shared" si="52"/>
        <v>0</v>
      </c>
      <c r="AA114" s="3">
        <f t="shared" si="53"/>
        <v>0</v>
      </c>
      <c r="AB114" s="3">
        <f t="shared" si="54"/>
        <v>30</v>
      </c>
      <c r="AC114" s="29"/>
      <c r="AD114" s="13">
        <v>41803</v>
      </c>
      <c r="AE114" s="12">
        <v>24.807700000000001</v>
      </c>
      <c r="AF114" s="13">
        <v>41803</v>
      </c>
      <c r="AG114" s="12">
        <v>120.22</v>
      </c>
    </row>
    <row r="115" spans="1:33" x14ac:dyDescent="0.2">
      <c r="A115" s="11">
        <v>45413</v>
      </c>
      <c r="B115" s="11">
        <f t="shared" si="60"/>
        <v>45443</v>
      </c>
      <c r="C115" s="3" t="s">
        <v>28</v>
      </c>
      <c r="D115" s="3" t="s">
        <v>29</v>
      </c>
      <c r="E115" s="3" t="str">
        <f t="shared" si="41"/>
        <v>Repair/Recovery</v>
      </c>
      <c r="F115" s="14">
        <f t="shared" si="61"/>
        <v>45444</v>
      </c>
      <c r="G115" s="14">
        <f t="shared" si="42"/>
        <v>45446</v>
      </c>
      <c r="H115" s="17">
        <f t="shared" si="43"/>
        <v>45446</v>
      </c>
      <c r="I115" s="14">
        <f t="shared" si="44"/>
        <v>45474</v>
      </c>
      <c r="J115" s="14">
        <f t="shared" si="45"/>
        <v>45474</v>
      </c>
      <c r="K115" s="17">
        <f t="shared" si="46"/>
        <v>45474</v>
      </c>
      <c r="L115" s="16">
        <f t="shared" si="62"/>
        <v>-1.0849936460988197E-3</v>
      </c>
      <c r="M115" s="16">
        <f t="shared" si="63"/>
        <v>-6.8478930678719241E-3</v>
      </c>
      <c r="N115" s="3">
        <f t="shared" si="47"/>
        <v>1</v>
      </c>
      <c r="O115" s="20">
        <f t="shared" si="48"/>
        <v>-3.9664433569853719E-3</v>
      </c>
      <c r="P115" s="20">
        <f t="shared" si="64"/>
        <v>-6.8478930678719241E-3</v>
      </c>
      <c r="Q115" s="29">
        <f t="shared" si="49"/>
        <v>-1</v>
      </c>
      <c r="R115" s="29"/>
      <c r="S115" s="30">
        <f t="shared" si="59"/>
        <v>45443</v>
      </c>
      <c r="T115" s="32">
        <f t="shared" si="55"/>
        <v>87.656625073691544</v>
      </c>
      <c r="U115" s="32">
        <f t="shared" si="56"/>
        <v>87.440220156329588</v>
      </c>
      <c r="V115" s="32">
        <f t="shared" si="57"/>
        <v>87.654048052368367</v>
      </c>
      <c r="W115" s="32">
        <f t="shared" si="58"/>
        <v>95.03767655305171</v>
      </c>
      <c r="X115" s="31">
        <f t="shared" si="50"/>
        <v>7.3836285006833435</v>
      </c>
      <c r="Y115" s="3">
        <f t="shared" si="51"/>
        <v>-1</v>
      </c>
      <c r="Z115" s="3">
        <f t="shared" si="52"/>
        <v>0</v>
      </c>
      <c r="AA115" s="3">
        <f t="shared" si="53"/>
        <v>0</v>
      </c>
      <c r="AB115" s="3">
        <f t="shared" si="54"/>
        <v>30</v>
      </c>
      <c r="AC115" s="29"/>
      <c r="AD115" s="13">
        <v>41806</v>
      </c>
      <c r="AE115" s="12">
        <v>24.817799999999998</v>
      </c>
      <c r="AF115" s="13">
        <v>41806</v>
      </c>
      <c r="AG115" s="12">
        <v>120.2099</v>
      </c>
    </row>
    <row r="116" spans="1:33" x14ac:dyDescent="0.2">
      <c r="A116" s="11">
        <v>45444</v>
      </c>
      <c r="B116" s="11">
        <f t="shared" si="60"/>
        <v>45473</v>
      </c>
      <c r="C116" s="3" t="s">
        <v>28</v>
      </c>
      <c r="D116" s="3" t="s">
        <v>29</v>
      </c>
      <c r="E116" s="3" t="str">
        <f t="shared" si="41"/>
        <v>Repair/Recovery</v>
      </c>
      <c r="F116" s="14">
        <f t="shared" si="61"/>
        <v>45474</v>
      </c>
      <c r="G116" s="14">
        <f t="shared" si="42"/>
        <v>45474</v>
      </c>
      <c r="H116" s="17">
        <f t="shared" si="43"/>
        <v>45474</v>
      </c>
      <c r="I116" s="14">
        <f t="shared" si="44"/>
        <v>45505</v>
      </c>
      <c r="J116" s="14">
        <f t="shared" si="45"/>
        <v>45505</v>
      </c>
      <c r="K116" s="17">
        <f t="shared" si="46"/>
        <v>45505</v>
      </c>
      <c r="L116" s="16">
        <f t="shared" si="62"/>
        <v>3.2276423369067775E-2</v>
      </c>
      <c r="M116" s="16">
        <f t="shared" si="63"/>
        <v>3.5929534997826362E-2</v>
      </c>
      <c r="N116" s="3">
        <f t="shared" si="47"/>
        <v>-1</v>
      </c>
      <c r="O116" s="20">
        <f t="shared" si="48"/>
        <v>3.4102979183447069E-2</v>
      </c>
      <c r="P116" s="20">
        <f t="shared" si="64"/>
        <v>3.5929534997826362E-2</v>
      </c>
      <c r="Q116" s="29">
        <f t="shared" si="49"/>
        <v>-1</v>
      </c>
      <c r="R116" s="29"/>
      <c r="S116" s="30">
        <f t="shared" si="59"/>
        <v>45473</v>
      </c>
      <c r="T116" s="32">
        <f t="shared" si="55"/>
        <v>87.561518192448119</v>
      </c>
      <c r="U116" s="32">
        <f t="shared" si="56"/>
        <v>86.841438878867862</v>
      </c>
      <c r="V116" s="32">
        <f t="shared" si="57"/>
        <v>87.306373235758173</v>
      </c>
      <c r="W116" s="32">
        <f t="shared" si="58"/>
        <v>94.386868706597411</v>
      </c>
      <c r="X116" s="31">
        <f t="shared" si="50"/>
        <v>7.0804954708392387</v>
      </c>
      <c r="Y116" s="3">
        <f t="shared" si="51"/>
        <v>-1</v>
      </c>
      <c r="Z116" s="3">
        <f t="shared" si="52"/>
        <v>0</v>
      </c>
      <c r="AA116" s="3">
        <f t="shared" si="53"/>
        <v>0</v>
      </c>
      <c r="AB116" s="3">
        <f t="shared" si="54"/>
        <v>30</v>
      </c>
      <c r="AC116" s="29"/>
      <c r="AD116" s="13">
        <v>41807</v>
      </c>
      <c r="AE116" s="12">
        <v>24.752500000000001</v>
      </c>
      <c r="AF116" s="13">
        <v>41807</v>
      </c>
      <c r="AG116" s="12">
        <v>119.804</v>
      </c>
    </row>
    <row r="117" spans="1:33" x14ac:dyDescent="0.2">
      <c r="A117" s="11">
        <v>45474</v>
      </c>
      <c r="B117" s="11">
        <f t="shared" si="60"/>
        <v>45504</v>
      </c>
      <c r="C117" s="3" t="s">
        <v>28</v>
      </c>
      <c r="D117" s="3" t="s">
        <v>29</v>
      </c>
      <c r="E117" s="3" t="str">
        <f t="shared" si="41"/>
        <v>Repair/Recovery</v>
      </c>
      <c r="F117" s="14">
        <f t="shared" si="61"/>
        <v>45505</v>
      </c>
      <c r="G117" s="14">
        <f t="shared" si="42"/>
        <v>45505</v>
      </c>
      <c r="H117" s="17">
        <f t="shared" si="43"/>
        <v>45505</v>
      </c>
      <c r="I117" s="14">
        <f t="shared" si="44"/>
        <v>45536</v>
      </c>
      <c r="J117" s="14">
        <f t="shared" si="45"/>
        <v>45537</v>
      </c>
      <c r="K117" s="17">
        <f t="shared" si="46"/>
        <v>45537</v>
      </c>
      <c r="L117" s="16">
        <f t="shared" si="62"/>
        <v>8.6807369797954337E-3</v>
      </c>
      <c r="M117" s="16">
        <f t="shared" si="63"/>
        <v>1.5338215787687792E-2</v>
      </c>
      <c r="N117" s="3">
        <f t="shared" si="47"/>
        <v>-1</v>
      </c>
      <c r="O117" s="20">
        <f t="shared" si="48"/>
        <v>1.2009476383741613E-2</v>
      </c>
      <c r="P117" s="20">
        <f t="shared" si="64"/>
        <v>1.5338215787687792E-2</v>
      </c>
      <c r="Q117" s="29">
        <f t="shared" si="49"/>
        <v>-1</v>
      </c>
      <c r="R117" s="29"/>
      <c r="S117" s="30">
        <f t="shared" si="59"/>
        <v>45504</v>
      </c>
      <c r="T117" s="32">
        <f t="shared" si="55"/>
        <v>90.387690824465906</v>
      </c>
      <c r="U117" s="32">
        <f t="shared" si="56"/>
        <v>89.96161139632774</v>
      </c>
      <c r="V117" s="32">
        <f t="shared" si="57"/>
        <v>90.283780664799494</v>
      </c>
      <c r="W117" s="32">
        <f t="shared" si="58"/>
        <v>97.778145009126348</v>
      </c>
      <c r="X117" s="31">
        <f t="shared" si="50"/>
        <v>7.4943643443268542</v>
      </c>
      <c r="Y117" s="3">
        <f t="shared" si="51"/>
        <v>-1</v>
      </c>
      <c r="Z117" s="3">
        <f t="shared" si="52"/>
        <v>0</v>
      </c>
      <c r="AA117" s="3">
        <f t="shared" si="53"/>
        <v>0</v>
      </c>
      <c r="AB117" s="3">
        <f t="shared" si="54"/>
        <v>30</v>
      </c>
      <c r="AC117" s="29"/>
      <c r="AD117" s="13">
        <v>41808</v>
      </c>
      <c r="AE117" s="12">
        <v>24.807700000000001</v>
      </c>
      <c r="AF117" s="13">
        <v>41808</v>
      </c>
      <c r="AG117" s="12">
        <v>120.494</v>
      </c>
    </row>
    <row r="118" spans="1:33" x14ac:dyDescent="0.2">
      <c r="A118" s="11">
        <v>45505</v>
      </c>
      <c r="B118" s="11">
        <f t="shared" si="60"/>
        <v>45535</v>
      </c>
      <c r="C118" s="3" t="s">
        <v>28</v>
      </c>
      <c r="D118" s="3" t="s">
        <v>29</v>
      </c>
      <c r="E118" s="3" t="str">
        <f t="shared" si="41"/>
        <v>Repair/Recovery</v>
      </c>
      <c r="F118" s="14">
        <f t="shared" si="61"/>
        <v>45536</v>
      </c>
      <c r="G118" s="14">
        <f t="shared" si="42"/>
        <v>45537</v>
      </c>
      <c r="H118" s="17">
        <f t="shared" si="43"/>
        <v>45537</v>
      </c>
      <c r="I118" s="14">
        <f t="shared" si="44"/>
        <v>45566</v>
      </c>
      <c r="J118" s="14">
        <f t="shared" si="45"/>
        <v>45566</v>
      </c>
      <c r="K118" s="17">
        <f t="shared" si="46"/>
        <v>45566</v>
      </c>
      <c r="L118" s="16">
        <f t="shared" si="62"/>
        <v>1.4225492997999467E-2</v>
      </c>
      <c r="M118" s="16">
        <f t="shared" si="63"/>
        <v>2.4504482836101849E-2</v>
      </c>
      <c r="N118" s="3">
        <f t="shared" si="47"/>
        <v>-1</v>
      </c>
      <c r="O118" s="20">
        <f t="shared" si="48"/>
        <v>1.9364987917050658E-2</v>
      </c>
      <c r="P118" s="20">
        <f t="shared" si="64"/>
        <v>2.4504482836101849E-2</v>
      </c>
      <c r="Q118" s="29">
        <f t="shared" si="49"/>
        <v>-1</v>
      </c>
      <c r="R118" s="29"/>
      <c r="S118" s="30">
        <f t="shared" si="59"/>
        <v>45535</v>
      </c>
      <c r="T118" s="32">
        <f t="shared" si="55"/>
        <v>91.172322594724164</v>
      </c>
      <c r="U118" s="32">
        <f t="shared" si="56"/>
        <v>91.34146200453273</v>
      </c>
      <c r="V118" s="32">
        <f t="shared" si="57"/>
        <v>91.368041596528315</v>
      </c>
      <c r="W118" s="32">
        <f t="shared" si="58"/>
        <v>99.277887296596163</v>
      </c>
      <c r="X118" s="31">
        <f t="shared" si="50"/>
        <v>7.9098457000678479</v>
      </c>
      <c r="Y118" s="3">
        <f t="shared" si="51"/>
        <v>-1</v>
      </c>
      <c r="Z118" s="3">
        <f t="shared" si="52"/>
        <v>0</v>
      </c>
      <c r="AA118" s="3">
        <f t="shared" si="53"/>
        <v>0</v>
      </c>
      <c r="AB118" s="3">
        <f t="shared" si="54"/>
        <v>30</v>
      </c>
      <c r="AC118" s="29"/>
      <c r="AD118" s="13">
        <v>41809</v>
      </c>
      <c r="AE118" s="12">
        <v>24.7776</v>
      </c>
      <c r="AF118" s="13">
        <v>41809</v>
      </c>
      <c r="AG118" s="12">
        <v>120.06780000000001</v>
      </c>
    </row>
    <row r="119" spans="1:33" x14ac:dyDescent="0.2">
      <c r="A119" s="11">
        <v>45536</v>
      </c>
      <c r="B119" s="11">
        <f t="shared" si="60"/>
        <v>45565</v>
      </c>
      <c r="C119" s="3" t="s">
        <v>28</v>
      </c>
      <c r="D119" s="3" t="s">
        <v>29</v>
      </c>
      <c r="E119" s="3" t="str">
        <f t="shared" si="41"/>
        <v>Repair/Recovery</v>
      </c>
      <c r="F119" s="14">
        <f t="shared" si="61"/>
        <v>45566</v>
      </c>
      <c r="G119" s="14">
        <f t="shared" si="42"/>
        <v>45566</v>
      </c>
      <c r="H119" s="17">
        <f t="shared" si="43"/>
        <v>45566</v>
      </c>
      <c r="I119" s="14">
        <f t="shared" si="44"/>
        <v>45597</v>
      </c>
      <c r="J119" s="14">
        <f t="shared" si="45"/>
        <v>45597</v>
      </c>
      <c r="K119" s="17">
        <f t="shared" si="46"/>
        <v>45597</v>
      </c>
      <c r="L119" s="16">
        <f t="shared" si="62"/>
        <v>-3.0584497467435967E-2</v>
      </c>
      <c r="M119" s="16">
        <f t="shared" si="63"/>
        <v>-4.1682781117364787E-2</v>
      </c>
      <c r="N119" s="3">
        <f t="shared" si="47"/>
        <v>1</v>
      </c>
      <c r="O119" s="20">
        <f t="shared" si="48"/>
        <v>-3.6133639292400377E-2</v>
      </c>
      <c r="P119" s="20">
        <f t="shared" si="64"/>
        <v>-4.1682781117364787E-2</v>
      </c>
      <c r="Q119" s="29">
        <f t="shared" si="49"/>
        <v>-1</v>
      </c>
      <c r="R119" s="29"/>
      <c r="S119" s="30">
        <f t="shared" si="59"/>
        <v>45565</v>
      </c>
      <c r="T119" s="32">
        <f t="shared" si="55"/>
        <v>92.469293831406759</v>
      </c>
      <c r="U119" s="32">
        <f t="shared" si="56"/>
        <v>93.579737292447248</v>
      </c>
      <c r="V119" s="32">
        <f t="shared" si="57"/>
        <v>93.137382618049671</v>
      </c>
      <c r="W119" s="32">
        <f t="shared" si="58"/>
        <v>101.71064058186006</v>
      </c>
      <c r="X119" s="31">
        <f t="shared" si="50"/>
        <v>8.5732579638103914</v>
      </c>
      <c r="Y119" s="3">
        <f t="shared" si="51"/>
        <v>-1</v>
      </c>
      <c r="Z119" s="3">
        <f t="shared" si="52"/>
        <v>0</v>
      </c>
      <c r="AA119" s="3">
        <f t="shared" si="53"/>
        <v>0</v>
      </c>
      <c r="AB119" s="3">
        <f t="shared" si="54"/>
        <v>30</v>
      </c>
      <c r="AC119" s="29"/>
      <c r="AD119" s="13">
        <v>41810</v>
      </c>
      <c r="AE119" s="12">
        <v>24.797699999999999</v>
      </c>
      <c r="AF119" s="13">
        <v>41810</v>
      </c>
      <c r="AG119" s="12">
        <v>120.30119999999999</v>
      </c>
    </row>
    <row r="120" spans="1:33" x14ac:dyDescent="0.2">
      <c r="A120" s="11">
        <v>45566</v>
      </c>
      <c r="B120" s="11">
        <f t="shared" si="60"/>
        <v>45596</v>
      </c>
      <c r="C120" s="3" t="s">
        <v>29</v>
      </c>
      <c r="D120" s="3" t="s">
        <v>29</v>
      </c>
      <c r="E120" s="3" t="str">
        <f t="shared" si="41"/>
        <v>Recovery/Recovery</v>
      </c>
      <c r="F120" s="14">
        <f t="shared" si="61"/>
        <v>45597</v>
      </c>
      <c r="G120" s="14">
        <f t="shared" si="42"/>
        <v>45597</v>
      </c>
      <c r="H120" s="17">
        <f t="shared" si="43"/>
        <v>45597</v>
      </c>
      <c r="I120" s="14">
        <f t="shared" si="44"/>
        <v>45627</v>
      </c>
      <c r="J120" s="14">
        <f t="shared" si="45"/>
        <v>45628</v>
      </c>
      <c r="K120" s="17">
        <f t="shared" si="46"/>
        <v>45628</v>
      </c>
      <c r="L120" s="16">
        <f t="shared" si="62"/>
        <v>1.3138627783692458E-2</v>
      </c>
      <c r="M120" s="16">
        <f t="shared" si="63"/>
        <v>2.5120538744849874E-2</v>
      </c>
      <c r="N120" s="3">
        <f t="shared" si="47"/>
        <v>-1</v>
      </c>
      <c r="O120" s="20">
        <f t="shared" si="48"/>
        <v>1.9129583264271166E-2</v>
      </c>
      <c r="P120" s="20">
        <f t="shared" si="64"/>
        <v>1.3138627783692458E-2</v>
      </c>
      <c r="Q120" s="29">
        <f t="shared" si="49"/>
        <v>1</v>
      </c>
      <c r="R120" s="29"/>
      <c r="S120" s="30">
        <f t="shared" si="59"/>
        <v>45596</v>
      </c>
      <c r="T120" s="32">
        <f t="shared" si="55"/>
        <v>89.641166948404504</v>
      </c>
      <c r="U120" s="32">
        <f t="shared" si="56"/>
        <v>89.679073585865666</v>
      </c>
      <c r="V120" s="32">
        <f t="shared" si="57"/>
        <v>89.771990029890787</v>
      </c>
      <c r="W120" s="32">
        <f t="shared" si="58"/>
        <v>97.471058213179433</v>
      </c>
      <c r="X120" s="31">
        <f t="shared" si="50"/>
        <v>7.6990681832886452</v>
      </c>
      <c r="Y120" s="3">
        <f t="shared" si="51"/>
        <v>1</v>
      </c>
      <c r="Z120" s="3">
        <f t="shared" si="52"/>
        <v>30</v>
      </c>
      <c r="AA120" s="3">
        <f t="shared" si="53"/>
        <v>0</v>
      </c>
      <c r="AB120" s="3">
        <f t="shared" si="54"/>
        <v>0</v>
      </c>
      <c r="AC120" s="29"/>
      <c r="AD120" s="13">
        <v>41813</v>
      </c>
      <c r="AE120" s="12">
        <v>24.787600000000001</v>
      </c>
      <c r="AF120" s="13">
        <v>41813</v>
      </c>
      <c r="AG120" s="12">
        <v>120.2911</v>
      </c>
    </row>
    <row r="121" spans="1:33" x14ac:dyDescent="0.2">
      <c r="A121" s="11">
        <v>45597</v>
      </c>
      <c r="B121" s="11">
        <f t="shared" si="60"/>
        <v>45626</v>
      </c>
      <c r="C121" s="3" t="s">
        <v>29</v>
      </c>
      <c r="D121" s="3" t="s">
        <v>29</v>
      </c>
      <c r="E121" s="3" t="str">
        <f t="shared" si="41"/>
        <v>Recovery/Recovery</v>
      </c>
      <c r="F121" s="14">
        <f t="shared" si="61"/>
        <v>45627</v>
      </c>
      <c r="G121" s="14">
        <f t="shared" si="42"/>
        <v>45628</v>
      </c>
      <c r="H121" s="17">
        <f t="shared" si="43"/>
        <v>45628</v>
      </c>
      <c r="I121" s="14">
        <f t="shared" si="44"/>
        <v>45658</v>
      </c>
      <c r="J121" s="14">
        <f t="shared" si="45"/>
        <v>45658</v>
      </c>
      <c r="K121" s="17">
        <f t="shared" si="46"/>
        <v>45659</v>
      </c>
      <c r="L121" s="16">
        <f t="shared" si="62"/>
        <v>-1.6170853730700929E-2</v>
      </c>
      <c r="M121" s="16">
        <f t="shared" si="63"/>
        <v>-2.8144921757821906E-2</v>
      </c>
      <c r="N121" s="3">
        <f t="shared" si="47"/>
        <v>1</v>
      </c>
      <c r="O121" s="20">
        <f t="shared" si="48"/>
        <v>-2.2157887744261417E-2</v>
      </c>
      <c r="P121" s="20">
        <f t="shared" si="64"/>
        <v>-1.6170853730700929E-2</v>
      </c>
      <c r="Q121" s="29">
        <f t="shared" si="49"/>
        <v>1</v>
      </c>
      <c r="R121" s="29"/>
      <c r="S121" s="30">
        <f t="shared" si="59"/>
        <v>45626</v>
      </c>
      <c r="T121" s="32">
        <f t="shared" si="55"/>
        <v>90.818928875035425</v>
      </c>
      <c r="U121" s="32">
        <f t="shared" si="56"/>
        <v>91.931860228481654</v>
      </c>
      <c r="V121" s="32">
        <f t="shared" si="57"/>
        <v>91.489290787966894</v>
      </c>
      <c r="W121" s="32">
        <f t="shared" si="58"/>
        <v>98.751694166725017</v>
      </c>
      <c r="X121" s="31">
        <f t="shared" si="50"/>
        <v>7.2624033787581226</v>
      </c>
      <c r="Y121" s="3">
        <f t="shared" si="51"/>
        <v>1</v>
      </c>
      <c r="Z121" s="3">
        <f t="shared" si="52"/>
        <v>30</v>
      </c>
      <c r="AA121" s="3">
        <f t="shared" si="53"/>
        <v>0</v>
      </c>
      <c r="AB121" s="3">
        <f t="shared" si="54"/>
        <v>0</v>
      </c>
      <c r="AC121" s="29"/>
      <c r="AD121" s="13">
        <v>41814</v>
      </c>
      <c r="AE121" s="12">
        <v>24.847899999999999</v>
      </c>
      <c r="AF121" s="13">
        <v>41814</v>
      </c>
      <c r="AG121" s="12">
        <v>120.7984</v>
      </c>
    </row>
    <row r="122" spans="1:33" x14ac:dyDescent="0.2">
      <c r="A122" s="11">
        <v>45627</v>
      </c>
      <c r="B122" s="11">
        <f t="shared" si="60"/>
        <v>45657</v>
      </c>
      <c r="C122" s="3" t="s">
        <v>29</v>
      </c>
      <c r="D122" s="3" t="s">
        <v>28</v>
      </c>
      <c r="E122" s="3" t="str">
        <f t="shared" si="41"/>
        <v>Recovery/Repair</v>
      </c>
      <c r="F122" s="14">
        <f t="shared" si="61"/>
        <v>45658</v>
      </c>
      <c r="G122" s="14">
        <f t="shared" si="42"/>
        <v>45658</v>
      </c>
      <c r="H122" s="17">
        <f t="shared" si="43"/>
        <v>45659</v>
      </c>
      <c r="I122" s="14">
        <f t="shared" si="44"/>
        <v>45689</v>
      </c>
      <c r="J122" s="14">
        <f t="shared" si="45"/>
        <v>45691</v>
      </c>
      <c r="K122" s="17">
        <f t="shared" si="46"/>
        <v>45691</v>
      </c>
      <c r="L122" s="16">
        <f t="shared" si="62"/>
        <v>5.8944467531332201E-3</v>
      </c>
      <c r="M122" s="16">
        <f t="shared" si="63"/>
        <v>7.2901493684698337E-3</v>
      </c>
      <c r="N122" s="3">
        <f t="shared" si="47"/>
        <v>-1</v>
      </c>
      <c r="O122" s="20">
        <f t="shared" si="48"/>
        <v>6.5922980608015269E-3</v>
      </c>
      <c r="P122" s="20">
        <f t="shared" si="64"/>
        <v>6.5922980608015269E-3</v>
      </c>
      <c r="Q122" s="29">
        <f t="shared" si="49"/>
        <v>0</v>
      </c>
      <c r="R122" s="29"/>
      <c r="S122" s="30">
        <f t="shared" si="59"/>
        <v>45657</v>
      </c>
      <c r="T122" s="32">
        <f t="shared" si="55"/>
        <v>89.350309260218296</v>
      </c>
      <c r="U122" s="32">
        <f t="shared" si="56"/>
        <v>89.344445215300013</v>
      </c>
      <c r="V122" s="32">
        <f>V121*(1+O121)</f>
        <v>89.462081352885036</v>
      </c>
      <c r="W122" s="32">
        <f>W121*(1+P121)</f>
        <v>97.154794964695995</v>
      </c>
      <c r="X122" s="31">
        <f>W122-V122</f>
        <v>7.6927136118109587</v>
      </c>
      <c r="Y122" s="3">
        <f t="shared" si="51"/>
        <v>0</v>
      </c>
      <c r="Z122" s="3">
        <f t="shared" si="52"/>
        <v>0</v>
      </c>
      <c r="AA122" s="3">
        <f t="shared" si="53"/>
        <v>30</v>
      </c>
      <c r="AB122" s="3">
        <f t="shared" si="54"/>
        <v>0</v>
      </c>
      <c r="AC122" s="29"/>
      <c r="AD122" s="13">
        <v>41815</v>
      </c>
      <c r="AE122" s="12">
        <v>24.858000000000001</v>
      </c>
      <c r="AF122" s="13">
        <v>41815</v>
      </c>
      <c r="AG122" s="12">
        <v>120.92019999999999</v>
      </c>
    </row>
    <row r="123" spans="1:33" x14ac:dyDescent="0.2">
      <c r="A123" s="11">
        <v>45658</v>
      </c>
      <c r="B123" s="11">
        <f t="shared" si="60"/>
        <v>45688</v>
      </c>
      <c r="C123" s="3" t="s">
        <v>29</v>
      </c>
      <c r="D123" s="3" t="s">
        <v>29</v>
      </c>
      <c r="E123" s="3" t="str">
        <f t="shared" si="41"/>
        <v>Recovery/Recovery</v>
      </c>
      <c r="F123" s="14">
        <f t="shared" si="61"/>
        <v>45689</v>
      </c>
      <c r="G123" s="14">
        <f t="shared" si="42"/>
        <v>45691</v>
      </c>
      <c r="H123" s="17">
        <f t="shared" si="43"/>
        <v>45691</v>
      </c>
      <c r="I123" s="14">
        <f t="shared" si="44"/>
        <v>45717</v>
      </c>
      <c r="J123" s="14">
        <f t="shared" si="45"/>
        <v>45719</v>
      </c>
      <c r="K123" s="17">
        <f t="shared" si="46"/>
        <v>45719</v>
      </c>
      <c r="L123" s="16">
        <f t="shared" si="62"/>
        <v>2.2917776497320075E-2</v>
      </c>
      <c r="M123" s="16">
        <f t="shared" si="63"/>
        <v>2.5314796815446572E-2</v>
      </c>
      <c r="N123" s="3">
        <f t="shared" si="47"/>
        <v>-1</v>
      </c>
      <c r="O123" s="20">
        <f t="shared" si="48"/>
        <v>2.4116286656383323E-2</v>
      </c>
      <c r="P123" s="20">
        <f t="shared" si="64"/>
        <v>2.2917776497320075E-2</v>
      </c>
      <c r="Q123" s="29">
        <f t="shared" si="49"/>
        <v>1</v>
      </c>
      <c r="R123" s="29"/>
      <c r="S123" s="30">
        <f t="shared" si="59"/>
        <v>45688</v>
      </c>
      <c r="T123" s="32">
        <f t="shared" si="55"/>
        <v>89.876979900528639</v>
      </c>
      <c r="U123" s="32">
        <f t="shared" si="56"/>
        <v>89.995779566162625</v>
      </c>
      <c r="V123" s="32">
        <f t="shared" si="57"/>
        <v>90.051842058302924</v>
      </c>
      <c r="W123" s="32">
        <f t="shared" si="58"/>
        <v>97.795268331139326</v>
      </c>
      <c r="X123" s="31">
        <f t="shared" si="50"/>
        <v>7.7434262728364018</v>
      </c>
      <c r="Y123" s="3">
        <f t="shared" si="51"/>
        <v>1</v>
      </c>
      <c r="Z123" s="3">
        <f t="shared" si="52"/>
        <v>30</v>
      </c>
      <c r="AA123" s="3">
        <f t="shared" si="53"/>
        <v>0</v>
      </c>
      <c r="AB123" s="3">
        <f t="shared" si="54"/>
        <v>0</v>
      </c>
      <c r="AC123" s="29"/>
      <c r="AD123" s="13">
        <v>41816</v>
      </c>
      <c r="AE123" s="12">
        <v>24.8931</v>
      </c>
      <c r="AF123" s="13">
        <v>41816</v>
      </c>
      <c r="AG123" s="12">
        <v>121.1434</v>
      </c>
    </row>
    <row r="124" spans="1:33" x14ac:dyDescent="0.2">
      <c r="A124" s="11">
        <v>45689</v>
      </c>
      <c r="B124" s="11">
        <f t="shared" si="60"/>
        <v>45716</v>
      </c>
      <c r="C124" s="3" t="s">
        <v>28</v>
      </c>
      <c r="D124" s="3" t="s">
        <v>28</v>
      </c>
      <c r="E124" s="3" t="str">
        <f t="shared" si="41"/>
        <v>Repair/Repair</v>
      </c>
      <c r="F124" s="14">
        <f t="shared" si="61"/>
        <v>45717</v>
      </c>
      <c r="G124" s="14">
        <f t="shared" si="42"/>
        <v>45719</v>
      </c>
      <c r="H124" s="17">
        <f t="shared" si="43"/>
        <v>45719</v>
      </c>
      <c r="I124" s="14">
        <f t="shared" si="44"/>
        <v>45748</v>
      </c>
      <c r="J124" s="14">
        <f t="shared" si="45"/>
        <v>45748</v>
      </c>
      <c r="K124" s="17">
        <f t="shared" si="46"/>
        <v>45748</v>
      </c>
      <c r="L124" s="16">
        <f t="shared" si="62"/>
        <v>2.4586650228328732E-3</v>
      </c>
      <c r="M124" s="16">
        <f t="shared" si="63"/>
        <v>-4.2285775150450178E-3</v>
      </c>
      <c r="N124" s="3">
        <f t="shared" si="47"/>
        <v>1</v>
      </c>
      <c r="O124" s="20">
        <f t="shared" si="48"/>
        <v>-8.8495624610607226E-4</v>
      </c>
      <c r="P124" s="20">
        <f t="shared" si="64"/>
        <v>-4.2285775150450178E-3</v>
      </c>
      <c r="Q124" s="29">
        <f t="shared" si="49"/>
        <v>-1</v>
      </c>
      <c r="R124" s="29"/>
      <c r="S124" s="30">
        <f t="shared" si="59"/>
        <v>45716</v>
      </c>
      <c r="T124" s="32">
        <f t="shared" si="55"/>
        <v>91.936760438143082</v>
      </c>
      <c r="U124" s="32">
        <f t="shared" si="56"/>
        <v>92.274004440127754</v>
      </c>
      <c r="V124" s="32">
        <f t="shared" si="57"/>
        <v>92.223558095316307</v>
      </c>
      <c r="W124" s="32">
        <f t="shared" si="58"/>
        <v>100.03651843324782</v>
      </c>
      <c r="X124" s="31">
        <f t="shared" si="50"/>
        <v>7.8129603379315142</v>
      </c>
      <c r="Y124" s="3">
        <f t="shared" si="51"/>
        <v>-1</v>
      </c>
      <c r="Z124" s="3">
        <f t="shared" si="52"/>
        <v>0</v>
      </c>
      <c r="AA124" s="3">
        <f t="shared" si="53"/>
        <v>0</v>
      </c>
      <c r="AB124" s="3">
        <f t="shared" si="54"/>
        <v>30</v>
      </c>
      <c r="AC124" s="29"/>
      <c r="AD124" s="13">
        <v>41817</v>
      </c>
      <c r="AE124" s="12">
        <v>24.888100000000001</v>
      </c>
      <c r="AF124" s="13">
        <v>41817</v>
      </c>
      <c r="AG124" s="12">
        <v>121.12309999999999</v>
      </c>
    </row>
    <row r="125" spans="1:33" x14ac:dyDescent="0.2">
      <c r="A125" s="11">
        <v>45717</v>
      </c>
      <c r="B125" s="11">
        <f t="shared" si="60"/>
        <v>45747</v>
      </c>
      <c r="C125" s="3" t="s">
        <v>28</v>
      </c>
      <c r="D125" s="3" t="s">
        <v>28</v>
      </c>
      <c r="E125" s="3" t="str">
        <f t="shared" si="41"/>
        <v>Repair/Repair</v>
      </c>
      <c r="F125" s="14">
        <f t="shared" si="61"/>
        <v>45748</v>
      </c>
      <c r="G125" s="14">
        <f t="shared" si="42"/>
        <v>45748</v>
      </c>
      <c r="H125" s="17">
        <f t="shared" si="43"/>
        <v>45748</v>
      </c>
      <c r="I125" s="14">
        <f t="shared" si="44"/>
        <v>45778</v>
      </c>
      <c r="J125" s="14">
        <f t="shared" si="45"/>
        <v>45778</v>
      </c>
      <c r="K125" s="17">
        <f t="shared" si="46"/>
        <v>45778</v>
      </c>
      <c r="L125" s="16">
        <f t="shared" si="62"/>
        <v>1.7670279649850684E-4</v>
      </c>
      <c r="M125" s="16">
        <f t="shared" si="63"/>
        <v>-9.737644844006299E-3</v>
      </c>
      <c r="N125" s="3">
        <f t="shared" si="47"/>
        <v>1</v>
      </c>
      <c r="O125" s="20">
        <f t="shared" si="48"/>
        <v>-4.7804710237538961E-3</v>
      </c>
      <c r="P125" s="20">
        <f t="shared" si="64"/>
        <v>-9.737644844006299E-3</v>
      </c>
      <c r="Q125" s="29">
        <f t="shared" si="49"/>
        <v>-1</v>
      </c>
      <c r="R125" s="29"/>
      <c r="S125" s="30">
        <f t="shared" si="59"/>
        <v>45747</v>
      </c>
      <c r="T125" s="32">
        <f t="shared" si="55"/>
        <v>92.162802135344904</v>
      </c>
      <c r="U125" s="32">
        <f t="shared" si="56"/>
        <v>91.883816659729064</v>
      </c>
      <c r="V125" s="32">
        <f t="shared" si="57"/>
        <v>92.141944281541726</v>
      </c>
      <c r="W125" s="32">
        <f t="shared" si="58"/>
        <v>99.6135062607176</v>
      </c>
      <c r="X125" s="31">
        <f t="shared" si="50"/>
        <v>7.4715619791758741</v>
      </c>
      <c r="Y125" s="3">
        <f t="shared" si="51"/>
        <v>-1</v>
      </c>
      <c r="Z125" s="3">
        <f t="shared" si="52"/>
        <v>0</v>
      </c>
      <c r="AA125" s="3">
        <f t="shared" si="53"/>
        <v>0</v>
      </c>
      <c r="AB125" s="3">
        <f t="shared" si="54"/>
        <v>30</v>
      </c>
      <c r="AC125" s="29"/>
      <c r="AD125" s="13">
        <v>41820</v>
      </c>
      <c r="AE125" s="12">
        <v>24.908200000000001</v>
      </c>
      <c r="AF125" s="13">
        <v>41820</v>
      </c>
      <c r="AG125" s="12">
        <v>121.0115</v>
      </c>
    </row>
    <row r="126" spans="1:33" x14ac:dyDescent="0.2">
      <c r="A126" s="11">
        <v>45748</v>
      </c>
      <c r="B126" s="11">
        <f t="shared" si="60"/>
        <v>45777</v>
      </c>
      <c r="C126" s="3" t="s">
        <v>28</v>
      </c>
      <c r="D126" s="3" t="s">
        <v>28</v>
      </c>
      <c r="E126" s="3" t="str">
        <f t="shared" si="41"/>
        <v>Repair/Repair</v>
      </c>
      <c r="F126" s="14">
        <f t="shared" si="61"/>
        <v>45778</v>
      </c>
      <c r="G126" s="14">
        <f t="shared" si="42"/>
        <v>45778</v>
      </c>
      <c r="H126" s="17">
        <f t="shared" si="43"/>
        <v>45778</v>
      </c>
      <c r="I126" s="14">
        <f t="shared" si="44"/>
        <v>45809</v>
      </c>
      <c r="J126" s="14">
        <f t="shared" si="45"/>
        <v>45810</v>
      </c>
      <c r="K126" s="17">
        <f t="shared" si="46"/>
        <v>45810</v>
      </c>
      <c r="L126" s="16">
        <f t="shared" si="62"/>
        <v>-9.6886693450077832E-3</v>
      </c>
      <c r="M126" s="16">
        <f t="shared" si="63"/>
        <v>2.7652463432921159E-3</v>
      </c>
      <c r="N126" s="3">
        <f t="shared" si="47"/>
        <v>-1</v>
      </c>
      <c r="O126" s="20">
        <f t="shared" si="48"/>
        <v>-3.4617115008578336E-3</v>
      </c>
      <c r="P126" s="20">
        <f t="shared" si="64"/>
        <v>2.7652463432921159E-3</v>
      </c>
      <c r="Q126" s="29">
        <f t="shared" si="49"/>
        <v>-1</v>
      </c>
      <c r="R126" s="29"/>
      <c r="S126" s="30">
        <f t="shared" si="59"/>
        <v>45777</v>
      </c>
      <c r="T126" s="32">
        <f t="shared" si="55"/>
        <v>92.179087560215365</v>
      </c>
      <c r="U126" s="32">
        <f t="shared" si="56"/>
        <v>90.989084686184839</v>
      </c>
      <c r="V126" s="32">
        <f t="shared" si="57"/>
        <v>91.701462386831466</v>
      </c>
      <c r="W126" s="32">
        <f t="shared" si="58"/>
        <v>98.643505315084539</v>
      </c>
      <c r="X126" s="31">
        <f t="shared" si="50"/>
        <v>6.9420429282530733</v>
      </c>
      <c r="Y126" s="3">
        <f t="shared" si="51"/>
        <v>-1</v>
      </c>
      <c r="Z126" s="3">
        <f t="shared" si="52"/>
        <v>0</v>
      </c>
      <c r="AA126" s="3">
        <f t="shared" si="53"/>
        <v>0</v>
      </c>
      <c r="AB126" s="3">
        <f t="shared" si="54"/>
        <v>30</v>
      </c>
      <c r="AC126" s="29"/>
      <c r="AD126" s="13">
        <v>41821</v>
      </c>
      <c r="AE126" s="12">
        <v>24.8827</v>
      </c>
      <c r="AF126" s="13">
        <v>41821</v>
      </c>
      <c r="AG126" s="12">
        <v>120.5448</v>
      </c>
    </row>
    <row r="127" spans="1:33" x14ac:dyDescent="0.2">
      <c r="A127" s="11">
        <v>45778</v>
      </c>
      <c r="B127" s="11">
        <f t="shared" si="60"/>
        <v>45808</v>
      </c>
      <c r="C127" s="3" t="s">
        <v>28</v>
      </c>
      <c r="D127" s="3" t="s">
        <v>28</v>
      </c>
      <c r="E127" s="3" t="str">
        <f t="shared" si="41"/>
        <v>Repair/Repair</v>
      </c>
      <c r="F127" s="14">
        <f t="shared" si="61"/>
        <v>45809</v>
      </c>
      <c r="G127" s="14">
        <f t="shared" si="42"/>
        <v>45810</v>
      </c>
      <c r="H127" s="17">
        <f t="shared" si="43"/>
        <v>45810</v>
      </c>
      <c r="I127" s="14">
        <f t="shared" si="44"/>
        <v>45839</v>
      </c>
      <c r="J127" s="14">
        <f t="shared" si="45"/>
        <v>45839</v>
      </c>
      <c r="K127" s="17">
        <f t="shared" si="46"/>
        <v>45839</v>
      </c>
      <c r="L127" s="16">
        <f t="shared" si="62"/>
        <v>1.4635939044275403E-2</v>
      </c>
      <c r="M127" s="16">
        <f t="shared" si="63"/>
        <v>2.4954821147504802E-2</v>
      </c>
      <c r="N127" s="3">
        <f t="shared" si="47"/>
        <v>-1</v>
      </c>
      <c r="O127" s="20">
        <f t="shared" si="48"/>
        <v>1.9795380095890103E-2</v>
      </c>
      <c r="P127" s="20">
        <f t="shared" si="64"/>
        <v>2.4954821147504802E-2</v>
      </c>
      <c r="Q127" s="29">
        <f t="shared" si="49"/>
        <v>-1</v>
      </c>
      <c r="R127" s="29"/>
      <c r="S127" s="30">
        <f t="shared" si="59"/>
        <v>45808</v>
      </c>
      <c r="T127" s="32">
        <f t="shared" si="55"/>
        <v>91.285994860319917</v>
      </c>
      <c r="U127" s="32">
        <f t="shared" si="56"/>
        <v>91.240691919892811</v>
      </c>
      <c r="V127" s="32">
        <f t="shared" si="57"/>
        <v>91.384018379841493</v>
      </c>
      <c r="W127" s="32">
        <f t="shared" si="58"/>
        <v>98.916278907446596</v>
      </c>
      <c r="X127" s="31">
        <f t="shared" si="50"/>
        <v>7.5322605276051036</v>
      </c>
      <c r="Y127" s="3">
        <f t="shared" si="51"/>
        <v>-1</v>
      </c>
      <c r="Z127" s="3">
        <f t="shared" si="52"/>
        <v>0</v>
      </c>
      <c r="AA127" s="3">
        <f t="shared" si="53"/>
        <v>0</v>
      </c>
      <c r="AB127" s="3">
        <f t="shared" si="54"/>
        <v>30</v>
      </c>
      <c r="AC127" s="29"/>
      <c r="AD127" s="13">
        <v>41822</v>
      </c>
      <c r="AE127" s="12">
        <v>24.8123</v>
      </c>
      <c r="AF127" s="13">
        <v>41822</v>
      </c>
      <c r="AG127" s="12">
        <v>120.11750000000001</v>
      </c>
    </row>
    <row r="128" spans="1:33" x14ac:dyDescent="0.2">
      <c r="A128" s="11">
        <v>45809</v>
      </c>
      <c r="B128" s="11">
        <f t="shared" si="60"/>
        <v>45838</v>
      </c>
      <c r="C128" s="3" t="s">
        <v>29</v>
      </c>
      <c r="D128" s="3" t="s">
        <v>28</v>
      </c>
      <c r="E128" s="3" t="str">
        <f t="shared" si="41"/>
        <v>Recovery/Repair</v>
      </c>
      <c r="F128" s="14">
        <f t="shared" si="61"/>
        <v>45839</v>
      </c>
      <c r="G128" s="14">
        <f t="shared" si="42"/>
        <v>45839</v>
      </c>
      <c r="H128" s="17">
        <f t="shared" si="43"/>
        <v>45839</v>
      </c>
      <c r="I128" s="14">
        <f t="shared" si="44"/>
        <v>45870</v>
      </c>
      <c r="J128" s="14">
        <f t="shared" si="45"/>
        <v>45870</v>
      </c>
      <c r="K128" s="17">
        <f t="shared" si="46"/>
        <v>45870</v>
      </c>
      <c r="L128" s="16">
        <f t="shared" si="62"/>
        <v>5.5948039708690889E-3</v>
      </c>
      <c r="M128" s="16">
        <f t="shared" si="63"/>
        <v>6.7144548407935822E-3</v>
      </c>
      <c r="N128" s="3">
        <f t="shared" si="47"/>
        <v>-1</v>
      </c>
      <c r="O128" s="20">
        <f t="shared" si="48"/>
        <v>6.1546294058313356E-3</v>
      </c>
      <c r="P128" s="20">
        <f t="shared" si="64"/>
        <v>6.1546294058313356E-3</v>
      </c>
      <c r="Q128" s="29">
        <f t="shared" si="49"/>
        <v>0</v>
      </c>
      <c r="R128" s="29"/>
      <c r="S128" s="30">
        <f t="shared" si="59"/>
        <v>45838</v>
      </c>
      <c r="T128" s="32">
        <f t="shared" si="55"/>
        <v>92.622051116691594</v>
      </c>
      <c r="U128" s="32">
        <f t="shared" si="56"/>
        <v>93.517587068128321</v>
      </c>
      <c r="V128" s="32">
        <f t="shared" si="57"/>
        <v>93.192999758360259</v>
      </c>
      <c r="W128" s="32">
        <f t="shared" si="58"/>
        <v>101.38471695615863</v>
      </c>
      <c r="X128" s="31">
        <f t="shared" si="50"/>
        <v>8.1917171977983685</v>
      </c>
      <c r="Y128" s="3">
        <f t="shared" si="51"/>
        <v>0</v>
      </c>
      <c r="Z128" s="3">
        <f t="shared" si="52"/>
        <v>0</v>
      </c>
      <c r="AA128" s="3">
        <f t="shared" si="53"/>
        <v>30</v>
      </c>
      <c r="AB128" s="3">
        <f t="shared" si="54"/>
        <v>0</v>
      </c>
      <c r="AC128" s="29"/>
      <c r="AD128" s="13">
        <v>41823</v>
      </c>
      <c r="AE128" s="12">
        <v>24.777100000000001</v>
      </c>
      <c r="AF128" s="13">
        <v>41823</v>
      </c>
      <c r="AG128" s="12">
        <v>119.9954</v>
      </c>
    </row>
    <row r="129" spans="1:33" x14ac:dyDescent="0.2">
      <c r="A129" s="11">
        <v>45839</v>
      </c>
      <c r="B129" s="11">
        <f t="shared" si="60"/>
        <v>45869</v>
      </c>
      <c r="C129" s="3" t="s">
        <v>28</v>
      </c>
      <c r="D129" s="3" t="s">
        <v>29</v>
      </c>
      <c r="E129" s="3" t="str">
        <f t="shared" si="41"/>
        <v>Repair/Recovery</v>
      </c>
      <c r="F129" s="14">
        <f t="shared" si="61"/>
        <v>45870</v>
      </c>
      <c r="G129" s="14">
        <f t="shared" si="42"/>
        <v>45870</v>
      </c>
      <c r="H129" s="17">
        <f t="shared" si="43"/>
        <v>45870</v>
      </c>
      <c r="I129" s="14">
        <f t="shared" si="44"/>
        <v>45901</v>
      </c>
      <c r="J129" s="14">
        <f t="shared" si="45"/>
        <v>45901</v>
      </c>
      <c r="K129" s="17">
        <f t="shared" si="46"/>
        <v>45901</v>
      </c>
      <c r="L129" s="16">
        <f t="shared" si="62"/>
        <v>1.74149012805902E-3</v>
      </c>
      <c r="M129" s="16">
        <f t="shared" si="63"/>
        <v>1.5505865822984521E-3</v>
      </c>
      <c r="N129" s="3">
        <f t="shared" si="47"/>
        <v>1</v>
      </c>
      <c r="O129" s="20">
        <f t="shared" si="48"/>
        <v>1.6460383551787361E-3</v>
      </c>
      <c r="P129" s="20">
        <f t="shared" si="64"/>
        <v>1.5505865822984521E-3</v>
      </c>
      <c r="Q129" s="29">
        <f t="shared" si="49"/>
        <v>-1</v>
      </c>
      <c r="R129" s="29"/>
      <c r="S129" s="30">
        <f t="shared" si="59"/>
        <v>45869</v>
      </c>
      <c r="T129" s="32">
        <f t="shared" si="55"/>
        <v>93.140253336069307</v>
      </c>
      <c r="U129" s="32">
        <f t="shared" si="56"/>
        <v>94.145506683317251</v>
      </c>
      <c r="V129" s="32">
        <f t="shared" si="57"/>
        <v>93.766568135090708</v>
      </c>
      <c r="W129" s="32">
        <f t="shared" si="58"/>
        <v>102.0087023164389</v>
      </c>
      <c r="X129" s="31">
        <f t="shared" si="50"/>
        <v>8.2421341813481916</v>
      </c>
      <c r="Y129" s="3">
        <f t="shared" si="51"/>
        <v>-1</v>
      </c>
      <c r="Z129" s="3">
        <f t="shared" si="52"/>
        <v>0</v>
      </c>
      <c r="AA129" s="3">
        <f t="shared" si="53"/>
        <v>0</v>
      </c>
      <c r="AB129" s="3">
        <f t="shared" si="54"/>
        <v>30</v>
      </c>
      <c r="AC129" s="29"/>
      <c r="AD129" s="13">
        <v>41827</v>
      </c>
      <c r="AE129" s="12">
        <v>24.792100000000001</v>
      </c>
      <c r="AF129" s="13">
        <v>41827</v>
      </c>
      <c r="AG129" s="12">
        <v>120.209</v>
      </c>
    </row>
    <row r="130" spans="1:33" x14ac:dyDescent="0.2">
      <c r="A130" s="11">
        <v>45870</v>
      </c>
      <c r="B130" s="11">
        <f t="shared" si="60"/>
        <v>45900</v>
      </c>
      <c r="C130" s="3" t="s">
        <v>28</v>
      </c>
      <c r="D130" s="3" t="s">
        <v>29</v>
      </c>
      <c r="E130" s="3" t="str">
        <f t="shared" si="41"/>
        <v>Repair/Recovery</v>
      </c>
      <c r="F130" s="14">
        <f t="shared" si="61"/>
        <v>45901</v>
      </c>
      <c r="G130" s="14">
        <f t="shared" si="42"/>
        <v>45901</v>
      </c>
      <c r="H130" s="17">
        <f t="shared" si="43"/>
        <v>45901</v>
      </c>
      <c r="I130" s="14">
        <f t="shared" si="44"/>
        <v>45931</v>
      </c>
      <c r="J130" s="14">
        <f t="shared" si="45"/>
        <v>45931</v>
      </c>
      <c r="K130" s="17">
        <f t="shared" si="46"/>
        <v>45931</v>
      </c>
      <c r="L130" s="16">
        <f t="shared" ref="L130:L161" si="65">VLOOKUP(K130,$AD$2:$AE$2985, 2, 1)/VLOOKUP(H130,$AD$2:$AE$2985, 2, 1)-1</f>
        <v>1.0849682329121091E-2</v>
      </c>
      <c r="M130" s="16">
        <f t="shared" si="63"/>
        <v>2.2864714296838562E-2</v>
      </c>
      <c r="N130" s="3">
        <f t="shared" si="47"/>
        <v>-1</v>
      </c>
      <c r="O130" s="20">
        <f t="shared" si="48"/>
        <v>1.6857198312979826E-2</v>
      </c>
      <c r="P130" s="20">
        <f t="shared" ref="P130:P161" si="66">IF(VLOOKUP(E130,$AS$2:$AT$17, 2, 0)=0, O130, IF(VLOOKUP(E130,$AS$2:$AT$17, 2, 0)=1, L130, M130))</f>
        <v>2.2864714296838562E-2</v>
      </c>
      <c r="Q130" s="29">
        <f t="shared" si="49"/>
        <v>-1</v>
      </c>
      <c r="R130" s="29"/>
      <c r="S130" s="30">
        <f t="shared" si="59"/>
        <v>45900</v>
      </c>
      <c r="T130" s="32">
        <f t="shared" si="55"/>
        <v>93.302456167778985</v>
      </c>
      <c r="U130" s="32">
        <f t="shared" si="56"/>
        <v>94.291487442764094</v>
      </c>
      <c r="V130" s="32">
        <f t="shared" si="57"/>
        <v>93.920911502674542</v>
      </c>
      <c r="W130" s="32">
        <f t="shared" si="58"/>
        <v>102.16687564152845</v>
      </c>
      <c r="X130" s="31">
        <f t="shared" si="50"/>
        <v>8.2459641388539069</v>
      </c>
      <c r="Y130" s="3">
        <f t="shared" si="51"/>
        <v>-1</v>
      </c>
      <c r="Z130" s="3">
        <f t="shared" si="52"/>
        <v>0</v>
      </c>
      <c r="AA130" s="3">
        <f t="shared" si="53"/>
        <v>0</v>
      </c>
      <c r="AB130" s="3">
        <f t="shared" si="54"/>
        <v>30</v>
      </c>
      <c r="AC130" s="29"/>
      <c r="AD130" s="13">
        <v>41828</v>
      </c>
      <c r="AE130" s="12">
        <v>24.8626</v>
      </c>
      <c r="AF130" s="13">
        <v>41828</v>
      </c>
      <c r="AG130" s="12">
        <v>120.6568</v>
      </c>
    </row>
    <row r="131" spans="1:33" x14ac:dyDescent="0.2">
      <c r="A131" s="11">
        <v>45901</v>
      </c>
      <c r="B131" s="11">
        <f t="shared" si="60"/>
        <v>45930</v>
      </c>
      <c r="C131" s="3" t="s">
        <v>29</v>
      </c>
      <c r="D131" s="3" t="s">
        <v>29</v>
      </c>
      <c r="E131" s="3" t="str">
        <f t="shared" ref="E131:E132" si="67">C131&amp;"/"&amp;D131</f>
        <v>Recovery/Recovery</v>
      </c>
      <c r="F131" s="14">
        <f t="shared" si="61"/>
        <v>45931</v>
      </c>
      <c r="G131" s="14">
        <f t="shared" ref="G131:G132" si="68">IF(WEEKDAY(F131)=1, F131+1, IF(WEEKDAY(F131)=7, F131+2, F131))</f>
        <v>45931</v>
      </c>
      <c r="H131" s="17">
        <f t="shared" ref="H131:H132" si="69">IF(AND(MONTH(G131)=1,DAY(G131)=1,WEEKDAY(G131+1)=1),G131+2,IF(AND(MONTH(G131)=1,DAY(G131)=1,WEEKDAY(G131+1)=7),G131+3,IF(AND(MONTH(G131)=1,DAY(G131)=1),G131+1,G131)))</f>
        <v>45931</v>
      </c>
      <c r="I131" s="14">
        <f t="shared" ref="I131:I132" si="70">EOMONTH(F131, 0)+1</f>
        <v>45962</v>
      </c>
      <c r="J131" s="14">
        <f t="shared" ref="J131:J132" si="71">IF(WEEKDAY(I131)=1, I131+1, IF(WEEKDAY(I131)=7, I131+2, I131))</f>
        <v>45964</v>
      </c>
      <c r="K131" s="17">
        <f t="shared" ref="K131:K132" si="72">IF(AND(MONTH(J131)=1,DAY(J131)=1,WEEKDAY(J131+1)=1),J131+2,IF(AND(MONTH(J131)=1,DAY(J131)=1,WEEKDAY(J131+1)=7),J131+3,IF(AND(MONTH(J131)=1,DAY(J131)=1),J131+1,J131)))</f>
        <v>45964</v>
      </c>
      <c r="L131" s="16">
        <f t="shared" si="65"/>
        <v>3.4396065863631087E-3</v>
      </c>
      <c r="M131" s="16">
        <f t="shared" si="63"/>
        <v>-5.1791357556982831E-3</v>
      </c>
      <c r="N131" s="3">
        <f t="shared" ref="N131:N132" si="73">IF(L131&gt;M131, 1, -1)</f>
        <v>1</v>
      </c>
      <c r="O131" s="20">
        <f t="shared" ref="O131:O132" si="74">0.5*M131+0.5*L131</f>
        <v>-8.6976458466758721E-4</v>
      </c>
      <c r="P131" s="20">
        <f t="shared" si="66"/>
        <v>3.4396065863631087E-3</v>
      </c>
      <c r="Q131" s="29">
        <f t="shared" ref="Q131:Q132" si="75">VLOOKUP(E131,$AS$2:$AT$17, 2, 0)</f>
        <v>1</v>
      </c>
      <c r="R131" s="29"/>
      <c r="S131" s="30">
        <f t="shared" si="59"/>
        <v>45930</v>
      </c>
      <c r="T131" s="32">
        <f t="shared" si="55"/>
        <v>94.314758177726134</v>
      </c>
      <c r="U131" s="32">
        <f t="shared" si="56"/>
        <v>96.447435363766843</v>
      </c>
      <c r="V131" s="32">
        <f t="shared" si="57"/>
        <v>95.504154933610948</v>
      </c>
      <c r="W131" s="32">
        <f t="shared" si="58"/>
        <v>104.50289206367263</v>
      </c>
      <c r="X131" s="31">
        <f t="shared" ref="X131:X132" si="76">W131-V131</f>
        <v>8.9987371300616843</v>
      </c>
      <c r="Y131" s="3">
        <f>Q131</f>
        <v>1</v>
      </c>
      <c r="Z131" s="3">
        <f t="shared" ref="Z131:Z132" si="77">IF(Y131=1, 30, 0)</f>
        <v>30</v>
      </c>
      <c r="AA131" s="3">
        <f t="shared" ref="AA131:AA132" si="78">IF(Y131=0, 30, 0)</f>
        <v>0</v>
      </c>
      <c r="AB131" s="3">
        <f t="shared" ref="AB131:AB132" si="79">IF(Y131=-1, 30, 0)</f>
        <v>0</v>
      </c>
      <c r="AC131" s="29"/>
      <c r="AD131" s="13">
        <v>41829</v>
      </c>
      <c r="AE131" s="12">
        <v>24.8825</v>
      </c>
      <c r="AF131" s="13">
        <v>41829</v>
      </c>
      <c r="AG131" s="12">
        <v>120.8501</v>
      </c>
    </row>
    <row r="132" spans="1:33" x14ac:dyDescent="0.2">
      <c r="A132" s="11">
        <v>45931</v>
      </c>
      <c r="B132" s="11">
        <f t="shared" si="60"/>
        <v>45961</v>
      </c>
      <c r="C132" s="3" t="s">
        <v>28</v>
      </c>
      <c r="D132" s="3" t="s">
        <v>29</v>
      </c>
      <c r="E132" s="3" t="str">
        <f t="shared" si="67"/>
        <v>Repair/Recovery</v>
      </c>
      <c r="F132" s="14">
        <f t="shared" si="61"/>
        <v>45962</v>
      </c>
      <c r="G132" s="14">
        <f t="shared" si="68"/>
        <v>45964</v>
      </c>
      <c r="H132" s="17">
        <f t="shared" si="69"/>
        <v>45964</v>
      </c>
      <c r="I132" s="14">
        <f t="shared" si="70"/>
        <v>45992</v>
      </c>
      <c r="J132" s="14">
        <f t="shared" si="71"/>
        <v>45992</v>
      </c>
      <c r="K132" s="17">
        <f t="shared" si="72"/>
        <v>45992</v>
      </c>
      <c r="L132" s="16">
        <f t="shared" si="65"/>
        <v>2.5983948458860873E-3</v>
      </c>
      <c r="M132" s="16">
        <f t="shared" si="63"/>
        <v>6.1521144956109275E-3</v>
      </c>
      <c r="N132" s="3">
        <f t="shared" si="73"/>
        <v>-1</v>
      </c>
      <c r="O132" s="20">
        <f t="shared" si="74"/>
        <v>4.3752546707485074E-3</v>
      </c>
      <c r="P132" s="20">
        <f t="shared" si="66"/>
        <v>6.1521144956109275E-3</v>
      </c>
      <c r="Q132" s="29">
        <f t="shared" si="75"/>
        <v>-1</v>
      </c>
      <c r="R132" s="29"/>
      <c r="S132" s="30">
        <f t="shared" si="59"/>
        <v>45961</v>
      </c>
      <c r="T132" s="32">
        <f t="shared" ref="T132:U132" si="80">T131*(1+L131)</f>
        <v>94.639163841145489</v>
      </c>
      <c r="U132" s="32">
        <f t="shared" si="80"/>
        <v>95.947921002728961</v>
      </c>
      <c r="V132" s="32">
        <f>V131*(1+O131)</f>
        <v>95.421088801961091</v>
      </c>
      <c r="W132" s="32">
        <f>W131*(1+P131)</f>
        <v>104.86234089950884</v>
      </c>
      <c r="X132" s="31">
        <f t="shared" si="76"/>
        <v>9.4412520975477463</v>
      </c>
      <c r="Y132" s="3">
        <f>Q132</f>
        <v>-1</v>
      </c>
      <c r="Z132" s="3">
        <f t="shared" si="77"/>
        <v>0</v>
      </c>
      <c r="AA132" s="3">
        <f t="shared" si="78"/>
        <v>0</v>
      </c>
      <c r="AB132" s="3">
        <f t="shared" si="79"/>
        <v>30</v>
      </c>
      <c r="AC132" s="29"/>
      <c r="AD132" s="13">
        <v>41830</v>
      </c>
      <c r="AE132" s="12">
        <v>24.902799999999999</v>
      </c>
      <c r="AF132" s="13">
        <v>41830</v>
      </c>
      <c r="AG132" s="12">
        <v>120.7585</v>
      </c>
    </row>
    <row r="133" spans="1:33" x14ac:dyDescent="0.2">
      <c r="K133" s="17"/>
      <c r="AD133" s="13">
        <v>41831</v>
      </c>
      <c r="AE133" s="12">
        <v>24.933</v>
      </c>
      <c r="AF133" s="13">
        <v>41831</v>
      </c>
      <c r="AG133" s="12">
        <v>121.13500000000001</v>
      </c>
    </row>
    <row r="134" spans="1:33" x14ac:dyDescent="0.2">
      <c r="K134" s="17"/>
      <c r="AD134" s="13">
        <v>41834</v>
      </c>
      <c r="AE134" s="12">
        <v>24.902799999999999</v>
      </c>
      <c r="AF134" s="13">
        <v>41834</v>
      </c>
      <c r="AG134" s="12">
        <v>120.8806</v>
      </c>
    </row>
    <row r="135" spans="1:33" x14ac:dyDescent="0.2">
      <c r="K135" s="17"/>
      <c r="AD135" s="13">
        <v>41835</v>
      </c>
      <c r="AE135" s="12">
        <v>24.877600000000001</v>
      </c>
      <c r="AF135" s="13">
        <v>41835</v>
      </c>
      <c r="AG135" s="12">
        <v>120.7483</v>
      </c>
    </row>
    <row r="136" spans="1:33" x14ac:dyDescent="0.2">
      <c r="K136" s="17"/>
      <c r="AD136" s="13">
        <v>41836</v>
      </c>
      <c r="AE136" s="12">
        <v>24.892700000000001</v>
      </c>
      <c r="AF136" s="13">
        <v>41836</v>
      </c>
      <c r="AG136" s="12">
        <v>121.03319999999999</v>
      </c>
    </row>
    <row r="137" spans="1:33" x14ac:dyDescent="0.2">
      <c r="K137" s="17"/>
      <c r="AD137" s="13">
        <v>41837</v>
      </c>
      <c r="AE137" s="12">
        <v>24.963100000000001</v>
      </c>
      <c r="AF137" s="13">
        <v>41837</v>
      </c>
      <c r="AG137" s="12">
        <v>121.4911</v>
      </c>
    </row>
    <row r="138" spans="1:33" x14ac:dyDescent="0.2">
      <c r="K138" s="17"/>
      <c r="AD138" s="13">
        <v>41838</v>
      </c>
      <c r="AE138" s="12">
        <v>24.963100000000001</v>
      </c>
      <c r="AF138" s="13">
        <v>41838</v>
      </c>
      <c r="AG138" s="12">
        <v>121.3283</v>
      </c>
    </row>
    <row r="139" spans="1:33" x14ac:dyDescent="0.2">
      <c r="K139" s="17"/>
      <c r="AD139" s="13">
        <v>41841</v>
      </c>
      <c r="AE139" s="12">
        <v>24.953099999999999</v>
      </c>
      <c r="AF139" s="13">
        <v>41841</v>
      </c>
      <c r="AG139" s="12">
        <v>121.3283</v>
      </c>
    </row>
    <row r="140" spans="1:33" x14ac:dyDescent="0.2">
      <c r="K140" s="17"/>
      <c r="AD140" s="13">
        <v>41842</v>
      </c>
      <c r="AE140" s="12">
        <v>24.963100000000001</v>
      </c>
      <c r="AF140" s="13">
        <v>41842</v>
      </c>
      <c r="AG140" s="12">
        <v>121.4199</v>
      </c>
    </row>
    <row r="141" spans="1:33" x14ac:dyDescent="0.2">
      <c r="K141" s="17"/>
      <c r="AD141" s="13">
        <v>41843</v>
      </c>
      <c r="AE141" s="12">
        <v>24.973199999999999</v>
      </c>
      <c r="AF141" s="13">
        <v>41843</v>
      </c>
      <c r="AG141" s="12">
        <v>121.56229999999999</v>
      </c>
    </row>
    <row r="142" spans="1:33" x14ac:dyDescent="0.2">
      <c r="K142" s="17"/>
      <c r="AD142" s="13">
        <v>41844</v>
      </c>
      <c r="AE142" s="12">
        <v>24.912800000000001</v>
      </c>
      <c r="AF142" s="13">
        <v>41844</v>
      </c>
      <c r="AG142" s="12">
        <v>121.08410000000001</v>
      </c>
    </row>
    <row r="143" spans="1:33" x14ac:dyDescent="0.2">
      <c r="K143" s="17"/>
      <c r="AD143" s="13">
        <v>41845</v>
      </c>
      <c r="AE143" s="12">
        <v>24.953099999999999</v>
      </c>
      <c r="AF143" s="13">
        <v>41845</v>
      </c>
      <c r="AG143" s="12">
        <v>121.5522</v>
      </c>
    </row>
    <row r="144" spans="1:33" x14ac:dyDescent="0.2">
      <c r="K144" s="17"/>
      <c r="AD144" s="13">
        <v>41848</v>
      </c>
      <c r="AE144" s="12">
        <v>24.963100000000001</v>
      </c>
      <c r="AF144" s="13">
        <v>41848</v>
      </c>
      <c r="AG144" s="12">
        <v>121.4097</v>
      </c>
    </row>
    <row r="145" spans="11:33" x14ac:dyDescent="0.2">
      <c r="K145" s="17"/>
      <c r="AD145" s="13">
        <v>41849</v>
      </c>
      <c r="AE145" s="12">
        <v>24.973199999999999</v>
      </c>
      <c r="AF145" s="13">
        <v>41849</v>
      </c>
      <c r="AG145" s="12">
        <v>121.52160000000001</v>
      </c>
    </row>
    <row r="146" spans="11:33" x14ac:dyDescent="0.2">
      <c r="K146" s="17"/>
      <c r="AD146" s="13">
        <v>41850</v>
      </c>
      <c r="AE146" s="12">
        <v>24.8827</v>
      </c>
      <c r="AF146" s="13">
        <v>41850</v>
      </c>
      <c r="AG146" s="12">
        <v>120.962</v>
      </c>
    </row>
    <row r="147" spans="11:33" x14ac:dyDescent="0.2">
      <c r="K147" s="17"/>
      <c r="AD147" s="13">
        <v>41851</v>
      </c>
      <c r="AE147" s="12">
        <v>24.8827</v>
      </c>
      <c r="AF147" s="13">
        <v>41851</v>
      </c>
      <c r="AG147" s="12">
        <v>120.6262</v>
      </c>
    </row>
    <row r="148" spans="11:33" x14ac:dyDescent="0.2">
      <c r="K148" s="17"/>
      <c r="AD148" s="13">
        <v>41852</v>
      </c>
      <c r="AE148" s="12">
        <v>24.968699999999998</v>
      </c>
      <c r="AF148" s="13">
        <v>41852</v>
      </c>
      <c r="AG148" s="12">
        <v>121.246</v>
      </c>
    </row>
    <row r="149" spans="11:33" x14ac:dyDescent="0.2">
      <c r="K149" s="17"/>
      <c r="AD149" s="13">
        <v>41855</v>
      </c>
      <c r="AE149" s="12">
        <v>24.957599999999999</v>
      </c>
      <c r="AF149" s="13">
        <v>41855</v>
      </c>
      <c r="AG149" s="12">
        <v>121.2766</v>
      </c>
    </row>
    <row r="150" spans="11:33" x14ac:dyDescent="0.2">
      <c r="K150" s="17"/>
      <c r="AD150" s="13">
        <v>41856</v>
      </c>
      <c r="AE150" s="12">
        <v>24.962299999999999</v>
      </c>
      <c r="AF150" s="13">
        <v>41856</v>
      </c>
      <c r="AG150" s="12">
        <v>121.3991</v>
      </c>
    </row>
    <row r="151" spans="11:33" x14ac:dyDescent="0.2">
      <c r="K151" s="17"/>
      <c r="AD151" s="13">
        <v>41857</v>
      </c>
      <c r="AE151" s="12">
        <v>24.9648</v>
      </c>
      <c r="AF151" s="13">
        <v>41857</v>
      </c>
      <c r="AG151" s="12">
        <v>121.1848</v>
      </c>
    </row>
    <row r="152" spans="11:33" x14ac:dyDescent="0.2">
      <c r="K152" s="17"/>
      <c r="AD152" s="13">
        <v>41858</v>
      </c>
      <c r="AE152" s="12">
        <v>25.048100000000002</v>
      </c>
      <c r="AF152" s="13">
        <v>41858</v>
      </c>
      <c r="AG152" s="12">
        <v>121.50109999999999</v>
      </c>
    </row>
    <row r="153" spans="11:33" x14ac:dyDescent="0.2">
      <c r="K153" s="17"/>
      <c r="AD153" s="13">
        <v>41859</v>
      </c>
      <c r="AE153" s="12">
        <v>25.028099999999998</v>
      </c>
      <c r="AF153" s="13">
        <v>41859</v>
      </c>
      <c r="AG153" s="12">
        <v>121.4705</v>
      </c>
    </row>
    <row r="154" spans="11:33" x14ac:dyDescent="0.2">
      <c r="K154" s="17"/>
      <c r="AD154" s="13">
        <v>41862</v>
      </c>
      <c r="AE154" s="12">
        <v>25.028099999999998</v>
      </c>
      <c r="AF154" s="13">
        <v>41862</v>
      </c>
      <c r="AG154" s="12">
        <v>121.5215</v>
      </c>
    </row>
    <row r="155" spans="11:33" x14ac:dyDescent="0.2">
      <c r="K155" s="17"/>
      <c r="AD155" s="13">
        <v>41863</v>
      </c>
      <c r="AE155" s="12">
        <v>24.997900000000001</v>
      </c>
      <c r="AF155" s="13">
        <v>41863</v>
      </c>
      <c r="AG155" s="12">
        <v>121.4603</v>
      </c>
    </row>
    <row r="156" spans="11:33" x14ac:dyDescent="0.2">
      <c r="K156" s="17"/>
      <c r="AD156" s="13">
        <v>41864</v>
      </c>
      <c r="AE156" s="12">
        <v>25.0381</v>
      </c>
      <c r="AF156" s="13">
        <v>41864</v>
      </c>
      <c r="AG156" s="12">
        <v>121.7052</v>
      </c>
    </row>
    <row r="157" spans="11:33" x14ac:dyDescent="0.2">
      <c r="K157" s="17"/>
      <c r="AD157" s="13">
        <v>41865</v>
      </c>
      <c r="AE157" s="12">
        <v>25.098500000000001</v>
      </c>
      <c r="AF157" s="13">
        <v>41865</v>
      </c>
      <c r="AG157" s="12">
        <v>121.8378</v>
      </c>
    </row>
    <row r="158" spans="11:33" x14ac:dyDescent="0.2">
      <c r="K158" s="17"/>
      <c r="AD158" s="13">
        <v>41866</v>
      </c>
      <c r="AE158" s="12">
        <v>25.148900000000001</v>
      </c>
      <c r="AF158" s="13">
        <v>41866</v>
      </c>
      <c r="AG158" s="12">
        <v>122.2664</v>
      </c>
    </row>
    <row r="159" spans="11:33" x14ac:dyDescent="0.2">
      <c r="K159" s="17"/>
      <c r="AD159" s="13">
        <v>41869</v>
      </c>
      <c r="AE159" s="12">
        <v>25.058299999999999</v>
      </c>
      <c r="AF159" s="13">
        <v>41869</v>
      </c>
      <c r="AG159" s="12">
        <v>121.9909</v>
      </c>
    </row>
    <row r="160" spans="11:33" x14ac:dyDescent="0.2">
      <c r="K160" s="17"/>
      <c r="AD160" s="13">
        <v>41870</v>
      </c>
      <c r="AE160" s="12">
        <v>25.068300000000001</v>
      </c>
      <c r="AF160" s="13">
        <v>41870</v>
      </c>
      <c r="AG160" s="12">
        <v>121.9093</v>
      </c>
    </row>
    <row r="161" spans="11:33" x14ac:dyDescent="0.2">
      <c r="K161" s="17"/>
      <c r="AD161" s="13">
        <v>41871</v>
      </c>
      <c r="AE161" s="12">
        <v>25.018000000000001</v>
      </c>
      <c r="AF161" s="13">
        <v>41871</v>
      </c>
      <c r="AG161" s="12">
        <v>121.63379999999999</v>
      </c>
    </row>
    <row r="162" spans="11:33" x14ac:dyDescent="0.2">
      <c r="K162" s="17"/>
      <c r="AD162" s="13">
        <v>41872</v>
      </c>
      <c r="AE162" s="12">
        <v>25.058299999999999</v>
      </c>
      <c r="AF162" s="13">
        <v>41872</v>
      </c>
      <c r="AG162" s="12">
        <v>122.0521</v>
      </c>
    </row>
    <row r="163" spans="11:33" x14ac:dyDescent="0.2">
      <c r="K163" s="17"/>
      <c r="AD163" s="13">
        <v>41873</v>
      </c>
      <c r="AE163" s="12">
        <v>25.078399999999998</v>
      </c>
      <c r="AF163" s="13">
        <v>41873</v>
      </c>
      <c r="AG163" s="12">
        <v>122.2052</v>
      </c>
    </row>
    <row r="164" spans="11:33" x14ac:dyDescent="0.2">
      <c r="K164" s="17"/>
      <c r="AD164" s="13">
        <v>41876</v>
      </c>
      <c r="AE164" s="12">
        <v>25.078399999999998</v>
      </c>
      <c r="AF164" s="13">
        <v>41876</v>
      </c>
      <c r="AG164" s="12">
        <v>122.3991</v>
      </c>
    </row>
    <row r="165" spans="11:33" x14ac:dyDescent="0.2">
      <c r="K165" s="17"/>
      <c r="AD165" s="13">
        <v>41877</v>
      </c>
      <c r="AE165" s="12">
        <v>25.078399999999998</v>
      </c>
      <c r="AF165" s="13">
        <v>41877</v>
      </c>
      <c r="AG165" s="12">
        <v>122.4807</v>
      </c>
    </row>
    <row r="166" spans="11:33" x14ac:dyDescent="0.2">
      <c r="K166" s="17"/>
      <c r="AD166" s="13">
        <v>41878</v>
      </c>
      <c r="AE166" s="12">
        <v>25.113600000000002</v>
      </c>
      <c r="AF166" s="13">
        <v>41878</v>
      </c>
      <c r="AG166" s="12">
        <v>122.6848</v>
      </c>
    </row>
    <row r="167" spans="11:33" x14ac:dyDescent="0.2">
      <c r="K167" s="17"/>
      <c r="AD167" s="13">
        <v>41879</v>
      </c>
      <c r="AE167" s="12">
        <v>25.1388</v>
      </c>
      <c r="AF167" s="13">
        <v>41879</v>
      </c>
      <c r="AG167" s="12">
        <v>122.95010000000001</v>
      </c>
    </row>
    <row r="168" spans="11:33" x14ac:dyDescent="0.2">
      <c r="K168" s="17"/>
      <c r="AD168" s="13">
        <v>41880</v>
      </c>
      <c r="AE168" s="12">
        <v>25.179099999999998</v>
      </c>
      <c r="AF168" s="13">
        <v>41880</v>
      </c>
      <c r="AG168" s="12">
        <v>123.0419</v>
      </c>
    </row>
    <row r="169" spans="11:33" x14ac:dyDescent="0.2">
      <c r="K169" s="17"/>
      <c r="AD169" s="13">
        <v>41884</v>
      </c>
      <c r="AE169" s="12">
        <v>25.063300000000002</v>
      </c>
      <c r="AF169" s="13">
        <v>41884</v>
      </c>
      <c r="AG169" s="12">
        <v>122.45829999999999</v>
      </c>
    </row>
    <row r="170" spans="11:33" x14ac:dyDescent="0.2">
      <c r="K170" s="17"/>
      <c r="AD170" s="13">
        <v>41885</v>
      </c>
      <c r="AE170" s="12">
        <v>25.063300000000002</v>
      </c>
      <c r="AF170" s="13">
        <v>41885</v>
      </c>
      <c r="AG170" s="12">
        <v>122.622</v>
      </c>
    </row>
    <row r="171" spans="11:33" x14ac:dyDescent="0.2">
      <c r="K171" s="17"/>
      <c r="AD171" s="13">
        <v>41886</v>
      </c>
      <c r="AE171" s="12">
        <v>25.010899999999999</v>
      </c>
      <c r="AF171" s="13">
        <v>41886</v>
      </c>
      <c r="AG171" s="12">
        <v>121.7522</v>
      </c>
    </row>
    <row r="172" spans="11:33" x14ac:dyDescent="0.2">
      <c r="K172" s="17"/>
      <c r="AD172" s="13">
        <v>41887</v>
      </c>
      <c r="AE172" s="12">
        <v>25.023</v>
      </c>
      <c r="AF172" s="13">
        <v>41887</v>
      </c>
      <c r="AG172" s="12">
        <v>121.7726</v>
      </c>
    </row>
    <row r="173" spans="11:33" x14ac:dyDescent="0.2">
      <c r="K173" s="17"/>
      <c r="AD173" s="13">
        <v>41890</v>
      </c>
      <c r="AE173" s="12">
        <v>25.0029</v>
      </c>
      <c r="AF173" s="13">
        <v>41890</v>
      </c>
      <c r="AG173" s="12">
        <v>121.568</v>
      </c>
    </row>
    <row r="174" spans="11:33" x14ac:dyDescent="0.2">
      <c r="K174" s="17"/>
      <c r="AD174" s="13">
        <v>41891</v>
      </c>
      <c r="AE174" s="12">
        <v>24.982700000000001</v>
      </c>
      <c r="AF174" s="13">
        <v>41891</v>
      </c>
      <c r="AG174" s="12">
        <v>121.2405</v>
      </c>
    </row>
    <row r="175" spans="11:33" x14ac:dyDescent="0.2">
      <c r="K175" s="17"/>
      <c r="AD175" s="13">
        <v>41892</v>
      </c>
      <c r="AE175" s="12">
        <v>24.952500000000001</v>
      </c>
      <c r="AF175" s="13">
        <v>41892</v>
      </c>
      <c r="AG175" s="12">
        <v>121.0461</v>
      </c>
    </row>
    <row r="176" spans="11:33" x14ac:dyDescent="0.2">
      <c r="K176" s="17"/>
      <c r="AD176" s="13">
        <v>41893</v>
      </c>
      <c r="AE176" s="12">
        <v>24.932300000000001</v>
      </c>
      <c r="AF176" s="13">
        <v>41893</v>
      </c>
      <c r="AG176" s="12">
        <v>120.95399999999999</v>
      </c>
    </row>
    <row r="177" spans="11:33" x14ac:dyDescent="0.2">
      <c r="K177" s="17"/>
      <c r="AD177" s="13">
        <v>41894</v>
      </c>
      <c r="AE177" s="12">
        <v>24.8719</v>
      </c>
      <c r="AF177" s="13">
        <v>41894</v>
      </c>
      <c r="AG177" s="12">
        <v>120.3707</v>
      </c>
    </row>
    <row r="178" spans="11:33" x14ac:dyDescent="0.2">
      <c r="K178" s="17"/>
      <c r="AD178" s="13">
        <v>41897</v>
      </c>
      <c r="AE178" s="12">
        <v>24.902100000000001</v>
      </c>
      <c r="AF178" s="13">
        <v>41897</v>
      </c>
      <c r="AG178" s="12">
        <v>120.4014</v>
      </c>
    </row>
    <row r="179" spans="11:33" x14ac:dyDescent="0.2">
      <c r="K179" s="17"/>
      <c r="AD179" s="13">
        <v>41898</v>
      </c>
      <c r="AE179" s="12">
        <v>24.902100000000001</v>
      </c>
      <c r="AF179" s="13">
        <v>41898</v>
      </c>
      <c r="AG179" s="12">
        <v>120.381</v>
      </c>
    </row>
    <row r="180" spans="11:33" x14ac:dyDescent="0.2">
      <c r="K180" s="17"/>
      <c r="AD180" s="13">
        <v>41899</v>
      </c>
      <c r="AE180" s="12">
        <v>24.861799999999999</v>
      </c>
      <c r="AF180" s="13">
        <v>41899</v>
      </c>
      <c r="AG180" s="12">
        <v>120.0535</v>
      </c>
    </row>
    <row r="181" spans="11:33" x14ac:dyDescent="0.2">
      <c r="K181" s="17"/>
      <c r="AD181" s="13">
        <v>41900</v>
      </c>
      <c r="AE181" s="12">
        <v>24.871700000000001</v>
      </c>
      <c r="AF181" s="13">
        <v>41900</v>
      </c>
      <c r="AG181" s="12">
        <v>120.2684</v>
      </c>
    </row>
    <row r="182" spans="11:33" x14ac:dyDescent="0.2">
      <c r="K182" s="17"/>
      <c r="AD182" s="13">
        <v>41901</v>
      </c>
      <c r="AE182" s="12">
        <v>24.912199999999999</v>
      </c>
      <c r="AF182" s="13">
        <v>41901</v>
      </c>
      <c r="AG182" s="12">
        <v>120.73909999999999</v>
      </c>
    </row>
    <row r="183" spans="11:33" x14ac:dyDescent="0.2">
      <c r="K183" s="17"/>
      <c r="AD183" s="13">
        <v>41904</v>
      </c>
      <c r="AE183" s="12">
        <v>24.952500000000001</v>
      </c>
      <c r="AF183" s="13">
        <v>41904</v>
      </c>
      <c r="AG183" s="12">
        <v>120.85169999999999</v>
      </c>
    </row>
    <row r="184" spans="11:33" x14ac:dyDescent="0.2">
      <c r="K184" s="17"/>
      <c r="AD184" s="13">
        <v>41905</v>
      </c>
      <c r="AE184" s="12">
        <v>24.982700000000001</v>
      </c>
      <c r="AF184" s="13">
        <v>41905</v>
      </c>
      <c r="AG184" s="12">
        <v>121.0461</v>
      </c>
    </row>
    <row r="185" spans="11:33" x14ac:dyDescent="0.2">
      <c r="K185" s="17"/>
      <c r="AD185" s="13">
        <v>41906</v>
      </c>
      <c r="AE185" s="12">
        <v>24.942399999999999</v>
      </c>
      <c r="AF185" s="13">
        <v>41906</v>
      </c>
      <c r="AG185" s="12">
        <v>120.75960000000001</v>
      </c>
    </row>
    <row r="186" spans="11:33" x14ac:dyDescent="0.2">
      <c r="K186" s="17"/>
      <c r="AD186" s="13">
        <v>41907</v>
      </c>
      <c r="AE186" s="12">
        <v>25.013000000000002</v>
      </c>
      <c r="AF186" s="13">
        <v>41907</v>
      </c>
      <c r="AG186" s="12">
        <v>121.1177</v>
      </c>
    </row>
    <row r="187" spans="11:33" x14ac:dyDescent="0.2">
      <c r="K187" s="17"/>
      <c r="AD187" s="13">
        <v>41908</v>
      </c>
      <c r="AE187" s="12">
        <v>24.992799999999999</v>
      </c>
      <c r="AF187" s="13">
        <v>41908</v>
      </c>
      <c r="AG187" s="12">
        <v>120.85169999999999</v>
      </c>
    </row>
    <row r="188" spans="11:33" x14ac:dyDescent="0.2">
      <c r="K188" s="17"/>
      <c r="AD188" s="13">
        <v>41911</v>
      </c>
      <c r="AE188" s="12">
        <v>25.033100000000001</v>
      </c>
      <c r="AF188" s="13">
        <v>41911</v>
      </c>
      <c r="AG188" s="12">
        <v>120.8005</v>
      </c>
    </row>
    <row r="189" spans="11:33" x14ac:dyDescent="0.2">
      <c r="K189" s="17"/>
      <c r="AD189" s="13">
        <v>41912</v>
      </c>
      <c r="AE189" s="12">
        <v>25.013000000000002</v>
      </c>
      <c r="AF189" s="13">
        <v>41912</v>
      </c>
      <c r="AG189" s="12">
        <v>120.97450000000001</v>
      </c>
    </row>
    <row r="190" spans="11:33" x14ac:dyDescent="0.2">
      <c r="K190" s="17"/>
      <c r="AD190" s="13">
        <v>41913</v>
      </c>
      <c r="AE190" s="12">
        <v>25.116800000000001</v>
      </c>
      <c r="AF190" s="13">
        <v>41913</v>
      </c>
      <c r="AG190" s="12">
        <v>121.706</v>
      </c>
    </row>
    <row r="191" spans="11:33" x14ac:dyDescent="0.2">
      <c r="K191" s="17"/>
      <c r="AD191" s="13">
        <v>41914</v>
      </c>
      <c r="AE191" s="12">
        <v>25.096699999999998</v>
      </c>
      <c r="AF191" s="13">
        <v>41914</v>
      </c>
      <c r="AG191" s="12">
        <v>121.69580000000001</v>
      </c>
    </row>
    <row r="192" spans="11:33" x14ac:dyDescent="0.2">
      <c r="K192" s="17"/>
      <c r="AD192" s="13">
        <v>41915</v>
      </c>
      <c r="AE192" s="12">
        <v>25.1572</v>
      </c>
      <c r="AF192" s="13">
        <v>41915</v>
      </c>
      <c r="AG192" s="12">
        <v>122.04470000000001</v>
      </c>
    </row>
    <row r="193" spans="11:33" x14ac:dyDescent="0.2">
      <c r="K193" s="17"/>
      <c r="AD193" s="13">
        <v>41918</v>
      </c>
      <c r="AE193" s="12">
        <v>25.116800000000001</v>
      </c>
      <c r="AF193" s="13">
        <v>41918</v>
      </c>
      <c r="AG193" s="12">
        <v>122.1062</v>
      </c>
    </row>
    <row r="194" spans="11:33" x14ac:dyDescent="0.2">
      <c r="K194" s="17"/>
      <c r="AD194" s="13">
        <v>41919</v>
      </c>
      <c r="AE194" s="12">
        <v>25.177399999999999</v>
      </c>
      <c r="AF194" s="13">
        <v>41919</v>
      </c>
      <c r="AG194" s="12">
        <v>122.5475</v>
      </c>
    </row>
    <row r="195" spans="11:33" x14ac:dyDescent="0.2">
      <c r="K195" s="17"/>
      <c r="AD195" s="13">
        <v>41920</v>
      </c>
      <c r="AE195" s="12">
        <v>25.248000000000001</v>
      </c>
      <c r="AF195" s="13">
        <v>41920</v>
      </c>
      <c r="AG195" s="12">
        <v>123.1735</v>
      </c>
    </row>
    <row r="196" spans="11:33" x14ac:dyDescent="0.2">
      <c r="K196" s="17"/>
      <c r="AD196" s="13">
        <v>41921</v>
      </c>
      <c r="AE196" s="12">
        <v>25.227799999999998</v>
      </c>
      <c r="AF196" s="13">
        <v>41921</v>
      </c>
      <c r="AG196" s="12">
        <v>122.6604</v>
      </c>
    </row>
    <row r="197" spans="11:33" x14ac:dyDescent="0.2">
      <c r="K197" s="17"/>
      <c r="AD197" s="13">
        <v>41922</v>
      </c>
      <c r="AE197" s="12">
        <v>25.278199999999998</v>
      </c>
      <c r="AF197" s="13">
        <v>41922</v>
      </c>
      <c r="AG197" s="12">
        <v>122.76300000000001</v>
      </c>
    </row>
    <row r="198" spans="11:33" x14ac:dyDescent="0.2">
      <c r="K198" s="17"/>
      <c r="AD198" s="13">
        <v>41925</v>
      </c>
      <c r="AE198" s="12">
        <v>25.358899999999998</v>
      </c>
      <c r="AF198" s="13">
        <v>41925</v>
      </c>
      <c r="AG198" s="12">
        <v>123.08110000000001</v>
      </c>
    </row>
    <row r="199" spans="11:33" x14ac:dyDescent="0.2">
      <c r="K199" s="17"/>
      <c r="AD199" s="13">
        <v>41926</v>
      </c>
      <c r="AE199" s="12">
        <v>25.389199999999999</v>
      </c>
      <c r="AF199" s="13">
        <v>41926</v>
      </c>
      <c r="AG199" s="12">
        <v>123.3582</v>
      </c>
    </row>
    <row r="200" spans="11:33" x14ac:dyDescent="0.2">
      <c r="K200" s="17"/>
      <c r="AD200" s="13">
        <v>41927</v>
      </c>
      <c r="AE200" s="12">
        <v>25.490100000000002</v>
      </c>
      <c r="AF200" s="13">
        <v>41927</v>
      </c>
      <c r="AG200" s="12">
        <v>123.45050000000001</v>
      </c>
    </row>
    <row r="201" spans="11:33" x14ac:dyDescent="0.2">
      <c r="K201" s="17"/>
      <c r="AD201" s="13">
        <v>41928</v>
      </c>
      <c r="AE201" s="12">
        <v>25.439599999999999</v>
      </c>
      <c r="AF201" s="13">
        <v>41928</v>
      </c>
      <c r="AG201" s="12">
        <v>123.1735</v>
      </c>
    </row>
    <row r="202" spans="11:33" x14ac:dyDescent="0.2">
      <c r="K202" s="17"/>
      <c r="AD202" s="13">
        <v>41929</v>
      </c>
      <c r="AE202" s="12">
        <v>25.3993</v>
      </c>
      <c r="AF202" s="13">
        <v>41929</v>
      </c>
      <c r="AG202" s="12">
        <v>123.12220000000001</v>
      </c>
    </row>
    <row r="203" spans="11:33" x14ac:dyDescent="0.2">
      <c r="K203" s="17"/>
      <c r="AD203" s="13">
        <v>41932</v>
      </c>
      <c r="AE203" s="12">
        <v>25.419499999999999</v>
      </c>
      <c r="AF203" s="13">
        <v>41932</v>
      </c>
      <c r="AG203" s="12">
        <v>123.3479</v>
      </c>
    </row>
    <row r="204" spans="11:33" x14ac:dyDescent="0.2">
      <c r="K204" s="17"/>
      <c r="AD204" s="13">
        <v>41933</v>
      </c>
      <c r="AE204" s="12">
        <v>25.389199999999999</v>
      </c>
      <c r="AF204" s="13">
        <v>41933</v>
      </c>
      <c r="AG204" s="12">
        <v>123.2761</v>
      </c>
    </row>
    <row r="205" spans="11:33" x14ac:dyDescent="0.2">
      <c r="K205" s="17"/>
      <c r="AD205" s="13">
        <v>41934</v>
      </c>
      <c r="AE205" s="12">
        <v>25.358899999999998</v>
      </c>
      <c r="AF205" s="13">
        <v>41934</v>
      </c>
      <c r="AG205" s="12">
        <v>123.07080000000001</v>
      </c>
    </row>
    <row r="206" spans="11:33" x14ac:dyDescent="0.2">
      <c r="K206" s="17"/>
      <c r="AD206" s="13">
        <v>41935</v>
      </c>
      <c r="AE206" s="12">
        <v>25.3186</v>
      </c>
      <c r="AF206" s="13">
        <v>41935</v>
      </c>
      <c r="AG206" s="12">
        <v>122.8348</v>
      </c>
    </row>
    <row r="207" spans="11:33" x14ac:dyDescent="0.2">
      <c r="K207" s="17"/>
      <c r="AD207" s="13">
        <v>41936</v>
      </c>
      <c r="AE207" s="12">
        <v>25.323599999999999</v>
      </c>
      <c r="AF207" s="13">
        <v>41936</v>
      </c>
      <c r="AG207" s="12">
        <v>122.8861</v>
      </c>
    </row>
    <row r="208" spans="11:33" x14ac:dyDescent="0.2">
      <c r="K208" s="17"/>
      <c r="AD208" s="13">
        <v>41939</v>
      </c>
      <c r="AE208" s="12">
        <v>25.348800000000001</v>
      </c>
      <c r="AF208" s="13">
        <v>41939</v>
      </c>
      <c r="AG208" s="12">
        <v>123.0401</v>
      </c>
    </row>
    <row r="209" spans="11:33" x14ac:dyDescent="0.2">
      <c r="K209" s="17"/>
      <c r="AD209" s="13">
        <v>41940</v>
      </c>
      <c r="AE209" s="12">
        <v>25.308499999999999</v>
      </c>
      <c r="AF209" s="13">
        <v>41940</v>
      </c>
      <c r="AG209" s="12">
        <v>122.6296</v>
      </c>
    </row>
    <row r="210" spans="11:33" x14ac:dyDescent="0.2">
      <c r="K210" s="17"/>
      <c r="AD210" s="13">
        <v>41941</v>
      </c>
      <c r="AE210" s="12">
        <v>25.238</v>
      </c>
      <c r="AF210" s="13">
        <v>41941</v>
      </c>
      <c r="AG210" s="12">
        <v>122.4038</v>
      </c>
    </row>
    <row r="211" spans="11:33" x14ac:dyDescent="0.2">
      <c r="K211" s="17"/>
      <c r="AD211" s="13">
        <v>41942</v>
      </c>
      <c r="AE211" s="12">
        <v>25.2681</v>
      </c>
      <c r="AF211" s="13">
        <v>41942</v>
      </c>
      <c r="AG211" s="12">
        <v>122.4859</v>
      </c>
    </row>
    <row r="212" spans="11:33" x14ac:dyDescent="0.2">
      <c r="K212" s="17"/>
      <c r="AD212" s="13">
        <v>41943</v>
      </c>
      <c r="AE212" s="12">
        <v>25.2681</v>
      </c>
      <c r="AF212" s="13">
        <v>41943</v>
      </c>
      <c r="AG212" s="12">
        <v>122.4654</v>
      </c>
    </row>
    <row r="213" spans="11:33" x14ac:dyDescent="0.2">
      <c r="K213" s="17"/>
      <c r="AD213" s="13">
        <v>41946</v>
      </c>
      <c r="AE213" s="12">
        <v>25.2349</v>
      </c>
      <c r="AF213" s="13">
        <v>41946</v>
      </c>
      <c r="AG213" s="12">
        <v>122.2243</v>
      </c>
    </row>
    <row r="214" spans="11:33" x14ac:dyDescent="0.2">
      <c r="K214" s="17"/>
      <c r="AD214" s="13">
        <v>41947</v>
      </c>
      <c r="AE214" s="12">
        <v>25.2349</v>
      </c>
      <c r="AF214" s="13">
        <v>41947</v>
      </c>
      <c r="AG214" s="12">
        <v>122.39919999999999</v>
      </c>
    </row>
    <row r="215" spans="11:33" x14ac:dyDescent="0.2">
      <c r="K215" s="17"/>
      <c r="AD215" s="13">
        <v>41948</v>
      </c>
      <c r="AE215" s="12">
        <v>25.224799999999998</v>
      </c>
      <c r="AF215" s="13">
        <v>41948</v>
      </c>
      <c r="AG215" s="12">
        <v>122.1728</v>
      </c>
    </row>
    <row r="216" spans="11:33" x14ac:dyDescent="0.2">
      <c r="K216" s="17"/>
      <c r="AD216" s="13">
        <v>41949</v>
      </c>
      <c r="AE216" s="12">
        <v>25.194500000000001</v>
      </c>
      <c r="AF216" s="13">
        <v>41949</v>
      </c>
      <c r="AG216" s="12">
        <v>121.8023</v>
      </c>
    </row>
    <row r="217" spans="11:33" x14ac:dyDescent="0.2">
      <c r="K217" s="17"/>
      <c r="AD217" s="13">
        <v>41950</v>
      </c>
      <c r="AE217" s="12">
        <v>25.2652</v>
      </c>
      <c r="AF217" s="13">
        <v>41950</v>
      </c>
      <c r="AG217" s="12">
        <v>122.5742</v>
      </c>
    </row>
    <row r="218" spans="11:33" x14ac:dyDescent="0.2">
      <c r="K218" s="17"/>
      <c r="AD218" s="13">
        <v>41953</v>
      </c>
      <c r="AE218" s="12">
        <v>25.204599999999999</v>
      </c>
      <c r="AF218" s="13">
        <v>41953</v>
      </c>
      <c r="AG218" s="12">
        <v>121.9567</v>
      </c>
    </row>
    <row r="219" spans="11:33" x14ac:dyDescent="0.2">
      <c r="K219" s="17"/>
      <c r="AD219" s="13">
        <v>41954</v>
      </c>
      <c r="AE219" s="12">
        <v>25.214600000000001</v>
      </c>
      <c r="AF219" s="13">
        <v>41954</v>
      </c>
      <c r="AG219" s="12">
        <v>121.9464</v>
      </c>
    </row>
    <row r="220" spans="11:33" x14ac:dyDescent="0.2">
      <c r="K220" s="17"/>
      <c r="AD220" s="13">
        <v>41955</v>
      </c>
      <c r="AE220" s="12">
        <v>25.204599999999999</v>
      </c>
      <c r="AF220" s="13">
        <v>41955</v>
      </c>
      <c r="AG220" s="12">
        <v>121.9361</v>
      </c>
    </row>
    <row r="221" spans="11:33" x14ac:dyDescent="0.2">
      <c r="K221" s="17"/>
      <c r="AD221" s="13">
        <v>41956</v>
      </c>
      <c r="AE221" s="12">
        <v>25.245000000000001</v>
      </c>
      <c r="AF221" s="13">
        <v>41956</v>
      </c>
      <c r="AG221" s="12">
        <v>121.8023</v>
      </c>
    </row>
    <row r="222" spans="11:33" x14ac:dyDescent="0.2">
      <c r="K222" s="17"/>
      <c r="AD222" s="13">
        <v>41957</v>
      </c>
      <c r="AE222" s="12">
        <v>25.2652</v>
      </c>
      <c r="AF222" s="13">
        <v>41957</v>
      </c>
      <c r="AG222" s="12">
        <v>121.9567</v>
      </c>
    </row>
    <row r="223" spans="11:33" x14ac:dyDescent="0.2">
      <c r="K223" s="17"/>
      <c r="AD223" s="13">
        <v>41960</v>
      </c>
      <c r="AE223" s="12">
        <v>25.2349</v>
      </c>
      <c r="AF223" s="13">
        <v>41960</v>
      </c>
      <c r="AG223" s="12">
        <v>121.6686</v>
      </c>
    </row>
    <row r="224" spans="11:33" x14ac:dyDescent="0.2">
      <c r="K224" s="17"/>
      <c r="AD224" s="13">
        <v>41961</v>
      </c>
      <c r="AE224" s="12">
        <v>25.275300000000001</v>
      </c>
      <c r="AF224" s="13">
        <v>41961</v>
      </c>
      <c r="AG224" s="12">
        <v>121.7715</v>
      </c>
    </row>
    <row r="225" spans="11:33" x14ac:dyDescent="0.2">
      <c r="K225" s="17"/>
      <c r="AD225" s="13">
        <v>41962</v>
      </c>
      <c r="AE225" s="12">
        <v>25.245000000000001</v>
      </c>
      <c r="AF225" s="13">
        <v>41962</v>
      </c>
      <c r="AG225" s="12">
        <v>121.12309999999999</v>
      </c>
    </row>
    <row r="226" spans="11:33" x14ac:dyDescent="0.2">
      <c r="K226" s="17"/>
      <c r="AD226" s="13">
        <v>41963</v>
      </c>
      <c r="AE226" s="12">
        <v>25.255099999999999</v>
      </c>
      <c r="AF226" s="13">
        <v>41963</v>
      </c>
      <c r="AG226" s="12">
        <v>121.58620000000001</v>
      </c>
    </row>
    <row r="227" spans="11:33" x14ac:dyDescent="0.2">
      <c r="K227" s="17"/>
      <c r="AD227" s="13">
        <v>41964</v>
      </c>
      <c r="AE227" s="12">
        <v>25.295400000000001</v>
      </c>
      <c r="AF227" s="13">
        <v>41964</v>
      </c>
      <c r="AG227" s="12">
        <v>122.11109999999999</v>
      </c>
    </row>
    <row r="228" spans="11:33" x14ac:dyDescent="0.2">
      <c r="K228" s="17"/>
      <c r="AD228" s="13">
        <v>41967</v>
      </c>
      <c r="AE228" s="12">
        <v>25.305700000000002</v>
      </c>
      <c r="AF228" s="13">
        <v>41967</v>
      </c>
      <c r="AG228" s="12">
        <v>122.3066</v>
      </c>
    </row>
    <row r="229" spans="11:33" x14ac:dyDescent="0.2">
      <c r="K229" s="17"/>
      <c r="AD229" s="13">
        <v>41968</v>
      </c>
      <c r="AE229" s="12">
        <v>25.386399999999998</v>
      </c>
      <c r="AF229" s="13">
        <v>41968</v>
      </c>
      <c r="AG229" s="12">
        <v>122.8314</v>
      </c>
    </row>
    <row r="230" spans="11:33" x14ac:dyDescent="0.2">
      <c r="K230" s="17"/>
      <c r="AD230" s="13">
        <v>41969</v>
      </c>
      <c r="AE230" s="12">
        <v>25.3965</v>
      </c>
      <c r="AF230" s="13">
        <v>41969</v>
      </c>
      <c r="AG230" s="12">
        <v>123.2534</v>
      </c>
    </row>
    <row r="231" spans="11:33" x14ac:dyDescent="0.2">
      <c r="K231" s="17"/>
      <c r="AD231" s="13">
        <v>41971</v>
      </c>
      <c r="AE231" s="12">
        <v>25.487400000000001</v>
      </c>
      <c r="AF231" s="13">
        <v>41971</v>
      </c>
      <c r="AG231" s="12">
        <v>123.5827</v>
      </c>
    </row>
    <row r="232" spans="11:33" x14ac:dyDescent="0.2">
      <c r="K232" s="17"/>
      <c r="AD232" s="13">
        <v>41974</v>
      </c>
      <c r="AE232" s="12">
        <v>25.403600000000001</v>
      </c>
      <c r="AF232" s="13">
        <v>41974</v>
      </c>
      <c r="AG232" s="12">
        <v>123.1557</v>
      </c>
    </row>
    <row r="233" spans="11:33" x14ac:dyDescent="0.2">
      <c r="K233" s="17"/>
      <c r="AD233" s="13">
        <v>41975</v>
      </c>
      <c r="AE233" s="12">
        <v>25.332799999999999</v>
      </c>
      <c r="AF233" s="13">
        <v>41975</v>
      </c>
      <c r="AG233" s="12">
        <v>122.3301</v>
      </c>
    </row>
    <row r="234" spans="11:33" x14ac:dyDescent="0.2">
      <c r="K234" s="17"/>
      <c r="AD234" s="13">
        <v>41976</v>
      </c>
      <c r="AE234" s="12">
        <v>25.353100000000001</v>
      </c>
      <c r="AF234" s="13">
        <v>41976</v>
      </c>
      <c r="AG234" s="12">
        <v>122.45399999999999</v>
      </c>
    </row>
    <row r="235" spans="11:33" x14ac:dyDescent="0.2">
      <c r="K235" s="17"/>
      <c r="AD235" s="13">
        <v>41977</v>
      </c>
      <c r="AE235" s="12">
        <v>25.363199999999999</v>
      </c>
      <c r="AF235" s="13">
        <v>41977</v>
      </c>
      <c r="AG235" s="12">
        <v>122.65009999999999</v>
      </c>
    </row>
    <row r="236" spans="11:33" x14ac:dyDescent="0.2">
      <c r="K236" s="17"/>
      <c r="AD236" s="13">
        <v>41978</v>
      </c>
      <c r="AE236" s="12">
        <v>25.302499999999998</v>
      </c>
      <c r="AF236" s="13">
        <v>41978</v>
      </c>
      <c r="AG236" s="12">
        <v>122.1444</v>
      </c>
    </row>
    <row r="237" spans="11:33" x14ac:dyDescent="0.2">
      <c r="K237" s="17"/>
      <c r="AD237" s="13">
        <v>41981</v>
      </c>
      <c r="AE237" s="12">
        <v>25.3276</v>
      </c>
      <c r="AF237" s="13">
        <v>41981</v>
      </c>
      <c r="AG237" s="12">
        <v>122.7223</v>
      </c>
    </row>
    <row r="238" spans="11:33" x14ac:dyDescent="0.2">
      <c r="K238" s="17"/>
      <c r="AD238" s="13">
        <v>41982</v>
      </c>
      <c r="AE238" s="12">
        <v>25.3935</v>
      </c>
      <c r="AF238" s="13">
        <v>41982</v>
      </c>
      <c r="AG238" s="12">
        <v>122.82550000000001</v>
      </c>
    </row>
    <row r="239" spans="11:33" x14ac:dyDescent="0.2">
      <c r="K239" s="17"/>
      <c r="AD239" s="13">
        <v>41983</v>
      </c>
      <c r="AE239" s="12">
        <v>25.464300000000001</v>
      </c>
      <c r="AF239" s="13">
        <v>41983</v>
      </c>
      <c r="AG239" s="12">
        <v>122.7842</v>
      </c>
    </row>
    <row r="240" spans="11:33" x14ac:dyDescent="0.2">
      <c r="K240" s="17"/>
      <c r="AD240" s="13">
        <v>41984</v>
      </c>
      <c r="AE240" s="12">
        <v>25.464300000000001</v>
      </c>
      <c r="AF240" s="13">
        <v>41984</v>
      </c>
      <c r="AG240" s="12">
        <v>122.6604</v>
      </c>
    </row>
    <row r="241" spans="11:33" x14ac:dyDescent="0.2">
      <c r="K241" s="17"/>
      <c r="AD241" s="13">
        <v>41985</v>
      </c>
      <c r="AE241" s="12">
        <v>25.5654</v>
      </c>
      <c r="AF241" s="13">
        <v>41985</v>
      </c>
      <c r="AG241" s="12">
        <v>122.8565</v>
      </c>
    </row>
    <row r="242" spans="11:33" x14ac:dyDescent="0.2">
      <c r="K242" s="17"/>
      <c r="AD242" s="13">
        <v>41988</v>
      </c>
      <c r="AE242" s="12">
        <v>25.504799999999999</v>
      </c>
      <c r="AF242" s="13">
        <v>41988</v>
      </c>
      <c r="AG242" s="12">
        <v>123.1454</v>
      </c>
    </row>
    <row r="243" spans="11:33" x14ac:dyDescent="0.2">
      <c r="K243" s="17"/>
      <c r="AD243" s="13">
        <v>41989</v>
      </c>
      <c r="AE243" s="12">
        <v>25.595700000000001</v>
      </c>
      <c r="AF243" s="13">
        <v>41989</v>
      </c>
      <c r="AG243" s="12">
        <v>123.1041</v>
      </c>
    </row>
    <row r="244" spans="11:33" x14ac:dyDescent="0.2">
      <c r="K244" s="17"/>
      <c r="AD244" s="13">
        <v>41990</v>
      </c>
      <c r="AE244" s="12">
        <v>25.524899999999999</v>
      </c>
      <c r="AF244" s="13">
        <v>41990</v>
      </c>
      <c r="AG244" s="12">
        <v>123.13509999999999</v>
      </c>
    </row>
    <row r="245" spans="11:33" x14ac:dyDescent="0.2">
      <c r="K245" s="17"/>
      <c r="AD245" s="13">
        <v>41991</v>
      </c>
      <c r="AE245" s="12">
        <v>25.403600000000001</v>
      </c>
      <c r="AF245" s="13">
        <v>41991</v>
      </c>
      <c r="AG245" s="12">
        <v>123.2589</v>
      </c>
    </row>
    <row r="246" spans="11:33" x14ac:dyDescent="0.2">
      <c r="K246" s="17"/>
      <c r="AD246" s="13">
        <v>41992</v>
      </c>
      <c r="AE246" s="12">
        <v>25.443999999999999</v>
      </c>
      <c r="AF246" s="13">
        <v>41992</v>
      </c>
      <c r="AG246" s="12">
        <v>123.197</v>
      </c>
    </row>
    <row r="247" spans="11:33" x14ac:dyDescent="0.2">
      <c r="K247" s="17"/>
      <c r="AD247" s="13">
        <v>41995</v>
      </c>
      <c r="AE247" s="12">
        <v>25.5047</v>
      </c>
      <c r="AF247" s="13">
        <v>41995</v>
      </c>
      <c r="AG247" s="12">
        <v>123.58920000000001</v>
      </c>
    </row>
    <row r="248" spans="11:33" x14ac:dyDescent="0.2">
      <c r="K248" s="17"/>
      <c r="AD248" s="13">
        <v>41996</v>
      </c>
      <c r="AE248" s="12">
        <v>25.322700000000001</v>
      </c>
      <c r="AF248" s="13">
        <v>41996</v>
      </c>
      <c r="AG248" s="12">
        <v>122.65009999999999</v>
      </c>
    </row>
    <row r="249" spans="11:33" x14ac:dyDescent="0.2">
      <c r="K249" s="17"/>
      <c r="AD249" s="13">
        <v>41997</v>
      </c>
      <c r="AE249" s="12">
        <v>25.358899999999998</v>
      </c>
      <c r="AF249" s="13">
        <v>41997</v>
      </c>
      <c r="AG249" s="12">
        <v>123.0445</v>
      </c>
    </row>
    <row r="250" spans="11:33" x14ac:dyDescent="0.2">
      <c r="K250" s="17"/>
      <c r="AD250" s="13">
        <v>41999</v>
      </c>
      <c r="AE250" s="12">
        <v>25.419599999999999</v>
      </c>
      <c r="AF250" s="13">
        <v>41999</v>
      </c>
      <c r="AG250" s="12">
        <v>123.13760000000001</v>
      </c>
    </row>
    <row r="251" spans="11:33" x14ac:dyDescent="0.2">
      <c r="K251" s="17"/>
      <c r="AD251" s="13">
        <v>42002</v>
      </c>
      <c r="AE251" s="12">
        <v>25.4297</v>
      </c>
      <c r="AF251" s="13">
        <v>42002</v>
      </c>
      <c r="AG251" s="12">
        <v>123.37560000000001</v>
      </c>
    </row>
    <row r="252" spans="11:33" x14ac:dyDescent="0.2">
      <c r="K252" s="17"/>
      <c r="AD252" s="13">
        <v>42003</v>
      </c>
      <c r="AE252" s="12">
        <v>25.470199999999998</v>
      </c>
      <c r="AF252" s="13">
        <v>42003</v>
      </c>
      <c r="AG252" s="12">
        <v>123.4791</v>
      </c>
    </row>
    <row r="253" spans="11:33" x14ac:dyDescent="0.2">
      <c r="K253" s="17"/>
      <c r="AD253" s="13">
        <v>42004</v>
      </c>
      <c r="AE253" s="12">
        <v>25.45</v>
      </c>
      <c r="AF253" s="13">
        <v>42004</v>
      </c>
      <c r="AG253" s="12">
        <v>123.56180000000001</v>
      </c>
    </row>
    <row r="254" spans="11:33" x14ac:dyDescent="0.2">
      <c r="K254" s="17"/>
      <c r="AD254" s="13">
        <v>42006</v>
      </c>
      <c r="AE254" s="12">
        <v>25.5916</v>
      </c>
      <c r="AF254" s="13">
        <v>42006</v>
      </c>
      <c r="AG254" s="12">
        <v>123.99639999999999</v>
      </c>
    </row>
    <row r="255" spans="11:33" x14ac:dyDescent="0.2">
      <c r="K255" s="17"/>
      <c r="AD255" s="13">
        <v>42009</v>
      </c>
      <c r="AE255" s="12">
        <v>25.632100000000001</v>
      </c>
      <c r="AF255" s="13">
        <v>42009</v>
      </c>
      <c r="AG255" s="12">
        <v>124.5035</v>
      </c>
    </row>
    <row r="256" spans="11:33" x14ac:dyDescent="0.2">
      <c r="K256" s="17"/>
      <c r="AD256" s="13">
        <v>42010</v>
      </c>
      <c r="AE256" s="12">
        <v>25.753499999999999</v>
      </c>
      <c r="AF256" s="13">
        <v>42010</v>
      </c>
      <c r="AG256" s="12">
        <v>125.01049999999999</v>
      </c>
    </row>
    <row r="257" spans="11:33" x14ac:dyDescent="0.2">
      <c r="K257" s="17"/>
      <c r="AD257" s="13">
        <v>42011</v>
      </c>
      <c r="AE257" s="12">
        <v>25.753499999999999</v>
      </c>
      <c r="AF257" s="13">
        <v>42011</v>
      </c>
      <c r="AG257" s="12">
        <v>125.17610000000001</v>
      </c>
    </row>
    <row r="258" spans="11:33" x14ac:dyDescent="0.2">
      <c r="K258" s="17"/>
      <c r="AD258" s="13">
        <v>42012</v>
      </c>
      <c r="AE258" s="12">
        <v>25.692799999999998</v>
      </c>
      <c r="AF258" s="13">
        <v>42012</v>
      </c>
      <c r="AG258" s="12">
        <v>124.77249999999999</v>
      </c>
    </row>
    <row r="259" spans="11:33" x14ac:dyDescent="0.2">
      <c r="K259" s="17"/>
      <c r="AD259" s="13">
        <v>42013</v>
      </c>
      <c r="AE259" s="12">
        <v>25.7637</v>
      </c>
      <c r="AF259" s="13">
        <v>42013</v>
      </c>
      <c r="AG259" s="12">
        <v>125.1036</v>
      </c>
    </row>
    <row r="260" spans="11:33" x14ac:dyDescent="0.2">
      <c r="K260" s="17"/>
      <c r="AD260" s="13">
        <v>42016</v>
      </c>
      <c r="AE260" s="12">
        <v>25.834499999999998</v>
      </c>
      <c r="AF260" s="13">
        <v>42016</v>
      </c>
      <c r="AG260" s="12">
        <v>125.3416</v>
      </c>
    </row>
    <row r="261" spans="11:33" x14ac:dyDescent="0.2">
      <c r="K261" s="17"/>
      <c r="AD261" s="13">
        <v>42017</v>
      </c>
      <c r="AE261" s="12">
        <v>25.834499999999998</v>
      </c>
      <c r="AF261" s="13">
        <v>42017</v>
      </c>
      <c r="AG261" s="12">
        <v>125.4555</v>
      </c>
    </row>
    <row r="262" spans="11:33" x14ac:dyDescent="0.2">
      <c r="K262" s="17"/>
      <c r="AD262" s="13">
        <v>42018</v>
      </c>
      <c r="AE262" s="12">
        <v>25.915500000000002</v>
      </c>
      <c r="AF262" s="13">
        <v>42018</v>
      </c>
      <c r="AG262" s="12">
        <v>125.6728</v>
      </c>
    </row>
    <row r="263" spans="11:33" x14ac:dyDescent="0.2">
      <c r="K263" s="17"/>
      <c r="AD263" s="13">
        <v>42019</v>
      </c>
      <c r="AE263" s="12">
        <v>26.0672</v>
      </c>
      <c r="AF263" s="13">
        <v>42019</v>
      </c>
      <c r="AG263" s="12">
        <v>126.32470000000001</v>
      </c>
    </row>
    <row r="264" spans="11:33" x14ac:dyDescent="0.2">
      <c r="K264" s="17"/>
      <c r="AD264" s="13">
        <v>42020</v>
      </c>
      <c r="AE264" s="12">
        <v>25.915600000000001</v>
      </c>
      <c r="AF264" s="13">
        <v>42020</v>
      </c>
      <c r="AG264" s="12">
        <v>125.621</v>
      </c>
    </row>
    <row r="265" spans="11:33" x14ac:dyDescent="0.2">
      <c r="K265" s="17"/>
      <c r="AD265" s="13">
        <v>42024</v>
      </c>
      <c r="AE265" s="12">
        <v>25.966000000000001</v>
      </c>
      <c r="AF265" s="13">
        <v>42024</v>
      </c>
      <c r="AG265" s="12">
        <v>125.91079999999999</v>
      </c>
    </row>
    <row r="266" spans="11:33" x14ac:dyDescent="0.2">
      <c r="K266" s="17"/>
      <c r="AD266" s="13">
        <v>42025</v>
      </c>
      <c r="AE266" s="12">
        <v>25.9053</v>
      </c>
      <c r="AF266" s="13">
        <v>42025</v>
      </c>
      <c r="AG266" s="12">
        <v>125.85899999999999</v>
      </c>
    </row>
    <row r="267" spans="11:33" x14ac:dyDescent="0.2">
      <c r="K267" s="17"/>
      <c r="AD267" s="13">
        <v>42026</v>
      </c>
      <c r="AE267" s="12">
        <v>25.860399999999998</v>
      </c>
      <c r="AF267" s="13">
        <v>42026</v>
      </c>
      <c r="AG267" s="12">
        <v>125.79689999999999</v>
      </c>
    </row>
    <row r="268" spans="11:33" x14ac:dyDescent="0.2">
      <c r="K268" s="17"/>
      <c r="AD268" s="13">
        <v>42027</v>
      </c>
      <c r="AE268" s="12">
        <v>25.976199999999999</v>
      </c>
      <c r="AF268" s="13">
        <v>42027</v>
      </c>
      <c r="AG268" s="12">
        <v>126.5316</v>
      </c>
    </row>
    <row r="269" spans="11:33" x14ac:dyDescent="0.2">
      <c r="K269" s="17"/>
      <c r="AD269" s="13">
        <v>42030</v>
      </c>
      <c r="AE269" s="12">
        <v>25.945799999999998</v>
      </c>
      <c r="AF269" s="13">
        <v>42030</v>
      </c>
      <c r="AG269" s="12">
        <v>126.50060000000001</v>
      </c>
    </row>
    <row r="270" spans="11:33" x14ac:dyDescent="0.2">
      <c r="K270" s="17"/>
      <c r="AD270" s="13">
        <v>42031</v>
      </c>
      <c r="AE270" s="12">
        <v>25.935700000000001</v>
      </c>
      <c r="AF270" s="13">
        <v>42031</v>
      </c>
      <c r="AG270" s="12">
        <v>126.5937</v>
      </c>
    </row>
    <row r="271" spans="11:33" x14ac:dyDescent="0.2">
      <c r="K271" s="17"/>
      <c r="AD271" s="13">
        <v>42032</v>
      </c>
      <c r="AE271" s="12">
        <v>26.0519</v>
      </c>
      <c r="AF271" s="13">
        <v>42032</v>
      </c>
      <c r="AG271" s="12">
        <v>127.4526</v>
      </c>
    </row>
    <row r="272" spans="11:33" x14ac:dyDescent="0.2">
      <c r="K272" s="17"/>
      <c r="AD272" s="13">
        <v>42033</v>
      </c>
      <c r="AE272" s="12">
        <v>26.026800000000001</v>
      </c>
      <c r="AF272" s="13">
        <v>42033</v>
      </c>
      <c r="AG272" s="12">
        <v>127.1525</v>
      </c>
    </row>
    <row r="273" spans="11:33" x14ac:dyDescent="0.2">
      <c r="K273" s="17"/>
      <c r="AD273" s="13">
        <v>42034</v>
      </c>
      <c r="AE273" s="12">
        <v>26.198799999999999</v>
      </c>
      <c r="AF273" s="13">
        <v>42034</v>
      </c>
      <c r="AG273" s="12">
        <v>128.19759999999999</v>
      </c>
    </row>
    <row r="274" spans="11:33" x14ac:dyDescent="0.2">
      <c r="K274" s="17"/>
      <c r="AD274" s="13">
        <v>42037</v>
      </c>
      <c r="AE274" s="12">
        <v>26.137</v>
      </c>
      <c r="AF274" s="13">
        <v>42037</v>
      </c>
      <c r="AG274" s="12">
        <v>128.3168</v>
      </c>
    </row>
    <row r="275" spans="11:33" x14ac:dyDescent="0.2">
      <c r="K275" s="17"/>
      <c r="AD275" s="13">
        <v>42038</v>
      </c>
      <c r="AE275" s="12">
        <v>25.974900000000002</v>
      </c>
      <c r="AF275" s="13">
        <v>42038</v>
      </c>
      <c r="AG275" s="12">
        <v>127.2792</v>
      </c>
    </row>
    <row r="276" spans="11:33" x14ac:dyDescent="0.2">
      <c r="K276" s="17"/>
      <c r="AD276" s="13">
        <v>42039</v>
      </c>
      <c r="AE276" s="12">
        <v>26.025600000000001</v>
      </c>
      <c r="AF276" s="13">
        <v>42039</v>
      </c>
      <c r="AG276" s="12">
        <v>127.4556</v>
      </c>
    </row>
    <row r="277" spans="11:33" x14ac:dyDescent="0.2">
      <c r="K277" s="17"/>
      <c r="AD277" s="13">
        <v>42040</v>
      </c>
      <c r="AE277" s="12">
        <v>25.954599999999999</v>
      </c>
      <c r="AF277" s="13">
        <v>42040</v>
      </c>
      <c r="AG277" s="12">
        <v>127.051</v>
      </c>
    </row>
    <row r="278" spans="11:33" x14ac:dyDescent="0.2">
      <c r="K278" s="17"/>
      <c r="AD278" s="13">
        <v>42041</v>
      </c>
      <c r="AE278" s="12">
        <v>25.741900000000001</v>
      </c>
      <c r="AF278" s="13">
        <v>42041</v>
      </c>
      <c r="AG278" s="12">
        <v>125.7229</v>
      </c>
    </row>
    <row r="279" spans="11:33" x14ac:dyDescent="0.2">
      <c r="K279" s="17"/>
      <c r="AD279" s="13">
        <v>42044</v>
      </c>
      <c r="AE279" s="12">
        <v>25.7622</v>
      </c>
      <c r="AF279" s="13">
        <v>42044</v>
      </c>
      <c r="AG279" s="12">
        <v>125.80589999999999</v>
      </c>
    </row>
    <row r="280" spans="11:33" x14ac:dyDescent="0.2">
      <c r="K280" s="17"/>
      <c r="AD280" s="13">
        <v>42045</v>
      </c>
      <c r="AE280" s="12">
        <v>25.691199999999998</v>
      </c>
      <c r="AF280" s="13">
        <v>42045</v>
      </c>
      <c r="AG280" s="12">
        <v>125.4635</v>
      </c>
    </row>
    <row r="281" spans="11:33" x14ac:dyDescent="0.2">
      <c r="K281" s="17"/>
      <c r="AD281" s="13">
        <v>42046</v>
      </c>
      <c r="AE281" s="12">
        <v>25.691199999999998</v>
      </c>
      <c r="AF281" s="13">
        <v>42046</v>
      </c>
      <c r="AG281" s="12">
        <v>125.54649999999999</v>
      </c>
    </row>
    <row r="282" spans="11:33" x14ac:dyDescent="0.2">
      <c r="K282" s="17"/>
      <c r="AD282" s="13">
        <v>42047</v>
      </c>
      <c r="AE282" s="12">
        <v>25.7225</v>
      </c>
      <c r="AF282" s="13">
        <v>42047</v>
      </c>
      <c r="AG282" s="12">
        <v>125.8681</v>
      </c>
    </row>
    <row r="283" spans="11:33" x14ac:dyDescent="0.2">
      <c r="K283" s="17"/>
      <c r="AD283" s="13">
        <v>42048</v>
      </c>
      <c r="AE283" s="12">
        <v>25.657599999999999</v>
      </c>
      <c r="AF283" s="13">
        <v>42048</v>
      </c>
      <c r="AG283" s="12">
        <v>125.37009999999999</v>
      </c>
    </row>
    <row r="284" spans="11:33" x14ac:dyDescent="0.2">
      <c r="K284" s="17"/>
      <c r="AD284" s="13">
        <v>42052</v>
      </c>
      <c r="AE284" s="12">
        <v>25.539300000000001</v>
      </c>
      <c r="AF284" s="13">
        <v>42052</v>
      </c>
      <c r="AG284" s="12">
        <v>124.7891</v>
      </c>
    </row>
    <row r="285" spans="11:33" x14ac:dyDescent="0.2">
      <c r="K285" s="17"/>
      <c r="AD285" s="13">
        <v>42053</v>
      </c>
      <c r="AE285" s="12">
        <v>25.610199999999999</v>
      </c>
      <c r="AF285" s="13">
        <v>42053</v>
      </c>
      <c r="AG285" s="12">
        <v>125.23520000000001</v>
      </c>
    </row>
    <row r="286" spans="11:33" x14ac:dyDescent="0.2">
      <c r="K286" s="17"/>
      <c r="AD286" s="13">
        <v>42054</v>
      </c>
      <c r="AE286" s="12">
        <v>25.594999999999999</v>
      </c>
      <c r="AF286" s="13">
        <v>42054</v>
      </c>
      <c r="AG286" s="12">
        <v>125.2145</v>
      </c>
    </row>
    <row r="287" spans="11:33" x14ac:dyDescent="0.2">
      <c r="K287" s="17"/>
      <c r="AD287" s="13">
        <v>42055</v>
      </c>
      <c r="AE287" s="12">
        <v>25.579799999999999</v>
      </c>
      <c r="AF287" s="13">
        <v>42055</v>
      </c>
      <c r="AG287" s="12">
        <v>125.4012</v>
      </c>
    </row>
    <row r="288" spans="11:33" x14ac:dyDescent="0.2">
      <c r="K288" s="17"/>
      <c r="AD288" s="13">
        <v>42058</v>
      </c>
      <c r="AE288" s="12">
        <v>25.645800000000001</v>
      </c>
      <c r="AF288" s="13">
        <v>42058</v>
      </c>
      <c r="AG288" s="12">
        <v>125.8266</v>
      </c>
    </row>
    <row r="289" spans="11:33" x14ac:dyDescent="0.2">
      <c r="K289" s="17"/>
      <c r="AD289" s="13">
        <v>42059</v>
      </c>
      <c r="AE289" s="12">
        <v>25.741900000000001</v>
      </c>
      <c r="AF289" s="13">
        <v>42059</v>
      </c>
      <c r="AG289" s="12">
        <v>126.6463</v>
      </c>
    </row>
    <row r="290" spans="11:33" x14ac:dyDescent="0.2">
      <c r="K290" s="17"/>
      <c r="AD290" s="13">
        <v>42060</v>
      </c>
      <c r="AE290" s="12">
        <v>25.7622</v>
      </c>
      <c r="AF290" s="13">
        <v>42060</v>
      </c>
      <c r="AG290" s="12">
        <v>126.7604</v>
      </c>
    </row>
    <row r="291" spans="11:33" x14ac:dyDescent="0.2">
      <c r="K291" s="17"/>
      <c r="AD291" s="13">
        <v>42061</v>
      </c>
      <c r="AE291" s="12">
        <v>25.681100000000001</v>
      </c>
      <c r="AF291" s="13">
        <v>42061</v>
      </c>
      <c r="AG291" s="12">
        <v>126.0757</v>
      </c>
    </row>
    <row r="292" spans="11:33" x14ac:dyDescent="0.2">
      <c r="K292" s="17"/>
      <c r="AD292" s="13">
        <v>42062</v>
      </c>
      <c r="AE292" s="12">
        <v>25.741900000000001</v>
      </c>
      <c r="AF292" s="13">
        <v>42062</v>
      </c>
      <c r="AG292" s="12">
        <v>126.37649999999999</v>
      </c>
    </row>
    <row r="293" spans="11:33" x14ac:dyDescent="0.2">
      <c r="K293" s="17"/>
      <c r="AD293" s="13">
        <v>42065</v>
      </c>
      <c r="AE293" s="12">
        <v>25.602799999999998</v>
      </c>
      <c r="AF293" s="13">
        <v>42065</v>
      </c>
      <c r="AG293" s="12">
        <v>125.28440000000001</v>
      </c>
    </row>
    <row r="294" spans="11:33" x14ac:dyDescent="0.2">
      <c r="K294" s="17"/>
      <c r="AD294" s="13">
        <v>42066</v>
      </c>
      <c r="AE294" s="12">
        <v>25.592700000000001</v>
      </c>
      <c r="AF294" s="13">
        <v>42066</v>
      </c>
      <c r="AG294" s="12">
        <v>125.2116</v>
      </c>
    </row>
    <row r="295" spans="11:33" x14ac:dyDescent="0.2">
      <c r="K295" s="17"/>
      <c r="AD295" s="13">
        <v>42067</v>
      </c>
      <c r="AE295" s="12">
        <v>25.602799999999998</v>
      </c>
      <c r="AF295" s="13">
        <v>42067</v>
      </c>
      <c r="AG295" s="12">
        <v>125.1283</v>
      </c>
    </row>
    <row r="296" spans="11:33" x14ac:dyDescent="0.2">
      <c r="K296" s="17"/>
      <c r="AD296" s="13">
        <v>42068</v>
      </c>
      <c r="AE296" s="12">
        <v>25.623100000000001</v>
      </c>
      <c r="AF296" s="13">
        <v>42068</v>
      </c>
      <c r="AG296" s="12">
        <v>125.2948</v>
      </c>
    </row>
    <row r="297" spans="11:33" x14ac:dyDescent="0.2">
      <c r="K297" s="17"/>
      <c r="AD297" s="13">
        <v>42069</v>
      </c>
      <c r="AE297" s="12">
        <v>25.450700000000001</v>
      </c>
      <c r="AF297" s="13">
        <v>42069</v>
      </c>
      <c r="AG297" s="12">
        <v>123.9631</v>
      </c>
    </row>
    <row r="298" spans="11:33" x14ac:dyDescent="0.2">
      <c r="K298" s="17"/>
      <c r="AD298" s="13">
        <v>42072</v>
      </c>
      <c r="AE298" s="12">
        <v>25.506499999999999</v>
      </c>
      <c r="AF298" s="13">
        <v>42072</v>
      </c>
      <c r="AG298" s="12">
        <v>124.46250000000001</v>
      </c>
    </row>
    <row r="299" spans="11:33" x14ac:dyDescent="0.2">
      <c r="K299" s="17"/>
      <c r="AD299" s="13">
        <v>42073</v>
      </c>
      <c r="AE299" s="12">
        <v>25.592700000000001</v>
      </c>
      <c r="AF299" s="13">
        <v>42073</v>
      </c>
      <c r="AG299" s="12">
        <v>124.6602</v>
      </c>
    </row>
    <row r="300" spans="11:33" x14ac:dyDescent="0.2">
      <c r="K300" s="17"/>
      <c r="AD300" s="13">
        <v>42074</v>
      </c>
      <c r="AE300" s="12">
        <v>25.623100000000001</v>
      </c>
      <c r="AF300" s="13">
        <v>42074</v>
      </c>
      <c r="AG300" s="12">
        <v>125.2948</v>
      </c>
    </row>
    <row r="301" spans="11:33" x14ac:dyDescent="0.2">
      <c r="K301" s="17"/>
      <c r="AD301" s="13">
        <v>42075</v>
      </c>
      <c r="AE301" s="12">
        <v>25.633299999999998</v>
      </c>
      <c r="AF301" s="13">
        <v>42075</v>
      </c>
      <c r="AG301" s="12">
        <v>125.17</v>
      </c>
    </row>
    <row r="302" spans="11:33" x14ac:dyDescent="0.2">
      <c r="K302" s="17"/>
      <c r="AD302" s="13">
        <v>42076</v>
      </c>
      <c r="AE302" s="12">
        <v>25.6282</v>
      </c>
      <c r="AF302" s="13">
        <v>42076</v>
      </c>
      <c r="AG302" s="12">
        <v>124.81619999999999</v>
      </c>
    </row>
    <row r="303" spans="11:33" x14ac:dyDescent="0.2">
      <c r="K303" s="17"/>
      <c r="AD303" s="13">
        <v>42079</v>
      </c>
      <c r="AE303" s="12">
        <v>25.6738</v>
      </c>
      <c r="AF303" s="13">
        <v>42079</v>
      </c>
      <c r="AG303" s="12">
        <v>124.94110000000001</v>
      </c>
    </row>
    <row r="304" spans="11:33" x14ac:dyDescent="0.2">
      <c r="K304" s="17"/>
      <c r="AD304" s="13">
        <v>42080</v>
      </c>
      <c r="AE304" s="12">
        <v>25.684000000000001</v>
      </c>
      <c r="AF304" s="13">
        <v>42080</v>
      </c>
      <c r="AG304" s="12">
        <v>125.1491</v>
      </c>
    </row>
    <row r="305" spans="11:33" x14ac:dyDescent="0.2">
      <c r="K305" s="17"/>
      <c r="AD305" s="13">
        <v>42081</v>
      </c>
      <c r="AE305" s="12">
        <v>25.896899999999999</v>
      </c>
      <c r="AF305" s="13">
        <v>42081</v>
      </c>
      <c r="AG305" s="12">
        <v>126.6889</v>
      </c>
    </row>
    <row r="306" spans="11:33" x14ac:dyDescent="0.2">
      <c r="K306" s="17"/>
      <c r="AD306" s="13">
        <v>42082</v>
      </c>
      <c r="AE306" s="12">
        <v>25.815799999999999</v>
      </c>
      <c r="AF306" s="13">
        <v>42082</v>
      </c>
      <c r="AG306" s="12">
        <v>126.04389999999999</v>
      </c>
    </row>
    <row r="307" spans="11:33" x14ac:dyDescent="0.2">
      <c r="K307" s="17"/>
      <c r="AD307" s="13">
        <v>42083</v>
      </c>
      <c r="AE307" s="12">
        <v>25.856300000000001</v>
      </c>
      <c r="AF307" s="13">
        <v>42083</v>
      </c>
      <c r="AG307" s="12">
        <v>126.3976</v>
      </c>
    </row>
    <row r="308" spans="11:33" x14ac:dyDescent="0.2">
      <c r="K308" s="17"/>
      <c r="AD308" s="13">
        <v>42086</v>
      </c>
      <c r="AE308" s="12">
        <v>25.896899999999999</v>
      </c>
      <c r="AF308" s="13">
        <v>42086</v>
      </c>
      <c r="AG308" s="12">
        <v>126.6889</v>
      </c>
    </row>
    <row r="309" spans="11:33" x14ac:dyDescent="0.2">
      <c r="K309" s="17"/>
      <c r="AD309" s="13">
        <v>42087</v>
      </c>
      <c r="AE309" s="12">
        <v>25.9527</v>
      </c>
      <c r="AF309" s="13">
        <v>42087</v>
      </c>
      <c r="AG309" s="12">
        <v>126.8762</v>
      </c>
    </row>
    <row r="310" spans="11:33" x14ac:dyDescent="0.2">
      <c r="K310" s="17"/>
      <c r="AD310" s="13">
        <v>42088</v>
      </c>
      <c r="AE310" s="12">
        <v>25.896899999999999</v>
      </c>
      <c r="AF310" s="13">
        <v>42088</v>
      </c>
      <c r="AG310" s="12">
        <v>126.46</v>
      </c>
    </row>
    <row r="311" spans="11:33" x14ac:dyDescent="0.2">
      <c r="K311" s="17"/>
      <c r="AD311" s="13">
        <v>42089</v>
      </c>
      <c r="AE311" s="12">
        <v>25.775200000000002</v>
      </c>
      <c r="AF311" s="13">
        <v>42089</v>
      </c>
      <c r="AG311" s="12">
        <v>125.6797</v>
      </c>
    </row>
    <row r="312" spans="11:33" x14ac:dyDescent="0.2">
      <c r="K312" s="17"/>
      <c r="AD312" s="13">
        <v>42090</v>
      </c>
      <c r="AE312" s="12">
        <v>25.8766</v>
      </c>
      <c r="AF312" s="13">
        <v>42090</v>
      </c>
      <c r="AG312" s="12">
        <v>126.17910000000001</v>
      </c>
    </row>
    <row r="313" spans="11:33" x14ac:dyDescent="0.2">
      <c r="K313" s="17"/>
      <c r="AD313" s="13">
        <v>42093</v>
      </c>
      <c r="AE313" s="12">
        <v>25.8462</v>
      </c>
      <c r="AF313" s="13">
        <v>42093</v>
      </c>
      <c r="AG313" s="12">
        <v>126.3976</v>
      </c>
    </row>
    <row r="314" spans="11:33" x14ac:dyDescent="0.2">
      <c r="K314" s="17"/>
      <c r="AD314" s="13">
        <v>42094</v>
      </c>
      <c r="AE314" s="12">
        <v>25.896899999999999</v>
      </c>
      <c r="AF314" s="13">
        <v>42094</v>
      </c>
      <c r="AG314" s="12">
        <v>126.62649999999999</v>
      </c>
    </row>
    <row r="315" spans="11:33" x14ac:dyDescent="0.2">
      <c r="K315" s="17"/>
      <c r="AD315" s="13">
        <v>42095</v>
      </c>
      <c r="AE315" s="12">
        <v>25.982600000000001</v>
      </c>
      <c r="AF315" s="13">
        <v>42095</v>
      </c>
      <c r="AG315" s="12">
        <v>126.9896</v>
      </c>
    </row>
    <row r="316" spans="11:33" x14ac:dyDescent="0.2">
      <c r="K316" s="17"/>
      <c r="AD316" s="13">
        <v>42096</v>
      </c>
      <c r="AE316" s="12">
        <v>25.931899999999999</v>
      </c>
      <c r="AF316" s="13">
        <v>42096</v>
      </c>
      <c r="AG316" s="12">
        <v>126.78100000000001</v>
      </c>
    </row>
    <row r="317" spans="11:33" x14ac:dyDescent="0.2">
      <c r="K317" s="17"/>
      <c r="AD317" s="13">
        <v>42100</v>
      </c>
      <c r="AE317" s="12">
        <v>25.921800000000001</v>
      </c>
      <c r="AF317" s="13">
        <v>42100</v>
      </c>
      <c r="AG317" s="12">
        <v>126.9479</v>
      </c>
    </row>
    <row r="318" spans="11:33" x14ac:dyDescent="0.2">
      <c r="K318" s="17"/>
      <c r="AD318" s="13">
        <v>42101</v>
      </c>
      <c r="AE318" s="12">
        <v>25.962299999999999</v>
      </c>
      <c r="AF318" s="13">
        <v>42101</v>
      </c>
      <c r="AG318" s="12">
        <v>127.40689999999999</v>
      </c>
    </row>
    <row r="319" spans="11:33" x14ac:dyDescent="0.2">
      <c r="K319" s="17"/>
      <c r="AD319" s="13">
        <v>42102</v>
      </c>
      <c r="AE319" s="12">
        <v>25.952200000000001</v>
      </c>
      <c r="AF319" s="13">
        <v>42102</v>
      </c>
      <c r="AG319" s="12">
        <v>127.3652</v>
      </c>
    </row>
    <row r="320" spans="11:33" x14ac:dyDescent="0.2">
      <c r="K320" s="17"/>
      <c r="AD320" s="13">
        <v>42103</v>
      </c>
      <c r="AE320" s="12">
        <v>25.870999999999999</v>
      </c>
      <c r="AF320" s="13">
        <v>42103</v>
      </c>
      <c r="AG320" s="12">
        <v>126.7184</v>
      </c>
    </row>
    <row r="321" spans="11:33" x14ac:dyDescent="0.2">
      <c r="K321" s="17"/>
      <c r="AD321" s="13">
        <v>42104</v>
      </c>
      <c r="AE321" s="12">
        <v>25.860800000000001</v>
      </c>
      <c r="AF321" s="13">
        <v>42104</v>
      </c>
      <c r="AG321" s="12">
        <v>126.89579999999999</v>
      </c>
    </row>
    <row r="322" spans="11:33" x14ac:dyDescent="0.2">
      <c r="K322" s="17"/>
      <c r="AD322" s="13">
        <v>42107</v>
      </c>
      <c r="AE322" s="12">
        <v>25.870999999999999</v>
      </c>
      <c r="AF322" s="13">
        <v>42107</v>
      </c>
      <c r="AG322" s="12">
        <v>126.854</v>
      </c>
    </row>
    <row r="323" spans="11:33" x14ac:dyDescent="0.2">
      <c r="K323" s="17"/>
      <c r="AD323" s="13">
        <v>42108</v>
      </c>
      <c r="AE323" s="12">
        <v>25.952200000000001</v>
      </c>
      <c r="AF323" s="13">
        <v>42108</v>
      </c>
      <c r="AG323" s="12">
        <v>127.1461</v>
      </c>
    </row>
    <row r="324" spans="11:33" x14ac:dyDescent="0.2">
      <c r="K324" s="17"/>
      <c r="AD324" s="13">
        <v>42109</v>
      </c>
      <c r="AE324" s="12">
        <v>25.9434</v>
      </c>
      <c r="AF324" s="13">
        <v>42109</v>
      </c>
      <c r="AG324" s="12">
        <v>127.2296</v>
      </c>
    </row>
    <row r="325" spans="11:33" x14ac:dyDescent="0.2">
      <c r="K325" s="17"/>
      <c r="AD325" s="13">
        <v>42110</v>
      </c>
      <c r="AE325" s="12">
        <v>25.952200000000001</v>
      </c>
      <c r="AF325" s="13">
        <v>42110</v>
      </c>
      <c r="AG325" s="12">
        <v>127.1566</v>
      </c>
    </row>
    <row r="326" spans="11:33" x14ac:dyDescent="0.2">
      <c r="K326" s="17"/>
      <c r="AD326" s="13">
        <v>42111</v>
      </c>
      <c r="AE326" s="12">
        <v>25.992799999999999</v>
      </c>
      <c r="AF326" s="13">
        <v>42111</v>
      </c>
      <c r="AG326" s="12">
        <v>127.5008</v>
      </c>
    </row>
    <row r="327" spans="11:33" x14ac:dyDescent="0.2">
      <c r="K327" s="17"/>
      <c r="AD327" s="13">
        <v>42114</v>
      </c>
      <c r="AE327" s="12">
        <v>25.952200000000001</v>
      </c>
      <c r="AF327" s="13">
        <v>42114</v>
      </c>
      <c r="AG327" s="12">
        <v>127.1983</v>
      </c>
    </row>
    <row r="328" spans="11:33" x14ac:dyDescent="0.2">
      <c r="K328" s="17"/>
      <c r="AD328" s="13">
        <v>42115</v>
      </c>
      <c r="AE328" s="12">
        <v>25.931899999999999</v>
      </c>
      <c r="AF328" s="13">
        <v>42115</v>
      </c>
      <c r="AG328" s="12">
        <v>127.167</v>
      </c>
    </row>
    <row r="329" spans="11:33" x14ac:dyDescent="0.2">
      <c r="K329" s="17"/>
      <c r="AD329" s="13">
        <v>42116</v>
      </c>
      <c r="AE329" s="12">
        <v>25.8202</v>
      </c>
      <c r="AF329" s="13">
        <v>42116</v>
      </c>
      <c r="AG329" s="12">
        <v>126.3429</v>
      </c>
    </row>
    <row r="330" spans="11:33" x14ac:dyDescent="0.2">
      <c r="K330" s="17"/>
      <c r="AD330" s="13">
        <v>42117</v>
      </c>
      <c r="AE330" s="12">
        <v>25.870999999999999</v>
      </c>
      <c r="AF330" s="13">
        <v>42117</v>
      </c>
      <c r="AG330" s="12">
        <v>126.66630000000001</v>
      </c>
    </row>
    <row r="331" spans="11:33" x14ac:dyDescent="0.2">
      <c r="K331" s="17"/>
      <c r="AD331" s="13">
        <v>42118</v>
      </c>
      <c r="AE331" s="12">
        <v>25.921700000000001</v>
      </c>
      <c r="AF331" s="13">
        <v>42118</v>
      </c>
      <c r="AG331" s="12">
        <v>126.9062</v>
      </c>
    </row>
    <row r="332" spans="11:33" x14ac:dyDescent="0.2">
      <c r="K332" s="17"/>
      <c r="AD332" s="13">
        <v>42121</v>
      </c>
      <c r="AE332" s="12">
        <v>25.9116</v>
      </c>
      <c r="AF332" s="13">
        <v>42121</v>
      </c>
      <c r="AG332" s="12">
        <v>126.81229999999999</v>
      </c>
    </row>
    <row r="333" spans="11:33" x14ac:dyDescent="0.2">
      <c r="K333" s="17"/>
      <c r="AD333" s="13">
        <v>42122</v>
      </c>
      <c r="AE333" s="12">
        <v>25.799900000000001</v>
      </c>
      <c r="AF333" s="13">
        <v>42122</v>
      </c>
      <c r="AG333" s="12">
        <v>126.0612</v>
      </c>
    </row>
    <row r="334" spans="11:33" x14ac:dyDescent="0.2">
      <c r="K334" s="17"/>
      <c r="AD334" s="13">
        <v>42123</v>
      </c>
      <c r="AE334" s="12">
        <v>25.7593</v>
      </c>
      <c r="AF334" s="13">
        <v>42123</v>
      </c>
      <c r="AG334" s="12">
        <v>125.018</v>
      </c>
    </row>
    <row r="335" spans="11:33" x14ac:dyDescent="0.2">
      <c r="K335" s="17"/>
      <c r="AD335" s="13">
        <v>42124</v>
      </c>
      <c r="AE335" s="12">
        <v>25.739000000000001</v>
      </c>
      <c r="AF335" s="13">
        <v>42124</v>
      </c>
      <c r="AG335" s="12">
        <v>125.1223</v>
      </c>
    </row>
    <row r="336" spans="11:33" x14ac:dyDescent="0.2">
      <c r="K336" s="17"/>
      <c r="AD336" s="13">
        <v>42125</v>
      </c>
      <c r="AE336" s="12">
        <v>25.657800000000002</v>
      </c>
      <c r="AF336" s="13">
        <v>42125</v>
      </c>
      <c r="AG336" s="12">
        <v>124.43389999999999</v>
      </c>
    </row>
    <row r="337" spans="11:33" x14ac:dyDescent="0.2">
      <c r="K337" s="17"/>
      <c r="AD337" s="13">
        <v>42128</v>
      </c>
      <c r="AE337" s="12">
        <v>25.635000000000002</v>
      </c>
      <c r="AF337" s="13">
        <v>42128</v>
      </c>
      <c r="AG337" s="12">
        <v>124.0364</v>
      </c>
    </row>
    <row r="338" spans="11:33" x14ac:dyDescent="0.2">
      <c r="K338" s="17"/>
      <c r="AD338" s="13">
        <v>42129</v>
      </c>
      <c r="AE338" s="12">
        <v>25.606999999999999</v>
      </c>
      <c r="AF338" s="13">
        <v>42129</v>
      </c>
      <c r="AG338" s="12">
        <v>123.8272</v>
      </c>
    </row>
    <row r="339" spans="11:33" x14ac:dyDescent="0.2">
      <c r="K339" s="17"/>
      <c r="AD339" s="13">
        <v>42130</v>
      </c>
      <c r="AE339" s="12">
        <v>25.515599999999999</v>
      </c>
      <c r="AF339" s="13">
        <v>42130</v>
      </c>
      <c r="AG339" s="12">
        <v>123.2937</v>
      </c>
    </row>
    <row r="340" spans="11:33" x14ac:dyDescent="0.2">
      <c r="K340" s="17"/>
      <c r="AD340" s="13">
        <v>42131</v>
      </c>
      <c r="AE340" s="12">
        <v>25.576599999999999</v>
      </c>
      <c r="AF340" s="13">
        <v>42131</v>
      </c>
      <c r="AG340" s="12">
        <v>123.78530000000001</v>
      </c>
    </row>
    <row r="341" spans="11:33" x14ac:dyDescent="0.2">
      <c r="K341" s="17"/>
      <c r="AD341" s="13">
        <v>42132</v>
      </c>
      <c r="AE341" s="12">
        <v>25.6206</v>
      </c>
      <c r="AF341" s="13">
        <v>42132</v>
      </c>
      <c r="AG341" s="12">
        <v>124.4967</v>
      </c>
    </row>
    <row r="342" spans="11:33" x14ac:dyDescent="0.2">
      <c r="K342" s="17"/>
      <c r="AD342" s="13">
        <v>42135</v>
      </c>
      <c r="AE342" s="12">
        <v>25.4953</v>
      </c>
      <c r="AF342" s="13">
        <v>42135</v>
      </c>
      <c r="AG342" s="12">
        <v>123.2413</v>
      </c>
    </row>
    <row r="343" spans="11:33" x14ac:dyDescent="0.2">
      <c r="K343" s="17"/>
      <c r="AD343" s="13">
        <v>42136</v>
      </c>
      <c r="AE343" s="12">
        <v>25.500399999999999</v>
      </c>
      <c r="AF343" s="13">
        <v>42136</v>
      </c>
      <c r="AG343" s="12">
        <v>123.0635</v>
      </c>
    </row>
    <row r="344" spans="11:33" x14ac:dyDescent="0.2">
      <c r="K344" s="17"/>
      <c r="AD344" s="13">
        <v>42137</v>
      </c>
      <c r="AE344" s="12">
        <v>25.485199999999999</v>
      </c>
      <c r="AF344" s="13">
        <v>42137</v>
      </c>
      <c r="AG344" s="12">
        <v>122.94840000000001</v>
      </c>
    </row>
    <row r="345" spans="11:33" x14ac:dyDescent="0.2">
      <c r="K345" s="17"/>
      <c r="AD345" s="13">
        <v>42138</v>
      </c>
      <c r="AE345" s="12">
        <v>25.5258</v>
      </c>
      <c r="AF345" s="13">
        <v>42138</v>
      </c>
      <c r="AG345" s="12">
        <v>123.3669</v>
      </c>
    </row>
    <row r="346" spans="11:33" x14ac:dyDescent="0.2">
      <c r="K346" s="17"/>
      <c r="AD346" s="13">
        <v>42139</v>
      </c>
      <c r="AE346" s="12">
        <v>25.637499999999999</v>
      </c>
      <c r="AF346" s="13">
        <v>42139</v>
      </c>
      <c r="AG346" s="12">
        <v>124.2247</v>
      </c>
    </row>
    <row r="347" spans="11:33" x14ac:dyDescent="0.2">
      <c r="K347" s="17"/>
      <c r="AD347" s="13">
        <v>42142</v>
      </c>
      <c r="AE347" s="12">
        <v>25.515599999999999</v>
      </c>
      <c r="AF347" s="13">
        <v>42142</v>
      </c>
      <c r="AG347" s="12">
        <v>123.2727</v>
      </c>
    </row>
    <row r="348" spans="11:33" x14ac:dyDescent="0.2">
      <c r="K348" s="17"/>
      <c r="AD348" s="13">
        <v>42143</v>
      </c>
      <c r="AE348" s="12">
        <v>25.4648</v>
      </c>
      <c r="AF348" s="13">
        <v>42143</v>
      </c>
      <c r="AG348" s="12">
        <v>122.61369999999999</v>
      </c>
    </row>
    <row r="349" spans="11:33" x14ac:dyDescent="0.2">
      <c r="K349" s="17"/>
      <c r="AD349" s="13">
        <v>42144</v>
      </c>
      <c r="AE349" s="12">
        <v>25.4953</v>
      </c>
      <c r="AF349" s="13">
        <v>42144</v>
      </c>
      <c r="AG349" s="12">
        <v>122.76009999999999</v>
      </c>
    </row>
    <row r="350" spans="11:33" x14ac:dyDescent="0.2">
      <c r="K350" s="17"/>
      <c r="AD350" s="13">
        <v>42145</v>
      </c>
      <c r="AE350" s="12">
        <v>25.576599999999999</v>
      </c>
      <c r="AF350" s="13">
        <v>42145</v>
      </c>
      <c r="AG350" s="12">
        <v>123.346</v>
      </c>
    </row>
    <row r="351" spans="11:33" x14ac:dyDescent="0.2">
      <c r="K351" s="17"/>
      <c r="AD351" s="13">
        <v>42146</v>
      </c>
      <c r="AE351" s="12">
        <v>25.5563</v>
      </c>
      <c r="AF351" s="13">
        <v>42146</v>
      </c>
      <c r="AG351" s="12">
        <v>123.2623</v>
      </c>
    </row>
    <row r="352" spans="11:33" x14ac:dyDescent="0.2">
      <c r="K352" s="17"/>
      <c r="AD352" s="13">
        <v>42150</v>
      </c>
      <c r="AE352" s="12">
        <v>25.628399999999999</v>
      </c>
      <c r="AF352" s="13">
        <v>42150</v>
      </c>
      <c r="AG352" s="12">
        <v>123.8062</v>
      </c>
    </row>
    <row r="353" spans="11:33" x14ac:dyDescent="0.2">
      <c r="K353" s="17"/>
      <c r="AD353" s="13">
        <v>42151</v>
      </c>
      <c r="AE353" s="12">
        <v>25.637499999999999</v>
      </c>
      <c r="AF353" s="13">
        <v>42151</v>
      </c>
      <c r="AG353" s="12">
        <v>123.9318</v>
      </c>
    </row>
    <row r="354" spans="11:33" x14ac:dyDescent="0.2">
      <c r="K354" s="17"/>
      <c r="AD354" s="13">
        <v>42152</v>
      </c>
      <c r="AE354" s="12">
        <v>25.6477</v>
      </c>
      <c r="AF354" s="13">
        <v>42152</v>
      </c>
      <c r="AG354" s="12">
        <v>123.67019999999999</v>
      </c>
    </row>
    <row r="355" spans="11:33" x14ac:dyDescent="0.2">
      <c r="K355" s="17"/>
      <c r="AD355" s="13">
        <v>42153</v>
      </c>
      <c r="AE355" s="12">
        <v>25.657800000000002</v>
      </c>
      <c r="AF355" s="13">
        <v>42153</v>
      </c>
      <c r="AG355" s="12">
        <v>123.7226</v>
      </c>
    </row>
    <row r="356" spans="11:33" x14ac:dyDescent="0.2">
      <c r="K356" s="17"/>
      <c r="AD356" s="13">
        <v>42156</v>
      </c>
      <c r="AE356" s="12">
        <v>25.5868</v>
      </c>
      <c r="AF356" s="13">
        <v>42156</v>
      </c>
      <c r="AG356" s="12">
        <v>123.0307</v>
      </c>
    </row>
    <row r="357" spans="11:33" x14ac:dyDescent="0.2">
      <c r="K357" s="17"/>
      <c r="AD357" s="13">
        <v>42157</v>
      </c>
      <c r="AE357" s="12">
        <v>25.505500000000001</v>
      </c>
      <c r="AF357" s="13">
        <v>42157</v>
      </c>
      <c r="AG357" s="12">
        <v>122.40130000000001</v>
      </c>
    </row>
    <row r="358" spans="11:33" x14ac:dyDescent="0.2">
      <c r="K358" s="17"/>
      <c r="AD358" s="13">
        <v>42158</v>
      </c>
      <c r="AE358" s="12">
        <v>25.4038</v>
      </c>
      <c r="AF358" s="13">
        <v>42158</v>
      </c>
      <c r="AG358" s="12">
        <v>121.61450000000001</v>
      </c>
    </row>
    <row r="359" spans="11:33" x14ac:dyDescent="0.2">
      <c r="K359" s="17"/>
      <c r="AD359" s="13">
        <v>42159</v>
      </c>
      <c r="AE359" s="12">
        <v>25.4648</v>
      </c>
      <c r="AF359" s="13">
        <v>42159</v>
      </c>
      <c r="AG359" s="12">
        <v>122.2439</v>
      </c>
    </row>
    <row r="360" spans="11:33" x14ac:dyDescent="0.2">
      <c r="K360" s="17"/>
      <c r="AD360" s="13">
        <v>42160</v>
      </c>
      <c r="AE360" s="12">
        <v>25.363099999999999</v>
      </c>
      <c r="AF360" s="13">
        <v>42160</v>
      </c>
      <c r="AG360" s="12">
        <v>121.625</v>
      </c>
    </row>
    <row r="361" spans="11:33" x14ac:dyDescent="0.2">
      <c r="K361" s="17"/>
      <c r="AD361" s="13">
        <v>42163</v>
      </c>
      <c r="AE361" s="12">
        <v>25.363099999999999</v>
      </c>
      <c r="AF361" s="13">
        <v>42163</v>
      </c>
      <c r="AG361" s="12">
        <v>121.5411</v>
      </c>
    </row>
    <row r="362" spans="11:33" x14ac:dyDescent="0.2">
      <c r="K362" s="17"/>
      <c r="AD362" s="13">
        <v>42164</v>
      </c>
      <c r="AE362" s="12">
        <v>25.3123</v>
      </c>
      <c r="AF362" s="13">
        <v>42164</v>
      </c>
      <c r="AG362" s="12">
        <v>120.9956</v>
      </c>
    </row>
    <row r="363" spans="11:33" x14ac:dyDescent="0.2">
      <c r="K363" s="17"/>
      <c r="AD363" s="13">
        <v>42165</v>
      </c>
      <c r="AE363" s="12">
        <v>25.271599999999999</v>
      </c>
      <c r="AF363" s="13">
        <v>42165</v>
      </c>
      <c r="AG363" s="12">
        <v>120.6704</v>
      </c>
    </row>
    <row r="364" spans="11:33" x14ac:dyDescent="0.2">
      <c r="K364" s="17"/>
      <c r="AD364" s="13">
        <v>42166</v>
      </c>
      <c r="AE364" s="12">
        <v>25.393599999999999</v>
      </c>
      <c r="AF364" s="13">
        <v>42166</v>
      </c>
      <c r="AG364" s="12">
        <v>121.74039999999999</v>
      </c>
    </row>
    <row r="365" spans="11:33" x14ac:dyDescent="0.2">
      <c r="K365" s="17"/>
      <c r="AD365" s="13">
        <v>42167</v>
      </c>
      <c r="AE365" s="12">
        <v>25.3825</v>
      </c>
      <c r="AF365" s="13">
        <v>42167</v>
      </c>
      <c r="AG365" s="12">
        <v>121.53060000000001</v>
      </c>
    </row>
    <row r="366" spans="11:33" x14ac:dyDescent="0.2">
      <c r="K366" s="17"/>
      <c r="AD366" s="13">
        <v>42170</v>
      </c>
      <c r="AE366" s="12">
        <v>25.393599999999999</v>
      </c>
      <c r="AF366" s="13">
        <v>42170</v>
      </c>
      <c r="AG366" s="12">
        <v>121.50960000000001</v>
      </c>
    </row>
    <row r="367" spans="11:33" x14ac:dyDescent="0.2">
      <c r="K367" s="17"/>
      <c r="AD367" s="13">
        <v>42171</v>
      </c>
      <c r="AE367" s="12">
        <v>25.444600000000001</v>
      </c>
      <c r="AF367" s="13">
        <v>42171</v>
      </c>
      <c r="AG367" s="12">
        <v>121.8138</v>
      </c>
    </row>
    <row r="368" spans="11:33" x14ac:dyDescent="0.2">
      <c r="K368" s="17"/>
      <c r="AD368" s="13">
        <v>42172</v>
      </c>
      <c r="AE368" s="12">
        <v>25.494299999999999</v>
      </c>
      <c r="AF368" s="13">
        <v>42172</v>
      </c>
      <c r="AG368" s="12">
        <v>121.80329999999999</v>
      </c>
    </row>
    <row r="369" spans="11:33" x14ac:dyDescent="0.2">
      <c r="K369" s="17"/>
      <c r="AD369" s="13">
        <v>42173</v>
      </c>
      <c r="AE369" s="12">
        <v>25.444500000000001</v>
      </c>
      <c r="AF369" s="13">
        <v>42173</v>
      </c>
      <c r="AG369" s="12">
        <v>121.583</v>
      </c>
    </row>
    <row r="370" spans="11:33" x14ac:dyDescent="0.2">
      <c r="K370" s="17"/>
      <c r="AD370" s="13">
        <v>42174</v>
      </c>
      <c r="AE370" s="12">
        <v>25.5258</v>
      </c>
      <c r="AF370" s="13">
        <v>42174</v>
      </c>
      <c r="AG370" s="12">
        <v>122.2334</v>
      </c>
    </row>
    <row r="371" spans="11:33" x14ac:dyDescent="0.2">
      <c r="K371" s="17"/>
      <c r="AD371" s="13">
        <v>42177</v>
      </c>
      <c r="AE371" s="12">
        <v>25.4038</v>
      </c>
      <c r="AF371" s="13">
        <v>42177</v>
      </c>
      <c r="AG371" s="12">
        <v>121.2683</v>
      </c>
    </row>
    <row r="372" spans="11:33" x14ac:dyDescent="0.2">
      <c r="AD372" s="13">
        <v>42178</v>
      </c>
      <c r="AE372" s="12">
        <v>25.363099999999999</v>
      </c>
      <c r="AF372" s="13">
        <v>42178</v>
      </c>
      <c r="AG372" s="12">
        <v>120.9956</v>
      </c>
    </row>
    <row r="373" spans="11:33" x14ac:dyDescent="0.2">
      <c r="AD373" s="13">
        <v>42179</v>
      </c>
      <c r="AE373" s="12">
        <v>25.4038</v>
      </c>
      <c r="AF373" s="13">
        <v>42179</v>
      </c>
      <c r="AG373" s="12">
        <v>121.3313</v>
      </c>
    </row>
    <row r="374" spans="11:33" x14ac:dyDescent="0.2">
      <c r="AD374" s="13">
        <v>42180</v>
      </c>
      <c r="AE374" s="12">
        <v>25.3733</v>
      </c>
      <c r="AF374" s="13">
        <v>42180</v>
      </c>
      <c r="AG374" s="12">
        <v>121.13200000000001</v>
      </c>
    </row>
    <row r="375" spans="11:33" x14ac:dyDescent="0.2">
      <c r="AD375" s="13">
        <v>42181</v>
      </c>
      <c r="AE375" s="12">
        <v>25.3123</v>
      </c>
      <c r="AF375" s="13">
        <v>42181</v>
      </c>
      <c r="AG375" s="12">
        <v>120.57599999999999</v>
      </c>
    </row>
    <row r="376" spans="11:33" x14ac:dyDescent="0.2">
      <c r="AD376" s="13">
        <v>42184</v>
      </c>
      <c r="AE376" s="12">
        <v>25.475000000000001</v>
      </c>
      <c r="AF376" s="13">
        <v>42184</v>
      </c>
      <c r="AG376" s="12">
        <v>121.625</v>
      </c>
    </row>
    <row r="377" spans="11:33" x14ac:dyDescent="0.2">
      <c r="AD377" s="13">
        <v>42185</v>
      </c>
      <c r="AE377" s="12">
        <v>25.4343</v>
      </c>
      <c r="AF377" s="13">
        <v>42185</v>
      </c>
      <c r="AG377" s="12">
        <v>121.3942</v>
      </c>
    </row>
    <row r="378" spans="11:33" x14ac:dyDescent="0.2">
      <c r="AD378" s="13">
        <v>42186</v>
      </c>
      <c r="AE378" s="12">
        <v>25.3596</v>
      </c>
      <c r="AF378" s="13">
        <v>42186</v>
      </c>
      <c r="AG378" s="12">
        <v>121.0065</v>
      </c>
    </row>
    <row r="379" spans="11:33" x14ac:dyDescent="0.2">
      <c r="AD379" s="13">
        <v>42187</v>
      </c>
      <c r="AE379" s="12">
        <v>25.4206</v>
      </c>
      <c r="AF379" s="13">
        <v>42187</v>
      </c>
      <c r="AG379" s="12">
        <v>121.46939999999999</v>
      </c>
    </row>
    <row r="380" spans="11:33" x14ac:dyDescent="0.2">
      <c r="AD380" s="13">
        <v>42191</v>
      </c>
      <c r="AE380" s="12">
        <v>25.532599999999999</v>
      </c>
      <c r="AF380" s="13">
        <v>42191</v>
      </c>
      <c r="AG380" s="12">
        <v>121.9533</v>
      </c>
    </row>
    <row r="381" spans="11:33" x14ac:dyDescent="0.2">
      <c r="AD381" s="13">
        <v>42192</v>
      </c>
      <c r="AE381" s="12">
        <v>25.593599999999999</v>
      </c>
      <c r="AF381" s="13">
        <v>42192</v>
      </c>
      <c r="AG381" s="12">
        <v>122.45829999999999</v>
      </c>
    </row>
    <row r="382" spans="11:33" x14ac:dyDescent="0.2">
      <c r="AD382" s="13">
        <v>42193</v>
      </c>
      <c r="AE382" s="12">
        <v>25.654699999999998</v>
      </c>
      <c r="AF382" s="13">
        <v>42193</v>
      </c>
      <c r="AG382" s="12">
        <v>122.6266</v>
      </c>
    </row>
    <row r="383" spans="11:33" x14ac:dyDescent="0.2">
      <c r="AD383" s="13">
        <v>42194</v>
      </c>
      <c r="AE383" s="12">
        <v>25.5122</v>
      </c>
      <c r="AF383" s="13">
        <v>42194</v>
      </c>
      <c r="AG383" s="12">
        <v>121.81659999999999</v>
      </c>
    </row>
    <row r="384" spans="11:33" x14ac:dyDescent="0.2">
      <c r="AD384" s="13">
        <v>42195</v>
      </c>
      <c r="AE384" s="12">
        <v>25.4206</v>
      </c>
      <c r="AF384" s="13">
        <v>42195</v>
      </c>
      <c r="AG384" s="12">
        <v>121.0381</v>
      </c>
    </row>
    <row r="385" spans="30:33" x14ac:dyDescent="0.2">
      <c r="AD385" s="13">
        <v>42198</v>
      </c>
      <c r="AE385" s="12">
        <v>25.364699999999999</v>
      </c>
      <c r="AF385" s="13">
        <v>42198</v>
      </c>
      <c r="AG385" s="12">
        <v>120.77500000000001</v>
      </c>
    </row>
    <row r="386" spans="30:33" x14ac:dyDescent="0.2">
      <c r="AD386" s="13">
        <v>42199</v>
      </c>
      <c r="AE386" s="12">
        <v>25.4206</v>
      </c>
      <c r="AF386" s="13">
        <v>42199</v>
      </c>
      <c r="AG386" s="12">
        <v>120.8802</v>
      </c>
    </row>
    <row r="387" spans="30:33" x14ac:dyDescent="0.2">
      <c r="AD387" s="13">
        <v>42200</v>
      </c>
      <c r="AE387" s="12">
        <v>25.471499999999999</v>
      </c>
      <c r="AF387" s="13">
        <v>42200</v>
      </c>
      <c r="AG387" s="12">
        <v>121.19589999999999</v>
      </c>
    </row>
    <row r="388" spans="30:33" x14ac:dyDescent="0.2">
      <c r="AD388" s="13">
        <v>42201</v>
      </c>
      <c r="AE388" s="12">
        <v>25.491900000000001</v>
      </c>
      <c r="AF388" s="13">
        <v>42201</v>
      </c>
      <c r="AG388" s="12">
        <v>121.3852</v>
      </c>
    </row>
    <row r="389" spans="30:33" x14ac:dyDescent="0.2">
      <c r="AD389" s="13">
        <v>42202</v>
      </c>
      <c r="AE389" s="12">
        <v>25.501999999999999</v>
      </c>
      <c r="AF389" s="13">
        <v>42202</v>
      </c>
      <c r="AG389" s="12">
        <v>121.46939999999999</v>
      </c>
    </row>
    <row r="390" spans="30:33" x14ac:dyDescent="0.2">
      <c r="AD390" s="13">
        <v>42205</v>
      </c>
      <c r="AE390" s="12">
        <v>25.461300000000001</v>
      </c>
      <c r="AF390" s="13">
        <v>42205</v>
      </c>
      <c r="AG390" s="12">
        <v>121.1853</v>
      </c>
    </row>
    <row r="391" spans="30:33" x14ac:dyDescent="0.2">
      <c r="AD391" s="13">
        <v>42206</v>
      </c>
      <c r="AE391" s="12">
        <v>25.4817</v>
      </c>
      <c r="AF391" s="13">
        <v>42206</v>
      </c>
      <c r="AG391" s="12">
        <v>121.4378</v>
      </c>
    </row>
    <row r="392" spans="30:33" x14ac:dyDescent="0.2">
      <c r="AD392" s="13">
        <v>42207</v>
      </c>
      <c r="AE392" s="12">
        <v>25.522400000000001</v>
      </c>
      <c r="AF392" s="13">
        <v>42207</v>
      </c>
      <c r="AG392" s="12">
        <v>121.5956</v>
      </c>
    </row>
    <row r="393" spans="30:33" x14ac:dyDescent="0.2">
      <c r="AD393" s="13">
        <v>42208</v>
      </c>
      <c r="AE393" s="12">
        <v>25.5885</v>
      </c>
      <c r="AF393" s="13">
        <v>42208</v>
      </c>
      <c r="AG393" s="12">
        <v>121.9533</v>
      </c>
    </row>
    <row r="394" spans="30:33" x14ac:dyDescent="0.2">
      <c r="AD394" s="13">
        <v>42209</v>
      </c>
      <c r="AE394" s="12">
        <v>25.614000000000001</v>
      </c>
      <c r="AF394" s="13">
        <v>42209</v>
      </c>
      <c r="AG394" s="12">
        <v>121.9007</v>
      </c>
    </row>
    <row r="395" spans="30:33" x14ac:dyDescent="0.2">
      <c r="AD395" s="13">
        <v>42212</v>
      </c>
      <c r="AE395" s="12">
        <v>25.654699999999998</v>
      </c>
      <c r="AF395" s="13">
        <v>42212</v>
      </c>
      <c r="AG395" s="12">
        <v>121.9113</v>
      </c>
    </row>
    <row r="396" spans="30:33" x14ac:dyDescent="0.2">
      <c r="AD396" s="13">
        <v>42213</v>
      </c>
      <c r="AE396" s="12">
        <v>25.629200000000001</v>
      </c>
      <c r="AF396" s="13">
        <v>42213</v>
      </c>
      <c r="AG396" s="12">
        <v>121.81659999999999</v>
      </c>
    </row>
    <row r="397" spans="30:33" x14ac:dyDescent="0.2">
      <c r="AD397" s="13">
        <v>42214</v>
      </c>
      <c r="AE397" s="12">
        <v>25.593599999999999</v>
      </c>
      <c r="AF397" s="13">
        <v>42214</v>
      </c>
      <c r="AG397" s="12">
        <v>121.7114</v>
      </c>
    </row>
    <row r="398" spans="30:33" x14ac:dyDescent="0.2">
      <c r="AD398" s="13">
        <v>42215</v>
      </c>
      <c r="AE398" s="12">
        <v>25.624199999999998</v>
      </c>
      <c r="AF398" s="13">
        <v>42215</v>
      </c>
      <c r="AG398" s="12">
        <v>121.7745</v>
      </c>
    </row>
    <row r="399" spans="30:33" x14ac:dyDescent="0.2">
      <c r="AD399" s="13">
        <v>42216</v>
      </c>
      <c r="AE399" s="12">
        <v>25.703299999999999</v>
      </c>
      <c r="AF399" s="13">
        <v>42216</v>
      </c>
      <c r="AG399" s="12">
        <v>122.4057</v>
      </c>
    </row>
    <row r="400" spans="30:33" x14ac:dyDescent="0.2">
      <c r="AD400" s="13">
        <v>42219</v>
      </c>
      <c r="AE400" s="12">
        <v>25.764900000000001</v>
      </c>
      <c r="AF400" s="13">
        <v>42219</v>
      </c>
      <c r="AG400" s="12">
        <v>122.6893</v>
      </c>
    </row>
    <row r="401" spans="30:33" x14ac:dyDescent="0.2">
      <c r="AD401" s="13">
        <v>42220</v>
      </c>
      <c r="AE401" s="12">
        <v>25.673200000000001</v>
      </c>
      <c r="AF401" s="13">
        <v>42220</v>
      </c>
      <c r="AG401" s="12">
        <v>122.0668</v>
      </c>
    </row>
    <row r="402" spans="30:33" x14ac:dyDescent="0.2">
      <c r="AD402" s="13">
        <v>42221</v>
      </c>
      <c r="AE402" s="12">
        <v>25.6112</v>
      </c>
      <c r="AF402" s="13">
        <v>42221</v>
      </c>
      <c r="AG402" s="12">
        <v>121.592</v>
      </c>
    </row>
    <row r="403" spans="30:33" x14ac:dyDescent="0.2">
      <c r="AD403" s="13">
        <v>42222</v>
      </c>
      <c r="AE403" s="12">
        <v>25.683399999999999</v>
      </c>
      <c r="AF403" s="13">
        <v>42222</v>
      </c>
      <c r="AG403" s="12">
        <v>121.8241</v>
      </c>
    </row>
    <row r="404" spans="30:33" x14ac:dyDescent="0.2">
      <c r="AD404" s="13">
        <v>42223</v>
      </c>
      <c r="AE404" s="12">
        <v>25.744499999999999</v>
      </c>
      <c r="AF404" s="13">
        <v>42223</v>
      </c>
      <c r="AG404" s="12">
        <v>122.2462</v>
      </c>
    </row>
    <row r="405" spans="30:33" x14ac:dyDescent="0.2">
      <c r="AD405" s="13">
        <v>42226</v>
      </c>
      <c r="AE405" s="12">
        <v>25.673200000000001</v>
      </c>
      <c r="AF405" s="13">
        <v>42226</v>
      </c>
      <c r="AG405" s="12">
        <v>121.7608</v>
      </c>
    </row>
    <row r="406" spans="30:33" x14ac:dyDescent="0.2">
      <c r="AD406" s="13">
        <v>42227</v>
      </c>
      <c r="AE406" s="12">
        <v>25.795400000000001</v>
      </c>
      <c r="AF406" s="13">
        <v>42227</v>
      </c>
      <c r="AG406" s="12">
        <v>122.26730000000001</v>
      </c>
    </row>
    <row r="407" spans="30:33" x14ac:dyDescent="0.2">
      <c r="AD407" s="13">
        <v>42228</v>
      </c>
      <c r="AE407" s="12">
        <v>25.785299999999999</v>
      </c>
      <c r="AF407" s="13">
        <v>42228</v>
      </c>
      <c r="AG407" s="12">
        <v>122.07729999999999</v>
      </c>
    </row>
    <row r="408" spans="30:33" x14ac:dyDescent="0.2">
      <c r="AD408" s="13">
        <v>42229</v>
      </c>
      <c r="AE408" s="12">
        <v>25.744499999999999</v>
      </c>
      <c r="AF408" s="13">
        <v>42229</v>
      </c>
      <c r="AG408" s="12">
        <v>121.6553</v>
      </c>
    </row>
    <row r="409" spans="30:33" x14ac:dyDescent="0.2">
      <c r="AD409" s="13">
        <v>42230</v>
      </c>
      <c r="AE409" s="12">
        <v>25.7241</v>
      </c>
      <c r="AF409" s="13">
        <v>42230</v>
      </c>
      <c r="AG409" s="12">
        <v>121.7714</v>
      </c>
    </row>
    <row r="410" spans="30:33" x14ac:dyDescent="0.2">
      <c r="AD410" s="13">
        <v>42233</v>
      </c>
      <c r="AE410" s="12">
        <v>25.764900000000001</v>
      </c>
      <c r="AF410" s="13">
        <v>42233</v>
      </c>
      <c r="AG410" s="12">
        <v>122.1618</v>
      </c>
    </row>
    <row r="411" spans="30:33" x14ac:dyDescent="0.2">
      <c r="AD411" s="13">
        <v>42234</v>
      </c>
      <c r="AE411" s="12">
        <v>25.7241</v>
      </c>
      <c r="AF411" s="13">
        <v>42234</v>
      </c>
      <c r="AG411" s="12">
        <v>121.69750000000001</v>
      </c>
    </row>
    <row r="412" spans="30:33" x14ac:dyDescent="0.2">
      <c r="AD412" s="13">
        <v>42235</v>
      </c>
      <c r="AE412" s="12">
        <v>25.815799999999999</v>
      </c>
      <c r="AF412" s="13">
        <v>42235</v>
      </c>
      <c r="AG412" s="12">
        <v>122.2884</v>
      </c>
    </row>
    <row r="413" spans="30:33" x14ac:dyDescent="0.2">
      <c r="AD413" s="13">
        <v>42236</v>
      </c>
      <c r="AE413" s="12">
        <v>25.846499999999999</v>
      </c>
      <c r="AF413" s="13">
        <v>42236</v>
      </c>
      <c r="AG413" s="12">
        <v>122.3622</v>
      </c>
    </row>
    <row r="414" spans="30:33" x14ac:dyDescent="0.2">
      <c r="AD414" s="13">
        <v>42237</v>
      </c>
      <c r="AE414" s="12">
        <v>25.9177</v>
      </c>
      <c r="AF414" s="13">
        <v>42237</v>
      </c>
      <c r="AG414" s="12">
        <v>122.3939</v>
      </c>
    </row>
    <row r="415" spans="30:33" x14ac:dyDescent="0.2">
      <c r="AD415" s="13">
        <v>42240</v>
      </c>
      <c r="AE415" s="12">
        <v>25.907499999999999</v>
      </c>
      <c r="AF415" s="13">
        <v>42240</v>
      </c>
      <c r="AG415" s="12">
        <v>122.0562</v>
      </c>
    </row>
    <row r="416" spans="30:33" x14ac:dyDescent="0.2">
      <c r="AD416" s="13">
        <v>42241</v>
      </c>
      <c r="AE416" s="12">
        <v>25.846299999999999</v>
      </c>
      <c r="AF416" s="13">
        <v>42241</v>
      </c>
      <c r="AG416" s="12">
        <v>121.43380000000001</v>
      </c>
    </row>
    <row r="417" spans="30:33" x14ac:dyDescent="0.2">
      <c r="AD417" s="13">
        <v>42242</v>
      </c>
      <c r="AE417" s="12">
        <v>25.703800000000001</v>
      </c>
      <c r="AF417" s="13">
        <v>42242</v>
      </c>
      <c r="AG417" s="12">
        <v>121.3599</v>
      </c>
    </row>
    <row r="418" spans="30:33" x14ac:dyDescent="0.2">
      <c r="AD418" s="13">
        <v>42243</v>
      </c>
      <c r="AE418" s="12">
        <v>25.734300000000001</v>
      </c>
      <c r="AF418" s="13">
        <v>42243</v>
      </c>
      <c r="AG418" s="12">
        <v>121.476</v>
      </c>
    </row>
    <row r="419" spans="30:33" x14ac:dyDescent="0.2">
      <c r="AD419" s="13">
        <v>42244</v>
      </c>
      <c r="AE419" s="12">
        <v>25.6936</v>
      </c>
      <c r="AF419" s="13">
        <v>42244</v>
      </c>
      <c r="AG419" s="12">
        <v>121.69750000000001</v>
      </c>
    </row>
    <row r="420" spans="30:33" x14ac:dyDescent="0.2">
      <c r="AD420" s="13">
        <v>42247</v>
      </c>
      <c r="AE420" s="12">
        <v>25.683399999999999</v>
      </c>
      <c r="AF420" s="13">
        <v>42247</v>
      </c>
      <c r="AG420" s="12">
        <v>121.3916</v>
      </c>
    </row>
    <row r="421" spans="30:33" x14ac:dyDescent="0.2">
      <c r="AD421" s="13">
        <v>42248</v>
      </c>
      <c r="AE421" s="12">
        <v>25.732399999999998</v>
      </c>
      <c r="AF421" s="13">
        <v>42248</v>
      </c>
      <c r="AG421" s="12">
        <v>122.1247</v>
      </c>
    </row>
    <row r="422" spans="30:33" x14ac:dyDescent="0.2">
      <c r="AD422" s="13">
        <v>42249</v>
      </c>
      <c r="AE422" s="12">
        <v>25.701799999999999</v>
      </c>
      <c r="AF422" s="13">
        <v>42249</v>
      </c>
      <c r="AG422" s="12">
        <v>121.9448</v>
      </c>
    </row>
    <row r="423" spans="30:33" x14ac:dyDescent="0.2">
      <c r="AD423" s="13">
        <v>42250</v>
      </c>
      <c r="AE423" s="12">
        <v>25.742599999999999</v>
      </c>
      <c r="AF423" s="13">
        <v>42250</v>
      </c>
      <c r="AG423" s="12">
        <v>122.52679999999999</v>
      </c>
    </row>
    <row r="424" spans="30:33" x14ac:dyDescent="0.2">
      <c r="AD424" s="13">
        <v>42251</v>
      </c>
      <c r="AE424" s="12">
        <v>25.773199999999999</v>
      </c>
      <c r="AF424" s="13">
        <v>42251</v>
      </c>
      <c r="AG424" s="12">
        <v>122.8019</v>
      </c>
    </row>
    <row r="425" spans="30:33" x14ac:dyDescent="0.2">
      <c r="AD425" s="13">
        <v>42255</v>
      </c>
      <c r="AE425" s="12">
        <v>25.6814</v>
      </c>
      <c r="AF425" s="13">
        <v>42255</v>
      </c>
      <c r="AG425" s="12">
        <v>122.23050000000001</v>
      </c>
    </row>
    <row r="426" spans="30:33" x14ac:dyDescent="0.2">
      <c r="AD426" s="13">
        <v>42256</v>
      </c>
      <c r="AE426" s="12">
        <v>25.722200000000001</v>
      </c>
      <c r="AF426" s="13">
        <v>42256</v>
      </c>
      <c r="AG426" s="12">
        <v>122.495</v>
      </c>
    </row>
    <row r="427" spans="30:33" x14ac:dyDescent="0.2">
      <c r="AD427" s="13">
        <v>42257</v>
      </c>
      <c r="AE427" s="12">
        <v>25.691600000000001</v>
      </c>
      <c r="AF427" s="13">
        <v>42257</v>
      </c>
      <c r="AG427" s="12">
        <v>122.2517</v>
      </c>
    </row>
    <row r="428" spans="30:33" x14ac:dyDescent="0.2">
      <c r="AD428" s="13">
        <v>42258</v>
      </c>
      <c r="AE428" s="12">
        <v>25.722200000000001</v>
      </c>
      <c r="AF428" s="13">
        <v>42258</v>
      </c>
      <c r="AG428" s="12">
        <v>122.33629999999999</v>
      </c>
    </row>
    <row r="429" spans="30:33" x14ac:dyDescent="0.2">
      <c r="AD429" s="13">
        <v>42261</v>
      </c>
      <c r="AE429" s="12">
        <v>25.752800000000001</v>
      </c>
      <c r="AF429" s="13">
        <v>42261</v>
      </c>
      <c r="AG429" s="12">
        <v>122.3257</v>
      </c>
    </row>
    <row r="430" spans="30:33" x14ac:dyDescent="0.2">
      <c r="AD430" s="13">
        <v>42262</v>
      </c>
      <c r="AE430" s="12">
        <v>25.589600000000001</v>
      </c>
      <c r="AF430" s="13">
        <v>42262</v>
      </c>
      <c r="AG430" s="12">
        <v>121.40519999999999</v>
      </c>
    </row>
    <row r="431" spans="30:33" x14ac:dyDescent="0.2">
      <c r="AD431" s="13">
        <v>42263</v>
      </c>
      <c r="AE431" s="12">
        <v>25.589600000000001</v>
      </c>
      <c r="AF431" s="13">
        <v>42263</v>
      </c>
      <c r="AG431" s="12">
        <v>121.62739999999999</v>
      </c>
    </row>
    <row r="432" spans="30:33" x14ac:dyDescent="0.2">
      <c r="AD432" s="13">
        <v>42264</v>
      </c>
      <c r="AE432" s="12">
        <v>25.712</v>
      </c>
      <c r="AF432" s="13">
        <v>42264</v>
      </c>
      <c r="AG432" s="12">
        <v>122.6326</v>
      </c>
    </row>
    <row r="433" spans="30:33" x14ac:dyDescent="0.2">
      <c r="AD433" s="13">
        <v>42265</v>
      </c>
      <c r="AE433" s="12">
        <v>25.814</v>
      </c>
      <c r="AF433" s="13">
        <v>42265</v>
      </c>
      <c r="AG433" s="12">
        <v>123.0029</v>
      </c>
    </row>
    <row r="434" spans="30:33" x14ac:dyDescent="0.2">
      <c r="AD434" s="13">
        <v>42268</v>
      </c>
      <c r="AE434" s="12">
        <v>25.712199999999999</v>
      </c>
      <c r="AF434" s="13">
        <v>42268</v>
      </c>
      <c r="AG434" s="12">
        <v>122.37860000000001</v>
      </c>
    </row>
    <row r="435" spans="30:33" x14ac:dyDescent="0.2">
      <c r="AD435" s="13">
        <v>42269</v>
      </c>
      <c r="AE435" s="12">
        <v>25.7834</v>
      </c>
      <c r="AF435" s="13">
        <v>42269</v>
      </c>
      <c r="AG435" s="12">
        <v>122.90770000000001</v>
      </c>
    </row>
    <row r="436" spans="30:33" x14ac:dyDescent="0.2">
      <c r="AD436" s="13">
        <v>42270</v>
      </c>
      <c r="AE436" s="12">
        <v>25.803799999999999</v>
      </c>
      <c r="AF436" s="13">
        <v>42270</v>
      </c>
      <c r="AG436" s="12">
        <v>122.8336</v>
      </c>
    </row>
    <row r="437" spans="30:33" x14ac:dyDescent="0.2">
      <c r="AD437" s="13">
        <v>42271</v>
      </c>
      <c r="AE437" s="12">
        <v>25.824200000000001</v>
      </c>
      <c r="AF437" s="13">
        <v>42271</v>
      </c>
      <c r="AG437" s="12">
        <v>122.8548</v>
      </c>
    </row>
    <row r="438" spans="30:33" x14ac:dyDescent="0.2">
      <c r="AD438" s="13">
        <v>42272</v>
      </c>
      <c r="AE438" s="12">
        <v>25.773199999999999</v>
      </c>
      <c r="AF438" s="13">
        <v>42272</v>
      </c>
      <c r="AG438" s="12">
        <v>122.48439999999999</v>
      </c>
    </row>
    <row r="439" spans="30:33" x14ac:dyDescent="0.2">
      <c r="AD439" s="13">
        <v>42275</v>
      </c>
      <c r="AE439" s="12">
        <v>25.864999999999998</v>
      </c>
      <c r="AF439" s="13">
        <v>42275</v>
      </c>
      <c r="AG439" s="12">
        <v>122.6961</v>
      </c>
    </row>
    <row r="440" spans="30:33" x14ac:dyDescent="0.2">
      <c r="AD440" s="13">
        <v>42276</v>
      </c>
      <c r="AE440" s="12">
        <v>25.936399999999999</v>
      </c>
      <c r="AF440" s="13">
        <v>42276</v>
      </c>
      <c r="AG440" s="12">
        <v>122.8548</v>
      </c>
    </row>
    <row r="441" spans="30:33" x14ac:dyDescent="0.2">
      <c r="AD441" s="13">
        <v>42277</v>
      </c>
      <c r="AE441" s="12">
        <v>25.92</v>
      </c>
      <c r="AF441" s="13">
        <v>42277</v>
      </c>
      <c r="AG441" s="12">
        <v>122.8336</v>
      </c>
    </row>
    <row r="442" spans="30:33" x14ac:dyDescent="0.2">
      <c r="AD442" s="13">
        <v>42278</v>
      </c>
      <c r="AE442" s="12">
        <v>25.955100000000002</v>
      </c>
      <c r="AF442" s="13">
        <v>42278</v>
      </c>
      <c r="AG442" s="12">
        <v>122.8062</v>
      </c>
    </row>
    <row r="443" spans="30:33" x14ac:dyDescent="0.2">
      <c r="AD443" s="13">
        <v>42279</v>
      </c>
      <c r="AE443" s="12">
        <v>26.026599999999998</v>
      </c>
      <c r="AF443" s="13">
        <v>42279</v>
      </c>
      <c r="AG443" s="12">
        <v>123.34739999999999</v>
      </c>
    </row>
    <row r="444" spans="30:33" x14ac:dyDescent="0.2">
      <c r="AD444" s="13">
        <v>42282</v>
      </c>
      <c r="AE444" s="12">
        <v>25.944900000000001</v>
      </c>
      <c r="AF444" s="13">
        <v>42282</v>
      </c>
      <c r="AG444" s="12">
        <v>123.0184</v>
      </c>
    </row>
    <row r="445" spans="30:33" x14ac:dyDescent="0.2">
      <c r="AD445" s="13">
        <v>42283</v>
      </c>
      <c r="AE445" s="12">
        <v>25.965299999999999</v>
      </c>
      <c r="AF445" s="13">
        <v>42283</v>
      </c>
      <c r="AG445" s="12">
        <v>123.2625</v>
      </c>
    </row>
    <row r="446" spans="30:33" x14ac:dyDescent="0.2">
      <c r="AD446" s="13">
        <v>42284</v>
      </c>
      <c r="AE446" s="12">
        <v>25.934699999999999</v>
      </c>
      <c r="AF446" s="13">
        <v>42284</v>
      </c>
      <c r="AG446" s="12">
        <v>123.69759999999999</v>
      </c>
    </row>
    <row r="447" spans="30:33" x14ac:dyDescent="0.2">
      <c r="AD447" s="13">
        <v>42285</v>
      </c>
      <c r="AE447" s="12">
        <v>25.893899999999999</v>
      </c>
      <c r="AF447" s="13">
        <v>42285</v>
      </c>
      <c r="AG447" s="12">
        <v>123.2094</v>
      </c>
    </row>
    <row r="448" spans="30:33" x14ac:dyDescent="0.2">
      <c r="AD448" s="13">
        <v>42286</v>
      </c>
      <c r="AE448" s="12">
        <v>25.863199999999999</v>
      </c>
      <c r="AF448" s="13">
        <v>42286</v>
      </c>
      <c r="AG448" s="12">
        <v>123.2625</v>
      </c>
    </row>
    <row r="449" spans="30:33" x14ac:dyDescent="0.2">
      <c r="AD449" s="13">
        <v>42289</v>
      </c>
      <c r="AE449" s="12">
        <v>25.934699999999999</v>
      </c>
      <c r="AF449" s="13">
        <v>42289</v>
      </c>
      <c r="AG449" s="12">
        <v>123.7612</v>
      </c>
    </row>
    <row r="450" spans="30:33" x14ac:dyDescent="0.2">
      <c r="AD450" s="13">
        <v>42290</v>
      </c>
      <c r="AE450" s="12">
        <v>25.9602</v>
      </c>
      <c r="AF450" s="13">
        <v>42290</v>
      </c>
      <c r="AG450" s="12">
        <v>123.6657</v>
      </c>
    </row>
    <row r="451" spans="30:33" x14ac:dyDescent="0.2">
      <c r="AD451" s="13">
        <v>42291</v>
      </c>
      <c r="AE451" s="12">
        <v>26.057200000000002</v>
      </c>
      <c r="AF451" s="13">
        <v>42291</v>
      </c>
      <c r="AG451" s="12">
        <v>124.1538</v>
      </c>
    </row>
    <row r="452" spans="30:33" x14ac:dyDescent="0.2">
      <c r="AD452" s="13">
        <v>42292</v>
      </c>
      <c r="AE452" s="12">
        <v>25.995999999999999</v>
      </c>
      <c r="AF452" s="13">
        <v>42292</v>
      </c>
      <c r="AG452" s="12">
        <v>124.10080000000001</v>
      </c>
    </row>
    <row r="453" spans="30:33" x14ac:dyDescent="0.2">
      <c r="AD453" s="13">
        <v>42293</v>
      </c>
      <c r="AE453" s="12">
        <v>25.985700000000001</v>
      </c>
      <c r="AF453" s="13">
        <v>42293</v>
      </c>
      <c r="AG453" s="12">
        <v>124.14319999999999</v>
      </c>
    </row>
    <row r="454" spans="30:33" x14ac:dyDescent="0.2">
      <c r="AD454" s="13">
        <v>42296</v>
      </c>
      <c r="AE454" s="12">
        <v>25.9755</v>
      </c>
      <c r="AF454" s="13">
        <v>42296</v>
      </c>
      <c r="AG454" s="12">
        <v>124.1326</v>
      </c>
    </row>
    <row r="455" spans="30:33" x14ac:dyDescent="0.2">
      <c r="AD455" s="13">
        <v>42297</v>
      </c>
      <c r="AE455" s="12">
        <v>25.914300000000001</v>
      </c>
      <c r="AF455" s="13">
        <v>42297</v>
      </c>
      <c r="AG455" s="12">
        <v>123.89919999999999</v>
      </c>
    </row>
    <row r="456" spans="30:33" x14ac:dyDescent="0.2">
      <c r="AD456" s="13">
        <v>42298</v>
      </c>
      <c r="AE456" s="12">
        <v>25.9755</v>
      </c>
      <c r="AF456" s="13">
        <v>42298</v>
      </c>
      <c r="AG456" s="12">
        <v>124.5146</v>
      </c>
    </row>
    <row r="457" spans="30:33" x14ac:dyDescent="0.2">
      <c r="AD457" s="13">
        <v>42299</v>
      </c>
      <c r="AE457" s="12">
        <v>25.982700000000001</v>
      </c>
      <c r="AF457" s="13">
        <v>42299</v>
      </c>
      <c r="AG457" s="12">
        <v>124.7799</v>
      </c>
    </row>
    <row r="458" spans="30:33" x14ac:dyDescent="0.2">
      <c r="AD458" s="13">
        <v>42300</v>
      </c>
      <c r="AE458" s="12">
        <v>25.914300000000001</v>
      </c>
      <c r="AF458" s="13">
        <v>42300</v>
      </c>
      <c r="AG458" s="12">
        <v>124.3236</v>
      </c>
    </row>
    <row r="459" spans="30:33" x14ac:dyDescent="0.2">
      <c r="AD459" s="13">
        <v>42303</v>
      </c>
      <c r="AE459" s="12">
        <v>25.944900000000001</v>
      </c>
      <c r="AF459" s="13">
        <v>42303</v>
      </c>
      <c r="AG459" s="12">
        <v>124.54649999999999</v>
      </c>
    </row>
    <row r="460" spans="30:33" x14ac:dyDescent="0.2">
      <c r="AD460" s="13">
        <v>42304</v>
      </c>
      <c r="AE460" s="12">
        <v>25.985700000000001</v>
      </c>
      <c r="AF460" s="13">
        <v>42304</v>
      </c>
      <c r="AG460" s="12">
        <v>124.5783</v>
      </c>
    </row>
    <row r="461" spans="30:33" x14ac:dyDescent="0.2">
      <c r="AD461" s="13">
        <v>42305</v>
      </c>
      <c r="AE461" s="12">
        <v>25.9041</v>
      </c>
      <c r="AF461" s="13">
        <v>42305</v>
      </c>
      <c r="AG461" s="12">
        <v>124.0902</v>
      </c>
    </row>
    <row r="462" spans="30:33" x14ac:dyDescent="0.2">
      <c r="AD462" s="13">
        <v>42306</v>
      </c>
      <c r="AE462" s="12">
        <v>25.812200000000001</v>
      </c>
      <c r="AF462" s="13">
        <v>42306</v>
      </c>
      <c r="AG462" s="12">
        <v>123.22</v>
      </c>
    </row>
    <row r="463" spans="30:33" x14ac:dyDescent="0.2">
      <c r="AD463" s="13">
        <v>42307</v>
      </c>
      <c r="AE463" s="12">
        <v>25.8428</v>
      </c>
      <c r="AF463" s="13">
        <v>42307</v>
      </c>
      <c r="AG463" s="12">
        <v>123.5384</v>
      </c>
    </row>
    <row r="464" spans="30:33" x14ac:dyDescent="0.2">
      <c r="AD464" s="13">
        <v>42310</v>
      </c>
      <c r="AE464" s="12">
        <v>25.770600000000002</v>
      </c>
      <c r="AF464" s="13">
        <v>42310</v>
      </c>
      <c r="AG464" s="12">
        <v>123.0086</v>
      </c>
    </row>
    <row r="465" spans="30:33" x14ac:dyDescent="0.2">
      <c r="AD465" s="13">
        <v>42311</v>
      </c>
      <c r="AE465" s="12">
        <v>25.739899999999999</v>
      </c>
      <c r="AF465" s="13">
        <v>42311</v>
      </c>
      <c r="AG465" s="12">
        <v>123.0192</v>
      </c>
    </row>
    <row r="466" spans="30:33" x14ac:dyDescent="0.2">
      <c r="AD466" s="13">
        <v>42312</v>
      </c>
      <c r="AE466" s="12">
        <v>25.709199999999999</v>
      </c>
      <c r="AF466" s="13">
        <v>42312</v>
      </c>
      <c r="AG466" s="12">
        <v>122.8809</v>
      </c>
    </row>
    <row r="467" spans="30:33" x14ac:dyDescent="0.2">
      <c r="AD467" s="13">
        <v>42313</v>
      </c>
      <c r="AE467" s="12">
        <v>25.688800000000001</v>
      </c>
      <c r="AF467" s="13">
        <v>42313</v>
      </c>
      <c r="AG467" s="12">
        <v>122.9128</v>
      </c>
    </row>
    <row r="468" spans="30:33" x14ac:dyDescent="0.2">
      <c r="AD468" s="13">
        <v>42314</v>
      </c>
      <c r="AE468" s="12">
        <v>25.555900000000001</v>
      </c>
      <c r="AF468" s="13">
        <v>42314</v>
      </c>
      <c r="AG468" s="12">
        <v>122.1147</v>
      </c>
    </row>
    <row r="469" spans="30:33" x14ac:dyDescent="0.2">
      <c r="AD469" s="13">
        <v>42317</v>
      </c>
      <c r="AE469" s="12">
        <v>25.5457</v>
      </c>
      <c r="AF469" s="13">
        <v>42317</v>
      </c>
      <c r="AG469" s="12">
        <v>121.91249999999999</v>
      </c>
    </row>
    <row r="470" spans="30:33" x14ac:dyDescent="0.2">
      <c r="AD470" s="13">
        <v>42318</v>
      </c>
      <c r="AE470" s="12">
        <v>25.5763</v>
      </c>
      <c r="AF470" s="13">
        <v>42318</v>
      </c>
      <c r="AG470" s="12">
        <v>122.22110000000001</v>
      </c>
    </row>
    <row r="471" spans="30:33" x14ac:dyDescent="0.2">
      <c r="AD471" s="13">
        <v>42319</v>
      </c>
      <c r="AE471" s="12">
        <v>25.525200000000002</v>
      </c>
      <c r="AF471" s="13">
        <v>42319</v>
      </c>
      <c r="AG471" s="12">
        <v>122.2105</v>
      </c>
    </row>
    <row r="472" spans="30:33" x14ac:dyDescent="0.2">
      <c r="AD472" s="13">
        <v>42320</v>
      </c>
      <c r="AE472" s="12">
        <v>25.586600000000001</v>
      </c>
      <c r="AF472" s="13">
        <v>42320</v>
      </c>
      <c r="AG472" s="12">
        <v>122.1679</v>
      </c>
    </row>
    <row r="473" spans="30:33" x14ac:dyDescent="0.2">
      <c r="AD473" s="13">
        <v>42321</v>
      </c>
      <c r="AE473" s="12">
        <v>25.6479</v>
      </c>
      <c r="AF473" s="13">
        <v>42321</v>
      </c>
      <c r="AG473" s="12">
        <v>122.52970000000001</v>
      </c>
    </row>
    <row r="474" spans="30:33" x14ac:dyDescent="0.2">
      <c r="AD474" s="13">
        <v>42324</v>
      </c>
      <c r="AE474" s="12">
        <v>25.658100000000001</v>
      </c>
      <c r="AF474" s="13">
        <v>42324</v>
      </c>
      <c r="AG474" s="12">
        <v>122.551</v>
      </c>
    </row>
    <row r="475" spans="30:33" x14ac:dyDescent="0.2">
      <c r="AD475" s="13">
        <v>42325</v>
      </c>
      <c r="AE475" s="12">
        <v>25.668299999999999</v>
      </c>
      <c r="AF475" s="13">
        <v>42325</v>
      </c>
      <c r="AG475" s="12">
        <v>122.67870000000001</v>
      </c>
    </row>
    <row r="476" spans="30:33" x14ac:dyDescent="0.2">
      <c r="AD476" s="13">
        <v>42326</v>
      </c>
      <c r="AE476" s="12">
        <v>25.658100000000001</v>
      </c>
      <c r="AF476" s="13">
        <v>42326</v>
      </c>
      <c r="AG476" s="12">
        <v>122.7106</v>
      </c>
    </row>
    <row r="477" spans="30:33" x14ac:dyDescent="0.2">
      <c r="AD477" s="13">
        <v>42327</v>
      </c>
      <c r="AE477" s="12">
        <v>25.693899999999999</v>
      </c>
      <c r="AF477" s="13">
        <v>42327</v>
      </c>
      <c r="AG477" s="12">
        <v>123.07250000000001</v>
      </c>
    </row>
    <row r="478" spans="30:33" x14ac:dyDescent="0.2">
      <c r="AD478" s="13">
        <v>42328</v>
      </c>
      <c r="AE478" s="12">
        <v>25.668299999999999</v>
      </c>
      <c r="AF478" s="13">
        <v>42328</v>
      </c>
      <c r="AG478" s="12">
        <v>123.05119999999999</v>
      </c>
    </row>
    <row r="479" spans="30:33" x14ac:dyDescent="0.2">
      <c r="AD479" s="13">
        <v>42331</v>
      </c>
      <c r="AE479" s="12">
        <v>25.688800000000001</v>
      </c>
      <c r="AF479" s="13">
        <v>42331</v>
      </c>
      <c r="AG479" s="12">
        <v>123.0937</v>
      </c>
    </row>
    <row r="480" spans="30:33" x14ac:dyDescent="0.2">
      <c r="AD480" s="13">
        <v>42332</v>
      </c>
      <c r="AE480" s="12">
        <v>25.709199999999999</v>
      </c>
      <c r="AF480" s="13">
        <v>42332</v>
      </c>
      <c r="AG480" s="12">
        <v>123.13630000000001</v>
      </c>
    </row>
    <row r="481" spans="30:33" x14ac:dyDescent="0.2">
      <c r="AD481" s="13">
        <v>42333</v>
      </c>
      <c r="AE481" s="12">
        <v>25.7195</v>
      </c>
      <c r="AF481" s="13">
        <v>42333</v>
      </c>
      <c r="AG481" s="12">
        <v>123.2534</v>
      </c>
    </row>
    <row r="482" spans="30:33" x14ac:dyDescent="0.2">
      <c r="AD482" s="13">
        <v>42335</v>
      </c>
      <c r="AE482" s="12">
        <v>25.688800000000001</v>
      </c>
      <c r="AF482" s="13">
        <v>42335</v>
      </c>
      <c r="AG482" s="12">
        <v>123.2959</v>
      </c>
    </row>
    <row r="483" spans="30:33" x14ac:dyDescent="0.2">
      <c r="AD483" s="13">
        <v>42338</v>
      </c>
      <c r="AE483" s="12">
        <v>25.739899999999999</v>
      </c>
      <c r="AF483" s="13">
        <v>42338</v>
      </c>
      <c r="AG483" s="12">
        <v>123.34910000000001</v>
      </c>
    </row>
    <row r="484" spans="30:33" x14ac:dyDescent="0.2">
      <c r="AD484" s="13">
        <v>42339</v>
      </c>
      <c r="AE484" s="12">
        <v>25.809899999999999</v>
      </c>
      <c r="AF484" s="13">
        <v>42339</v>
      </c>
      <c r="AG484" s="12">
        <v>124.2734</v>
      </c>
    </row>
    <row r="485" spans="30:33" x14ac:dyDescent="0.2">
      <c r="AD485" s="13">
        <v>42340</v>
      </c>
      <c r="AE485" s="12">
        <v>25.799700000000001</v>
      </c>
      <c r="AF485" s="13">
        <v>42340</v>
      </c>
      <c r="AG485" s="12">
        <v>123.9746</v>
      </c>
    </row>
    <row r="486" spans="30:33" x14ac:dyDescent="0.2">
      <c r="AD486" s="13">
        <v>42341</v>
      </c>
      <c r="AE486" s="12">
        <v>25.615500000000001</v>
      </c>
      <c r="AF486" s="13">
        <v>42341</v>
      </c>
      <c r="AG486" s="12">
        <v>122.33110000000001</v>
      </c>
    </row>
    <row r="487" spans="30:33" x14ac:dyDescent="0.2">
      <c r="AD487" s="13">
        <v>42342</v>
      </c>
      <c r="AE487" s="12">
        <v>25.656400000000001</v>
      </c>
      <c r="AF487" s="13">
        <v>42342</v>
      </c>
      <c r="AG487" s="12">
        <v>122.9928</v>
      </c>
    </row>
    <row r="488" spans="30:33" x14ac:dyDescent="0.2">
      <c r="AD488" s="13">
        <v>42345</v>
      </c>
      <c r="AE488" s="12">
        <v>25.7178</v>
      </c>
      <c r="AF488" s="13">
        <v>42345</v>
      </c>
      <c r="AG488" s="12">
        <v>123.2062</v>
      </c>
    </row>
    <row r="489" spans="30:33" x14ac:dyDescent="0.2">
      <c r="AD489" s="13">
        <v>42346</v>
      </c>
      <c r="AE489" s="12">
        <v>25.7485</v>
      </c>
      <c r="AF489" s="13">
        <v>42346</v>
      </c>
      <c r="AG489" s="12">
        <v>123.0462</v>
      </c>
    </row>
    <row r="490" spans="30:33" x14ac:dyDescent="0.2">
      <c r="AD490" s="13">
        <v>42347</v>
      </c>
      <c r="AE490" s="12">
        <v>25.728000000000002</v>
      </c>
      <c r="AF490" s="13">
        <v>42347</v>
      </c>
      <c r="AG490" s="12">
        <v>123.0141</v>
      </c>
    </row>
    <row r="491" spans="30:33" x14ac:dyDescent="0.2">
      <c r="AD491" s="13">
        <v>42348</v>
      </c>
      <c r="AE491" s="12">
        <v>25.728000000000002</v>
      </c>
      <c r="AF491" s="13">
        <v>42348</v>
      </c>
      <c r="AG491" s="12">
        <v>122.726</v>
      </c>
    </row>
    <row r="492" spans="30:33" x14ac:dyDescent="0.2">
      <c r="AD492" s="13">
        <v>42349</v>
      </c>
      <c r="AE492" s="12">
        <v>25.871300000000002</v>
      </c>
      <c r="AF492" s="13">
        <v>42349</v>
      </c>
      <c r="AG492" s="12">
        <v>122.93940000000001</v>
      </c>
    </row>
    <row r="493" spans="30:33" x14ac:dyDescent="0.2">
      <c r="AD493" s="13">
        <v>42352</v>
      </c>
      <c r="AE493" s="12">
        <v>25.738299999999999</v>
      </c>
      <c r="AF493" s="13">
        <v>42352</v>
      </c>
      <c r="AG493" s="12">
        <v>122.03230000000001</v>
      </c>
    </row>
    <row r="494" spans="30:33" x14ac:dyDescent="0.2">
      <c r="AD494" s="13">
        <v>42353</v>
      </c>
      <c r="AE494" s="12">
        <v>25.6769</v>
      </c>
      <c r="AF494" s="13">
        <v>42353</v>
      </c>
      <c r="AG494" s="12">
        <v>122.04300000000001</v>
      </c>
    </row>
    <row r="495" spans="30:33" x14ac:dyDescent="0.2">
      <c r="AD495" s="13">
        <v>42354</v>
      </c>
      <c r="AE495" s="12">
        <v>25.6462</v>
      </c>
      <c r="AF495" s="13">
        <v>42354</v>
      </c>
      <c r="AG495" s="12">
        <v>122.0217</v>
      </c>
    </row>
    <row r="496" spans="30:33" x14ac:dyDescent="0.2">
      <c r="AD496" s="13">
        <v>42355</v>
      </c>
      <c r="AE496" s="12">
        <v>25.728000000000002</v>
      </c>
      <c r="AF496" s="13">
        <v>42355</v>
      </c>
      <c r="AG496" s="12">
        <v>122.1604</v>
      </c>
    </row>
    <row r="497" spans="30:33" x14ac:dyDescent="0.2">
      <c r="AD497" s="13">
        <v>42356</v>
      </c>
      <c r="AE497" s="12">
        <v>25.789400000000001</v>
      </c>
      <c r="AF497" s="13">
        <v>42356</v>
      </c>
      <c r="AG497" s="12">
        <v>122.1604</v>
      </c>
    </row>
    <row r="498" spans="30:33" x14ac:dyDescent="0.2">
      <c r="AD498" s="13">
        <v>42359</v>
      </c>
      <c r="AE498" s="12">
        <v>25.789400000000001</v>
      </c>
      <c r="AF498" s="13">
        <v>42359</v>
      </c>
      <c r="AG498" s="12">
        <v>122.2458</v>
      </c>
    </row>
    <row r="499" spans="30:33" x14ac:dyDescent="0.2">
      <c r="AD499" s="13">
        <v>42360</v>
      </c>
      <c r="AE499" s="12">
        <v>25.738099999999999</v>
      </c>
      <c r="AF499" s="13">
        <v>42360</v>
      </c>
      <c r="AG499" s="12">
        <v>122.0857</v>
      </c>
    </row>
    <row r="500" spans="30:33" x14ac:dyDescent="0.2">
      <c r="AD500" s="13">
        <v>42361</v>
      </c>
      <c r="AE500" s="12">
        <v>25.697299999999998</v>
      </c>
      <c r="AF500" s="13">
        <v>42361</v>
      </c>
      <c r="AG500" s="12">
        <v>122.19240000000001</v>
      </c>
    </row>
    <row r="501" spans="30:33" x14ac:dyDescent="0.2">
      <c r="AD501" s="13">
        <v>42362</v>
      </c>
      <c r="AE501" s="12">
        <v>25.7257</v>
      </c>
      <c r="AF501" s="13">
        <v>42362</v>
      </c>
      <c r="AG501" s="12">
        <v>122.5896</v>
      </c>
    </row>
    <row r="502" spans="30:33" x14ac:dyDescent="0.2">
      <c r="AD502" s="13">
        <v>42366</v>
      </c>
      <c r="AE502" s="12">
        <v>25.746200000000002</v>
      </c>
      <c r="AF502" s="13">
        <v>42366</v>
      </c>
      <c r="AG502" s="12">
        <v>122.43980000000001</v>
      </c>
    </row>
    <row r="503" spans="30:33" x14ac:dyDescent="0.2">
      <c r="AD503" s="13">
        <v>42367</v>
      </c>
      <c r="AE503" s="12">
        <v>25.633500000000002</v>
      </c>
      <c r="AF503" s="13">
        <v>42367</v>
      </c>
      <c r="AG503" s="12">
        <v>121.80840000000001</v>
      </c>
    </row>
    <row r="504" spans="30:33" x14ac:dyDescent="0.2">
      <c r="AD504" s="13">
        <v>42368</v>
      </c>
      <c r="AE504" s="12">
        <v>25.643699999999999</v>
      </c>
      <c r="AF504" s="13">
        <v>42368</v>
      </c>
      <c r="AG504" s="12">
        <v>121.80840000000001</v>
      </c>
    </row>
    <row r="505" spans="30:33" x14ac:dyDescent="0.2">
      <c r="AD505" s="13">
        <v>42369</v>
      </c>
      <c r="AE505" s="12">
        <v>25.674499999999998</v>
      </c>
      <c r="AF505" s="13">
        <v>42369</v>
      </c>
      <c r="AG505" s="12">
        <v>122.0117</v>
      </c>
    </row>
    <row r="506" spans="30:33" x14ac:dyDescent="0.2">
      <c r="AD506" s="13">
        <v>42373</v>
      </c>
      <c r="AE506" s="12">
        <v>25.735900000000001</v>
      </c>
      <c r="AF506" s="13">
        <v>42373</v>
      </c>
      <c r="AG506" s="12">
        <v>121.94750000000001</v>
      </c>
    </row>
    <row r="507" spans="30:33" x14ac:dyDescent="0.2">
      <c r="AD507" s="13">
        <v>42374</v>
      </c>
      <c r="AE507" s="12">
        <v>25.705200000000001</v>
      </c>
      <c r="AF507" s="13">
        <v>42374</v>
      </c>
      <c r="AG507" s="12">
        <v>122.0117</v>
      </c>
    </row>
    <row r="508" spans="30:33" x14ac:dyDescent="0.2">
      <c r="AD508" s="13">
        <v>42375</v>
      </c>
      <c r="AE508" s="12">
        <v>25.807700000000001</v>
      </c>
      <c r="AF508" s="13">
        <v>42375</v>
      </c>
      <c r="AG508" s="12">
        <v>122.4933</v>
      </c>
    </row>
    <row r="509" spans="30:33" x14ac:dyDescent="0.2">
      <c r="AD509" s="13">
        <v>42376</v>
      </c>
      <c r="AE509" s="12">
        <v>25.858899999999998</v>
      </c>
      <c r="AF509" s="13">
        <v>42376</v>
      </c>
      <c r="AG509" s="12">
        <v>122.5896</v>
      </c>
    </row>
    <row r="510" spans="30:33" x14ac:dyDescent="0.2">
      <c r="AD510" s="13">
        <v>42377</v>
      </c>
      <c r="AE510" s="12">
        <v>25.889600000000002</v>
      </c>
      <c r="AF510" s="13">
        <v>42377</v>
      </c>
      <c r="AG510" s="12">
        <v>122.6859</v>
      </c>
    </row>
    <row r="511" spans="30:33" x14ac:dyDescent="0.2">
      <c r="AD511" s="13">
        <v>42380</v>
      </c>
      <c r="AE511" s="12">
        <v>25.848600000000001</v>
      </c>
      <c r="AF511" s="13">
        <v>42380</v>
      </c>
      <c r="AG511" s="12">
        <v>122.29</v>
      </c>
    </row>
    <row r="512" spans="30:33" x14ac:dyDescent="0.2">
      <c r="AD512" s="13">
        <v>42381</v>
      </c>
      <c r="AE512" s="12">
        <v>25.930599999999998</v>
      </c>
      <c r="AF512" s="13">
        <v>42381</v>
      </c>
      <c r="AG512" s="12">
        <v>122.5682</v>
      </c>
    </row>
    <row r="513" spans="30:33" x14ac:dyDescent="0.2">
      <c r="AD513" s="13">
        <v>42382</v>
      </c>
      <c r="AE513" s="12">
        <v>26.002300000000002</v>
      </c>
      <c r="AF513" s="13">
        <v>42382</v>
      </c>
      <c r="AG513" s="12">
        <v>122.94280000000001</v>
      </c>
    </row>
    <row r="514" spans="30:33" x14ac:dyDescent="0.2">
      <c r="AD514" s="13">
        <v>42383</v>
      </c>
      <c r="AE514" s="12">
        <v>25.956199999999999</v>
      </c>
      <c r="AF514" s="13">
        <v>42383</v>
      </c>
      <c r="AG514" s="12">
        <v>122.33280000000001</v>
      </c>
    </row>
    <row r="515" spans="30:33" x14ac:dyDescent="0.2">
      <c r="AD515" s="13">
        <v>42384</v>
      </c>
      <c r="AE515" s="12">
        <v>26.043299999999999</v>
      </c>
      <c r="AF515" s="13">
        <v>42384</v>
      </c>
      <c r="AG515" s="12">
        <v>122.15089999999999</v>
      </c>
    </row>
    <row r="516" spans="30:33" x14ac:dyDescent="0.2">
      <c r="AD516" s="13">
        <v>42388</v>
      </c>
      <c r="AE516" s="12">
        <v>26.033000000000001</v>
      </c>
      <c r="AF516" s="13">
        <v>42388</v>
      </c>
      <c r="AG516" s="12">
        <v>121.60509999999999</v>
      </c>
    </row>
    <row r="517" spans="30:33" x14ac:dyDescent="0.2">
      <c r="AD517" s="13">
        <v>42389</v>
      </c>
      <c r="AE517" s="12">
        <v>26.125299999999999</v>
      </c>
      <c r="AF517" s="13">
        <v>42389</v>
      </c>
      <c r="AG517" s="12">
        <v>121.78700000000001</v>
      </c>
    </row>
    <row r="518" spans="30:33" x14ac:dyDescent="0.2">
      <c r="AD518" s="13">
        <v>42390</v>
      </c>
      <c r="AE518" s="12">
        <v>26.084299999999999</v>
      </c>
      <c r="AF518" s="13">
        <v>42390</v>
      </c>
      <c r="AG518" s="12">
        <v>121.43380000000001</v>
      </c>
    </row>
    <row r="519" spans="30:33" x14ac:dyDescent="0.2">
      <c r="AD519" s="13">
        <v>42391</v>
      </c>
      <c r="AE519" s="12">
        <v>26.0535</v>
      </c>
      <c r="AF519" s="13">
        <v>42391</v>
      </c>
      <c r="AG519" s="12">
        <v>121.5087</v>
      </c>
    </row>
    <row r="520" spans="30:33" x14ac:dyDescent="0.2">
      <c r="AD520" s="13">
        <v>42394</v>
      </c>
      <c r="AE520" s="12">
        <v>26.084299999999999</v>
      </c>
      <c r="AF520" s="13">
        <v>42394</v>
      </c>
      <c r="AG520" s="12">
        <v>121.38030000000001</v>
      </c>
    </row>
    <row r="521" spans="30:33" x14ac:dyDescent="0.2">
      <c r="AD521" s="13">
        <v>42395</v>
      </c>
      <c r="AE521" s="12">
        <v>26.104800000000001</v>
      </c>
      <c r="AF521" s="13">
        <v>42395</v>
      </c>
      <c r="AG521" s="12">
        <v>121.72280000000001</v>
      </c>
    </row>
    <row r="522" spans="30:33" x14ac:dyDescent="0.2">
      <c r="AD522" s="13">
        <v>42396</v>
      </c>
      <c r="AE522" s="12">
        <v>26.0945</v>
      </c>
      <c r="AF522" s="13">
        <v>42396</v>
      </c>
      <c r="AG522" s="12">
        <v>121.39100000000001</v>
      </c>
    </row>
    <row r="523" spans="30:33" x14ac:dyDescent="0.2">
      <c r="AD523" s="13">
        <v>42397</v>
      </c>
      <c r="AE523" s="12">
        <v>26.145700000000001</v>
      </c>
      <c r="AF523" s="13">
        <v>42397</v>
      </c>
      <c r="AG523" s="12">
        <v>121.5301</v>
      </c>
    </row>
    <row r="524" spans="30:33" x14ac:dyDescent="0.2">
      <c r="AD524" s="13">
        <v>42398</v>
      </c>
      <c r="AE524" s="12">
        <v>26.227699999999999</v>
      </c>
      <c r="AF524" s="13">
        <v>42398</v>
      </c>
      <c r="AG524" s="12">
        <v>122.16160000000001</v>
      </c>
    </row>
    <row r="525" spans="30:33" x14ac:dyDescent="0.2">
      <c r="AD525" s="13">
        <v>42401</v>
      </c>
      <c r="AE525" s="12">
        <v>26.166599999999999</v>
      </c>
      <c r="AF525" s="13">
        <v>42401</v>
      </c>
      <c r="AG525" s="12">
        <v>121.7732</v>
      </c>
    </row>
    <row r="526" spans="30:33" x14ac:dyDescent="0.2">
      <c r="AD526" s="13">
        <v>42402</v>
      </c>
      <c r="AE526" s="12">
        <v>26.3307</v>
      </c>
      <c r="AF526" s="13">
        <v>42402</v>
      </c>
      <c r="AG526" s="12">
        <v>121.9987</v>
      </c>
    </row>
    <row r="527" spans="30:33" x14ac:dyDescent="0.2">
      <c r="AD527" s="13">
        <v>42403</v>
      </c>
      <c r="AE527" s="12">
        <v>26.2897</v>
      </c>
      <c r="AF527" s="13">
        <v>42403</v>
      </c>
      <c r="AG527" s="12">
        <v>121.6981</v>
      </c>
    </row>
    <row r="528" spans="30:33" x14ac:dyDescent="0.2">
      <c r="AD528" s="13">
        <v>42404</v>
      </c>
      <c r="AE528" s="12">
        <v>26.341000000000001</v>
      </c>
      <c r="AF528" s="13">
        <v>42404</v>
      </c>
      <c r="AG528" s="12">
        <v>121.7518</v>
      </c>
    </row>
    <row r="529" spans="30:33" x14ac:dyDescent="0.2">
      <c r="AD529" s="13">
        <v>42405</v>
      </c>
      <c r="AE529" s="12">
        <v>26.351199999999999</v>
      </c>
      <c r="AF529" s="13">
        <v>42405</v>
      </c>
      <c r="AG529" s="12">
        <v>121.7303</v>
      </c>
    </row>
    <row r="530" spans="30:33" x14ac:dyDescent="0.2">
      <c r="AD530" s="13">
        <v>42408</v>
      </c>
      <c r="AE530" s="12">
        <v>26.4846</v>
      </c>
      <c r="AF530" s="13">
        <v>42408</v>
      </c>
      <c r="AG530" s="12">
        <v>122.36360000000001</v>
      </c>
    </row>
    <row r="531" spans="30:33" x14ac:dyDescent="0.2">
      <c r="AD531" s="13">
        <v>42409</v>
      </c>
      <c r="AE531" s="12">
        <v>26.4846</v>
      </c>
      <c r="AF531" s="13">
        <v>42409</v>
      </c>
      <c r="AG531" s="12">
        <v>121.94499999999999</v>
      </c>
    </row>
    <row r="532" spans="30:33" x14ac:dyDescent="0.2">
      <c r="AD532" s="13">
        <v>42410</v>
      </c>
      <c r="AE532" s="12">
        <v>26.5564</v>
      </c>
      <c r="AF532" s="13">
        <v>42410</v>
      </c>
      <c r="AG532" s="12">
        <v>122.09529999999999</v>
      </c>
    </row>
    <row r="533" spans="30:33" x14ac:dyDescent="0.2">
      <c r="AD533" s="13">
        <v>42411</v>
      </c>
      <c r="AE533" s="12">
        <v>26.6282</v>
      </c>
      <c r="AF533" s="13">
        <v>42411</v>
      </c>
      <c r="AG533" s="12">
        <v>122.5031</v>
      </c>
    </row>
    <row r="534" spans="30:33" x14ac:dyDescent="0.2">
      <c r="AD534" s="13">
        <v>42412</v>
      </c>
      <c r="AE534" s="12">
        <v>26.4846</v>
      </c>
      <c r="AF534" s="13">
        <v>42412</v>
      </c>
      <c r="AG534" s="12">
        <v>121.81619999999999</v>
      </c>
    </row>
    <row r="535" spans="30:33" x14ac:dyDescent="0.2">
      <c r="AD535" s="13">
        <v>42416</v>
      </c>
      <c r="AE535" s="12">
        <v>26.422999999999998</v>
      </c>
      <c r="AF535" s="13">
        <v>42416</v>
      </c>
      <c r="AG535" s="12">
        <v>121.2366</v>
      </c>
    </row>
    <row r="536" spans="30:33" x14ac:dyDescent="0.2">
      <c r="AD536" s="13">
        <v>42417</v>
      </c>
      <c r="AE536" s="12">
        <v>26.382000000000001</v>
      </c>
      <c r="AF536" s="13">
        <v>42417</v>
      </c>
      <c r="AG536" s="12">
        <v>121.20440000000001</v>
      </c>
    </row>
    <row r="537" spans="30:33" x14ac:dyDescent="0.2">
      <c r="AD537" s="13">
        <v>42418</v>
      </c>
      <c r="AE537" s="12">
        <v>26.464099999999998</v>
      </c>
      <c r="AF537" s="13">
        <v>42418</v>
      </c>
      <c r="AG537" s="12">
        <v>122.1919</v>
      </c>
    </row>
    <row r="538" spans="30:33" x14ac:dyDescent="0.2">
      <c r="AD538" s="13">
        <v>42419</v>
      </c>
      <c r="AE538" s="12">
        <v>26.464099999999998</v>
      </c>
      <c r="AF538" s="13">
        <v>42419</v>
      </c>
      <c r="AG538" s="12">
        <v>122.10599999999999</v>
      </c>
    </row>
    <row r="539" spans="30:33" x14ac:dyDescent="0.2">
      <c r="AD539" s="13">
        <v>42422</v>
      </c>
      <c r="AE539" s="12">
        <v>26.4436</v>
      </c>
      <c r="AF539" s="13">
        <v>42422</v>
      </c>
      <c r="AG539" s="12">
        <v>122.35290000000001</v>
      </c>
    </row>
    <row r="540" spans="30:33" x14ac:dyDescent="0.2">
      <c r="AD540" s="13">
        <v>42423</v>
      </c>
      <c r="AE540" s="12">
        <v>26.4846</v>
      </c>
      <c r="AF540" s="13">
        <v>42423</v>
      </c>
      <c r="AG540" s="12">
        <v>122.5997</v>
      </c>
    </row>
    <row r="541" spans="30:33" x14ac:dyDescent="0.2">
      <c r="AD541" s="13">
        <v>42424</v>
      </c>
      <c r="AE541" s="12">
        <v>26.464099999999998</v>
      </c>
      <c r="AF541" s="13">
        <v>42424</v>
      </c>
      <c r="AG541" s="12">
        <v>122.7178</v>
      </c>
    </row>
    <row r="542" spans="30:33" x14ac:dyDescent="0.2">
      <c r="AD542" s="13">
        <v>42425</v>
      </c>
      <c r="AE542" s="12">
        <v>26.5154</v>
      </c>
      <c r="AF542" s="13">
        <v>42425</v>
      </c>
      <c r="AG542" s="12">
        <v>123.40479999999999</v>
      </c>
    </row>
    <row r="543" spans="30:33" x14ac:dyDescent="0.2">
      <c r="AD543" s="13">
        <v>42426</v>
      </c>
      <c r="AE543" s="12">
        <v>26.422999999999998</v>
      </c>
      <c r="AF543" s="13">
        <v>42426</v>
      </c>
      <c r="AG543" s="12">
        <v>123.3618</v>
      </c>
    </row>
    <row r="544" spans="30:33" x14ac:dyDescent="0.2">
      <c r="AD544" s="13">
        <v>42429</v>
      </c>
      <c r="AE544" s="12">
        <v>26.469200000000001</v>
      </c>
      <c r="AF544" s="13">
        <v>42429</v>
      </c>
      <c r="AG544" s="12">
        <v>123.4477</v>
      </c>
    </row>
    <row r="545" spans="30:33" x14ac:dyDescent="0.2">
      <c r="AD545" s="13">
        <v>42430</v>
      </c>
      <c r="AE545" s="12">
        <v>26.319299999999998</v>
      </c>
      <c r="AF545" s="13">
        <v>42430</v>
      </c>
      <c r="AG545" s="12">
        <v>122.77679999999999</v>
      </c>
    </row>
    <row r="546" spans="30:33" x14ac:dyDescent="0.2">
      <c r="AD546" s="13">
        <v>42431</v>
      </c>
      <c r="AE546" s="12">
        <v>26.309000000000001</v>
      </c>
      <c r="AF546" s="13">
        <v>42431</v>
      </c>
      <c r="AG546" s="12">
        <v>123.0244</v>
      </c>
    </row>
    <row r="547" spans="30:33" x14ac:dyDescent="0.2">
      <c r="AD547" s="13">
        <v>42432</v>
      </c>
      <c r="AE547" s="12">
        <v>26.309000000000001</v>
      </c>
      <c r="AF547" s="13">
        <v>42432</v>
      </c>
      <c r="AG547" s="12">
        <v>123.6058</v>
      </c>
    </row>
    <row r="548" spans="30:33" x14ac:dyDescent="0.2">
      <c r="AD548" s="13">
        <v>42433</v>
      </c>
      <c r="AE548" s="12">
        <v>26.278199999999998</v>
      </c>
      <c r="AF548" s="13">
        <v>42433</v>
      </c>
      <c r="AG548" s="12">
        <v>123.5842</v>
      </c>
    </row>
    <row r="549" spans="30:33" x14ac:dyDescent="0.2">
      <c r="AD549" s="13">
        <v>42436</v>
      </c>
      <c r="AE549" s="12">
        <v>26.226900000000001</v>
      </c>
      <c r="AF549" s="13">
        <v>42436</v>
      </c>
      <c r="AG549" s="12">
        <v>123.7242</v>
      </c>
    </row>
    <row r="550" spans="30:33" x14ac:dyDescent="0.2">
      <c r="AD550" s="13">
        <v>42437</v>
      </c>
      <c r="AE550" s="12">
        <v>26.350100000000001</v>
      </c>
      <c r="AF550" s="13">
        <v>42437</v>
      </c>
      <c r="AG550" s="12">
        <v>124.3809</v>
      </c>
    </row>
    <row r="551" spans="30:33" x14ac:dyDescent="0.2">
      <c r="AD551" s="13">
        <v>42438</v>
      </c>
      <c r="AE551" s="12">
        <v>26.278199999999998</v>
      </c>
      <c r="AF551" s="13">
        <v>42438</v>
      </c>
      <c r="AG551" s="12">
        <v>124.2409</v>
      </c>
    </row>
    <row r="552" spans="30:33" x14ac:dyDescent="0.2">
      <c r="AD552" s="13">
        <v>42439</v>
      </c>
      <c r="AE552" s="12">
        <v>26.226900000000001</v>
      </c>
      <c r="AF552" s="13">
        <v>42439</v>
      </c>
      <c r="AG552" s="12">
        <v>124.7576</v>
      </c>
    </row>
    <row r="553" spans="30:33" x14ac:dyDescent="0.2">
      <c r="AD553" s="13">
        <v>42440</v>
      </c>
      <c r="AE553" s="12">
        <v>26.165299999999998</v>
      </c>
      <c r="AF553" s="13">
        <v>42440</v>
      </c>
      <c r="AG553" s="12">
        <v>125.1129</v>
      </c>
    </row>
    <row r="554" spans="30:33" x14ac:dyDescent="0.2">
      <c r="AD554" s="13">
        <v>42443</v>
      </c>
      <c r="AE554" s="12">
        <v>26.165299999999998</v>
      </c>
      <c r="AF554" s="13">
        <v>42443</v>
      </c>
      <c r="AG554" s="12">
        <v>125.4789</v>
      </c>
    </row>
    <row r="555" spans="30:33" x14ac:dyDescent="0.2">
      <c r="AD555" s="13">
        <v>42444</v>
      </c>
      <c r="AE555" s="12">
        <v>26.1755</v>
      </c>
      <c r="AF555" s="13">
        <v>42444</v>
      </c>
      <c r="AG555" s="12">
        <v>125.4358</v>
      </c>
    </row>
    <row r="556" spans="30:33" x14ac:dyDescent="0.2">
      <c r="AD556" s="13">
        <v>42445</v>
      </c>
      <c r="AE556" s="12">
        <v>26.278199999999998</v>
      </c>
      <c r="AF556" s="13">
        <v>42445</v>
      </c>
      <c r="AG556" s="12">
        <v>126.03870000000001</v>
      </c>
    </row>
    <row r="557" spans="30:33" x14ac:dyDescent="0.2">
      <c r="AD557" s="13">
        <v>42446</v>
      </c>
      <c r="AE557" s="12">
        <v>26.2988</v>
      </c>
      <c r="AF557" s="13">
        <v>42446</v>
      </c>
      <c r="AG557" s="12">
        <v>126.42619999999999</v>
      </c>
    </row>
    <row r="558" spans="30:33" x14ac:dyDescent="0.2">
      <c r="AD558" s="13">
        <v>42447</v>
      </c>
      <c r="AE558" s="12">
        <v>26.3398</v>
      </c>
      <c r="AF558" s="13">
        <v>42447</v>
      </c>
      <c r="AG558" s="12">
        <v>126.7169</v>
      </c>
    </row>
    <row r="559" spans="30:33" x14ac:dyDescent="0.2">
      <c r="AD559" s="13">
        <v>42450</v>
      </c>
      <c r="AE559" s="12">
        <v>26.278199999999998</v>
      </c>
      <c r="AF559" s="13">
        <v>42450</v>
      </c>
      <c r="AG559" s="12">
        <v>126.56619999999999</v>
      </c>
    </row>
    <row r="560" spans="30:33" x14ac:dyDescent="0.2">
      <c r="AD560" s="13">
        <v>42451</v>
      </c>
      <c r="AE560" s="12">
        <v>26.247399999999999</v>
      </c>
      <c r="AF560" s="13">
        <v>42451</v>
      </c>
      <c r="AG560" s="12">
        <v>126.32940000000001</v>
      </c>
    </row>
    <row r="561" spans="30:33" x14ac:dyDescent="0.2">
      <c r="AD561" s="13">
        <v>42452</v>
      </c>
      <c r="AE561" s="12">
        <v>26.344999999999999</v>
      </c>
      <c r="AF561" s="13">
        <v>42452</v>
      </c>
      <c r="AG561" s="12">
        <v>126.9645</v>
      </c>
    </row>
    <row r="562" spans="30:33" x14ac:dyDescent="0.2">
      <c r="AD562" s="13">
        <v>42453</v>
      </c>
      <c r="AE562" s="12">
        <v>26.329599999999999</v>
      </c>
      <c r="AF562" s="13">
        <v>42453</v>
      </c>
      <c r="AG562" s="12">
        <v>126.91070000000001</v>
      </c>
    </row>
    <row r="563" spans="30:33" x14ac:dyDescent="0.2">
      <c r="AD563" s="13">
        <v>42457</v>
      </c>
      <c r="AE563" s="12">
        <v>26.329599999999999</v>
      </c>
      <c r="AF563" s="13">
        <v>42457</v>
      </c>
      <c r="AG563" s="12">
        <v>126.986</v>
      </c>
    </row>
    <row r="564" spans="30:33" x14ac:dyDescent="0.2">
      <c r="AD564" s="13">
        <v>42458</v>
      </c>
      <c r="AE564" s="12">
        <v>26.463100000000001</v>
      </c>
      <c r="AF564" s="13">
        <v>42458</v>
      </c>
      <c r="AG564" s="12">
        <v>127.5566</v>
      </c>
    </row>
    <row r="565" spans="30:33" x14ac:dyDescent="0.2">
      <c r="AD565" s="13">
        <v>42459</v>
      </c>
      <c r="AE565" s="12">
        <v>26.422000000000001</v>
      </c>
      <c r="AF565" s="13">
        <v>42459</v>
      </c>
      <c r="AG565" s="12">
        <v>127.4059</v>
      </c>
    </row>
    <row r="566" spans="30:33" x14ac:dyDescent="0.2">
      <c r="AD566" s="13">
        <v>42460</v>
      </c>
      <c r="AE566" s="12">
        <v>26.4939</v>
      </c>
      <c r="AF566" s="13">
        <v>42460</v>
      </c>
      <c r="AG566" s="12">
        <v>127.9118</v>
      </c>
    </row>
    <row r="567" spans="30:33" x14ac:dyDescent="0.2">
      <c r="AD567" s="13">
        <v>42461</v>
      </c>
      <c r="AE567" s="12">
        <v>26.494199999999999</v>
      </c>
      <c r="AF567" s="13">
        <v>42461</v>
      </c>
      <c r="AG567" s="12">
        <v>128.32329999999999</v>
      </c>
    </row>
    <row r="568" spans="30:33" x14ac:dyDescent="0.2">
      <c r="AD568" s="13">
        <v>42464</v>
      </c>
      <c r="AE568" s="12">
        <v>26.5045</v>
      </c>
      <c r="AF568" s="13">
        <v>42464</v>
      </c>
      <c r="AG568" s="12">
        <v>128.33410000000001</v>
      </c>
    </row>
    <row r="569" spans="30:33" x14ac:dyDescent="0.2">
      <c r="AD569" s="13">
        <v>42465</v>
      </c>
      <c r="AE569" s="12">
        <v>26.607299999999999</v>
      </c>
      <c r="AF569" s="13">
        <v>42465</v>
      </c>
      <c r="AG569" s="12">
        <v>128.74430000000001</v>
      </c>
    </row>
    <row r="570" spans="30:33" x14ac:dyDescent="0.2">
      <c r="AD570" s="13">
        <v>42466</v>
      </c>
      <c r="AE570" s="12">
        <v>26.566199999999998</v>
      </c>
      <c r="AF570" s="13">
        <v>42466</v>
      </c>
      <c r="AG570" s="12">
        <v>128.63640000000001</v>
      </c>
    </row>
    <row r="571" spans="30:33" x14ac:dyDescent="0.2">
      <c r="AD571" s="13">
        <v>42467</v>
      </c>
      <c r="AE571" s="12">
        <v>26.638100000000001</v>
      </c>
      <c r="AF571" s="13">
        <v>42467</v>
      </c>
      <c r="AG571" s="12">
        <v>128.98179999999999</v>
      </c>
    </row>
    <row r="572" spans="30:33" x14ac:dyDescent="0.2">
      <c r="AD572" s="13">
        <v>42468</v>
      </c>
      <c r="AE572" s="12">
        <v>26.617599999999999</v>
      </c>
      <c r="AF572" s="13">
        <v>42468</v>
      </c>
      <c r="AG572" s="12">
        <v>128.69040000000001</v>
      </c>
    </row>
    <row r="573" spans="30:33" x14ac:dyDescent="0.2">
      <c r="AD573" s="13">
        <v>42471</v>
      </c>
      <c r="AE573" s="12">
        <v>26.597000000000001</v>
      </c>
      <c r="AF573" s="13">
        <v>42471</v>
      </c>
      <c r="AG573" s="12">
        <v>128.67959999999999</v>
      </c>
    </row>
    <row r="574" spans="30:33" x14ac:dyDescent="0.2">
      <c r="AD574" s="13">
        <v>42472</v>
      </c>
      <c r="AE574" s="12">
        <v>26.5456</v>
      </c>
      <c r="AF574" s="13">
        <v>42472</v>
      </c>
      <c r="AG574" s="12">
        <v>128.1722</v>
      </c>
    </row>
    <row r="575" spans="30:33" x14ac:dyDescent="0.2">
      <c r="AD575" s="13">
        <v>42473</v>
      </c>
      <c r="AE575" s="12">
        <v>26.524999999999999</v>
      </c>
      <c r="AF575" s="13">
        <v>42473</v>
      </c>
      <c r="AG575" s="12">
        <v>128.6148</v>
      </c>
    </row>
    <row r="576" spans="30:33" x14ac:dyDescent="0.2">
      <c r="AD576" s="13">
        <v>42474</v>
      </c>
      <c r="AE576" s="12">
        <v>26.5045</v>
      </c>
      <c r="AF576" s="13">
        <v>42474</v>
      </c>
      <c r="AG576" s="12">
        <v>128.5284</v>
      </c>
    </row>
    <row r="577" spans="30:33" x14ac:dyDescent="0.2">
      <c r="AD577" s="13">
        <v>42475</v>
      </c>
      <c r="AE577" s="12">
        <v>26.555900000000001</v>
      </c>
      <c r="AF577" s="13">
        <v>42475</v>
      </c>
      <c r="AG577" s="12">
        <v>129.06819999999999</v>
      </c>
    </row>
    <row r="578" spans="30:33" x14ac:dyDescent="0.2">
      <c r="AD578" s="13">
        <v>42478</v>
      </c>
      <c r="AE578" s="12">
        <v>26.524999999999999</v>
      </c>
      <c r="AF578" s="13">
        <v>42478</v>
      </c>
      <c r="AG578" s="12">
        <v>129.20849999999999</v>
      </c>
    </row>
    <row r="579" spans="30:33" x14ac:dyDescent="0.2">
      <c r="AD579" s="13">
        <v>42479</v>
      </c>
      <c r="AE579" s="12">
        <v>26.514800000000001</v>
      </c>
      <c r="AF579" s="13">
        <v>42479</v>
      </c>
      <c r="AG579" s="12">
        <v>129.446</v>
      </c>
    </row>
    <row r="580" spans="30:33" x14ac:dyDescent="0.2">
      <c r="AD580" s="13">
        <v>42480</v>
      </c>
      <c r="AE580" s="12">
        <v>26.432500000000001</v>
      </c>
      <c r="AF580" s="13">
        <v>42480</v>
      </c>
      <c r="AG580" s="12">
        <v>129.0898</v>
      </c>
    </row>
    <row r="581" spans="30:33" x14ac:dyDescent="0.2">
      <c r="AD581" s="13">
        <v>42481</v>
      </c>
      <c r="AE581" s="12">
        <v>26.360499999999998</v>
      </c>
      <c r="AF581" s="13">
        <v>42481</v>
      </c>
      <c r="AG581" s="12">
        <v>129.03579999999999</v>
      </c>
    </row>
    <row r="582" spans="30:33" x14ac:dyDescent="0.2">
      <c r="AD582" s="13">
        <v>42482</v>
      </c>
      <c r="AE582" s="12">
        <v>26.370799999999999</v>
      </c>
      <c r="AF582" s="13">
        <v>42482</v>
      </c>
      <c r="AG582" s="12">
        <v>129.17609999999999</v>
      </c>
    </row>
    <row r="583" spans="30:33" x14ac:dyDescent="0.2">
      <c r="AD583" s="13">
        <v>42485</v>
      </c>
      <c r="AE583" s="12">
        <v>26.329699999999999</v>
      </c>
      <c r="AF583" s="13">
        <v>42485</v>
      </c>
      <c r="AG583" s="12">
        <v>128.87389999999999</v>
      </c>
    </row>
    <row r="584" spans="30:33" x14ac:dyDescent="0.2">
      <c r="AD584" s="13">
        <v>42486</v>
      </c>
      <c r="AE584" s="12">
        <v>26.2989</v>
      </c>
      <c r="AF584" s="13">
        <v>42486</v>
      </c>
      <c r="AG584" s="12">
        <v>128.81989999999999</v>
      </c>
    </row>
    <row r="585" spans="30:33" x14ac:dyDescent="0.2">
      <c r="AD585" s="13">
        <v>42487</v>
      </c>
      <c r="AE585" s="12">
        <v>26.391400000000001</v>
      </c>
      <c r="AF585" s="13">
        <v>42487</v>
      </c>
      <c r="AG585" s="12">
        <v>129.6403</v>
      </c>
    </row>
    <row r="586" spans="30:33" x14ac:dyDescent="0.2">
      <c r="AD586" s="13">
        <v>42488</v>
      </c>
      <c r="AE586" s="12">
        <v>26.453099999999999</v>
      </c>
      <c r="AF586" s="13">
        <v>42488</v>
      </c>
      <c r="AG586" s="12">
        <v>129.75909999999999</v>
      </c>
    </row>
    <row r="587" spans="30:33" x14ac:dyDescent="0.2">
      <c r="AD587" s="13">
        <v>42489</v>
      </c>
      <c r="AE587" s="12">
        <v>26.432500000000001</v>
      </c>
      <c r="AF587" s="13">
        <v>42489</v>
      </c>
      <c r="AG587" s="12">
        <v>129.89940000000001</v>
      </c>
    </row>
    <row r="588" spans="30:33" x14ac:dyDescent="0.2">
      <c r="AD588" s="13">
        <v>42492</v>
      </c>
      <c r="AE588" s="12">
        <v>26.391300000000001</v>
      </c>
      <c r="AF588" s="13">
        <v>42492</v>
      </c>
      <c r="AG588" s="12">
        <v>129.73169999999999</v>
      </c>
    </row>
    <row r="589" spans="30:33" x14ac:dyDescent="0.2">
      <c r="AD589" s="13">
        <v>42493</v>
      </c>
      <c r="AE589" s="12">
        <v>26.494199999999999</v>
      </c>
      <c r="AF589" s="13">
        <v>42493</v>
      </c>
      <c r="AG589" s="12">
        <v>129.95910000000001</v>
      </c>
    </row>
    <row r="590" spans="30:33" x14ac:dyDescent="0.2">
      <c r="AD590" s="13">
        <v>42494</v>
      </c>
      <c r="AE590" s="12">
        <v>26.5457</v>
      </c>
      <c r="AF590" s="13">
        <v>42494</v>
      </c>
      <c r="AG590" s="12">
        <v>129.74260000000001</v>
      </c>
    </row>
    <row r="591" spans="30:33" x14ac:dyDescent="0.2">
      <c r="AD591" s="13">
        <v>42495</v>
      </c>
      <c r="AE591" s="12">
        <v>26.576599999999999</v>
      </c>
      <c r="AF591" s="13">
        <v>42495</v>
      </c>
      <c r="AG591" s="12">
        <v>130.00239999999999</v>
      </c>
    </row>
    <row r="592" spans="30:33" x14ac:dyDescent="0.2">
      <c r="AD592" s="13">
        <v>42496</v>
      </c>
      <c r="AE592" s="12">
        <v>26.525099999999998</v>
      </c>
      <c r="AF592" s="13">
        <v>42496</v>
      </c>
      <c r="AG592" s="12">
        <v>129.7209</v>
      </c>
    </row>
    <row r="593" spans="30:33" x14ac:dyDescent="0.2">
      <c r="AD593" s="13">
        <v>42499</v>
      </c>
      <c r="AE593" s="12">
        <v>26.5869</v>
      </c>
      <c r="AF593" s="13">
        <v>42499</v>
      </c>
      <c r="AG593" s="12">
        <v>129.59100000000001</v>
      </c>
    </row>
    <row r="594" spans="30:33" x14ac:dyDescent="0.2">
      <c r="AD594" s="13">
        <v>42500</v>
      </c>
      <c r="AE594" s="12">
        <v>26.5869</v>
      </c>
      <c r="AF594" s="13">
        <v>42500</v>
      </c>
      <c r="AG594" s="12">
        <v>129.8075</v>
      </c>
    </row>
    <row r="595" spans="30:33" x14ac:dyDescent="0.2">
      <c r="AD595" s="13">
        <v>42501</v>
      </c>
      <c r="AE595" s="12">
        <v>26.607500000000002</v>
      </c>
      <c r="AF595" s="13">
        <v>42501</v>
      </c>
      <c r="AG595" s="12">
        <v>129.94820000000001</v>
      </c>
    </row>
    <row r="596" spans="30:33" x14ac:dyDescent="0.2">
      <c r="AD596" s="13">
        <v>42502</v>
      </c>
      <c r="AE596" s="12">
        <v>26.566299999999998</v>
      </c>
      <c r="AF596" s="13">
        <v>42502</v>
      </c>
      <c r="AG596" s="12">
        <v>129.67760000000001</v>
      </c>
    </row>
    <row r="597" spans="30:33" x14ac:dyDescent="0.2">
      <c r="AD597" s="13">
        <v>42503</v>
      </c>
      <c r="AE597" s="12">
        <v>26.638300000000001</v>
      </c>
      <c r="AF597" s="13">
        <v>42503</v>
      </c>
      <c r="AG597" s="12">
        <v>129.91579999999999</v>
      </c>
    </row>
    <row r="598" spans="30:33" x14ac:dyDescent="0.2">
      <c r="AD598" s="13">
        <v>42506</v>
      </c>
      <c r="AE598" s="12">
        <v>26.566299999999998</v>
      </c>
      <c r="AF598" s="13">
        <v>42506</v>
      </c>
      <c r="AG598" s="12">
        <v>129.4828</v>
      </c>
    </row>
    <row r="599" spans="30:33" x14ac:dyDescent="0.2">
      <c r="AD599" s="13">
        <v>42507</v>
      </c>
      <c r="AE599" s="12">
        <v>26.5457</v>
      </c>
      <c r="AF599" s="13">
        <v>42507</v>
      </c>
      <c r="AG599" s="12">
        <v>129.43950000000001</v>
      </c>
    </row>
    <row r="600" spans="30:33" x14ac:dyDescent="0.2">
      <c r="AD600" s="13">
        <v>42508</v>
      </c>
      <c r="AE600" s="12">
        <v>26.401599999999998</v>
      </c>
      <c r="AF600" s="13">
        <v>42508</v>
      </c>
      <c r="AG600" s="12">
        <v>128.33539999999999</v>
      </c>
    </row>
    <row r="601" spans="30:33" x14ac:dyDescent="0.2">
      <c r="AD601" s="13">
        <v>42509</v>
      </c>
      <c r="AE601" s="12">
        <v>26.432500000000001</v>
      </c>
      <c r="AF601" s="13">
        <v>42509</v>
      </c>
      <c r="AG601" s="12">
        <v>128.63849999999999</v>
      </c>
    </row>
    <row r="602" spans="30:33" x14ac:dyDescent="0.2">
      <c r="AD602" s="13">
        <v>42510</v>
      </c>
      <c r="AE602" s="12">
        <v>26.447900000000001</v>
      </c>
      <c r="AF602" s="13">
        <v>42510</v>
      </c>
      <c r="AG602" s="12">
        <v>128.7251</v>
      </c>
    </row>
    <row r="603" spans="30:33" x14ac:dyDescent="0.2">
      <c r="AD603" s="13">
        <v>42513</v>
      </c>
      <c r="AE603" s="12">
        <v>26.442799999999998</v>
      </c>
      <c r="AF603" s="13">
        <v>42513</v>
      </c>
      <c r="AG603" s="12">
        <v>128.7251</v>
      </c>
    </row>
    <row r="604" spans="30:33" x14ac:dyDescent="0.2">
      <c r="AD604" s="13">
        <v>42514</v>
      </c>
      <c r="AE604" s="12">
        <v>26.401599999999998</v>
      </c>
      <c r="AF604" s="13">
        <v>42514</v>
      </c>
      <c r="AG604" s="12">
        <v>128.5086</v>
      </c>
    </row>
    <row r="605" spans="30:33" x14ac:dyDescent="0.2">
      <c r="AD605" s="13">
        <v>42515</v>
      </c>
      <c r="AE605" s="12">
        <v>26.381</v>
      </c>
      <c r="AF605" s="13">
        <v>42515</v>
      </c>
      <c r="AG605" s="12">
        <v>128.73589999999999</v>
      </c>
    </row>
    <row r="606" spans="30:33" x14ac:dyDescent="0.2">
      <c r="AD606" s="13">
        <v>42516</v>
      </c>
      <c r="AE606" s="12">
        <v>26.458200000000001</v>
      </c>
      <c r="AF606" s="13">
        <v>42516</v>
      </c>
      <c r="AG606" s="12">
        <v>129.10390000000001</v>
      </c>
    </row>
    <row r="607" spans="30:33" x14ac:dyDescent="0.2">
      <c r="AD607" s="13">
        <v>42517</v>
      </c>
      <c r="AE607" s="12">
        <v>26.4222</v>
      </c>
      <c r="AF607" s="13">
        <v>42517</v>
      </c>
      <c r="AG607" s="12">
        <v>129.00649999999999</v>
      </c>
    </row>
    <row r="608" spans="30:33" x14ac:dyDescent="0.2">
      <c r="AD608" s="13">
        <v>42521</v>
      </c>
      <c r="AE608" s="12">
        <v>26.458200000000001</v>
      </c>
      <c r="AF608" s="13">
        <v>42521</v>
      </c>
      <c r="AG608" s="12">
        <v>129.2338</v>
      </c>
    </row>
    <row r="609" spans="30:33" x14ac:dyDescent="0.2">
      <c r="AD609" s="13">
        <v>42522</v>
      </c>
      <c r="AE609" s="12">
        <v>26.444600000000001</v>
      </c>
      <c r="AF609" s="13">
        <v>42522</v>
      </c>
      <c r="AG609" s="12">
        <v>129.32490000000001</v>
      </c>
    </row>
    <row r="610" spans="30:33" x14ac:dyDescent="0.2">
      <c r="AD610" s="13">
        <v>42523</v>
      </c>
      <c r="AE610" s="12">
        <v>26.5168</v>
      </c>
      <c r="AF610" s="13">
        <v>42523</v>
      </c>
      <c r="AG610" s="12">
        <v>129.58539999999999</v>
      </c>
    </row>
    <row r="611" spans="30:33" x14ac:dyDescent="0.2">
      <c r="AD611" s="13">
        <v>42524</v>
      </c>
      <c r="AE611" s="12">
        <v>26.681699999999999</v>
      </c>
      <c r="AF611" s="13">
        <v>42524</v>
      </c>
      <c r="AG611" s="12">
        <v>130.6275</v>
      </c>
    </row>
    <row r="612" spans="30:33" x14ac:dyDescent="0.2">
      <c r="AD612" s="13">
        <v>42527</v>
      </c>
      <c r="AE612" s="12">
        <v>26.630099999999999</v>
      </c>
      <c r="AF612" s="13">
        <v>42527</v>
      </c>
      <c r="AG612" s="12">
        <v>130.31270000000001</v>
      </c>
    </row>
    <row r="613" spans="30:33" x14ac:dyDescent="0.2">
      <c r="AD613" s="13">
        <v>42528</v>
      </c>
      <c r="AE613" s="12">
        <v>26.650700000000001</v>
      </c>
      <c r="AF613" s="13">
        <v>42528</v>
      </c>
      <c r="AG613" s="12">
        <v>130.50810000000001</v>
      </c>
    </row>
    <row r="614" spans="30:33" x14ac:dyDescent="0.2">
      <c r="AD614" s="13">
        <v>42529</v>
      </c>
      <c r="AE614" s="12">
        <v>26.681699999999999</v>
      </c>
      <c r="AF614" s="13">
        <v>42529</v>
      </c>
      <c r="AG614" s="12">
        <v>130.94229999999999</v>
      </c>
    </row>
    <row r="615" spans="30:33" x14ac:dyDescent="0.2">
      <c r="AD615" s="13">
        <v>42530</v>
      </c>
      <c r="AE615" s="12">
        <v>26.712599999999998</v>
      </c>
      <c r="AF615" s="13">
        <v>42530</v>
      </c>
      <c r="AG615" s="12">
        <v>131.1268</v>
      </c>
    </row>
    <row r="616" spans="30:33" x14ac:dyDescent="0.2">
      <c r="AD616" s="13">
        <v>42531</v>
      </c>
      <c r="AE616" s="12">
        <v>26.784700000000001</v>
      </c>
      <c r="AF616" s="13">
        <v>42531</v>
      </c>
      <c r="AG616" s="12">
        <v>131.27879999999999</v>
      </c>
    </row>
    <row r="617" spans="30:33" x14ac:dyDescent="0.2">
      <c r="AD617" s="13">
        <v>42534</v>
      </c>
      <c r="AE617" s="12">
        <v>26.825900000000001</v>
      </c>
      <c r="AF617" s="13">
        <v>42534</v>
      </c>
      <c r="AG617" s="12">
        <v>131.08340000000001</v>
      </c>
    </row>
    <row r="618" spans="30:33" x14ac:dyDescent="0.2">
      <c r="AD618" s="13">
        <v>42535</v>
      </c>
      <c r="AE618" s="12">
        <v>26.8156</v>
      </c>
      <c r="AF618" s="13">
        <v>42535</v>
      </c>
      <c r="AG618" s="12">
        <v>130.7903</v>
      </c>
    </row>
    <row r="619" spans="30:33" x14ac:dyDescent="0.2">
      <c r="AD619" s="13">
        <v>42536</v>
      </c>
      <c r="AE619" s="12">
        <v>26.8672</v>
      </c>
      <c r="AF619" s="13">
        <v>42536</v>
      </c>
      <c r="AG619" s="12">
        <v>131.27879999999999</v>
      </c>
    </row>
    <row r="620" spans="30:33" x14ac:dyDescent="0.2">
      <c r="AD620" s="13">
        <v>42537</v>
      </c>
      <c r="AE620" s="12">
        <v>26.887799999999999</v>
      </c>
      <c r="AF620" s="13">
        <v>42537</v>
      </c>
      <c r="AG620" s="12">
        <v>131.4742</v>
      </c>
    </row>
    <row r="621" spans="30:33" x14ac:dyDescent="0.2">
      <c r="AD621" s="13">
        <v>42538</v>
      </c>
      <c r="AE621" s="12">
        <v>26.8569</v>
      </c>
      <c r="AF621" s="13">
        <v>42538</v>
      </c>
      <c r="AG621" s="12">
        <v>131.08340000000001</v>
      </c>
    </row>
    <row r="622" spans="30:33" x14ac:dyDescent="0.2">
      <c r="AD622" s="13">
        <v>42541</v>
      </c>
      <c r="AE622" s="12">
        <v>26.764099999999999</v>
      </c>
      <c r="AF622" s="13">
        <v>42541</v>
      </c>
      <c r="AG622" s="12">
        <v>130.92060000000001</v>
      </c>
    </row>
    <row r="623" spans="30:33" x14ac:dyDescent="0.2">
      <c r="AD623" s="13">
        <v>42542</v>
      </c>
      <c r="AE623" s="12">
        <v>26.722899999999999</v>
      </c>
      <c r="AF623" s="13">
        <v>42542</v>
      </c>
      <c r="AG623" s="12">
        <v>130.80119999999999</v>
      </c>
    </row>
    <row r="624" spans="30:33" x14ac:dyDescent="0.2">
      <c r="AD624" s="13">
        <v>42543</v>
      </c>
      <c r="AE624" s="12">
        <v>26.753799999999998</v>
      </c>
      <c r="AF624" s="13">
        <v>42543</v>
      </c>
      <c r="AG624" s="12">
        <v>131.04</v>
      </c>
    </row>
    <row r="625" spans="30:33" x14ac:dyDescent="0.2">
      <c r="AD625" s="13">
        <v>42544</v>
      </c>
      <c r="AE625" s="12">
        <v>26.661000000000001</v>
      </c>
      <c r="AF625" s="13">
        <v>42544</v>
      </c>
      <c r="AG625" s="12">
        <v>130.90969999999999</v>
      </c>
    </row>
    <row r="626" spans="30:33" x14ac:dyDescent="0.2">
      <c r="AD626" s="13">
        <v>42545</v>
      </c>
      <c r="AE626" s="12">
        <v>26.9084</v>
      </c>
      <c r="AF626" s="13">
        <v>42545</v>
      </c>
      <c r="AG626" s="12">
        <v>131.5284</v>
      </c>
    </row>
    <row r="627" spans="30:33" x14ac:dyDescent="0.2">
      <c r="AD627" s="13">
        <v>42548</v>
      </c>
      <c r="AE627" s="12">
        <v>27.083600000000001</v>
      </c>
      <c r="AF627" s="13">
        <v>42548</v>
      </c>
      <c r="AG627" s="12">
        <v>132.08199999999999</v>
      </c>
    </row>
    <row r="628" spans="30:33" x14ac:dyDescent="0.2">
      <c r="AD628" s="13">
        <v>42549</v>
      </c>
      <c r="AE628" s="12">
        <v>27.0733</v>
      </c>
      <c r="AF628" s="13">
        <v>42549</v>
      </c>
      <c r="AG628" s="12">
        <v>132.80930000000001</v>
      </c>
    </row>
    <row r="629" spans="30:33" x14ac:dyDescent="0.2">
      <c r="AD629" s="13">
        <v>42550</v>
      </c>
      <c r="AE629" s="12">
        <v>27.021699999999999</v>
      </c>
      <c r="AF629" s="13">
        <v>42550</v>
      </c>
      <c r="AG629" s="12">
        <v>132.76589999999999</v>
      </c>
    </row>
    <row r="630" spans="30:33" x14ac:dyDescent="0.2">
      <c r="AD630" s="13">
        <v>42551</v>
      </c>
      <c r="AE630" s="12">
        <v>27.042400000000001</v>
      </c>
      <c r="AF630" s="13">
        <v>42551</v>
      </c>
      <c r="AG630" s="12">
        <v>133.22720000000001</v>
      </c>
    </row>
    <row r="631" spans="30:33" x14ac:dyDescent="0.2">
      <c r="AD631" s="13">
        <v>42552</v>
      </c>
      <c r="AE631" s="12">
        <v>27.134899999999998</v>
      </c>
      <c r="AF631" s="13">
        <v>42552</v>
      </c>
      <c r="AG631" s="12">
        <v>133.9289</v>
      </c>
    </row>
    <row r="632" spans="30:33" x14ac:dyDescent="0.2">
      <c r="AD632" s="13">
        <v>42556</v>
      </c>
      <c r="AE632" s="12">
        <v>27.2484</v>
      </c>
      <c r="AF632" s="13">
        <v>42556</v>
      </c>
      <c r="AG632" s="12">
        <v>134.3861</v>
      </c>
    </row>
    <row r="633" spans="30:33" x14ac:dyDescent="0.2">
      <c r="AD633" s="13">
        <v>42557</v>
      </c>
      <c r="AE633" s="12">
        <v>27.2484</v>
      </c>
      <c r="AF633" s="13">
        <v>42557</v>
      </c>
      <c r="AG633" s="12">
        <v>134.62549999999999</v>
      </c>
    </row>
    <row r="634" spans="30:33" x14ac:dyDescent="0.2">
      <c r="AD634" s="13">
        <v>42558</v>
      </c>
      <c r="AE634" s="12">
        <v>27.217400000000001</v>
      </c>
      <c r="AF634" s="13">
        <v>42558</v>
      </c>
      <c r="AG634" s="12">
        <v>134.6473</v>
      </c>
    </row>
    <row r="635" spans="30:33" x14ac:dyDescent="0.2">
      <c r="AD635" s="13">
        <v>42559</v>
      </c>
      <c r="AE635" s="12">
        <v>27.268999999999998</v>
      </c>
      <c r="AF635" s="13">
        <v>42559</v>
      </c>
      <c r="AG635" s="12">
        <v>135.39830000000001</v>
      </c>
    </row>
    <row r="636" spans="30:33" x14ac:dyDescent="0.2">
      <c r="AD636" s="13">
        <v>42562</v>
      </c>
      <c r="AE636" s="12">
        <v>27.186499999999999</v>
      </c>
      <c r="AF636" s="13">
        <v>42562</v>
      </c>
      <c r="AG636" s="12">
        <v>135.05000000000001</v>
      </c>
    </row>
    <row r="637" spans="30:33" x14ac:dyDescent="0.2">
      <c r="AD637" s="13">
        <v>42563</v>
      </c>
      <c r="AE637" s="12">
        <v>27.0626</v>
      </c>
      <c r="AF637" s="13">
        <v>42563</v>
      </c>
      <c r="AG637" s="12">
        <v>134.28809999999999</v>
      </c>
    </row>
    <row r="638" spans="30:33" x14ac:dyDescent="0.2">
      <c r="AD638" s="13">
        <v>42564</v>
      </c>
      <c r="AE638" s="12">
        <v>27.124500000000001</v>
      </c>
      <c r="AF638" s="13">
        <v>42564</v>
      </c>
      <c r="AG638" s="12">
        <v>134.81059999999999</v>
      </c>
    </row>
    <row r="639" spans="30:33" x14ac:dyDescent="0.2">
      <c r="AD639" s="13">
        <v>42565</v>
      </c>
      <c r="AE639" s="12">
        <v>27.031700000000001</v>
      </c>
      <c r="AF639" s="13">
        <v>42565</v>
      </c>
      <c r="AG639" s="12">
        <v>134.48400000000001</v>
      </c>
    </row>
    <row r="640" spans="30:33" x14ac:dyDescent="0.2">
      <c r="AD640" s="13">
        <v>42566</v>
      </c>
      <c r="AE640" s="12">
        <v>26.959499999999998</v>
      </c>
      <c r="AF640" s="13">
        <v>42566</v>
      </c>
      <c r="AG640" s="12">
        <v>133.9725</v>
      </c>
    </row>
    <row r="641" spans="30:33" x14ac:dyDescent="0.2">
      <c r="AD641" s="13">
        <v>42569</v>
      </c>
      <c r="AE641" s="12">
        <v>26.959499999999998</v>
      </c>
      <c r="AF641" s="13">
        <v>42569</v>
      </c>
      <c r="AG641" s="12">
        <v>133.9725</v>
      </c>
    </row>
    <row r="642" spans="30:33" x14ac:dyDescent="0.2">
      <c r="AD642" s="13">
        <v>42570</v>
      </c>
      <c r="AE642" s="12">
        <v>27.000699999999998</v>
      </c>
      <c r="AF642" s="13">
        <v>42570</v>
      </c>
      <c r="AG642" s="12">
        <v>134.21190000000001</v>
      </c>
    </row>
    <row r="643" spans="30:33" x14ac:dyDescent="0.2">
      <c r="AD643" s="13">
        <v>42571</v>
      </c>
      <c r="AE643" s="12">
        <v>26.938800000000001</v>
      </c>
      <c r="AF643" s="13">
        <v>42571</v>
      </c>
      <c r="AG643" s="12">
        <v>134.16839999999999</v>
      </c>
    </row>
    <row r="644" spans="30:33" x14ac:dyDescent="0.2">
      <c r="AD644" s="13">
        <v>42572</v>
      </c>
      <c r="AE644" s="12">
        <v>26.990400000000001</v>
      </c>
      <c r="AF644" s="13">
        <v>42572</v>
      </c>
      <c r="AG644" s="12">
        <v>134.32079999999999</v>
      </c>
    </row>
    <row r="645" spans="30:33" x14ac:dyDescent="0.2">
      <c r="AD645" s="13">
        <v>42573</v>
      </c>
      <c r="AE645" s="12">
        <v>26.969799999999999</v>
      </c>
      <c r="AF645" s="13">
        <v>42573</v>
      </c>
      <c r="AG645" s="12">
        <v>134.24459999999999</v>
      </c>
    </row>
    <row r="646" spans="30:33" x14ac:dyDescent="0.2">
      <c r="AD646" s="13">
        <v>42576</v>
      </c>
      <c r="AE646" s="12">
        <v>26.969799999999999</v>
      </c>
      <c r="AF646" s="13">
        <v>42576</v>
      </c>
      <c r="AG646" s="12">
        <v>134.16839999999999</v>
      </c>
    </row>
    <row r="647" spans="30:33" x14ac:dyDescent="0.2">
      <c r="AD647" s="13">
        <v>42577</v>
      </c>
      <c r="AE647" s="12">
        <v>26.9801</v>
      </c>
      <c r="AF647" s="13">
        <v>42577</v>
      </c>
      <c r="AG647" s="12">
        <v>134.0378</v>
      </c>
    </row>
    <row r="648" spans="30:33" x14ac:dyDescent="0.2">
      <c r="AD648" s="13">
        <v>42578</v>
      </c>
      <c r="AE648" s="12">
        <v>27.0626</v>
      </c>
      <c r="AF648" s="13">
        <v>42578</v>
      </c>
      <c r="AG648" s="12">
        <v>134.59289999999999</v>
      </c>
    </row>
    <row r="649" spans="30:33" x14ac:dyDescent="0.2">
      <c r="AD649" s="13">
        <v>42579</v>
      </c>
      <c r="AE649" s="12">
        <v>27.0626</v>
      </c>
      <c r="AF649" s="13">
        <v>42579</v>
      </c>
      <c r="AG649" s="12">
        <v>134.4623</v>
      </c>
    </row>
    <row r="650" spans="30:33" x14ac:dyDescent="0.2">
      <c r="AD650" s="13">
        <v>42580</v>
      </c>
      <c r="AE650" s="12">
        <v>27.165800000000001</v>
      </c>
      <c r="AF650" s="13">
        <v>42580</v>
      </c>
      <c r="AG650" s="12">
        <v>134.952</v>
      </c>
    </row>
    <row r="651" spans="30:33" x14ac:dyDescent="0.2">
      <c r="AD651" s="13">
        <v>42583</v>
      </c>
      <c r="AE651" s="12">
        <v>27.072800000000001</v>
      </c>
      <c r="AF651" s="13">
        <v>42583</v>
      </c>
      <c r="AG651" s="12">
        <v>134.19309999999999</v>
      </c>
    </row>
    <row r="652" spans="30:33" x14ac:dyDescent="0.2">
      <c r="AD652" s="13">
        <v>42584</v>
      </c>
      <c r="AE652" s="12">
        <v>27.021100000000001</v>
      </c>
      <c r="AF652" s="13">
        <v>42584</v>
      </c>
      <c r="AG652" s="12">
        <v>133.4401</v>
      </c>
    </row>
    <row r="653" spans="30:33" x14ac:dyDescent="0.2">
      <c r="AD653" s="13">
        <v>42585</v>
      </c>
      <c r="AE653" s="12">
        <v>27.041799999999999</v>
      </c>
      <c r="AF653" s="13">
        <v>42585</v>
      </c>
      <c r="AG653" s="12">
        <v>133.6147</v>
      </c>
    </row>
    <row r="654" spans="30:33" x14ac:dyDescent="0.2">
      <c r="AD654" s="13">
        <v>42586</v>
      </c>
      <c r="AE654" s="12">
        <v>27.093399999999999</v>
      </c>
      <c r="AF654" s="13">
        <v>42586</v>
      </c>
      <c r="AG654" s="12">
        <v>134.18219999999999</v>
      </c>
    </row>
    <row r="655" spans="30:33" x14ac:dyDescent="0.2">
      <c r="AD655" s="13">
        <v>42587</v>
      </c>
      <c r="AE655" s="12">
        <v>26.9695</v>
      </c>
      <c r="AF655" s="13">
        <v>42587</v>
      </c>
      <c r="AG655" s="12">
        <v>133.63659999999999</v>
      </c>
    </row>
    <row r="656" spans="30:33" x14ac:dyDescent="0.2">
      <c r="AD656" s="13">
        <v>42590</v>
      </c>
      <c r="AE656" s="12">
        <v>26.9695</v>
      </c>
      <c r="AF656" s="13">
        <v>42590</v>
      </c>
      <c r="AG656" s="12">
        <v>133.72389999999999</v>
      </c>
    </row>
    <row r="657" spans="30:33" x14ac:dyDescent="0.2">
      <c r="AD657" s="13">
        <v>42591</v>
      </c>
      <c r="AE657" s="12">
        <v>27.041799999999999</v>
      </c>
      <c r="AF657" s="13">
        <v>42591</v>
      </c>
      <c r="AG657" s="12">
        <v>134.50960000000001</v>
      </c>
    </row>
    <row r="658" spans="30:33" x14ac:dyDescent="0.2">
      <c r="AD658" s="13">
        <v>42592</v>
      </c>
      <c r="AE658" s="12">
        <v>27.093399999999999</v>
      </c>
      <c r="AF658" s="13">
        <v>42592</v>
      </c>
      <c r="AG658" s="12">
        <v>134.89150000000001</v>
      </c>
    </row>
    <row r="659" spans="30:33" x14ac:dyDescent="0.2">
      <c r="AD659" s="13">
        <v>42593</v>
      </c>
      <c r="AE659" s="12">
        <v>27.000499999999999</v>
      </c>
      <c r="AF659" s="13">
        <v>42593</v>
      </c>
      <c r="AG659" s="12">
        <v>134.44409999999999</v>
      </c>
    </row>
    <row r="660" spans="30:33" x14ac:dyDescent="0.2">
      <c r="AD660" s="13">
        <v>42594</v>
      </c>
      <c r="AE660" s="12">
        <v>27.041799999999999</v>
      </c>
      <c r="AF660" s="13">
        <v>42594</v>
      </c>
      <c r="AG660" s="12">
        <v>135.05520000000001</v>
      </c>
    </row>
    <row r="661" spans="30:33" x14ac:dyDescent="0.2">
      <c r="AD661" s="13">
        <v>42597</v>
      </c>
      <c r="AE661" s="12">
        <v>27.0108</v>
      </c>
      <c r="AF661" s="13">
        <v>42597</v>
      </c>
      <c r="AG661" s="12">
        <v>134.6405</v>
      </c>
    </row>
    <row r="662" spans="30:33" x14ac:dyDescent="0.2">
      <c r="AD662" s="13">
        <v>42598</v>
      </c>
      <c r="AE662" s="12">
        <v>26.979800000000001</v>
      </c>
      <c r="AF662" s="13">
        <v>42598</v>
      </c>
      <c r="AG662" s="12">
        <v>134.40039999999999</v>
      </c>
    </row>
    <row r="663" spans="30:33" x14ac:dyDescent="0.2">
      <c r="AD663" s="13">
        <v>42599</v>
      </c>
      <c r="AE663" s="12">
        <v>27.021100000000001</v>
      </c>
      <c r="AF663" s="13">
        <v>42599</v>
      </c>
      <c r="AG663" s="12">
        <v>134.7715</v>
      </c>
    </row>
    <row r="664" spans="30:33" x14ac:dyDescent="0.2">
      <c r="AD664" s="13">
        <v>42600</v>
      </c>
      <c r="AE664" s="12">
        <v>27.046900000000001</v>
      </c>
      <c r="AF664" s="13">
        <v>42600</v>
      </c>
      <c r="AG664" s="12">
        <v>135.09889999999999</v>
      </c>
    </row>
    <row r="665" spans="30:33" x14ac:dyDescent="0.2">
      <c r="AD665" s="13">
        <v>42601</v>
      </c>
      <c r="AE665" s="12">
        <v>26.979800000000001</v>
      </c>
      <c r="AF665" s="13">
        <v>42601</v>
      </c>
      <c r="AG665" s="12">
        <v>134.6951</v>
      </c>
    </row>
    <row r="666" spans="30:33" x14ac:dyDescent="0.2">
      <c r="AD666" s="13">
        <v>42604</v>
      </c>
      <c r="AE666" s="12">
        <v>27.041799999999999</v>
      </c>
      <c r="AF666" s="13">
        <v>42604</v>
      </c>
      <c r="AG666" s="12">
        <v>135.1534</v>
      </c>
    </row>
    <row r="667" spans="30:33" x14ac:dyDescent="0.2">
      <c r="AD667" s="13">
        <v>42605</v>
      </c>
      <c r="AE667" s="12">
        <v>27.041799999999999</v>
      </c>
      <c r="AF667" s="13">
        <v>42605</v>
      </c>
      <c r="AG667" s="12">
        <v>135.30619999999999</v>
      </c>
    </row>
    <row r="668" spans="30:33" x14ac:dyDescent="0.2">
      <c r="AD668" s="13">
        <v>42606</v>
      </c>
      <c r="AE668" s="12">
        <v>27.021100000000001</v>
      </c>
      <c r="AF668" s="13">
        <v>42606</v>
      </c>
      <c r="AG668" s="12">
        <v>135.21889999999999</v>
      </c>
    </row>
    <row r="669" spans="30:33" x14ac:dyDescent="0.2">
      <c r="AD669" s="13">
        <v>42607</v>
      </c>
      <c r="AE669" s="12">
        <v>26.990100000000002</v>
      </c>
      <c r="AF669" s="13">
        <v>42607</v>
      </c>
      <c r="AG669" s="12">
        <v>135.08789999999999</v>
      </c>
    </row>
    <row r="670" spans="30:33" x14ac:dyDescent="0.2">
      <c r="AD670" s="13">
        <v>42608</v>
      </c>
      <c r="AE670" s="12">
        <v>26.9282</v>
      </c>
      <c r="AF670" s="13">
        <v>42608</v>
      </c>
      <c r="AG670" s="12">
        <v>134.66229999999999</v>
      </c>
    </row>
    <row r="671" spans="30:33" x14ac:dyDescent="0.2">
      <c r="AD671" s="13">
        <v>42611</v>
      </c>
      <c r="AE671" s="12">
        <v>27.0108</v>
      </c>
      <c r="AF671" s="13">
        <v>42611</v>
      </c>
      <c r="AG671" s="12">
        <v>135.42619999999999</v>
      </c>
    </row>
    <row r="672" spans="30:33" x14ac:dyDescent="0.2">
      <c r="AD672" s="13">
        <v>42612</v>
      </c>
      <c r="AE672" s="12">
        <v>27.000499999999999</v>
      </c>
      <c r="AF672" s="13">
        <v>42612</v>
      </c>
      <c r="AG672" s="12">
        <v>135.2516</v>
      </c>
    </row>
    <row r="673" spans="30:33" x14ac:dyDescent="0.2">
      <c r="AD673" s="13">
        <v>42613</v>
      </c>
      <c r="AE673" s="12">
        <v>26.9695</v>
      </c>
      <c r="AF673" s="13">
        <v>42613</v>
      </c>
      <c r="AG673" s="12">
        <v>135.19710000000001</v>
      </c>
    </row>
    <row r="674" spans="30:33" x14ac:dyDescent="0.2">
      <c r="AD674" s="13">
        <v>42614</v>
      </c>
      <c r="AE674" s="12">
        <v>27.009899999999998</v>
      </c>
      <c r="AF674" s="13">
        <v>42614</v>
      </c>
      <c r="AG674" s="12">
        <v>135.1969</v>
      </c>
    </row>
    <row r="675" spans="30:33" x14ac:dyDescent="0.2">
      <c r="AD675" s="13">
        <v>42615</v>
      </c>
      <c r="AE675" s="12">
        <v>26.958200000000001</v>
      </c>
      <c r="AF675" s="13">
        <v>42615</v>
      </c>
      <c r="AG675" s="12">
        <v>134.9562</v>
      </c>
    </row>
    <row r="676" spans="30:33" x14ac:dyDescent="0.2">
      <c r="AD676" s="13">
        <v>42619</v>
      </c>
      <c r="AE676" s="12">
        <v>27.0306</v>
      </c>
      <c r="AF676" s="13">
        <v>42619</v>
      </c>
      <c r="AG676" s="12">
        <v>135.42660000000001</v>
      </c>
    </row>
    <row r="677" spans="30:33" x14ac:dyDescent="0.2">
      <c r="AD677" s="13">
        <v>42620</v>
      </c>
      <c r="AE677" s="12">
        <v>27.020199999999999</v>
      </c>
      <c r="AF677" s="13">
        <v>42620</v>
      </c>
      <c r="AG677" s="12">
        <v>135.2406</v>
      </c>
    </row>
    <row r="678" spans="30:33" x14ac:dyDescent="0.2">
      <c r="AD678" s="13">
        <v>42621</v>
      </c>
      <c r="AE678" s="12">
        <v>26.9375</v>
      </c>
      <c r="AF678" s="13">
        <v>42621</v>
      </c>
      <c r="AG678" s="12">
        <v>134.28880000000001</v>
      </c>
    </row>
    <row r="679" spans="30:33" x14ac:dyDescent="0.2">
      <c r="AD679" s="13">
        <v>42622</v>
      </c>
      <c r="AE679" s="12">
        <v>26.8444</v>
      </c>
      <c r="AF679" s="13">
        <v>42622</v>
      </c>
      <c r="AG679" s="12">
        <v>133.28219999999999</v>
      </c>
    </row>
    <row r="680" spans="30:33" x14ac:dyDescent="0.2">
      <c r="AD680" s="13">
        <v>42625</v>
      </c>
      <c r="AE680" s="12">
        <v>26.8444</v>
      </c>
      <c r="AF680" s="13">
        <v>42625</v>
      </c>
      <c r="AG680" s="12">
        <v>133.29310000000001</v>
      </c>
    </row>
    <row r="681" spans="30:33" x14ac:dyDescent="0.2">
      <c r="AD681" s="13">
        <v>42626</v>
      </c>
      <c r="AE681" s="12">
        <v>26.782399999999999</v>
      </c>
      <c r="AF681" s="13">
        <v>42626</v>
      </c>
      <c r="AG681" s="12">
        <v>132.85550000000001</v>
      </c>
    </row>
    <row r="682" spans="30:33" x14ac:dyDescent="0.2">
      <c r="AD682" s="13">
        <v>42627</v>
      </c>
      <c r="AE682" s="12">
        <v>26.782399999999999</v>
      </c>
      <c r="AF682" s="13">
        <v>42627</v>
      </c>
      <c r="AG682" s="12">
        <v>132.94300000000001</v>
      </c>
    </row>
    <row r="683" spans="30:33" x14ac:dyDescent="0.2">
      <c r="AD683" s="13">
        <v>42628</v>
      </c>
      <c r="AE683" s="12">
        <v>26.803100000000001</v>
      </c>
      <c r="AF683" s="13">
        <v>42628</v>
      </c>
      <c r="AG683" s="12">
        <v>133.03059999999999</v>
      </c>
    </row>
    <row r="684" spans="30:33" x14ac:dyDescent="0.2">
      <c r="AD684" s="13">
        <v>42629</v>
      </c>
      <c r="AE684" s="12">
        <v>26.813400000000001</v>
      </c>
      <c r="AF684" s="13">
        <v>42629</v>
      </c>
      <c r="AG684" s="12">
        <v>133.18369999999999</v>
      </c>
    </row>
    <row r="685" spans="30:33" x14ac:dyDescent="0.2">
      <c r="AD685" s="13">
        <v>42632</v>
      </c>
      <c r="AE685" s="12">
        <v>26.7927</v>
      </c>
      <c r="AF685" s="13">
        <v>42632</v>
      </c>
      <c r="AG685" s="12">
        <v>133.13999999999999</v>
      </c>
    </row>
    <row r="686" spans="30:33" x14ac:dyDescent="0.2">
      <c r="AD686" s="13">
        <v>42633</v>
      </c>
      <c r="AE686" s="12">
        <v>26.834099999999999</v>
      </c>
      <c r="AF686" s="13">
        <v>42633</v>
      </c>
      <c r="AG686" s="12">
        <v>133.315</v>
      </c>
    </row>
    <row r="687" spans="30:33" x14ac:dyDescent="0.2">
      <c r="AD687" s="13">
        <v>42634</v>
      </c>
      <c r="AE687" s="12">
        <v>26.875499999999999</v>
      </c>
      <c r="AF687" s="13">
        <v>42634</v>
      </c>
      <c r="AG687" s="12">
        <v>133.99340000000001</v>
      </c>
    </row>
    <row r="688" spans="30:33" x14ac:dyDescent="0.2">
      <c r="AD688" s="13">
        <v>42635</v>
      </c>
      <c r="AE688" s="12">
        <v>26.9117</v>
      </c>
      <c r="AF688" s="13">
        <v>42635</v>
      </c>
      <c r="AG688" s="12">
        <v>134.54040000000001</v>
      </c>
    </row>
    <row r="689" spans="30:33" x14ac:dyDescent="0.2">
      <c r="AD689" s="13">
        <v>42636</v>
      </c>
      <c r="AE689" s="12">
        <v>26.9375</v>
      </c>
      <c r="AF689" s="13">
        <v>42636</v>
      </c>
      <c r="AG689" s="12">
        <v>134.4419</v>
      </c>
    </row>
    <row r="690" spans="30:33" x14ac:dyDescent="0.2">
      <c r="AD690" s="13">
        <v>42639</v>
      </c>
      <c r="AE690" s="12">
        <v>26.968499999999999</v>
      </c>
      <c r="AF690" s="13">
        <v>42639</v>
      </c>
      <c r="AG690" s="12">
        <v>134.6498</v>
      </c>
    </row>
    <row r="691" spans="30:33" x14ac:dyDescent="0.2">
      <c r="AD691" s="13">
        <v>42640</v>
      </c>
      <c r="AE691" s="12">
        <v>27.009899999999998</v>
      </c>
      <c r="AF691" s="13">
        <v>42640</v>
      </c>
      <c r="AG691" s="12">
        <v>134.97800000000001</v>
      </c>
    </row>
    <row r="692" spans="30:33" x14ac:dyDescent="0.2">
      <c r="AD692" s="13">
        <v>42641</v>
      </c>
      <c r="AE692" s="12">
        <v>27.020199999999999</v>
      </c>
      <c r="AF692" s="13">
        <v>42641</v>
      </c>
      <c r="AG692" s="12">
        <v>135.06559999999999</v>
      </c>
    </row>
    <row r="693" spans="30:33" x14ac:dyDescent="0.2">
      <c r="AD693" s="13">
        <v>42642</v>
      </c>
      <c r="AE693" s="12">
        <v>27.020199999999999</v>
      </c>
      <c r="AF693" s="13">
        <v>42642</v>
      </c>
      <c r="AG693" s="12">
        <v>135.01089999999999</v>
      </c>
    </row>
    <row r="694" spans="30:33" x14ac:dyDescent="0.2">
      <c r="AD694" s="13">
        <v>42643</v>
      </c>
      <c r="AE694" s="12">
        <v>26.968499999999999</v>
      </c>
      <c r="AF694" s="13">
        <v>42643</v>
      </c>
      <c r="AG694" s="12">
        <v>134.77019999999999</v>
      </c>
    </row>
    <row r="695" spans="30:33" x14ac:dyDescent="0.2">
      <c r="AD695" s="13">
        <v>42646</v>
      </c>
      <c r="AE695" s="12">
        <v>26.935700000000001</v>
      </c>
      <c r="AF695" s="13">
        <v>42646</v>
      </c>
      <c r="AG695" s="12">
        <v>134.38910000000001</v>
      </c>
    </row>
    <row r="696" spans="30:33" x14ac:dyDescent="0.2">
      <c r="AD696" s="13">
        <v>42647</v>
      </c>
      <c r="AE696" s="12">
        <v>26.852900000000002</v>
      </c>
      <c r="AF696" s="13">
        <v>42647</v>
      </c>
      <c r="AG696" s="12">
        <v>133.76390000000001</v>
      </c>
    </row>
    <row r="697" spans="30:33" x14ac:dyDescent="0.2">
      <c r="AD697" s="13">
        <v>42648</v>
      </c>
      <c r="AE697" s="12">
        <v>26.8063</v>
      </c>
      <c r="AF697" s="13">
        <v>42648</v>
      </c>
      <c r="AG697" s="12">
        <v>133.62119999999999</v>
      </c>
    </row>
    <row r="698" spans="30:33" x14ac:dyDescent="0.2">
      <c r="AD698" s="13">
        <v>42649</v>
      </c>
      <c r="AE698" s="12">
        <v>26.739000000000001</v>
      </c>
      <c r="AF698" s="13">
        <v>42649</v>
      </c>
      <c r="AG698" s="12">
        <v>133.63220000000001</v>
      </c>
    </row>
    <row r="699" spans="30:33" x14ac:dyDescent="0.2">
      <c r="AD699" s="13">
        <v>42650</v>
      </c>
      <c r="AE699" s="12">
        <v>26.7805</v>
      </c>
      <c r="AF699" s="13">
        <v>42650</v>
      </c>
      <c r="AG699" s="12">
        <v>133.9503</v>
      </c>
    </row>
    <row r="700" spans="30:33" x14ac:dyDescent="0.2">
      <c r="AD700" s="13">
        <v>42653</v>
      </c>
      <c r="AE700" s="12">
        <v>26.7287</v>
      </c>
      <c r="AF700" s="13">
        <v>42653</v>
      </c>
      <c r="AG700" s="12">
        <v>133.9503</v>
      </c>
    </row>
    <row r="701" spans="30:33" x14ac:dyDescent="0.2">
      <c r="AD701" s="13">
        <v>42654</v>
      </c>
      <c r="AE701" s="12">
        <v>26.707999999999998</v>
      </c>
      <c r="AF701" s="13">
        <v>42654</v>
      </c>
      <c r="AG701" s="12">
        <v>133.5335</v>
      </c>
    </row>
    <row r="702" spans="30:33" x14ac:dyDescent="0.2">
      <c r="AD702" s="13">
        <v>42655</v>
      </c>
      <c r="AE702" s="12">
        <v>26.697600000000001</v>
      </c>
      <c r="AF702" s="13">
        <v>42655</v>
      </c>
      <c r="AG702" s="12">
        <v>133.709</v>
      </c>
    </row>
    <row r="703" spans="30:33" x14ac:dyDescent="0.2">
      <c r="AD703" s="13">
        <v>42656</v>
      </c>
      <c r="AE703" s="12">
        <v>26.7546</v>
      </c>
      <c r="AF703" s="13">
        <v>42656</v>
      </c>
      <c r="AG703" s="12">
        <v>134.03809999999999</v>
      </c>
    </row>
    <row r="704" spans="30:33" x14ac:dyDescent="0.2">
      <c r="AD704" s="13">
        <v>42657</v>
      </c>
      <c r="AE704" s="12">
        <v>26.6769</v>
      </c>
      <c r="AF704" s="13">
        <v>42657</v>
      </c>
      <c r="AG704" s="12">
        <v>133.4128</v>
      </c>
    </row>
    <row r="705" spans="30:33" x14ac:dyDescent="0.2">
      <c r="AD705" s="13">
        <v>42660</v>
      </c>
      <c r="AE705" s="12">
        <v>26.7287</v>
      </c>
      <c r="AF705" s="13">
        <v>42660</v>
      </c>
      <c r="AG705" s="12">
        <v>133.85159999999999</v>
      </c>
    </row>
    <row r="706" spans="30:33" x14ac:dyDescent="0.2">
      <c r="AD706" s="13">
        <v>42661</v>
      </c>
      <c r="AE706" s="12">
        <v>26.759799999999998</v>
      </c>
      <c r="AF706" s="13">
        <v>42661</v>
      </c>
      <c r="AG706" s="12">
        <v>134.1807</v>
      </c>
    </row>
    <row r="707" spans="30:33" x14ac:dyDescent="0.2">
      <c r="AD707" s="13">
        <v>42662</v>
      </c>
      <c r="AE707" s="12">
        <v>26.759799999999998</v>
      </c>
      <c r="AF707" s="13">
        <v>42662</v>
      </c>
      <c r="AG707" s="12">
        <v>134.3562</v>
      </c>
    </row>
    <row r="708" spans="30:33" x14ac:dyDescent="0.2">
      <c r="AD708" s="13">
        <v>42663</v>
      </c>
      <c r="AE708" s="12">
        <v>26.770099999999999</v>
      </c>
      <c r="AF708" s="13">
        <v>42663</v>
      </c>
      <c r="AG708" s="12">
        <v>134.31229999999999</v>
      </c>
    </row>
    <row r="709" spans="30:33" x14ac:dyDescent="0.2">
      <c r="AD709" s="13">
        <v>42664</v>
      </c>
      <c r="AE709" s="12">
        <v>26.770099999999999</v>
      </c>
      <c r="AF709" s="13">
        <v>42664</v>
      </c>
      <c r="AG709" s="12">
        <v>134.38910000000001</v>
      </c>
    </row>
    <row r="710" spans="30:33" x14ac:dyDescent="0.2">
      <c r="AD710" s="13">
        <v>42667</v>
      </c>
      <c r="AE710" s="12">
        <v>26.718299999999999</v>
      </c>
      <c r="AF710" s="13">
        <v>42667</v>
      </c>
      <c r="AG710" s="12">
        <v>134.0052</v>
      </c>
    </row>
    <row r="711" spans="30:33" x14ac:dyDescent="0.2">
      <c r="AD711" s="13">
        <v>42668</v>
      </c>
      <c r="AE711" s="12">
        <v>26.7287</v>
      </c>
      <c r="AF711" s="13">
        <v>42668</v>
      </c>
      <c r="AG711" s="12">
        <v>133.90649999999999</v>
      </c>
    </row>
    <row r="712" spans="30:33" x14ac:dyDescent="0.2">
      <c r="AD712" s="13">
        <v>42669</v>
      </c>
      <c r="AE712" s="12">
        <v>26.718299999999999</v>
      </c>
      <c r="AF712" s="13">
        <v>42669</v>
      </c>
      <c r="AG712" s="12">
        <v>133.34700000000001</v>
      </c>
    </row>
    <row r="713" spans="30:33" x14ac:dyDescent="0.2">
      <c r="AD713" s="13">
        <v>42670</v>
      </c>
      <c r="AE713" s="12">
        <v>26.6355</v>
      </c>
      <c r="AF713" s="13">
        <v>42670</v>
      </c>
      <c r="AG713" s="12">
        <v>132.74369999999999</v>
      </c>
    </row>
    <row r="714" spans="30:33" x14ac:dyDescent="0.2">
      <c r="AD714" s="13">
        <v>42671</v>
      </c>
      <c r="AE714" s="12">
        <v>26.6252</v>
      </c>
      <c r="AF714" s="13">
        <v>42671</v>
      </c>
      <c r="AG714" s="12">
        <v>132.59010000000001</v>
      </c>
    </row>
    <row r="715" spans="30:33" x14ac:dyDescent="0.2">
      <c r="AD715" s="13">
        <v>42674</v>
      </c>
      <c r="AE715" s="12">
        <v>26.6769</v>
      </c>
      <c r="AF715" s="13">
        <v>42674</v>
      </c>
      <c r="AG715" s="12">
        <v>132.71080000000001</v>
      </c>
    </row>
    <row r="716" spans="30:33" x14ac:dyDescent="0.2">
      <c r="AD716" s="13">
        <v>42675</v>
      </c>
      <c r="AE716" s="12">
        <v>26.673400000000001</v>
      </c>
      <c r="AF716" s="13">
        <v>42675</v>
      </c>
      <c r="AG716" s="12">
        <v>132.5445</v>
      </c>
    </row>
    <row r="717" spans="30:33" x14ac:dyDescent="0.2">
      <c r="AD717" s="13">
        <v>42676</v>
      </c>
      <c r="AE717" s="12">
        <v>26.727799999999998</v>
      </c>
      <c r="AF717" s="13">
        <v>42676</v>
      </c>
      <c r="AG717" s="12">
        <v>132.7424</v>
      </c>
    </row>
    <row r="718" spans="30:33" x14ac:dyDescent="0.2">
      <c r="AD718" s="13">
        <v>42677</v>
      </c>
      <c r="AE718" s="12">
        <v>26.665600000000001</v>
      </c>
      <c r="AF718" s="13">
        <v>42677</v>
      </c>
      <c r="AG718" s="12">
        <v>132.4785</v>
      </c>
    </row>
    <row r="719" spans="30:33" x14ac:dyDescent="0.2">
      <c r="AD719" s="13">
        <v>42678</v>
      </c>
      <c r="AE719" s="12">
        <v>26.738099999999999</v>
      </c>
      <c r="AF719" s="13">
        <v>42678</v>
      </c>
      <c r="AG719" s="12">
        <v>132.87440000000001</v>
      </c>
    </row>
    <row r="720" spans="30:33" x14ac:dyDescent="0.2">
      <c r="AD720" s="13">
        <v>42681</v>
      </c>
      <c r="AE720" s="12">
        <v>26.665600000000001</v>
      </c>
      <c r="AF720" s="13">
        <v>42681</v>
      </c>
      <c r="AG720" s="12">
        <v>132.78639999999999</v>
      </c>
    </row>
    <row r="721" spans="30:33" x14ac:dyDescent="0.2">
      <c r="AD721" s="13">
        <v>42682</v>
      </c>
      <c r="AE721" s="12">
        <v>26.603400000000001</v>
      </c>
      <c r="AF721" s="13">
        <v>42682</v>
      </c>
      <c r="AG721" s="12">
        <v>132.48949999999999</v>
      </c>
    </row>
    <row r="722" spans="30:33" x14ac:dyDescent="0.2">
      <c r="AD722" s="13">
        <v>42683</v>
      </c>
      <c r="AE722" s="12">
        <v>26.323599999999999</v>
      </c>
      <c r="AF722" s="13">
        <v>42683</v>
      </c>
      <c r="AG722" s="12">
        <v>130.5427</v>
      </c>
    </row>
    <row r="723" spans="30:33" x14ac:dyDescent="0.2">
      <c r="AD723" s="13">
        <v>42684</v>
      </c>
      <c r="AE723" s="12">
        <v>26.199200000000001</v>
      </c>
      <c r="AF723" s="13">
        <v>42684</v>
      </c>
      <c r="AG723" s="12">
        <v>130.43270000000001</v>
      </c>
    </row>
    <row r="724" spans="30:33" x14ac:dyDescent="0.2">
      <c r="AD724" s="13">
        <v>42685</v>
      </c>
      <c r="AE724" s="12">
        <v>26.157800000000002</v>
      </c>
      <c r="AF724" s="13">
        <v>42685</v>
      </c>
      <c r="AG724" s="12">
        <v>129.87180000000001</v>
      </c>
    </row>
    <row r="725" spans="30:33" x14ac:dyDescent="0.2">
      <c r="AD725" s="13">
        <v>42688</v>
      </c>
      <c r="AE725" s="12">
        <v>26.0852</v>
      </c>
      <c r="AF725" s="13">
        <v>42688</v>
      </c>
      <c r="AG725" s="12">
        <v>129.20089999999999</v>
      </c>
    </row>
    <row r="726" spans="30:33" x14ac:dyDescent="0.2">
      <c r="AD726" s="13">
        <v>42689</v>
      </c>
      <c r="AE726" s="12">
        <v>26.0852</v>
      </c>
      <c r="AF726" s="13">
        <v>42689</v>
      </c>
      <c r="AG726" s="12">
        <v>129.5968</v>
      </c>
    </row>
    <row r="727" spans="30:33" x14ac:dyDescent="0.2">
      <c r="AD727" s="13">
        <v>42690</v>
      </c>
      <c r="AE727" s="12">
        <v>26.116299999999999</v>
      </c>
      <c r="AF727" s="13">
        <v>42690</v>
      </c>
      <c r="AG727" s="12">
        <v>129.78380000000001</v>
      </c>
    </row>
    <row r="728" spans="30:33" x14ac:dyDescent="0.2">
      <c r="AD728" s="13">
        <v>42691</v>
      </c>
      <c r="AE728" s="12">
        <v>26.043800000000001</v>
      </c>
      <c r="AF728" s="13">
        <v>42691</v>
      </c>
      <c r="AG728" s="12">
        <v>128.9589</v>
      </c>
    </row>
    <row r="729" spans="30:33" x14ac:dyDescent="0.2">
      <c r="AD729" s="13">
        <v>42692</v>
      </c>
      <c r="AE729" s="12">
        <v>25.9712</v>
      </c>
      <c r="AF729" s="13">
        <v>42692</v>
      </c>
      <c r="AG729" s="12">
        <v>128.233</v>
      </c>
    </row>
    <row r="730" spans="30:33" x14ac:dyDescent="0.2">
      <c r="AD730" s="13">
        <v>42695</v>
      </c>
      <c r="AE730" s="12">
        <v>25.9712</v>
      </c>
      <c r="AF730" s="13">
        <v>42695</v>
      </c>
      <c r="AG730" s="12">
        <v>128.36500000000001</v>
      </c>
    </row>
    <row r="731" spans="30:33" x14ac:dyDescent="0.2">
      <c r="AD731" s="13">
        <v>42696</v>
      </c>
      <c r="AE731" s="12">
        <v>25.992000000000001</v>
      </c>
      <c r="AF731" s="13">
        <v>42696</v>
      </c>
      <c r="AG731" s="12">
        <v>128.69489999999999</v>
      </c>
    </row>
    <row r="732" spans="30:33" x14ac:dyDescent="0.2">
      <c r="AD732" s="13">
        <v>42697</v>
      </c>
      <c r="AE732" s="12">
        <v>25.940100000000001</v>
      </c>
      <c r="AF732" s="13">
        <v>42697</v>
      </c>
      <c r="AG732" s="12">
        <v>128.22200000000001</v>
      </c>
    </row>
    <row r="733" spans="30:33" x14ac:dyDescent="0.2">
      <c r="AD733" s="13">
        <v>42699</v>
      </c>
      <c r="AE733" s="12">
        <v>25.940100000000001</v>
      </c>
      <c r="AF733" s="13">
        <v>42699</v>
      </c>
      <c r="AG733" s="12">
        <v>128.233</v>
      </c>
    </row>
    <row r="734" spans="30:33" x14ac:dyDescent="0.2">
      <c r="AD734" s="13">
        <v>42702</v>
      </c>
      <c r="AE734" s="12">
        <v>26.002300000000002</v>
      </c>
      <c r="AF734" s="13">
        <v>42702</v>
      </c>
      <c r="AG734" s="12">
        <v>128.8159</v>
      </c>
    </row>
    <row r="735" spans="30:33" x14ac:dyDescent="0.2">
      <c r="AD735" s="13">
        <v>42703</v>
      </c>
      <c r="AE735" s="12">
        <v>26.023</v>
      </c>
      <c r="AF735" s="13">
        <v>42703</v>
      </c>
      <c r="AG735" s="12">
        <v>128.99189999999999</v>
      </c>
    </row>
    <row r="736" spans="30:33" x14ac:dyDescent="0.2">
      <c r="AD736" s="13">
        <v>42704</v>
      </c>
      <c r="AE736" s="12">
        <v>25.898700000000002</v>
      </c>
      <c r="AF736" s="13">
        <v>42704</v>
      </c>
      <c r="AG736" s="12">
        <v>128.50800000000001</v>
      </c>
    </row>
    <row r="737" spans="30:33" x14ac:dyDescent="0.2">
      <c r="AD737" s="13">
        <v>42705</v>
      </c>
      <c r="AE737" s="12">
        <v>25.844799999999999</v>
      </c>
      <c r="AF737" s="13">
        <v>42705</v>
      </c>
      <c r="AG737" s="12">
        <v>127.7895</v>
      </c>
    </row>
    <row r="738" spans="30:33" x14ac:dyDescent="0.2">
      <c r="AD738" s="13">
        <v>42706</v>
      </c>
      <c r="AE738" s="12">
        <v>25.917400000000001</v>
      </c>
      <c r="AF738" s="13">
        <v>42706</v>
      </c>
      <c r="AG738" s="12">
        <v>128.3741</v>
      </c>
    </row>
    <row r="739" spans="30:33" x14ac:dyDescent="0.2">
      <c r="AD739" s="13">
        <v>42709</v>
      </c>
      <c r="AE739" s="12">
        <v>25.917400000000001</v>
      </c>
      <c r="AF739" s="13">
        <v>42709</v>
      </c>
      <c r="AG739" s="12">
        <v>128.6498</v>
      </c>
    </row>
    <row r="740" spans="30:33" x14ac:dyDescent="0.2">
      <c r="AD740" s="13">
        <v>42710</v>
      </c>
      <c r="AE740" s="12">
        <v>25.901900000000001</v>
      </c>
      <c r="AF740" s="13">
        <v>42710</v>
      </c>
      <c r="AG740" s="12">
        <v>128.6387</v>
      </c>
    </row>
    <row r="741" spans="30:33" x14ac:dyDescent="0.2">
      <c r="AD741" s="13">
        <v>42711</v>
      </c>
      <c r="AE741" s="12">
        <v>25.9693</v>
      </c>
      <c r="AF741" s="13">
        <v>42711</v>
      </c>
      <c r="AG741" s="12">
        <v>129.17910000000001</v>
      </c>
    </row>
    <row r="742" spans="30:33" x14ac:dyDescent="0.2">
      <c r="AD742" s="13">
        <v>42712</v>
      </c>
      <c r="AE742" s="12">
        <v>25.9071</v>
      </c>
      <c r="AF742" s="13">
        <v>42712</v>
      </c>
      <c r="AG742" s="12">
        <v>128.6498</v>
      </c>
    </row>
    <row r="743" spans="30:33" x14ac:dyDescent="0.2">
      <c r="AD743" s="13">
        <v>42713</v>
      </c>
      <c r="AE743" s="12">
        <v>25.8033</v>
      </c>
      <c r="AF743" s="13">
        <v>42713</v>
      </c>
      <c r="AG743" s="12">
        <v>128.15350000000001</v>
      </c>
    </row>
    <row r="744" spans="30:33" x14ac:dyDescent="0.2">
      <c r="AD744" s="13">
        <v>42716</v>
      </c>
      <c r="AE744" s="12">
        <v>25.844799999999999</v>
      </c>
      <c r="AF744" s="13">
        <v>42716</v>
      </c>
      <c r="AG744" s="12">
        <v>128.03219999999999</v>
      </c>
    </row>
    <row r="745" spans="30:33" x14ac:dyDescent="0.2">
      <c r="AD745" s="13">
        <v>42717</v>
      </c>
      <c r="AE745" s="12">
        <v>25.844799999999999</v>
      </c>
      <c r="AF745" s="13">
        <v>42717</v>
      </c>
      <c r="AG745" s="12">
        <v>128.31890000000001</v>
      </c>
    </row>
    <row r="746" spans="30:33" x14ac:dyDescent="0.2">
      <c r="AD746" s="13">
        <v>42718</v>
      </c>
      <c r="AE746" s="12">
        <v>25.6996</v>
      </c>
      <c r="AF746" s="13">
        <v>42718</v>
      </c>
      <c r="AG746" s="12">
        <v>127.50279999999999</v>
      </c>
    </row>
    <row r="747" spans="30:33" x14ac:dyDescent="0.2">
      <c r="AD747" s="13">
        <v>42719</v>
      </c>
      <c r="AE747" s="12">
        <v>25.668399999999998</v>
      </c>
      <c r="AF747" s="13">
        <v>42719</v>
      </c>
      <c r="AG747" s="12">
        <v>127.59099999999999</v>
      </c>
    </row>
    <row r="748" spans="30:33" x14ac:dyDescent="0.2">
      <c r="AD748" s="13">
        <v>42720</v>
      </c>
      <c r="AE748" s="12">
        <v>25.678799999999999</v>
      </c>
      <c r="AF748" s="13">
        <v>42720</v>
      </c>
      <c r="AG748" s="12">
        <v>127.4918</v>
      </c>
    </row>
    <row r="749" spans="30:33" x14ac:dyDescent="0.2">
      <c r="AD749" s="13">
        <v>42723</v>
      </c>
      <c r="AE749" s="12">
        <v>25.761800000000001</v>
      </c>
      <c r="AF749" s="13">
        <v>42723</v>
      </c>
      <c r="AG749" s="12">
        <v>128.10939999999999</v>
      </c>
    </row>
    <row r="750" spans="30:33" x14ac:dyDescent="0.2">
      <c r="AD750" s="13">
        <v>42724</v>
      </c>
      <c r="AE750" s="12">
        <v>25.741099999999999</v>
      </c>
      <c r="AF750" s="13">
        <v>42724</v>
      </c>
      <c r="AG750" s="12">
        <v>128.03219999999999</v>
      </c>
    </row>
    <row r="751" spans="30:33" x14ac:dyDescent="0.2">
      <c r="AD751" s="13">
        <v>42725</v>
      </c>
      <c r="AE751" s="12">
        <v>25.772200000000002</v>
      </c>
      <c r="AF751" s="13">
        <v>42725</v>
      </c>
      <c r="AG751" s="12">
        <v>128.4402</v>
      </c>
    </row>
    <row r="752" spans="30:33" x14ac:dyDescent="0.2">
      <c r="AD752" s="13">
        <v>42726</v>
      </c>
      <c r="AE752" s="12">
        <v>25.760400000000001</v>
      </c>
      <c r="AF752" s="13">
        <v>42726</v>
      </c>
      <c r="AG752" s="12">
        <v>128.4487</v>
      </c>
    </row>
    <row r="753" spans="30:33" x14ac:dyDescent="0.2">
      <c r="AD753" s="13">
        <v>42727</v>
      </c>
      <c r="AE753" s="12">
        <v>25.765599999999999</v>
      </c>
      <c r="AF753" s="13">
        <v>42727</v>
      </c>
      <c r="AG753" s="12">
        <v>128.64779999999999</v>
      </c>
    </row>
    <row r="754" spans="30:33" x14ac:dyDescent="0.2">
      <c r="AD754" s="13">
        <v>42731</v>
      </c>
      <c r="AE754" s="12">
        <v>25.724</v>
      </c>
      <c r="AF754" s="13">
        <v>42731</v>
      </c>
      <c r="AG754" s="12">
        <v>128.41550000000001</v>
      </c>
    </row>
    <row r="755" spans="30:33" x14ac:dyDescent="0.2">
      <c r="AD755" s="13">
        <v>42732</v>
      </c>
      <c r="AE755" s="12">
        <v>25.8123</v>
      </c>
      <c r="AF755" s="13">
        <v>42732</v>
      </c>
      <c r="AG755" s="12">
        <v>128.89109999999999</v>
      </c>
    </row>
    <row r="756" spans="30:33" x14ac:dyDescent="0.2">
      <c r="AD756" s="13">
        <v>42733</v>
      </c>
      <c r="AE756" s="12">
        <v>25.848700000000001</v>
      </c>
      <c r="AF756" s="13">
        <v>42733</v>
      </c>
      <c r="AG756" s="12">
        <v>129.3887</v>
      </c>
    </row>
    <row r="757" spans="30:33" x14ac:dyDescent="0.2">
      <c r="AD757" s="13">
        <v>42734</v>
      </c>
      <c r="AE757" s="12">
        <v>25.8902</v>
      </c>
      <c r="AF757" s="13">
        <v>42734</v>
      </c>
      <c r="AG757" s="12">
        <v>129.58779999999999</v>
      </c>
    </row>
    <row r="758" spans="30:33" x14ac:dyDescent="0.2">
      <c r="AD758" s="13">
        <v>42738</v>
      </c>
      <c r="AE758" s="12">
        <v>25.8902</v>
      </c>
      <c r="AF758" s="13">
        <v>42738</v>
      </c>
      <c r="AG758" s="12">
        <v>129.69839999999999</v>
      </c>
    </row>
    <row r="759" spans="30:33" x14ac:dyDescent="0.2">
      <c r="AD759" s="13">
        <v>42739</v>
      </c>
      <c r="AE759" s="12">
        <v>25.911000000000001</v>
      </c>
      <c r="AF759" s="13">
        <v>42739</v>
      </c>
      <c r="AG759" s="12">
        <v>130.14070000000001</v>
      </c>
    </row>
    <row r="760" spans="30:33" x14ac:dyDescent="0.2">
      <c r="AD760" s="13">
        <v>42740</v>
      </c>
      <c r="AE760" s="12">
        <v>26.045999999999999</v>
      </c>
      <c r="AF760" s="13">
        <v>42740</v>
      </c>
      <c r="AG760" s="12">
        <v>130.8374</v>
      </c>
    </row>
    <row r="761" spans="30:33" x14ac:dyDescent="0.2">
      <c r="AD761" s="13">
        <v>42741</v>
      </c>
      <c r="AE761" s="12">
        <v>25.962900000000001</v>
      </c>
      <c r="AF761" s="13">
        <v>42741</v>
      </c>
      <c r="AG761" s="12">
        <v>130.15180000000001</v>
      </c>
    </row>
    <row r="762" spans="30:33" x14ac:dyDescent="0.2">
      <c r="AD762" s="13">
        <v>42744</v>
      </c>
      <c r="AE762" s="12">
        <v>26.014800000000001</v>
      </c>
      <c r="AF762" s="13">
        <v>42744</v>
      </c>
      <c r="AG762" s="12">
        <v>130.40610000000001</v>
      </c>
    </row>
    <row r="763" spans="30:33" x14ac:dyDescent="0.2">
      <c r="AD763" s="13">
        <v>42745</v>
      </c>
      <c r="AE763" s="12">
        <v>26.0044</v>
      </c>
      <c r="AF763" s="13">
        <v>42745</v>
      </c>
      <c r="AG763" s="12">
        <v>130.3287</v>
      </c>
    </row>
    <row r="764" spans="30:33" x14ac:dyDescent="0.2">
      <c r="AD764" s="13">
        <v>42746</v>
      </c>
      <c r="AE764" s="12">
        <v>26.025200000000002</v>
      </c>
      <c r="AF764" s="13">
        <v>42746</v>
      </c>
      <c r="AG764" s="12">
        <v>130.52780000000001</v>
      </c>
    </row>
    <row r="765" spans="30:33" x14ac:dyDescent="0.2">
      <c r="AD765" s="13">
        <v>42747</v>
      </c>
      <c r="AE765" s="12">
        <v>26.045999999999999</v>
      </c>
      <c r="AF765" s="13">
        <v>42747</v>
      </c>
      <c r="AG765" s="12">
        <v>130.51669999999999</v>
      </c>
    </row>
    <row r="766" spans="30:33" x14ac:dyDescent="0.2">
      <c r="AD766" s="13">
        <v>42748</v>
      </c>
      <c r="AE766" s="12">
        <v>25.988900000000001</v>
      </c>
      <c r="AF766" s="13">
        <v>42748</v>
      </c>
      <c r="AG766" s="12">
        <v>130.25129999999999</v>
      </c>
    </row>
    <row r="767" spans="30:33" x14ac:dyDescent="0.2">
      <c r="AD767" s="13">
        <v>42752</v>
      </c>
      <c r="AE767" s="12">
        <v>26.1083</v>
      </c>
      <c r="AF767" s="13">
        <v>42752</v>
      </c>
      <c r="AG767" s="12">
        <v>130.81530000000001</v>
      </c>
    </row>
    <row r="768" spans="30:33" x14ac:dyDescent="0.2">
      <c r="AD768" s="13">
        <v>42753</v>
      </c>
      <c r="AE768" s="12">
        <v>25.973299999999998</v>
      </c>
      <c r="AF768" s="13">
        <v>42753</v>
      </c>
      <c r="AG768" s="12">
        <v>129.95269999999999</v>
      </c>
    </row>
    <row r="769" spans="30:33" x14ac:dyDescent="0.2">
      <c r="AD769" s="13">
        <v>42754</v>
      </c>
      <c r="AE769" s="12">
        <v>25.921299999999999</v>
      </c>
      <c r="AF769" s="13">
        <v>42754</v>
      </c>
      <c r="AG769" s="12">
        <v>129.5104</v>
      </c>
    </row>
    <row r="770" spans="30:33" x14ac:dyDescent="0.2">
      <c r="AD770" s="13">
        <v>42755</v>
      </c>
      <c r="AE770" s="12">
        <v>25.931699999999999</v>
      </c>
      <c r="AF770" s="13">
        <v>42755</v>
      </c>
      <c r="AG770" s="12">
        <v>129.74260000000001</v>
      </c>
    </row>
    <row r="771" spans="30:33" x14ac:dyDescent="0.2">
      <c r="AD771" s="13">
        <v>42758</v>
      </c>
      <c r="AE771" s="12">
        <v>26.014800000000001</v>
      </c>
      <c r="AF771" s="13">
        <v>42758</v>
      </c>
      <c r="AG771" s="12">
        <v>130.3398</v>
      </c>
    </row>
    <row r="772" spans="30:33" x14ac:dyDescent="0.2">
      <c r="AD772" s="13">
        <v>42759</v>
      </c>
      <c r="AE772" s="12">
        <v>25.952500000000001</v>
      </c>
      <c r="AF772" s="13">
        <v>42759</v>
      </c>
      <c r="AG772" s="12">
        <v>129.95269999999999</v>
      </c>
    </row>
    <row r="773" spans="30:33" x14ac:dyDescent="0.2">
      <c r="AD773" s="13">
        <v>42760</v>
      </c>
      <c r="AE773" s="12">
        <v>25.879799999999999</v>
      </c>
      <c r="AF773" s="13">
        <v>42760</v>
      </c>
      <c r="AG773" s="12">
        <v>129.45509999999999</v>
      </c>
    </row>
    <row r="774" spans="30:33" x14ac:dyDescent="0.2">
      <c r="AD774" s="13">
        <v>42761</v>
      </c>
      <c r="AE774" s="12">
        <v>25.900600000000001</v>
      </c>
      <c r="AF774" s="13">
        <v>42761</v>
      </c>
      <c r="AG774" s="12">
        <v>129.60990000000001</v>
      </c>
    </row>
    <row r="775" spans="30:33" x14ac:dyDescent="0.2">
      <c r="AD775" s="13">
        <v>42762</v>
      </c>
      <c r="AE775" s="12">
        <v>25.921299999999999</v>
      </c>
      <c r="AF775" s="13">
        <v>42762</v>
      </c>
      <c r="AG775" s="12">
        <v>129.7647</v>
      </c>
    </row>
    <row r="776" spans="30:33" x14ac:dyDescent="0.2">
      <c r="AD776" s="13">
        <v>42765</v>
      </c>
      <c r="AE776" s="12">
        <v>25.921299999999999</v>
      </c>
      <c r="AF776" s="13">
        <v>42765</v>
      </c>
      <c r="AG776" s="12">
        <v>129.54349999999999</v>
      </c>
    </row>
    <row r="777" spans="30:33" x14ac:dyDescent="0.2">
      <c r="AD777" s="13">
        <v>42766</v>
      </c>
      <c r="AE777" s="12">
        <v>25.973299999999998</v>
      </c>
      <c r="AF777" s="13">
        <v>42766</v>
      </c>
      <c r="AG777" s="12">
        <v>129.7758</v>
      </c>
    </row>
    <row r="778" spans="30:33" x14ac:dyDescent="0.2">
      <c r="AD778" s="13">
        <v>42767</v>
      </c>
      <c r="AE778" s="12">
        <v>25.931999999999999</v>
      </c>
      <c r="AF778" s="13">
        <v>42767</v>
      </c>
      <c r="AG778" s="12">
        <v>129.6163</v>
      </c>
    </row>
    <row r="779" spans="30:33" x14ac:dyDescent="0.2">
      <c r="AD779" s="13">
        <v>42768</v>
      </c>
      <c r="AE779" s="12">
        <v>25.937200000000001</v>
      </c>
      <c r="AF779" s="13">
        <v>42768</v>
      </c>
      <c r="AG779" s="12">
        <v>129.64959999999999</v>
      </c>
    </row>
    <row r="780" spans="30:33" x14ac:dyDescent="0.2">
      <c r="AD780" s="13">
        <v>42769</v>
      </c>
      <c r="AE780" s="12">
        <v>25.937200000000001</v>
      </c>
      <c r="AF780" s="13">
        <v>42769</v>
      </c>
      <c r="AG780" s="12">
        <v>129.7937</v>
      </c>
    </row>
    <row r="781" spans="30:33" x14ac:dyDescent="0.2">
      <c r="AD781" s="13">
        <v>42772</v>
      </c>
      <c r="AE781" s="12">
        <v>26.030799999999999</v>
      </c>
      <c r="AF781" s="13">
        <v>42772</v>
      </c>
      <c r="AG781" s="12">
        <v>130.20400000000001</v>
      </c>
    </row>
    <row r="782" spans="30:33" x14ac:dyDescent="0.2">
      <c r="AD782" s="13">
        <v>42773</v>
      </c>
      <c r="AE782" s="12">
        <v>26.051600000000001</v>
      </c>
      <c r="AF782" s="13">
        <v>42773</v>
      </c>
      <c r="AG782" s="12">
        <v>130.42580000000001</v>
      </c>
    </row>
    <row r="783" spans="30:33" x14ac:dyDescent="0.2">
      <c r="AD783" s="13">
        <v>42774</v>
      </c>
      <c r="AE783" s="12">
        <v>26.145199999999999</v>
      </c>
      <c r="AF783" s="13">
        <v>42774</v>
      </c>
      <c r="AG783" s="12">
        <v>130.88040000000001</v>
      </c>
    </row>
    <row r="784" spans="30:33" x14ac:dyDescent="0.2">
      <c r="AD784" s="13">
        <v>42775</v>
      </c>
      <c r="AE784" s="12">
        <v>26.051600000000001</v>
      </c>
      <c r="AF784" s="13">
        <v>42775</v>
      </c>
      <c r="AG784" s="12">
        <v>130.35929999999999</v>
      </c>
    </row>
    <row r="785" spans="30:33" x14ac:dyDescent="0.2">
      <c r="AD785" s="13">
        <v>42776</v>
      </c>
      <c r="AE785" s="12">
        <v>26.0412</v>
      </c>
      <c r="AF785" s="13">
        <v>42776</v>
      </c>
      <c r="AG785" s="12">
        <v>130.32599999999999</v>
      </c>
    </row>
    <row r="786" spans="30:33" x14ac:dyDescent="0.2">
      <c r="AD786" s="13">
        <v>42779</v>
      </c>
      <c r="AE786" s="12">
        <v>25.999600000000001</v>
      </c>
      <c r="AF786" s="13">
        <v>42779</v>
      </c>
      <c r="AG786" s="12">
        <v>130.2706</v>
      </c>
    </row>
    <row r="787" spans="30:33" x14ac:dyDescent="0.2">
      <c r="AD787" s="13">
        <v>42780</v>
      </c>
      <c r="AE787" s="12">
        <v>25.937200000000001</v>
      </c>
      <c r="AF787" s="13">
        <v>42780</v>
      </c>
      <c r="AG787" s="12">
        <v>129.96010000000001</v>
      </c>
    </row>
    <row r="788" spans="30:33" x14ac:dyDescent="0.2">
      <c r="AD788" s="13">
        <v>42781</v>
      </c>
      <c r="AE788" s="12">
        <v>25.885300000000001</v>
      </c>
      <c r="AF788" s="13">
        <v>42781</v>
      </c>
      <c r="AG788" s="12">
        <v>129.8603</v>
      </c>
    </row>
    <row r="789" spans="30:33" x14ac:dyDescent="0.2">
      <c r="AD789" s="13">
        <v>42782</v>
      </c>
      <c r="AE789" s="12">
        <v>25.947600000000001</v>
      </c>
      <c r="AF789" s="13">
        <v>42782</v>
      </c>
      <c r="AG789" s="12">
        <v>130.22620000000001</v>
      </c>
    </row>
    <row r="790" spans="30:33" x14ac:dyDescent="0.2">
      <c r="AD790" s="13">
        <v>42783</v>
      </c>
      <c r="AE790" s="12">
        <v>25.999600000000001</v>
      </c>
      <c r="AF790" s="13">
        <v>42783</v>
      </c>
      <c r="AG790" s="12">
        <v>130.55889999999999</v>
      </c>
    </row>
    <row r="791" spans="30:33" x14ac:dyDescent="0.2">
      <c r="AD791" s="13">
        <v>42787</v>
      </c>
      <c r="AE791" s="12">
        <v>26.01</v>
      </c>
      <c r="AF791" s="13">
        <v>42787</v>
      </c>
      <c r="AG791" s="12">
        <v>130.61429999999999</v>
      </c>
    </row>
    <row r="792" spans="30:33" x14ac:dyDescent="0.2">
      <c r="AD792" s="13">
        <v>42788</v>
      </c>
      <c r="AE792" s="12">
        <v>26.020399999999999</v>
      </c>
      <c r="AF792" s="13">
        <v>42788</v>
      </c>
      <c r="AG792" s="12">
        <v>130.7141</v>
      </c>
    </row>
    <row r="793" spans="30:33" x14ac:dyDescent="0.2">
      <c r="AD793" s="13">
        <v>42789</v>
      </c>
      <c r="AE793" s="12">
        <v>26.056799999999999</v>
      </c>
      <c r="AF793" s="13">
        <v>42789</v>
      </c>
      <c r="AG793" s="12">
        <v>131.04679999999999</v>
      </c>
    </row>
    <row r="794" spans="30:33" x14ac:dyDescent="0.2">
      <c r="AD794" s="13">
        <v>42790</v>
      </c>
      <c r="AE794" s="12">
        <v>26.1556</v>
      </c>
      <c r="AF794" s="13">
        <v>42790</v>
      </c>
      <c r="AG794" s="12">
        <v>131.71209999999999</v>
      </c>
    </row>
    <row r="795" spans="30:33" x14ac:dyDescent="0.2">
      <c r="AD795" s="13">
        <v>42793</v>
      </c>
      <c r="AE795" s="12">
        <v>26.072399999999998</v>
      </c>
      <c r="AF795" s="13">
        <v>42793</v>
      </c>
      <c r="AG795" s="12">
        <v>131.4016</v>
      </c>
    </row>
    <row r="796" spans="30:33" x14ac:dyDescent="0.2">
      <c r="AD796" s="13">
        <v>42794</v>
      </c>
      <c r="AE796" s="12">
        <v>26.072399999999998</v>
      </c>
      <c r="AF796" s="13">
        <v>42794</v>
      </c>
      <c r="AG796" s="12">
        <v>131.49029999999999</v>
      </c>
    </row>
    <row r="797" spans="30:33" x14ac:dyDescent="0.2">
      <c r="AD797" s="13">
        <v>42795</v>
      </c>
      <c r="AE797" s="12">
        <v>25.924299999999999</v>
      </c>
      <c r="AF797" s="13">
        <v>42795</v>
      </c>
      <c r="AG797" s="12">
        <v>130.715</v>
      </c>
    </row>
    <row r="798" spans="30:33" x14ac:dyDescent="0.2">
      <c r="AD798" s="13">
        <v>42796</v>
      </c>
      <c r="AE798" s="12">
        <v>25.903500000000001</v>
      </c>
      <c r="AF798" s="13">
        <v>42796</v>
      </c>
      <c r="AG798" s="12">
        <v>130.51490000000001</v>
      </c>
    </row>
    <row r="799" spans="30:33" x14ac:dyDescent="0.2">
      <c r="AD799" s="13">
        <v>42797</v>
      </c>
      <c r="AE799" s="12">
        <v>25.903500000000001</v>
      </c>
      <c r="AF799" s="13">
        <v>42797</v>
      </c>
      <c r="AG799" s="12">
        <v>130.64830000000001</v>
      </c>
    </row>
    <row r="800" spans="30:33" x14ac:dyDescent="0.2">
      <c r="AD800" s="13">
        <v>42800</v>
      </c>
      <c r="AE800" s="12">
        <v>25.903500000000001</v>
      </c>
      <c r="AF800" s="13">
        <v>42800</v>
      </c>
      <c r="AG800" s="12">
        <v>130.41480000000001</v>
      </c>
    </row>
    <row r="801" spans="30:33" x14ac:dyDescent="0.2">
      <c r="AD801" s="13">
        <v>42801</v>
      </c>
      <c r="AE801" s="12">
        <v>25.8567</v>
      </c>
      <c r="AF801" s="13">
        <v>42801</v>
      </c>
      <c r="AG801" s="12">
        <v>129.76990000000001</v>
      </c>
    </row>
    <row r="802" spans="30:33" x14ac:dyDescent="0.2">
      <c r="AD802" s="13">
        <v>42802</v>
      </c>
      <c r="AE802" s="12">
        <v>25.809799999999999</v>
      </c>
      <c r="AF802" s="13">
        <v>42802</v>
      </c>
      <c r="AG802" s="12">
        <v>129.36959999999999</v>
      </c>
    </row>
    <row r="803" spans="30:33" x14ac:dyDescent="0.2">
      <c r="AD803" s="13">
        <v>42803</v>
      </c>
      <c r="AE803" s="12">
        <v>25.736999999999998</v>
      </c>
      <c r="AF803" s="13">
        <v>42803</v>
      </c>
      <c r="AG803" s="12">
        <v>128.66909999999999</v>
      </c>
    </row>
    <row r="804" spans="30:33" x14ac:dyDescent="0.2">
      <c r="AD804" s="13">
        <v>42804</v>
      </c>
      <c r="AE804" s="12">
        <v>25.789000000000001</v>
      </c>
      <c r="AF804" s="13">
        <v>42804</v>
      </c>
      <c r="AG804" s="12">
        <v>128.99160000000001</v>
      </c>
    </row>
    <row r="805" spans="30:33" x14ac:dyDescent="0.2">
      <c r="AD805" s="13">
        <v>42807</v>
      </c>
      <c r="AE805" s="12">
        <v>25.736999999999998</v>
      </c>
      <c r="AF805" s="13">
        <v>42807</v>
      </c>
      <c r="AG805" s="12">
        <v>128.55789999999999</v>
      </c>
    </row>
    <row r="806" spans="30:33" x14ac:dyDescent="0.2">
      <c r="AD806" s="13">
        <v>42808</v>
      </c>
      <c r="AE806" s="12">
        <v>25.789000000000001</v>
      </c>
      <c r="AF806" s="13">
        <v>42808</v>
      </c>
      <c r="AG806" s="12">
        <v>128.66909999999999</v>
      </c>
    </row>
    <row r="807" spans="30:33" x14ac:dyDescent="0.2">
      <c r="AD807" s="13">
        <v>42809</v>
      </c>
      <c r="AE807" s="12">
        <v>25.8931</v>
      </c>
      <c r="AF807" s="13">
        <v>42809</v>
      </c>
      <c r="AG807" s="12">
        <v>129.78100000000001</v>
      </c>
    </row>
    <row r="808" spans="30:33" x14ac:dyDescent="0.2">
      <c r="AD808" s="13">
        <v>42810</v>
      </c>
      <c r="AE808" s="12">
        <v>25.872299999999999</v>
      </c>
      <c r="AF808" s="13">
        <v>42810</v>
      </c>
      <c r="AG808" s="12">
        <v>129.59200000000001</v>
      </c>
    </row>
    <row r="809" spans="30:33" x14ac:dyDescent="0.2">
      <c r="AD809" s="13">
        <v>42811</v>
      </c>
      <c r="AE809" s="12">
        <v>25.903500000000001</v>
      </c>
      <c r="AF809" s="13">
        <v>42811</v>
      </c>
      <c r="AG809" s="12">
        <v>129.8922</v>
      </c>
    </row>
    <row r="810" spans="30:33" x14ac:dyDescent="0.2">
      <c r="AD810" s="13">
        <v>42814</v>
      </c>
      <c r="AE810" s="12">
        <v>25.953299999999999</v>
      </c>
      <c r="AF810" s="13">
        <v>42814</v>
      </c>
      <c r="AG810" s="12">
        <v>130.20840000000001</v>
      </c>
    </row>
    <row r="811" spans="30:33" x14ac:dyDescent="0.2">
      <c r="AD811" s="13">
        <v>42815</v>
      </c>
      <c r="AE811" s="12">
        <v>26.018000000000001</v>
      </c>
      <c r="AF811" s="13">
        <v>42815</v>
      </c>
      <c r="AG811" s="12">
        <v>130.51490000000001</v>
      </c>
    </row>
    <row r="812" spans="30:33" x14ac:dyDescent="0.2">
      <c r="AD812" s="13">
        <v>42816</v>
      </c>
      <c r="AE812" s="12">
        <v>26.0596</v>
      </c>
      <c r="AF812" s="13">
        <v>42816</v>
      </c>
      <c r="AG812" s="12">
        <v>130.8485</v>
      </c>
    </row>
    <row r="813" spans="30:33" x14ac:dyDescent="0.2">
      <c r="AD813" s="13">
        <v>42817</v>
      </c>
      <c r="AE813" s="12">
        <v>26.049199999999999</v>
      </c>
      <c r="AF813" s="13">
        <v>42817</v>
      </c>
      <c r="AG813" s="12">
        <v>130.7595</v>
      </c>
    </row>
    <row r="814" spans="30:33" x14ac:dyDescent="0.2">
      <c r="AD814" s="13">
        <v>42818</v>
      </c>
      <c r="AE814" s="12">
        <v>26.049199999999999</v>
      </c>
      <c r="AF814" s="13">
        <v>42818</v>
      </c>
      <c r="AG814" s="12">
        <v>130.8929</v>
      </c>
    </row>
    <row r="815" spans="30:33" x14ac:dyDescent="0.2">
      <c r="AD815" s="13">
        <v>42821</v>
      </c>
      <c r="AE815" s="12">
        <v>26.090800000000002</v>
      </c>
      <c r="AF815" s="13">
        <v>42821</v>
      </c>
      <c r="AG815" s="12">
        <v>131.17089999999999</v>
      </c>
    </row>
    <row r="816" spans="30:33" x14ac:dyDescent="0.2">
      <c r="AD816" s="13">
        <v>42822</v>
      </c>
      <c r="AE816" s="12">
        <v>26.049199999999999</v>
      </c>
      <c r="AF816" s="13">
        <v>42822</v>
      </c>
      <c r="AG816" s="12">
        <v>130.8929</v>
      </c>
    </row>
    <row r="817" spans="30:33" x14ac:dyDescent="0.2">
      <c r="AD817" s="13">
        <v>42823</v>
      </c>
      <c r="AE817" s="12">
        <v>26.090800000000002</v>
      </c>
      <c r="AF817" s="13">
        <v>42823</v>
      </c>
      <c r="AG817" s="12">
        <v>131.31540000000001</v>
      </c>
    </row>
    <row r="818" spans="30:33" x14ac:dyDescent="0.2">
      <c r="AD818" s="13">
        <v>42824</v>
      </c>
      <c r="AE818" s="12">
        <v>26.028400000000001</v>
      </c>
      <c r="AF818" s="13">
        <v>42824</v>
      </c>
      <c r="AG818" s="12">
        <v>130.9708</v>
      </c>
    </row>
    <row r="819" spans="30:33" x14ac:dyDescent="0.2">
      <c r="AD819" s="13">
        <v>42825</v>
      </c>
      <c r="AE819" s="12">
        <v>26.07</v>
      </c>
      <c r="AF819" s="13">
        <v>42825</v>
      </c>
      <c r="AG819" s="12">
        <v>131.10419999999999</v>
      </c>
    </row>
    <row r="820" spans="30:33" x14ac:dyDescent="0.2">
      <c r="AD820" s="13">
        <v>42828</v>
      </c>
      <c r="AE820" s="12">
        <v>26.153400000000001</v>
      </c>
      <c r="AF820" s="13">
        <v>42828</v>
      </c>
      <c r="AG820" s="12">
        <v>131.69149999999999</v>
      </c>
    </row>
    <row r="821" spans="30:33" x14ac:dyDescent="0.2">
      <c r="AD821" s="13">
        <v>42829</v>
      </c>
      <c r="AE821" s="12">
        <v>26.1326</v>
      </c>
      <c r="AF821" s="13">
        <v>42829</v>
      </c>
      <c r="AG821" s="12">
        <v>131.3459</v>
      </c>
    </row>
    <row r="822" spans="30:33" x14ac:dyDescent="0.2">
      <c r="AD822" s="13">
        <v>42830</v>
      </c>
      <c r="AE822" s="12">
        <v>26.163900000000002</v>
      </c>
      <c r="AF822" s="13">
        <v>42830</v>
      </c>
      <c r="AG822" s="12">
        <v>131.51310000000001</v>
      </c>
    </row>
    <row r="823" spans="30:33" x14ac:dyDescent="0.2">
      <c r="AD823" s="13">
        <v>42831</v>
      </c>
      <c r="AE823" s="12">
        <v>26.163900000000002</v>
      </c>
      <c r="AF823" s="13">
        <v>42831</v>
      </c>
      <c r="AG823" s="12">
        <v>131.63579999999999</v>
      </c>
    </row>
    <row r="824" spans="30:33" x14ac:dyDescent="0.2">
      <c r="AD824" s="13">
        <v>42832</v>
      </c>
      <c r="AE824" s="12">
        <v>26.111799999999999</v>
      </c>
      <c r="AF824" s="13">
        <v>42832</v>
      </c>
      <c r="AG824" s="12">
        <v>131.3124</v>
      </c>
    </row>
    <row r="825" spans="30:33" x14ac:dyDescent="0.2">
      <c r="AD825" s="13">
        <v>42835</v>
      </c>
      <c r="AE825" s="12">
        <v>26.143000000000001</v>
      </c>
      <c r="AF825" s="13">
        <v>42835</v>
      </c>
      <c r="AG825" s="12">
        <v>131.55770000000001</v>
      </c>
    </row>
    <row r="826" spans="30:33" x14ac:dyDescent="0.2">
      <c r="AD826" s="13">
        <v>42836</v>
      </c>
      <c r="AE826" s="12">
        <v>26.226400000000002</v>
      </c>
      <c r="AF826" s="13">
        <v>42836</v>
      </c>
      <c r="AG826" s="12">
        <v>132.17089999999999</v>
      </c>
    </row>
    <row r="827" spans="30:33" x14ac:dyDescent="0.2">
      <c r="AD827" s="13">
        <v>42837</v>
      </c>
      <c r="AE827" s="12">
        <v>26.278500000000001</v>
      </c>
      <c r="AF827" s="13">
        <v>42837</v>
      </c>
      <c r="AG827" s="12">
        <v>132.60570000000001</v>
      </c>
    </row>
    <row r="828" spans="30:33" x14ac:dyDescent="0.2">
      <c r="AD828" s="13">
        <v>42838</v>
      </c>
      <c r="AE828" s="12">
        <v>26.341000000000001</v>
      </c>
      <c r="AF828" s="13">
        <v>42838</v>
      </c>
      <c r="AG828" s="12">
        <v>132.8287</v>
      </c>
    </row>
    <row r="829" spans="30:33" x14ac:dyDescent="0.2">
      <c r="AD829" s="13">
        <v>42842</v>
      </c>
      <c r="AE829" s="12">
        <v>26.299299999999999</v>
      </c>
      <c r="AF829" s="13">
        <v>42842</v>
      </c>
      <c r="AG829" s="12">
        <v>132.57230000000001</v>
      </c>
    </row>
    <row r="830" spans="30:33" x14ac:dyDescent="0.2">
      <c r="AD830" s="13">
        <v>42843</v>
      </c>
      <c r="AE830" s="12">
        <v>26.424399999999999</v>
      </c>
      <c r="AF830" s="13">
        <v>42843</v>
      </c>
      <c r="AG830" s="12">
        <v>133.3527</v>
      </c>
    </row>
    <row r="831" spans="30:33" x14ac:dyDescent="0.2">
      <c r="AD831" s="13">
        <v>42844</v>
      </c>
      <c r="AE831" s="12">
        <v>26.372299999999999</v>
      </c>
      <c r="AF831" s="13">
        <v>42844</v>
      </c>
      <c r="AG831" s="12">
        <v>132.9513</v>
      </c>
    </row>
    <row r="832" spans="30:33" x14ac:dyDescent="0.2">
      <c r="AD832" s="13">
        <v>42845</v>
      </c>
      <c r="AE832" s="12">
        <v>26.3306</v>
      </c>
      <c r="AF832" s="13">
        <v>42845</v>
      </c>
      <c r="AG832" s="12">
        <v>132.76179999999999</v>
      </c>
    </row>
    <row r="833" spans="30:33" x14ac:dyDescent="0.2">
      <c r="AD833" s="13">
        <v>42846</v>
      </c>
      <c r="AE833" s="12">
        <v>26.3306</v>
      </c>
      <c r="AF833" s="13">
        <v>42846</v>
      </c>
      <c r="AG833" s="12">
        <v>132.76179999999999</v>
      </c>
    </row>
    <row r="834" spans="30:33" x14ac:dyDescent="0.2">
      <c r="AD834" s="13">
        <v>42849</v>
      </c>
      <c r="AE834" s="12">
        <v>26.278500000000001</v>
      </c>
      <c r="AF834" s="13">
        <v>42849</v>
      </c>
      <c r="AG834" s="12">
        <v>132.58340000000001</v>
      </c>
    </row>
    <row r="835" spans="30:33" x14ac:dyDescent="0.2">
      <c r="AD835" s="13">
        <v>42850</v>
      </c>
      <c r="AE835" s="12">
        <v>26.1951</v>
      </c>
      <c r="AF835" s="13">
        <v>42850</v>
      </c>
      <c r="AG835" s="12">
        <v>132.05940000000001</v>
      </c>
    </row>
    <row r="836" spans="30:33" x14ac:dyDescent="0.2">
      <c r="AD836" s="13">
        <v>42851</v>
      </c>
      <c r="AE836" s="12">
        <v>26.236799999999999</v>
      </c>
      <c r="AF836" s="13">
        <v>42851</v>
      </c>
      <c r="AG836" s="12">
        <v>132.3827</v>
      </c>
    </row>
    <row r="837" spans="30:33" x14ac:dyDescent="0.2">
      <c r="AD837" s="13">
        <v>42852</v>
      </c>
      <c r="AE837" s="12">
        <v>26.2576</v>
      </c>
      <c r="AF837" s="13">
        <v>42852</v>
      </c>
      <c r="AG837" s="12">
        <v>132.50540000000001</v>
      </c>
    </row>
    <row r="838" spans="30:33" x14ac:dyDescent="0.2">
      <c r="AD838" s="13">
        <v>42853</v>
      </c>
      <c r="AE838" s="12">
        <v>26.2576</v>
      </c>
      <c r="AF838" s="13">
        <v>42853</v>
      </c>
      <c r="AG838" s="12">
        <v>132.66149999999999</v>
      </c>
    </row>
    <row r="839" spans="30:33" x14ac:dyDescent="0.2">
      <c r="AD839" s="13">
        <v>42856</v>
      </c>
      <c r="AE839" s="12">
        <v>26.218699999999998</v>
      </c>
      <c r="AF839" s="13">
        <v>42856</v>
      </c>
      <c r="AG839" s="12">
        <v>132.2508</v>
      </c>
    </row>
    <row r="840" spans="30:33" x14ac:dyDescent="0.2">
      <c r="AD840" s="13">
        <v>42857</v>
      </c>
      <c r="AE840" s="12">
        <v>26.260400000000001</v>
      </c>
      <c r="AF840" s="13">
        <v>42857</v>
      </c>
      <c r="AG840" s="12">
        <v>132.6421</v>
      </c>
    </row>
    <row r="841" spans="30:33" x14ac:dyDescent="0.2">
      <c r="AD841" s="13">
        <v>42858</v>
      </c>
      <c r="AE841" s="12">
        <v>26.229099999999999</v>
      </c>
      <c r="AF841" s="13">
        <v>42858</v>
      </c>
      <c r="AG841" s="12">
        <v>132.57499999999999</v>
      </c>
    </row>
    <row r="842" spans="30:33" x14ac:dyDescent="0.2">
      <c r="AD842" s="13">
        <v>42859</v>
      </c>
      <c r="AE842" s="12">
        <v>26.1874</v>
      </c>
      <c r="AF842" s="13">
        <v>42859</v>
      </c>
      <c r="AG842" s="12">
        <v>132.31790000000001</v>
      </c>
    </row>
    <row r="843" spans="30:33" x14ac:dyDescent="0.2">
      <c r="AD843" s="13">
        <v>42860</v>
      </c>
      <c r="AE843" s="12">
        <v>26.1874</v>
      </c>
      <c r="AF843" s="13">
        <v>42860</v>
      </c>
      <c r="AG843" s="12">
        <v>132.36259999999999</v>
      </c>
    </row>
    <row r="844" spans="30:33" x14ac:dyDescent="0.2">
      <c r="AD844" s="13">
        <v>42863</v>
      </c>
      <c r="AE844" s="12">
        <v>26.156099999999999</v>
      </c>
      <c r="AF844" s="13">
        <v>42863</v>
      </c>
      <c r="AG844" s="12">
        <v>132.12780000000001</v>
      </c>
    </row>
    <row r="845" spans="30:33" x14ac:dyDescent="0.2">
      <c r="AD845" s="13">
        <v>42864</v>
      </c>
      <c r="AE845" s="12">
        <v>26.1143</v>
      </c>
      <c r="AF845" s="13">
        <v>42864</v>
      </c>
      <c r="AG845" s="12">
        <v>132.15020000000001</v>
      </c>
    </row>
    <row r="846" spans="30:33" x14ac:dyDescent="0.2">
      <c r="AD846" s="13">
        <v>42865</v>
      </c>
      <c r="AE846" s="12">
        <v>26.1248</v>
      </c>
      <c r="AF846" s="13">
        <v>42865</v>
      </c>
      <c r="AG846" s="12">
        <v>132.32910000000001</v>
      </c>
    </row>
    <row r="847" spans="30:33" x14ac:dyDescent="0.2">
      <c r="AD847" s="13">
        <v>42866</v>
      </c>
      <c r="AE847" s="12">
        <v>26.145600000000002</v>
      </c>
      <c r="AF847" s="13">
        <v>42866</v>
      </c>
      <c r="AG847" s="12">
        <v>132.39609999999999</v>
      </c>
    </row>
    <row r="848" spans="30:33" x14ac:dyDescent="0.2">
      <c r="AD848" s="13">
        <v>42867</v>
      </c>
      <c r="AE848" s="12">
        <v>26.218699999999998</v>
      </c>
      <c r="AF848" s="13">
        <v>42867</v>
      </c>
      <c r="AG848" s="12">
        <v>133.0669</v>
      </c>
    </row>
    <row r="849" spans="30:33" x14ac:dyDescent="0.2">
      <c r="AD849" s="13">
        <v>42870</v>
      </c>
      <c r="AE849" s="12">
        <v>26.197800000000001</v>
      </c>
      <c r="AF849" s="13">
        <v>42870</v>
      </c>
      <c r="AG849" s="12">
        <v>133.0557</v>
      </c>
    </row>
    <row r="850" spans="30:33" x14ac:dyDescent="0.2">
      <c r="AD850" s="13">
        <v>42871</v>
      </c>
      <c r="AE850" s="12">
        <v>26.2395</v>
      </c>
      <c r="AF850" s="13">
        <v>42871</v>
      </c>
      <c r="AG850" s="12">
        <v>133.2458</v>
      </c>
    </row>
    <row r="851" spans="30:33" x14ac:dyDescent="0.2">
      <c r="AD851" s="13">
        <v>42872</v>
      </c>
      <c r="AE851" s="12">
        <v>26.3856</v>
      </c>
      <c r="AF851" s="13">
        <v>42872</v>
      </c>
      <c r="AG851" s="12">
        <v>134.06190000000001</v>
      </c>
    </row>
    <row r="852" spans="30:33" x14ac:dyDescent="0.2">
      <c r="AD852" s="13">
        <v>42873</v>
      </c>
      <c r="AE852" s="12">
        <v>26.3752</v>
      </c>
      <c r="AF852" s="13">
        <v>42873</v>
      </c>
      <c r="AG852" s="12">
        <v>134.0395</v>
      </c>
    </row>
    <row r="853" spans="30:33" x14ac:dyDescent="0.2">
      <c r="AD853" s="13">
        <v>42874</v>
      </c>
      <c r="AE853" s="12">
        <v>26.364699999999999</v>
      </c>
      <c r="AF853" s="13">
        <v>42874</v>
      </c>
      <c r="AG853" s="12">
        <v>134.11770000000001</v>
      </c>
    </row>
    <row r="854" spans="30:33" x14ac:dyDescent="0.2">
      <c r="AD854" s="13">
        <v>42877</v>
      </c>
      <c r="AE854" s="12">
        <v>26.343900000000001</v>
      </c>
      <c r="AF854" s="13">
        <v>42877</v>
      </c>
      <c r="AG854" s="12">
        <v>134.006</v>
      </c>
    </row>
    <row r="855" spans="30:33" x14ac:dyDescent="0.2">
      <c r="AD855" s="13">
        <v>42878</v>
      </c>
      <c r="AE855" s="12">
        <v>26.281300000000002</v>
      </c>
      <c r="AF855" s="13">
        <v>42878</v>
      </c>
      <c r="AG855" s="12">
        <v>133.59229999999999</v>
      </c>
    </row>
    <row r="856" spans="30:33" x14ac:dyDescent="0.2">
      <c r="AD856" s="13">
        <v>42879</v>
      </c>
      <c r="AE856" s="12">
        <v>26.333400000000001</v>
      </c>
      <c r="AF856" s="13">
        <v>42879</v>
      </c>
      <c r="AG856" s="12">
        <v>133.8047</v>
      </c>
    </row>
    <row r="857" spans="30:33" x14ac:dyDescent="0.2">
      <c r="AD857" s="13">
        <v>42880</v>
      </c>
      <c r="AE857" s="12">
        <v>26.343900000000001</v>
      </c>
      <c r="AF857" s="13">
        <v>42880</v>
      </c>
      <c r="AG857" s="12">
        <v>133.86060000000001</v>
      </c>
    </row>
    <row r="858" spans="30:33" x14ac:dyDescent="0.2">
      <c r="AD858" s="13">
        <v>42881</v>
      </c>
      <c r="AE858" s="12">
        <v>26.364699999999999</v>
      </c>
      <c r="AF858" s="13">
        <v>42881</v>
      </c>
      <c r="AG858" s="12">
        <v>133.96119999999999</v>
      </c>
    </row>
    <row r="859" spans="30:33" x14ac:dyDescent="0.2">
      <c r="AD859" s="13">
        <v>42885</v>
      </c>
      <c r="AE859" s="12">
        <v>26.406500000000001</v>
      </c>
      <c r="AF859" s="13">
        <v>42885</v>
      </c>
      <c r="AG859" s="12">
        <v>134.27430000000001</v>
      </c>
    </row>
    <row r="860" spans="30:33" x14ac:dyDescent="0.2">
      <c r="AD860" s="13">
        <v>42886</v>
      </c>
      <c r="AE860" s="12">
        <v>26.416899999999998</v>
      </c>
      <c r="AF860" s="13">
        <v>42886</v>
      </c>
      <c r="AG860" s="12">
        <v>134.4308</v>
      </c>
    </row>
    <row r="861" spans="30:33" x14ac:dyDescent="0.2">
      <c r="AD861" s="13">
        <v>42887</v>
      </c>
      <c r="AE861" s="12">
        <v>26.4209</v>
      </c>
      <c r="AF861" s="13">
        <v>42887</v>
      </c>
      <c r="AG861" s="12">
        <v>134.46019999999999</v>
      </c>
    </row>
    <row r="862" spans="30:33" x14ac:dyDescent="0.2">
      <c r="AD862" s="13">
        <v>42888</v>
      </c>
      <c r="AE862" s="12">
        <v>26.4941</v>
      </c>
      <c r="AF862" s="13">
        <v>42888</v>
      </c>
      <c r="AG862" s="12">
        <v>135.08789999999999</v>
      </c>
    </row>
    <row r="863" spans="30:33" x14ac:dyDescent="0.2">
      <c r="AD863" s="13">
        <v>42891</v>
      </c>
      <c r="AE863" s="12">
        <v>26.462700000000002</v>
      </c>
      <c r="AF863" s="13">
        <v>42891</v>
      </c>
      <c r="AG863" s="12">
        <v>134.70679999999999</v>
      </c>
    </row>
    <row r="864" spans="30:33" x14ac:dyDescent="0.2">
      <c r="AD864" s="13">
        <v>42892</v>
      </c>
      <c r="AE864" s="12">
        <v>26.525400000000001</v>
      </c>
      <c r="AF864" s="13">
        <v>42892</v>
      </c>
      <c r="AG864" s="12">
        <v>135.09909999999999</v>
      </c>
    </row>
    <row r="865" spans="30:33" x14ac:dyDescent="0.2">
      <c r="AD865" s="13">
        <v>42893</v>
      </c>
      <c r="AE865" s="12">
        <v>26.462700000000002</v>
      </c>
      <c r="AF865" s="13">
        <v>42893</v>
      </c>
      <c r="AG865" s="12">
        <v>134.93100000000001</v>
      </c>
    </row>
    <row r="866" spans="30:33" x14ac:dyDescent="0.2">
      <c r="AD866" s="13">
        <v>42894</v>
      </c>
      <c r="AE866" s="12">
        <v>26.452300000000001</v>
      </c>
      <c r="AF866" s="13">
        <v>42894</v>
      </c>
      <c r="AG866" s="12">
        <v>134.69560000000001</v>
      </c>
    </row>
    <row r="867" spans="30:33" x14ac:dyDescent="0.2">
      <c r="AD867" s="13">
        <v>42895</v>
      </c>
      <c r="AE867" s="12">
        <v>26.4314</v>
      </c>
      <c r="AF867" s="13">
        <v>42895</v>
      </c>
      <c r="AG867" s="12">
        <v>134.56110000000001</v>
      </c>
    </row>
    <row r="868" spans="30:33" x14ac:dyDescent="0.2">
      <c r="AD868" s="13">
        <v>42898</v>
      </c>
      <c r="AE868" s="12">
        <v>26.410499999999999</v>
      </c>
      <c r="AF868" s="13">
        <v>42898</v>
      </c>
      <c r="AG868" s="12">
        <v>134.59469999999999</v>
      </c>
    </row>
    <row r="869" spans="30:33" x14ac:dyDescent="0.2">
      <c r="AD869" s="13">
        <v>42899</v>
      </c>
      <c r="AE869" s="12">
        <v>26.4209</v>
      </c>
      <c r="AF869" s="13">
        <v>42899</v>
      </c>
      <c r="AG869" s="12">
        <v>134.74039999999999</v>
      </c>
    </row>
    <row r="870" spans="30:33" x14ac:dyDescent="0.2">
      <c r="AD870" s="13">
        <v>42900</v>
      </c>
      <c r="AE870" s="12">
        <v>26.535799999999998</v>
      </c>
      <c r="AF870" s="13">
        <v>42900</v>
      </c>
      <c r="AG870" s="12">
        <v>135.65950000000001</v>
      </c>
    </row>
    <row r="871" spans="30:33" x14ac:dyDescent="0.2">
      <c r="AD871" s="13">
        <v>42901</v>
      </c>
      <c r="AE871" s="12">
        <v>26.5045</v>
      </c>
      <c r="AF871" s="13">
        <v>42901</v>
      </c>
      <c r="AG871" s="12">
        <v>135.33449999999999</v>
      </c>
    </row>
    <row r="872" spans="30:33" x14ac:dyDescent="0.2">
      <c r="AD872" s="13">
        <v>42902</v>
      </c>
      <c r="AE872" s="12">
        <v>26.515000000000001</v>
      </c>
      <c r="AF872" s="13">
        <v>42902</v>
      </c>
      <c r="AG872" s="12">
        <v>135.44659999999999</v>
      </c>
    </row>
    <row r="873" spans="30:33" x14ac:dyDescent="0.2">
      <c r="AD873" s="13">
        <v>42905</v>
      </c>
      <c r="AE873" s="12">
        <v>26.473199999999999</v>
      </c>
      <c r="AF873" s="13">
        <v>42905</v>
      </c>
      <c r="AG873" s="12">
        <v>135.2784</v>
      </c>
    </row>
    <row r="874" spans="30:33" x14ac:dyDescent="0.2">
      <c r="AD874" s="13">
        <v>42906</v>
      </c>
      <c r="AE874" s="12">
        <v>26.535799999999998</v>
      </c>
      <c r="AF874" s="13">
        <v>42906</v>
      </c>
      <c r="AG874" s="12">
        <v>135.58109999999999</v>
      </c>
    </row>
    <row r="875" spans="30:33" x14ac:dyDescent="0.2">
      <c r="AD875" s="13">
        <v>42907</v>
      </c>
      <c r="AE875" s="12">
        <v>26.546299999999999</v>
      </c>
      <c r="AF875" s="13">
        <v>42907</v>
      </c>
      <c r="AG875" s="12">
        <v>135.64830000000001</v>
      </c>
    </row>
    <row r="876" spans="30:33" x14ac:dyDescent="0.2">
      <c r="AD876" s="13">
        <v>42908</v>
      </c>
      <c r="AE876" s="12">
        <v>26.556699999999999</v>
      </c>
      <c r="AF876" s="13">
        <v>42908</v>
      </c>
      <c r="AG876" s="12">
        <v>135.7604</v>
      </c>
    </row>
    <row r="877" spans="30:33" x14ac:dyDescent="0.2">
      <c r="AD877" s="13">
        <v>42909</v>
      </c>
      <c r="AE877" s="12">
        <v>26.556699999999999</v>
      </c>
      <c r="AF877" s="13">
        <v>42909</v>
      </c>
      <c r="AG877" s="12">
        <v>135.82769999999999</v>
      </c>
    </row>
    <row r="878" spans="30:33" x14ac:dyDescent="0.2">
      <c r="AD878" s="13">
        <v>42912</v>
      </c>
      <c r="AE878" s="12">
        <v>26.588100000000001</v>
      </c>
      <c r="AF878" s="13">
        <v>42912</v>
      </c>
      <c r="AG878" s="12">
        <v>136.07429999999999</v>
      </c>
    </row>
    <row r="879" spans="30:33" x14ac:dyDescent="0.2">
      <c r="AD879" s="13">
        <v>42913</v>
      </c>
      <c r="AE879" s="12">
        <v>26.4941</v>
      </c>
      <c r="AF879" s="13">
        <v>42913</v>
      </c>
      <c r="AG879" s="12">
        <v>135.45779999999999</v>
      </c>
    </row>
    <row r="880" spans="30:33" x14ac:dyDescent="0.2">
      <c r="AD880" s="13">
        <v>42914</v>
      </c>
      <c r="AE880" s="12">
        <v>26.5045</v>
      </c>
      <c r="AF880" s="13">
        <v>42914</v>
      </c>
      <c r="AG880" s="12">
        <v>135.6035</v>
      </c>
    </row>
    <row r="881" spans="30:33" x14ac:dyDescent="0.2">
      <c r="AD881" s="13">
        <v>42915</v>
      </c>
      <c r="AE881" s="12">
        <v>26.441800000000001</v>
      </c>
      <c r="AF881" s="13">
        <v>42915</v>
      </c>
      <c r="AG881" s="12">
        <v>135.18879999999999</v>
      </c>
    </row>
    <row r="882" spans="30:33" x14ac:dyDescent="0.2">
      <c r="AD882" s="13">
        <v>42916</v>
      </c>
      <c r="AE882" s="12">
        <v>26.389600000000002</v>
      </c>
      <c r="AF882" s="13">
        <v>42916</v>
      </c>
      <c r="AG882" s="12">
        <v>135.07669999999999</v>
      </c>
    </row>
    <row r="883" spans="30:33" x14ac:dyDescent="0.2">
      <c r="AD883" s="13">
        <v>42919</v>
      </c>
      <c r="AE883" s="12">
        <v>26.341000000000001</v>
      </c>
      <c r="AF883" s="13">
        <v>42919</v>
      </c>
      <c r="AG883" s="12">
        <v>134.78540000000001</v>
      </c>
    </row>
    <row r="884" spans="30:33" x14ac:dyDescent="0.2">
      <c r="AD884" s="13">
        <v>42921</v>
      </c>
      <c r="AE884" s="12">
        <v>26.341000000000001</v>
      </c>
      <c r="AF884" s="13">
        <v>42921</v>
      </c>
      <c r="AG884" s="12">
        <v>135.0102</v>
      </c>
    </row>
    <row r="885" spans="30:33" x14ac:dyDescent="0.2">
      <c r="AD885" s="13">
        <v>42922</v>
      </c>
      <c r="AE885" s="12">
        <v>26.3096</v>
      </c>
      <c r="AF885" s="13">
        <v>42922</v>
      </c>
      <c r="AG885" s="12">
        <v>134.6618</v>
      </c>
    </row>
    <row r="886" spans="30:33" x14ac:dyDescent="0.2">
      <c r="AD886" s="13">
        <v>42923</v>
      </c>
      <c r="AE886" s="12">
        <v>26.278199999999998</v>
      </c>
      <c r="AF886" s="13">
        <v>42923</v>
      </c>
      <c r="AG886" s="12">
        <v>134.54939999999999</v>
      </c>
    </row>
    <row r="887" spans="30:33" x14ac:dyDescent="0.2">
      <c r="AD887" s="13">
        <v>42926</v>
      </c>
      <c r="AE887" s="12">
        <v>26.3096</v>
      </c>
      <c r="AF887" s="13">
        <v>42926</v>
      </c>
      <c r="AG887" s="12">
        <v>134.77420000000001</v>
      </c>
    </row>
    <row r="888" spans="30:33" x14ac:dyDescent="0.2">
      <c r="AD888" s="13">
        <v>42927</v>
      </c>
      <c r="AE888" s="12">
        <v>26.3096</v>
      </c>
      <c r="AF888" s="13">
        <v>42927</v>
      </c>
      <c r="AG888" s="12">
        <v>134.8304</v>
      </c>
    </row>
    <row r="889" spans="30:33" x14ac:dyDescent="0.2">
      <c r="AD889" s="13">
        <v>42928</v>
      </c>
      <c r="AE889" s="12">
        <v>26.372399999999999</v>
      </c>
      <c r="AF889" s="13">
        <v>42928</v>
      </c>
      <c r="AG889" s="12">
        <v>135.42599999999999</v>
      </c>
    </row>
    <row r="890" spans="30:33" x14ac:dyDescent="0.2">
      <c r="AD890" s="13">
        <v>42929</v>
      </c>
      <c r="AE890" s="12">
        <v>26.351500000000001</v>
      </c>
      <c r="AF890" s="13">
        <v>42929</v>
      </c>
      <c r="AG890" s="12">
        <v>135.19</v>
      </c>
    </row>
    <row r="891" spans="30:33" x14ac:dyDescent="0.2">
      <c r="AD891" s="13">
        <v>42930</v>
      </c>
      <c r="AE891" s="12">
        <v>26.372399999999999</v>
      </c>
      <c r="AF891" s="13">
        <v>42930</v>
      </c>
      <c r="AG891" s="12">
        <v>135.50470000000001</v>
      </c>
    </row>
    <row r="892" spans="30:33" x14ac:dyDescent="0.2">
      <c r="AD892" s="13">
        <v>42933</v>
      </c>
      <c r="AE892" s="12">
        <v>26.3828</v>
      </c>
      <c r="AF892" s="13">
        <v>42933</v>
      </c>
      <c r="AG892" s="12">
        <v>135.6283</v>
      </c>
    </row>
    <row r="893" spans="30:33" x14ac:dyDescent="0.2">
      <c r="AD893" s="13">
        <v>42934</v>
      </c>
      <c r="AE893" s="12">
        <v>26.456099999999999</v>
      </c>
      <c r="AF893" s="13">
        <v>42934</v>
      </c>
      <c r="AG893" s="12">
        <v>136.21270000000001</v>
      </c>
    </row>
    <row r="894" spans="30:33" x14ac:dyDescent="0.2">
      <c r="AD894" s="13">
        <v>42935</v>
      </c>
      <c r="AE894" s="12">
        <v>26.4665</v>
      </c>
      <c r="AF894" s="13">
        <v>42935</v>
      </c>
      <c r="AG894" s="12">
        <v>136.1678</v>
      </c>
    </row>
    <row r="895" spans="30:33" x14ac:dyDescent="0.2">
      <c r="AD895" s="13">
        <v>42936</v>
      </c>
      <c r="AE895" s="12">
        <v>26.4665</v>
      </c>
      <c r="AF895" s="13">
        <v>42936</v>
      </c>
      <c r="AG895" s="12">
        <v>136.29140000000001</v>
      </c>
    </row>
    <row r="896" spans="30:33" x14ac:dyDescent="0.2">
      <c r="AD896" s="13">
        <v>42937</v>
      </c>
      <c r="AE896" s="12">
        <v>26.518799999999999</v>
      </c>
      <c r="AF896" s="13">
        <v>42937</v>
      </c>
      <c r="AG896" s="12">
        <v>136.6061</v>
      </c>
    </row>
    <row r="897" spans="30:33" x14ac:dyDescent="0.2">
      <c r="AD897" s="13">
        <v>42940</v>
      </c>
      <c r="AE897" s="12">
        <v>26.4665</v>
      </c>
      <c r="AF897" s="13">
        <v>42940</v>
      </c>
      <c r="AG897" s="12">
        <v>136.4487</v>
      </c>
    </row>
    <row r="898" spans="30:33" x14ac:dyDescent="0.2">
      <c r="AD898" s="13">
        <v>42941</v>
      </c>
      <c r="AE898" s="12">
        <v>26.372399999999999</v>
      </c>
      <c r="AF898" s="13">
        <v>42941</v>
      </c>
      <c r="AG898" s="12">
        <v>135.6396</v>
      </c>
    </row>
    <row r="899" spans="30:33" x14ac:dyDescent="0.2">
      <c r="AD899" s="13">
        <v>42942</v>
      </c>
      <c r="AE899" s="12">
        <v>26.435099999999998</v>
      </c>
      <c r="AF899" s="13">
        <v>42942</v>
      </c>
      <c r="AG899" s="12">
        <v>136.0891</v>
      </c>
    </row>
    <row r="900" spans="30:33" x14ac:dyDescent="0.2">
      <c r="AD900" s="13">
        <v>42943</v>
      </c>
      <c r="AE900" s="12">
        <v>26.3828</v>
      </c>
      <c r="AF900" s="13">
        <v>42943</v>
      </c>
      <c r="AG900" s="12">
        <v>135.75200000000001</v>
      </c>
    </row>
    <row r="901" spans="30:33" x14ac:dyDescent="0.2">
      <c r="AD901" s="13">
        <v>42944</v>
      </c>
      <c r="AE901" s="12">
        <v>26.424700000000001</v>
      </c>
      <c r="AF901" s="13">
        <v>42944</v>
      </c>
      <c r="AG901" s="12">
        <v>136.11160000000001</v>
      </c>
    </row>
    <row r="902" spans="30:33" x14ac:dyDescent="0.2">
      <c r="AD902" s="13">
        <v>42947</v>
      </c>
      <c r="AE902" s="12">
        <v>26.435099999999998</v>
      </c>
      <c r="AF902" s="13">
        <v>42947</v>
      </c>
      <c r="AG902" s="12">
        <v>136.11160000000001</v>
      </c>
    </row>
    <row r="903" spans="30:33" x14ac:dyDescent="0.2">
      <c r="AD903" s="13">
        <v>42948</v>
      </c>
      <c r="AE903" s="12">
        <v>26.4923</v>
      </c>
      <c r="AF903" s="13">
        <v>42948</v>
      </c>
      <c r="AG903" s="12">
        <v>136.6037</v>
      </c>
    </row>
    <row r="904" spans="30:33" x14ac:dyDescent="0.2">
      <c r="AD904" s="13">
        <v>42949</v>
      </c>
      <c r="AE904" s="12">
        <v>26.487100000000002</v>
      </c>
      <c r="AF904" s="13">
        <v>42949</v>
      </c>
      <c r="AG904" s="12">
        <v>136.3896</v>
      </c>
    </row>
    <row r="905" spans="30:33" x14ac:dyDescent="0.2">
      <c r="AD905" s="13">
        <v>42950</v>
      </c>
      <c r="AE905" s="12">
        <v>26.544699999999999</v>
      </c>
      <c r="AF905" s="13">
        <v>42950</v>
      </c>
      <c r="AG905" s="12">
        <v>136.58109999999999</v>
      </c>
    </row>
    <row r="906" spans="30:33" x14ac:dyDescent="0.2">
      <c r="AD906" s="13">
        <v>42951</v>
      </c>
      <c r="AE906" s="12">
        <v>26.497599999999998</v>
      </c>
      <c r="AF906" s="13">
        <v>42951</v>
      </c>
      <c r="AG906" s="12">
        <v>136.0515</v>
      </c>
    </row>
    <row r="907" spans="30:33" x14ac:dyDescent="0.2">
      <c r="AD907" s="13">
        <v>42954</v>
      </c>
      <c r="AE907" s="12">
        <v>26.502800000000001</v>
      </c>
      <c r="AF907" s="13">
        <v>42954</v>
      </c>
      <c r="AG907" s="12">
        <v>136.08529999999999</v>
      </c>
    </row>
    <row r="908" spans="30:33" x14ac:dyDescent="0.2">
      <c r="AD908" s="13">
        <v>42955</v>
      </c>
      <c r="AE908" s="12">
        <v>26.4923</v>
      </c>
      <c r="AF908" s="13">
        <v>42955</v>
      </c>
      <c r="AG908" s="12">
        <v>135.43180000000001</v>
      </c>
    </row>
    <row r="909" spans="30:33" x14ac:dyDescent="0.2">
      <c r="AD909" s="13">
        <v>42956</v>
      </c>
      <c r="AE909" s="12">
        <v>26.523800000000001</v>
      </c>
      <c r="AF909" s="13">
        <v>42956</v>
      </c>
      <c r="AG909" s="12">
        <v>135.56700000000001</v>
      </c>
    </row>
    <row r="910" spans="30:33" x14ac:dyDescent="0.2">
      <c r="AD910" s="13">
        <v>42957</v>
      </c>
      <c r="AE910" s="12">
        <v>26.591799999999999</v>
      </c>
      <c r="AF910" s="13">
        <v>42957</v>
      </c>
      <c r="AG910" s="12">
        <v>135.52189999999999</v>
      </c>
    </row>
    <row r="911" spans="30:33" x14ac:dyDescent="0.2">
      <c r="AD911" s="13">
        <v>42958</v>
      </c>
      <c r="AE911" s="12">
        <v>26.6128</v>
      </c>
      <c r="AF911" s="13">
        <v>42958</v>
      </c>
      <c r="AG911" s="12">
        <v>135.7698</v>
      </c>
    </row>
    <row r="912" spans="30:33" x14ac:dyDescent="0.2">
      <c r="AD912" s="13">
        <v>42961</v>
      </c>
      <c r="AE912" s="12">
        <v>26.570900000000002</v>
      </c>
      <c r="AF912" s="13">
        <v>42961</v>
      </c>
      <c r="AG912" s="12">
        <v>135.6797</v>
      </c>
    </row>
    <row r="913" spans="30:33" x14ac:dyDescent="0.2">
      <c r="AD913" s="13">
        <v>42962</v>
      </c>
      <c r="AE913" s="12">
        <v>26.523800000000001</v>
      </c>
      <c r="AF913" s="13">
        <v>42962</v>
      </c>
      <c r="AG913" s="12">
        <v>135.52189999999999</v>
      </c>
    </row>
    <row r="914" spans="30:33" x14ac:dyDescent="0.2">
      <c r="AD914" s="13">
        <v>42963</v>
      </c>
      <c r="AE914" s="12">
        <v>26.549900000000001</v>
      </c>
      <c r="AF914" s="13">
        <v>42963</v>
      </c>
      <c r="AG914" s="12">
        <v>135.9051</v>
      </c>
    </row>
    <row r="915" spans="30:33" x14ac:dyDescent="0.2">
      <c r="AD915" s="13">
        <v>42964</v>
      </c>
      <c r="AE915" s="12">
        <v>26.617999999999999</v>
      </c>
      <c r="AF915" s="13">
        <v>42964</v>
      </c>
      <c r="AG915" s="12">
        <v>136.0403</v>
      </c>
    </row>
    <row r="916" spans="30:33" x14ac:dyDescent="0.2">
      <c r="AD916" s="13">
        <v>42965</v>
      </c>
      <c r="AE916" s="12">
        <v>26.617999999999999</v>
      </c>
      <c r="AF916" s="13">
        <v>42965</v>
      </c>
      <c r="AG916" s="12">
        <v>135.95009999999999</v>
      </c>
    </row>
    <row r="917" spans="30:33" x14ac:dyDescent="0.2">
      <c r="AD917" s="13">
        <v>42968</v>
      </c>
      <c r="AE917" s="12">
        <v>26.638999999999999</v>
      </c>
      <c r="AF917" s="13">
        <v>42968</v>
      </c>
      <c r="AG917" s="12">
        <v>136.14169999999999</v>
      </c>
    </row>
    <row r="918" spans="30:33" x14ac:dyDescent="0.2">
      <c r="AD918" s="13">
        <v>42969</v>
      </c>
      <c r="AE918" s="12">
        <v>26.597100000000001</v>
      </c>
      <c r="AF918" s="13">
        <v>42969</v>
      </c>
      <c r="AG918" s="12">
        <v>136.00649999999999</v>
      </c>
    </row>
    <row r="919" spans="30:33" x14ac:dyDescent="0.2">
      <c r="AD919" s="13">
        <v>42970</v>
      </c>
      <c r="AE919" s="12">
        <v>26.6599</v>
      </c>
      <c r="AF919" s="13">
        <v>42970</v>
      </c>
      <c r="AG919" s="12">
        <v>136.5248</v>
      </c>
    </row>
    <row r="920" spans="30:33" x14ac:dyDescent="0.2">
      <c r="AD920" s="13">
        <v>42971</v>
      </c>
      <c r="AE920" s="12">
        <v>26.617999999999999</v>
      </c>
      <c r="AF920" s="13">
        <v>42971</v>
      </c>
      <c r="AG920" s="12">
        <v>136.26560000000001</v>
      </c>
    </row>
    <row r="921" spans="30:33" x14ac:dyDescent="0.2">
      <c r="AD921" s="13">
        <v>42972</v>
      </c>
      <c r="AE921" s="12">
        <v>26.6599</v>
      </c>
      <c r="AF921" s="13">
        <v>42972</v>
      </c>
      <c r="AG921" s="12">
        <v>136.58109999999999</v>
      </c>
    </row>
    <row r="922" spans="30:33" x14ac:dyDescent="0.2">
      <c r="AD922" s="13">
        <v>42975</v>
      </c>
      <c r="AE922" s="12">
        <v>26.670400000000001</v>
      </c>
      <c r="AF922" s="13">
        <v>42975</v>
      </c>
      <c r="AG922" s="12">
        <v>136.58109999999999</v>
      </c>
    </row>
    <row r="923" spans="30:33" x14ac:dyDescent="0.2">
      <c r="AD923" s="13">
        <v>42976</v>
      </c>
      <c r="AE923" s="12">
        <v>26.691400000000002</v>
      </c>
      <c r="AF923" s="13">
        <v>42976</v>
      </c>
      <c r="AG923" s="12">
        <v>136.68260000000001</v>
      </c>
    </row>
    <row r="924" spans="30:33" x14ac:dyDescent="0.2">
      <c r="AD924" s="13">
        <v>42977</v>
      </c>
      <c r="AE924" s="12">
        <v>26.691400000000002</v>
      </c>
      <c r="AF924" s="13">
        <v>42977</v>
      </c>
      <c r="AG924" s="12">
        <v>136.79519999999999</v>
      </c>
    </row>
    <row r="925" spans="30:33" x14ac:dyDescent="0.2">
      <c r="AD925" s="13">
        <v>42978</v>
      </c>
      <c r="AE925" s="12">
        <v>26.712299999999999</v>
      </c>
      <c r="AF925" s="13">
        <v>42978</v>
      </c>
      <c r="AG925" s="12">
        <v>137.03190000000001</v>
      </c>
    </row>
    <row r="926" spans="30:33" x14ac:dyDescent="0.2">
      <c r="AD926" s="13">
        <v>42979</v>
      </c>
      <c r="AE926" s="12">
        <v>26.6599</v>
      </c>
      <c r="AF926" s="13">
        <v>42979</v>
      </c>
      <c r="AG926" s="12">
        <v>136.49119999999999</v>
      </c>
    </row>
    <row r="927" spans="30:33" x14ac:dyDescent="0.2">
      <c r="AD927" s="13">
        <v>42983</v>
      </c>
      <c r="AE927" s="12">
        <v>26.785799999999998</v>
      </c>
      <c r="AF927" s="13">
        <v>42983</v>
      </c>
      <c r="AG927" s="12">
        <v>137.33850000000001</v>
      </c>
    </row>
    <row r="928" spans="30:33" x14ac:dyDescent="0.2">
      <c r="AD928" s="13">
        <v>42984</v>
      </c>
      <c r="AE928" s="12">
        <v>26.7439</v>
      </c>
      <c r="AF928" s="13">
        <v>42984</v>
      </c>
      <c r="AG928" s="12">
        <v>136.8527</v>
      </c>
    </row>
    <row r="929" spans="30:33" x14ac:dyDescent="0.2">
      <c r="AD929" s="13">
        <v>42985</v>
      </c>
      <c r="AE929" s="12">
        <v>26.822500000000002</v>
      </c>
      <c r="AF929" s="13">
        <v>42985</v>
      </c>
      <c r="AG929" s="12">
        <v>137.3837</v>
      </c>
    </row>
    <row r="930" spans="30:33" x14ac:dyDescent="0.2">
      <c r="AD930" s="13">
        <v>42986</v>
      </c>
      <c r="AE930" s="12">
        <v>26.822500000000002</v>
      </c>
      <c r="AF930" s="13">
        <v>42986</v>
      </c>
      <c r="AG930" s="12">
        <v>136.977</v>
      </c>
    </row>
    <row r="931" spans="30:33" x14ac:dyDescent="0.2">
      <c r="AD931" s="13">
        <v>42989</v>
      </c>
      <c r="AE931" s="12">
        <v>26.717600000000001</v>
      </c>
      <c r="AF931" s="13">
        <v>42989</v>
      </c>
      <c r="AG931" s="12">
        <v>136.559</v>
      </c>
    </row>
    <row r="932" spans="30:33" x14ac:dyDescent="0.2">
      <c r="AD932" s="13">
        <v>42990</v>
      </c>
      <c r="AE932" s="12">
        <v>26.665199999999999</v>
      </c>
      <c r="AF932" s="13">
        <v>42990</v>
      </c>
      <c r="AG932" s="12">
        <v>136.41210000000001</v>
      </c>
    </row>
    <row r="933" spans="30:33" x14ac:dyDescent="0.2">
      <c r="AD933" s="13">
        <v>42991</v>
      </c>
      <c r="AE933" s="12">
        <v>26.628499999999999</v>
      </c>
      <c r="AF933" s="13">
        <v>42991</v>
      </c>
      <c r="AG933" s="12">
        <v>136.2765</v>
      </c>
    </row>
    <row r="934" spans="30:33" x14ac:dyDescent="0.2">
      <c r="AD934" s="13">
        <v>42992</v>
      </c>
      <c r="AE934" s="12">
        <v>26.644200000000001</v>
      </c>
      <c r="AF934" s="13">
        <v>42992</v>
      </c>
      <c r="AG934" s="12">
        <v>136.6155</v>
      </c>
    </row>
    <row r="935" spans="30:33" x14ac:dyDescent="0.2">
      <c r="AD935" s="13">
        <v>42993</v>
      </c>
      <c r="AE935" s="12">
        <v>26.623200000000001</v>
      </c>
      <c r="AF935" s="13">
        <v>42993</v>
      </c>
      <c r="AG935" s="12">
        <v>136.72839999999999</v>
      </c>
    </row>
    <row r="936" spans="30:33" x14ac:dyDescent="0.2">
      <c r="AD936" s="13">
        <v>42996</v>
      </c>
      <c r="AE936" s="12">
        <v>26.586500000000001</v>
      </c>
      <c r="AF936" s="13">
        <v>42996</v>
      </c>
      <c r="AG936" s="12">
        <v>136.59289999999999</v>
      </c>
    </row>
    <row r="937" spans="30:33" x14ac:dyDescent="0.2">
      <c r="AD937" s="13">
        <v>42997</v>
      </c>
      <c r="AE937" s="12">
        <v>26.570799999999998</v>
      </c>
      <c r="AF937" s="13">
        <v>42997</v>
      </c>
      <c r="AG937" s="12">
        <v>136.67189999999999</v>
      </c>
    </row>
    <row r="938" spans="30:33" x14ac:dyDescent="0.2">
      <c r="AD938" s="13">
        <v>42998</v>
      </c>
      <c r="AE938" s="12">
        <v>26.549800000000001</v>
      </c>
      <c r="AF938" s="13">
        <v>42998</v>
      </c>
      <c r="AG938" s="12">
        <v>136.5025</v>
      </c>
    </row>
    <row r="939" spans="30:33" x14ac:dyDescent="0.2">
      <c r="AD939" s="13">
        <v>42999</v>
      </c>
      <c r="AE939" s="12">
        <v>26.534099999999999</v>
      </c>
      <c r="AF939" s="13">
        <v>42999</v>
      </c>
      <c r="AG939" s="12">
        <v>136.5025</v>
      </c>
    </row>
    <row r="940" spans="30:33" x14ac:dyDescent="0.2">
      <c r="AD940" s="13">
        <v>43000</v>
      </c>
      <c r="AE940" s="12">
        <v>26.549800000000001</v>
      </c>
      <c r="AF940" s="13">
        <v>43000</v>
      </c>
      <c r="AG940" s="12">
        <v>136.6832</v>
      </c>
    </row>
    <row r="941" spans="30:33" x14ac:dyDescent="0.2">
      <c r="AD941" s="13">
        <v>43003</v>
      </c>
      <c r="AE941" s="12">
        <v>26.6127</v>
      </c>
      <c r="AF941" s="13">
        <v>43003</v>
      </c>
      <c r="AG941" s="12">
        <v>137.1917</v>
      </c>
    </row>
    <row r="942" spans="30:33" x14ac:dyDescent="0.2">
      <c r="AD942" s="13">
        <v>43004</v>
      </c>
      <c r="AE942" s="12">
        <v>26.591799999999999</v>
      </c>
      <c r="AF942" s="13">
        <v>43004</v>
      </c>
      <c r="AG942" s="12">
        <v>137.16909999999999</v>
      </c>
    </row>
    <row r="943" spans="30:33" x14ac:dyDescent="0.2">
      <c r="AD943" s="13">
        <v>43005</v>
      </c>
      <c r="AE943" s="12">
        <v>26.492100000000001</v>
      </c>
      <c r="AF943" s="13">
        <v>43005</v>
      </c>
      <c r="AG943" s="12">
        <v>136.63810000000001</v>
      </c>
    </row>
    <row r="944" spans="30:33" x14ac:dyDescent="0.2">
      <c r="AD944" s="13">
        <v>43006</v>
      </c>
      <c r="AE944" s="12">
        <v>26.497399999999999</v>
      </c>
      <c r="AF944" s="13">
        <v>43006</v>
      </c>
      <c r="AG944" s="12">
        <v>136.84139999999999</v>
      </c>
    </row>
    <row r="945" spans="30:33" x14ac:dyDescent="0.2">
      <c r="AD945" s="13">
        <v>43007</v>
      </c>
      <c r="AE945" s="12">
        <v>26.476400000000002</v>
      </c>
      <c r="AF945" s="13">
        <v>43007</v>
      </c>
      <c r="AG945" s="12">
        <v>136.9657</v>
      </c>
    </row>
    <row r="946" spans="30:33" x14ac:dyDescent="0.2">
      <c r="AD946" s="13">
        <v>43010</v>
      </c>
      <c r="AE946" s="12">
        <v>26.449400000000001</v>
      </c>
      <c r="AF946" s="13">
        <v>43010</v>
      </c>
      <c r="AG946" s="12">
        <v>137.0932</v>
      </c>
    </row>
    <row r="947" spans="30:33" x14ac:dyDescent="0.2">
      <c r="AD947" s="13">
        <v>43011</v>
      </c>
      <c r="AE947" s="12">
        <v>26.470400000000001</v>
      </c>
      <c r="AF947" s="13">
        <v>43011</v>
      </c>
      <c r="AG947" s="12">
        <v>137.399</v>
      </c>
    </row>
    <row r="948" spans="30:33" x14ac:dyDescent="0.2">
      <c r="AD948" s="13">
        <v>43012</v>
      </c>
      <c r="AE948" s="12">
        <v>26.4862</v>
      </c>
      <c r="AF948" s="13">
        <v>43012</v>
      </c>
      <c r="AG948" s="12">
        <v>137.31970000000001</v>
      </c>
    </row>
    <row r="949" spans="30:33" x14ac:dyDescent="0.2">
      <c r="AD949" s="13">
        <v>43013</v>
      </c>
      <c r="AE949" s="12">
        <v>26.454699999999999</v>
      </c>
      <c r="AF949" s="13">
        <v>43013</v>
      </c>
      <c r="AG949" s="12">
        <v>137.12710000000001</v>
      </c>
    </row>
    <row r="950" spans="30:33" x14ac:dyDescent="0.2">
      <c r="AD950" s="13">
        <v>43014</v>
      </c>
      <c r="AE950" s="12">
        <v>26.417899999999999</v>
      </c>
      <c r="AF950" s="13">
        <v>43014</v>
      </c>
      <c r="AG950" s="12">
        <v>137.01390000000001</v>
      </c>
    </row>
    <row r="951" spans="30:33" x14ac:dyDescent="0.2">
      <c r="AD951" s="13">
        <v>43017</v>
      </c>
      <c r="AE951" s="12">
        <v>26.449400000000001</v>
      </c>
      <c r="AF951" s="13">
        <v>43017</v>
      </c>
      <c r="AG951" s="12">
        <v>137.12710000000001</v>
      </c>
    </row>
    <row r="952" spans="30:33" x14ac:dyDescent="0.2">
      <c r="AD952" s="13">
        <v>43018</v>
      </c>
      <c r="AE952" s="12">
        <v>26.470400000000001</v>
      </c>
      <c r="AF952" s="13">
        <v>43018</v>
      </c>
      <c r="AG952" s="12">
        <v>137.21780000000001</v>
      </c>
    </row>
    <row r="953" spans="30:33" x14ac:dyDescent="0.2">
      <c r="AD953" s="13">
        <v>43019</v>
      </c>
      <c r="AE953" s="12">
        <v>26.465199999999999</v>
      </c>
      <c r="AF953" s="13">
        <v>43019</v>
      </c>
      <c r="AG953" s="12">
        <v>137.1498</v>
      </c>
    </row>
    <row r="954" spans="30:33" x14ac:dyDescent="0.2">
      <c r="AD954" s="13">
        <v>43020</v>
      </c>
      <c r="AE954" s="12">
        <v>26.491399999999999</v>
      </c>
      <c r="AF954" s="13">
        <v>43020</v>
      </c>
      <c r="AG954" s="12">
        <v>137.18379999999999</v>
      </c>
    </row>
    <row r="955" spans="30:33" x14ac:dyDescent="0.2">
      <c r="AD955" s="13">
        <v>43021</v>
      </c>
      <c r="AE955" s="12">
        <v>26.5334</v>
      </c>
      <c r="AF955" s="13">
        <v>43021</v>
      </c>
      <c r="AG955" s="12">
        <v>137.72749999999999</v>
      </c>
    </row>
    <row r="956" spans="30:33" x14ac:dyDescent="0.2">
      <c r="AD956" s="13">
        <v>43024</v>
      </c>
      <c r="AE956" s="12">
        <v>26.5229</v>
      </c>
      <c r="AF956" s="13">
        <v>43024</v>
      </c>
      <c r="AG956" s="12">
        <v>137.53489999999999</v>
      </c>
    </row>
    <row r="957" spans="30:33" x14ac:dyDescent="0.2">
      <c r="AD957" s="13">
        <v>43025</v>
      </c>
      <c r="AE957" s="12">
        <v>26.5229</v>
      </c>
      <c r="AF957" s="13">
        <v>43025</v>
      </c>
      <c r="AG957" s="12">
        <v>137.51230000000001</v>
      </c>
    </row>
    <row r="958" spans="30:33" x14ac:dyDescent="0.2">
      <c r="AD958" s="13">
        <v>43026</v>
      </c>
      <c r="AE958" s="12">
        <v>26.470400000000001</v>
      </c>
      <c r="AF958" s="13">
        <v>43026</v>
      </c>
      <c r="AG958" s="12">
        <v>137.30840000000001</v>
      </c>
    </row>
    <row r="959" spans="30:33" x14ac:dyDescent="0.2">
      <c r="AD959" s="13">
        <v>43027</v>
      </c>
      <c r="AE959" s="12">
        <v>26.491399999999999</v>
      </c>
      <c r="AF959" s="13">
        <v>43027</v>
      </c>
      <c r="AG959" s="12">
        <v>137.51230000000001</v>
      </c>
    </row>
    <row r="960" spans="30:33" x14ac:dyDescent="0.2">
      <c r="AD960" s="13">
        <v>43028</v>
      </c>
      <c r="AE960" s="12">
        <v>26.417899999999999</v>
      </c>
      <c r="AF960" s="13">
        <v>43028</v>
      </c>
      <c r="AG960" s="12">
        <v>137.13849999999999</v>
      </c>
    </row>
    <row r="961" spans="30:33" x14ac:dyDescent="0.2">
      <c r="AD961" s="13">
        <v>43031</v>
      </c>
      <c r="AE961" s="12">
        <v>26.4284</v>
      </c>
      <c r="AF961" s="13">
        <v>43031</v>
      </c>
      <c r="AG961" s="12">
        <v>137.27440000000001</v>
      </c>
    </row>
    <row r="962" spans="30:33" x14ac:dyDescent="0.2">
      <c r="AD962" s="13">
        <v>43032</v>
      </c>
      <c r="AE962" s="12">
        <v>26.375900000000001</v>
      </c>
      <c r="AF962" s="13">
        <v>43032</v>
      </c>
      <c r="AG962" s="12">
        <v>136.93459999999999</v>
      </c>
    </row>
    <row r="963" spans="30:33" x14ac:dyDescent="0.2">
      <c r="AD963" s="13">
        <v>43033</v>
      </c>
      <c r="AE963" s="12">
        <v>26.3444</v>
      </c>
      <c r="AF963" s="13">
        <v>43033</v>
      </c>
      <c r="AG963" s="12">
        <v>136.57210000000001</v>
      </c>
    </row>
    <row r="964" spans="30:33" x14ac:dyDescent="0.2">
      <c r="AD964" s="13">
        <v>43034</v>
      </c>
      <c r="AE964" s="12">
        <v>26.312899999999999</v>
      </c>
      <c r="AF964" s="13">
        <v>43034</v>
      </c>
      <c r="AG964" s="12">
        <v>136.5607</v>
      </c>
    </row>
    <row r="965" spans="30:33" x14ac:dyDescent="0.2">
      <c r="AD965" s="13">
        <v>43035</v>
      </c>
      <c r="AE965" s="12">
        <v>26.365400000000001</v>
      </c>
      <c r="AF965" s="13">
        <v>43035</v>
      </c>
      <c r="AG965" s="12">
        <v>136.96850000000001</v>
      </c>
    </row>
    <row r="966" spans="30:33" x14ac:dyDescent="0.2">
      <c r="AD966" s="13">
        <v>43038</v>
      </c>
      <c r="AE966" s="12">
        <v>26.4389</v>
      </c>
      <c r="AF966" s="13">
        <v>43038</v>
      </c>
      <c r="AG966" s="12">
        <v>137.42169999999999</v>
      </c>
    </row>
    <row r="967" spans="30:33" x14ac:dyDescent="0.2">
      <c r="AD967" s="13">
        <v>43039</v>
      </c>
      <c r="AE967" s="12">
        <v>26.407399999999999</v>
      </c>
      <c r="AF967" s="13">
        <v>43039</v>
      </c>
      <c r="AG967" s="12">
        <v>137.22909999999999</v>
      </c>
    </row>
    <row r="968" spans="30:33" x14ac:dyDescent="0.2">
      <c r="AD968" s="13">
        <v>43040</v>
      </c>
      <c r="AE968" s="12">
        <v>26.4451</v>
      </c>
      <c r="AF968" s="13">
        <v>43040</v>
      </c>
      <c r="AG968" s="12">
        <v>137.44560000000001</v>
      </c>
    </row>
    <row r="969" spans="30:33" x14ac:dyDescent="0.2">
      <c r="AD969" s="13">
        <v>43041</v>
      </c>
      <c r="AE969" s="12">
        <v>26.487200000000001</v>
      </c>
      <c r="AF969" s="13">
        <v>43041</v>
      </c>
      <c r="AG969" s="12">
        <v>137.4229</v>
      </c>
    </row>
    <row r="970" spans="30:33" x14ac:dyDescent="0.2">
      <c r="AD970" s="13">
        <v>43042</v>
      </c>
      <c r="AE970" s="12">
        <v>26.513500000000001</v>
      </c>
      <c r="AF970" s="13">
        <v>43042</v>
      </c>
      <c r="AG970" s="12">
        <v>137.58189999999999</v>
      </c>
    </row>
    <row r="971" spans="30:33" x14ac:dyDescent="0.2">
      <c r="AD971" s="13">
        <v>43045</v>
      </c>
      <c r="AE971" s="12">
        <v>26.518699999999999</v>
      </c>
      <c r="AF971" s="13">
        <v>43045</v>
      </c>
      <c r="AG971" s="12">
        <v>137.61600000000001</v>
      </c>
    </row>
    <row r="972" spans="30:33" x14ac:dyDescent="0.2">
      <c r="AD972" s="13">
        <v>43046</v>
      </c>
      <c r="AE972" s="12">
        <v>26.5398</v>
      </c>
      <c r="AF972" s="13">
        <v>43046</v>
      </c>
      <c r="AG972" s="12">
        <v>137.50239999999999</v>
      </c>
    </row>
    <row r="973" spans="30:33" x14ac:dyDescent="0.2">
      <c r="AD973" s="13">
        <v>43047</v>
      </c>
      <c r="AE973" s="12">
        <v>26.529299999999999</v>
      </c>
      <c r="AF973" s="13">
        <v>43047</v>
      </c>
      <c r="AG973" s="12">
        <v>137.32069999999999</v>
      </c>
    </row>
    <row r="974" spans="30:33" x14ac:dyDescent="0.2">
      <c r="AD974" s="13">
        <v>43048</v>
      </c>
      <c r="AE974" s="12">
        <v>26.518699999999999</v>
      </c>
      <c r="AF974" s="13">
        <v>43048</v>
      </c>
      <c r="AG974" s="12">
        <v>136.9572</v>
      </c>
    </row>
    <row r="975" spans="30:33" x14ac:dyDescent="0.2">
      <c r="AD975" s="13">
        <v>43049</v>
      </c>
      <c r="AE975" s="12">
        <v>26.418800000000001</v>
      </c>
      <c r="AF975" s="13">
        <v>43049</v>
      </c>
      <c r="AG975" s="12">
        <v>136.17349999999999</v>
      </c>
    </row>
    <row r="976" spans="30:33" x14ac:dyDescent="0.2">
      <c r="AD976" s="13">
        <v>43052</v>
      </c>
      <c r="AE976" s="12">
        <v>26.413599999999999</v>
      </c>
      <c r="AF976" s="13">
        <v>43052</v>
      </c>
      <c r="AG976" s="12">
        <v>136.1962</v>
      </c>
    </row>
    <row r="977" spans="30:33" x14ac:dyDescent="0.2">
      <c r="AD977" s="13">
        <v>43053</v>
      </c>
      <c r="AE977" s="12">
        <v>26.4451</v>
      </c>
      <c r="AF977" s="13">
        <v>43053</v>
      </c>
      <c r="AG977" s="12">
        <v>136.2303</v>
      </c>
    </row>
    <row r="978" spans="30:33" x14ac:dyDescent="0.2">
      <c r="AD978" s="13">
        <v>43054</v>
      </c>
      <c r="AE978" s="12">
        <v>26.529299999999999</v>
      </c>
      <c r="AF978" s="13">
        <v>43054</v>
      </c>
      <c r="AG978" s="12">
        <v>136.80959999999999</v>
      </c>
    </row>
    <row r="979" spans="30:33" x14ac:dyDescent="0.2">
      <c r="AD979" s="13">
        <v>43055</v>
      </c>
      <c r="AE979" s="12">
        <v>26.4451</v>
      </c>
      <c r="AF979" s="13">
        <v>43055</v>
      </c>
      <c r="AG979" s="12">
        <v>136.65049999999999</v>
      </c>
    </row>
    <row r="980" spans="30:33" x14ac:dyDescent="0.2">
      <c r="AD980" s="13">
        <v>43056</v>
      </c>
      <c r="AE980" s="12">
        <v>26.487200000000001</v>
      </c>
      <c r="AF980" s="13">
        <v>43056</v>
      </c>
      <c r="AG980" s="12">
        <v>136.82089999999999</v>
      </c>
    </row>
    <row r="981" spans="30:33" x14ac:dyDescent="0.2">
      <c r="AD981" s="13">
        <v>43059</v>
      </c>
      <c r="AE981" s="12">
        <v>26.466200000000001</v>
      </c>
      <c r="AF981" s="13">
        <v>43059</v>
      </c>
      <c r="AG981" s="12">
        <v>136.82089999999999</v>
      </c>
    </row>
    <row r="982" spans="30:33" x14ac:dyDescent="0.2">
      <c r="AD982" s="13">
        <v>43060</v>
      </c>
      <c r="AE982" s="12">
        <v>26.466200000000001</v>
      </c>
      <c r="AF982" s="13">
        <v>43060</v>
      </c>
      <c r="AG982" s="12">
        <v>137.27520000000001</v>
      </c>
    </row>
    <row r="983" spans="30:33" x14ac:dyDescent="0.2">
      <c r="AD983" s="13">
        <v>43061</v>
      </c>
      <c r="AE983" s="12">
        <v>26.5398</v>
      </c>
      <c r="AF983" s="13">
        <v>43061</v>
      </c>
      <c r="AG983" s="12">
        <v>137.8091</v>
      </c>
    </row>
    <row r="984" spans="30:33" x14ac:dyDescent="0.2">
      <c r="AD984" s="13">
        <v>43063</v>
      </c>
      <c r="AE984" s="12">
        <v>26.497699999999998</v>
      </c>
      <c r="AF984" s="13">
        <v>43063</v>
      </c>
      <c r="AG984" s="12">
        <v>137.65010000000001</v>
      </c>
    </row>
    <row r="985" spans="30:33" x14ac:dyDescent="0.2">
      <c r="AD985" s="13">
        <v>43066</v>
      </c>
      <c r="AE985" s="12">
        <v>26.529299999999999</v>
      </c>
      <c r="AF985" s="13">
        <v>43066</v>
      </c>
      <c r="AG985" s="12">
        <v>137.57060000000001</v>
      </c>
    </row>
    <row r="986" spans="30:33" x14ac:dyDescent="0.2">
      <c r="AD986" s="13">
        <v>43067</v>
      </c>
      <c r="AE986" s="12">
        <v>26.508199999999999</v>
      </c>
      <c r="AF986" s="13">
        <v>43067</v>
      </c>
      <c r="AG986" s="12">
        <v>137.7637</v>
      </c>
    </row>
    <row r="987" spans="30:33" x14ac:dyDescent="0.2">
      <c r="AD987" s="13">
        <v>43068</v>
      </c>
      <c r="AE987" s="12">
        <v>26.4556</v>
      </c>
      <c r="AF987" s="13">
        <v>43068</v>
      </c>
      <c r="AG987" s="12">
        <v>137.21850000000001</v>
      </c>
    </row>
    <row r="988" spans="30:33" x14ac:dyDescent="0.2">
      <c r="AD988" s="13">
        <v>43069</v>
      </c>
      <c r="AE988" s="12">
        <v>26.392499999999998</v>
      </c>
      <c r="AF988" s="13">
        <v>43069</v>
      </c>
      <c r="AG988" s="12">
        <v>137.05940000000001</v>
      </c>
    </row>
    <row r="989" spans="30:33" x14ac:dyDescent="0.2">
      <c r="AD989" s="13">
        <v>43070</v>
      </c>
      <c r="AE989" s="12">
        <v>26.492699999999999</v>
      </c>
      <c r="AF989" s="13">
        <v>43070</v>
      </c>
      <c r="AG989" s="12">
        <v>137.48230000000001</v>
      </c>
    </row>
    <row r="990" spans="30:33" x14ac:dyDescent="0.2">
      <c r="AD990" s="13">
        <v>43073</v>
      </c>
      <c r="AE990" s="12">
        <v>26.4664</v>
      </c>
      <c r="AF990" s="13">
        <v>43073</v>
      </c>
      <c r="AG990" s="12">
        <v>137.6987</v>
      </c>
    </row>
    <row r="991" spans="30:33" x14ac:dyDescent="0.2">
      <c r="AD991" s="13">
        <v>43074</v>
      </c>
      <c r="AE991" s="12">
        <v>26.5032</v>
      </c>
      <c r="AF991" s="13">
        <v>43074</v>
      </c>
      <c r="AG991" s="12">
        <v>137.9606</v>
      </c>
    </row>
    <row r="992" spans="30:33" x14ac:dyDescent="0.2">
      <c r="AD992" s="13">
        <v>43075</v>
      </c>
      <c r="AE992" s="12">
        <v>26.5243</v>
      </c>
      <c r="AF992" s="13">
        <v>43075</v>
      </c>
      <c r="AG992" s="12">
        <v>138.2225</v>
      </c>
    </row>
    <row r="993" spans="30:33" x14ac:dyDescent="0.2">
      <c r="AD993" s="13">
        <v>43076</v>
      </c>
      <c r="AE993" s="12">
        <v>26.492699999999999</v>
      </c>
      <c r="AF993" s="13">
        <v>43076</v>
      </c>
      <c r="AG993" s="12">
        <v>137.94919999999999</v>
      </c>
    </row>
    <row r="994" spans="30:33" x14ac:dyDescent="0.2">
      <c r="AD994" s="13">
        <v>43077</v>
      </c>
      <c r="AE994" s="12">
        <v>26.487400000000001</v>
      </c>
      <c r="AF994" s="13">
        <v>43077</v>
      </c>
      <c r="AG994" s="12">
        <v>137.7784</v>
      </c>
    </row>
    <row r="995" spans="30:33" x14ac:dyDescent="0.2">
      <c r="AD995" s="13">
        <v>43080</v>
      </c>
      <c r="AE995" s="12">
        <v>26.471599999999999</v>
      </c>
      <c r="AF995" s="13">
        <v>43080</v>
      </c>
      <c r="AG995" s="12">
        <v>137.8809</v>
      </c>
    </row>
    <row r="996" spans="30:33" x14ac:dyDescent="0.2">
      <c r="AD996" s="13">
        <v>43081</v>
      </c>
      <c r="AE996" s="12">
        <v>26.44</v>
      </c>
      <c r="AF996" s="13">
        <v>43081</v>
      </c>
      <c r="AG996" s="12">
        <v>137.7784</v>
      </c>
    </row>
    <row r="997" spans="30:33" x14ac:dyDescent="0.2">
      <c r="AD997" s="13">
        <v>43082</v>
      </c>
      <c r="AE997" s="12">
        <v>26.534800000000001</v>
      </c>
      <c r="AF997" s="13">
        <v>43082</v>
      </c>
      <c r="AG997" s="12">
        <v>138.2567</v>
      </c>
    </row>
    <row r="998" spans="30:33" x14ac:dyDescent="0.2">
      <c r="AD998" s="13">
        <v>43083</v>
      </c>
      <c r="AE998" s="12">
        <v>26.534800000000001</v>
      </c>
      <c r="AF998" s="13">
        <v>43083</v>
      </c>
      <c r="AG998" s="12">
        <v>138.50729999999999</v>
      </c>
    </row>
    <row r="999" spans="30:33" x14ac:dyDescent="0.2">
      <c r="AD999" s="13">
        <v>43084</v>
      </c>
      <c r="AE999" s="12">
        <v>26.534800000000001</v>
      </c>
      <c r="AF999" s="13">
        <v>43084</v>
      </c>
      <c r="AG999" s="12">
        <v>138.70089999999999</v>
      </c>
    </row>
    <row r="1000" spans="30:33" x14ac:dyDescent="0.2">
      <c r="AD1000" s="13">
        <v>43087</v>
      </c>
      <c r="AE1000" s="12">
        <v>26.487400000000001</v>
      </c>
      <c r="AF1000" s="13">
        <v>43087</v>
      </c>
      <c r="AG1000" s="12">
        <v>138.29089999999999</v>
      </c>
    </row>
    <row r="1001" spans="30:33" x14ac:dyDescent="0.2">
      <c r="AD1001" s="13">
        <v>43088</v>
      </c>
      <c r="AE1001" s="12">
        <v>26.3979</v>
      </c>
      <c r="AF1001" s="13">
        <v>43088</v>
      </c>
      <c r="AG1001" s="12">
        <v>137.5848</v>
      </c>
    </row>
    <row r="1002" spans="30:33" x14ac:dyDescent="0.2">
      <c r="AD1002" s="13">
        <v>43089</v>
      </c>
      <c r="AE1002" s="12">
        <v>26.318899999999999</v>
      </c>
      <c r="AF1002" s="13">
        <v>43089</v>
      </c>
      <c r="AG1002" s="12">
        <v>137.22040000000001</v>
      </c>
    </row>
    <row r="1003" spans="30:33" x14ac:dyDescent="0.2">
      <c r="AD1003" s="13">
        <v>43090</v>
      </c>
      <c r="AE1003" s="12">
        <v>26.351900000000001</v>
      </c>
      <c r="AF1003" s="13">
        <v>43090</v>
      </c>
      <c r="AG1003" s="12">
        <v>137.58949999999999</v>
      </c>
    </row>
    <row r="1004" spans="30:33" x14ac:dyDescent="0.2">
      <c r="AD1004" s="13">
        <v>43091</v>
      </c>
      <c r="AE1004" s="12">
        <v>26.3308</v>
      </c>
      <c r="AF1004" s="13">
        <v>43091</v>
      </c>
      <c r="AG1004" s="12">
        <v>137.69220000000001</v>
      </c>
    </row>
    <row r="1005" spans="30:33" x14ac:dyDescent="0.2">
      <c r="AD1005" s="13">
        <v>43095</v>
      </c>
      <c r="AE1005" s="12">
        <v>26.373000000000001</v>
      </c>
      <c r="AF1005" s="13">
        <v>43095</v>
      </c>
      <c r="AG1005" s="12">
        <v>137.87479999999999</v>
      </c>
    </row>
    <row r="1006" spans="30:33" x14ac:dyDescent="0.2">
      <c r="AD1006" s="13">
        <v>43096</v>
      </c>
      <c r="AE1006" s="12">
        <v>26.4574</v>
      </c>
      <c r="AF1006" s="13">
        <v>43096</v>
      </c>
      <c r="AG1006" s="12">
        <v>138.63939999999999</v>
      </c>
    </row>
    <row r="1007" spans="30:33" x14ac:dyDescent="0.2">
      <c r="AD1007" s="13">
        <v>43097</v>
      </c>
      <c r="AE1007" s="12">
        <v>26.4574</v>
      </c>
      <c r="AF1007" s="13">
        <v>43097</v>
      </c>
      <c r="AG1007" s="12">
        <v>138.54810000000001</v>
      </c>
    </row>
    <row r="1008" spans="30:33" x14ac:dyDescent="0.2">
      <c r="AD1008" s="13">
        <v>43098</v>
      </c>
      <c r="AE1008" s="12">
        <v>26.4574</v>
      </c>
      <c r="AF1008" s="13">
        <v>43098</v>
      </c>
      <c r="AG1008" s="12">
        <v>138.73070000000001</v>
      </c>
    </row>
    <row r="1009" spans="30:33" x14ac:dyDescent="0.2">
      <c r="AD1009" s="13">
        <v>43102</v>
      </c>
      <c r="AE1009" s="12">
        <v>26.383500000000002</v>
      </c>
      <c r="AF1009" s="13">
        <v>43102</v>
      </c>
      <c r="AG1009" s="12">
        <v>137.80629999999999</v>
      </c>
    </row>
    <row r="1010" spans="30:33" x14ac:dyDescent="0.2">
      <c r="AD1010" s="13">
        <v>43103</v>
      </c>
      <c r="AE1010" s="12">
        <v>26.404599999999999</v>
      </c>
      <c r="AF1010" s="13">
        <v>43103</v>
      </c>
      <c r="AG1010" s="12">
        <v>138.0574</v>
      </c>
    </row>
    <row r="1011" spans="30:33" x14ac:dyDescent="0.2">
      <c r="AD1011" s="13">
        <v>43104</v>
      </c>
      <c r="AE1011" s="12">
        <v>26.394100000000002</v>
      </c>
      <c r="AF1011" s="13">
        <v>43104</v>
      </c>
      <c r="AG1011" s="12">
        <v>138.01179999999999</v>
      </c>
    </row>
    <row r="1012" spans="30:33" x14ac:dyDescent="0.2">
      <c r="AD1012" s="13">
        <v>43105</v>
      </c>
      <c r="AE1012" s="12">
        <v>26.383500000000002</v>
      </c>
      <c r="AF1012" s="13">
        <v>43105</v>
      </c>
      <c r="AG1012" s="12">
        <v>137.96610000000001</v>
      </c>
    </row>
    <row r="1013" spans="30:33" x14ac:dyDescent="0.2">
      <c r="AD1013" s="13">
        <v>43108</v>
      </c>
      <c r="AE1013" s="12">
        <v>26.373000000000001</v>
      </c>
      <c r="AF1013" s="13">
        <v>43108</v>
      </c>
      <c r="AG1013" s="12">
        <v>137.9547</v>
      </c>
    </row>
    <row r="1014" spans="30:33" x14ac:dyDescent="0.2">
      <c r="AD1014" s="13">
        <v>43109</v>
      </c>
      <c r="AE1014" s="12">
        <v>26.277999999999999</v>
      </c>
      <c r="AF1014" s="13">
        <v>43109</v>
      </c>
      <c r="AG1014" s="12">
        <v>137.45249999999999</v>
      </c>
    </row>
    <row r="1015" spans="30:33" x14ac:dyDescent="0.2">
      <c r="AD1015" s="13">
        <v>43110</v>
      </c>
      <c r="AE1015" s="12">
        <v>26.267499999999998</v>
      </c>
      <c r="AF1015" s="13">
        <v>43110</v>
      </c>
      <c r="AG1015" s="12">
        <v>137.5438</v>
      </c>
    </row>
    <row r="1016" spans="30:33" x14ac:dyDescent="0.2">
      <c r="AD1016" s="13">
        <v>43111</v>
      </c>
      <c r="AE1016" s="12">
        <v>26.288599999999999</v>
      </c>
      <c r="AF1016" s="13">
        <v>43111</v>
      </c>
      <c r="AG1016" s="12">
        <v>137.87479999999999</v>
      </c>
    </row>
    <row r="1017" spans="30:33" x14ac:dyDescent="0.2">
      <c r="AD1017" s="13">
        <v>43112</v>
      </c>
      <c r="AE1017" s="12">
        <v>26.288599999999999</v>
      </c>
      <c r="AF1017" s="13">
        <v>43112</v>
      </c>
      <c r="AG1017" s="12">
        <v>137.89760000000001</v>
      </c>
    </row>
    <row r="1018" spans="30:33" x14ac:dyDescent="0.2">
      <c r="AD1018" s="13">
        <v>43116</v>
      </c>
      <c r="AE1018" s="12">
        <v>26.3308</v>
      </c>
      <c r="AF1018" s="13">
        <v>43116</v>
      </c>
      <c r="AG1018" s="12">
        <v>138.0232</v>
      </c>
    </row>
    <row r="1019" spans="30:33" x14ac:dyDescent="0.2">
      <c r="AD1019" s="13">
        <v>43117</v>
      </c>
      <c r="AE1019" s="12">
        <v>26.277999999999999</v>
      </c>
      <c r="AF1019" s="13">
        <v>43117</v>
      </c>
      <c r="AG1019" s="12">
        <v>137.64660000000001</v>
      </c>
    </row>
    <row r="1020" spans="30:33" x14ac:dyDescent="0.2">
      <c r="AD1020" s="13">
        <v>43118</v>
      </c>
      <c r="AE1020" s="12">
        <v>26.230599999999999</v>
      </c>
      <c r="AF1020" s="13">
        <v>43118</v>
      </c>
      <c r="AG1020" s="12">
        <v>137.11019999999999</v>
      </c>
    </row>
    <row r="1021" spans="30:33" x14ac:dyDescent="0.2">
      <c r="AD1021" s="13">
        <v>43119</v>
      </c>
      <c r="AE1021" s="12">
        <v>26.188400000000001</v>
      </c>
      <c r="AF1021" s="13">
        <v>43119</v>
      </c>
      <c r="AG1021" s="12">
        <v>136.68790000000001</v>
      </c>
    </row>
    <row r="1022" spans="30:33" x14ac:dyDescent="0.2">
      <c r="AD1022" s="13">
        <v>43122</v>
      </c>
      <c r="AE1022" s="12">
        <v>26.177800000000001</v>
      </c>
      <c r="AF1022" s="13">
        <v>43122</v>
      </c>
      <c r="AG1022" s="12">
        <v>136.5624</v>
      </c>
    </row>
    <row r="1023" spans="30:33" x14ac:dyDescent="0.2">
      <c r="AD1023" s="13">
        <v>43123</v>
      </c>
      <c r="AE1023" s="12">
        <v>26.230599999999999</v>
      </c>
      <c r="AF1023" s="13">
        <v>43123</v>
      </c>
      <c r="AG1023" s="12">
        <v>137.1558</v>
      </c>
    </row>
    <row r="1024" spans="30:33" x14ac:dyDescent="0.2">
      <c r="AD1024" s="13">
        <v>43124</v>
      </c>
      <c r="AE1024" s="12">
        <v>26.1831</v>
      </c>
      <c r="AF1024" s="13">
        <v>43124</v>
      </c>
      <c r="AG1024" s="12">
        <v>137.06450000000001</v>
      </c>
    </row>
    <row r="1025" spans="30:33" x14ac:dyDescent="0.2">
      <c r="AD1025" s="13">
        <v>43125</v>
      </c>
      <c r="AE1025" s="12">
        <v>26.246400000000001</v>
      </c>
      <c r="AF1025" s="13">
        <v>43125</v>
      </c>
      <c r="AG1025" s="12">
        <v>137.76070000000001</v>
      </c>
    </row>
    <row r="1026" spans="30:33" x14ac:dyDescent="0.2">
      <c r="AD1026" s="13">
        <v>43126</v>
      </c>
      <c r="AE1026" s="12">
        <v>26.1831</v>
      </c>
      <c r="AF1026" s="13">
        <v>43126</v>
      </c>
      <c r="AG1026" s="12">
        <v>137.57810000000001</v>
      </c>
    </row>
    <row r="1027" spans="30:33" x14ac:dyDescent="0.2">
      <c r="AD1027" s="13">
        <v>43129</v>
      </c>
      <c r="AE1027" s="12">
        <v>26.151499999999999</v>
      </c>
      <c r="AF1027" s="13">
        <v>43129</v>
      </c>
      <c r="AG1027" s="12">
        <v>137.21289999999999</v>
      </c>
    </row>
    <row r="1028" spans="30:33" x14ac:dyDescent="0.2">
      <c r="AD1028" s="13">
        <v>43130</v>
      </c>
      <c r="AE1028" s="12">
        <v>26.098700000000001</v>
      </c>
      <c r="AF1028" s="13">
        <v>43130</v>
      </c>
      <c r="AG1028" s="12">
        <v>136.745</v>
      </c>
    </row>
    <row r="1029" spans="30:33" x14ac:dyDescent="0.2">
      <c r="AD1029" s="13">
        <v>43131</v>
      </c>
      <c r="AE1029" s="12">
        <v>26.109300000000001</v>
      </c>
      <c r="AF1029" s="13">
        <v>43131</v>
      </c>
      <c r="AG1029" s="12">
        <v>137.03030000000001</v>
      </c>
    </row>
    <row r="1030" spans="30:33" x14ac:dyDescent="0.2">
      <c r="AD1030" s="13">
        <v>43132</v>
      </c>
      <c r="AE1030" s="12">
        <v>26.0106</v>
      </c>
      <c r="AF1030" s="13">
        <v>43132</v>
      </c>
      <c r="AG1030" s="12">
        <v>136.42699999999999</v>
      </c>
    </row>
    <row r="1031" spans="30:33" x14ac:dyDescent="0.2">
      <c r="AD1031" s="13">
        <v>43133</v>
      </c>
      <c r="AE1031" s="12">
        <v>25.957799999999999</v>
      </c>
      <c r="AF1031" s="13">
        <v>43133</v>
      </c>
      <c r="AG1031" s="12">
        <v>135.72890000000001</v>
      </c>
    </row>
    <row r="1032" spans="30:33" x14ac:dyDescent="0.2">
      <c r="AD1032" s="13">
        <v>43136</v>
      </c>
      <c r="AE1032" s="12">
        <v>25.915500000000002</v>
      </c>
      <c r="AF1032" s="13">
        <v>43136</v>
      </c>
      <c r="AG1032" s="12">
        <v>135.809</v>
      </c>
    </row>
    <row r="1033" spans="30:33" x14ac:dyDescent="0.2">
      <c r="AD1033" s="13">
        <v>43137</v>
      </c>
      <c r="AE1033" s="12">
        <v>26.0212</v>
      </c>
      <c r="AF1033" s="13">
        <v>43137</v>
      </c>
      <c r="AG1033" s="12">
        <v>135.53440000000001</v>
      </c>
    </row>
    <row r="1034" spans="30:33" x14ac:dyDescent="0.2">
      <c r="AD1034" s="13">
        <v>43138</v>
      </c>
      <c r="AE1034" s="12">
        <v>25.947199999999999</v>
      </c>
      <c r="AF1034" s="13">
        <v>43138</v>
      </c>
      <c r="AG1034" s="12">
        <v>135.1568</v>
      </c>
    </row>
    <row r="1035" spans="30:33" x14ac:dyDescent="0.2">
      <c r="AD1035" s="13">
        <v>43139</v>
      </c>
      <c r="AE1035" s="12">
        <v>25.978899999999999</v>
      </c>
      <c r="AF1035" s="13">
        <v>43139</v>
      </c>
      <c r="AG1035" s="12">
        <v>134.57320000000001</v>
      </c>
    </row>
    <row r="1036" spans="30:33" x14ac:dyDescent="0.2">
      <c r="AD1036" s="13">
        <v>43140</v>
      </c>
      <c r="AE1036" s="12">
        <v>25.947199999999999</v>
      </c>
      <c r="AF1036" s="13">
        <v>43140</v>
      </c>
      <c r="AG1036" s="12">
        <v>134.13829999999999</v>
      </c>
    </row>
    <row r="1037" spans="30:33" x14ac:dyDescent="0.2">
      <c r="AD1037" s="13">
        <v>43143</v>
      </c>
      <c r="AE1037" s="12">
        <v>25.952500000000001</v>
      </c>
      <c r="AF1037" s="13">
        <v>43143</v>
      </c>
      <c r="AG1037" s="12">
        <v>134.13829999999999</v>
      </c>
    </row>
    <row r="1038" spans="30:33" x14ac:dyDescent="0.2">
      <c r="AD1038" s="13">
        <v>43144</v>
      </c>
      <c r="AE1038" s="12">
        <v>25.978899999999999</v>
      </c>
      <c r="AF1038" s="13">
        <v>43144</v>
      </c>
      <c r="AG1038" s="12">
        <v>134.0925</v>
      </c>
    </row>
    <row r="1039" spans="30:33" x14ac:dyDescent="0.2">
      <c r="AD1039" s="13">
        <v>43145</v>
      </c>
      <c r="AE1039" s="12">
        <v>25.8627</v>
      </c>
      <c r="AF1039" s="13">
        <v>43145</v>
      </c>
      <c r="AG1039" s="12">
        <v>133.60050000000001</v>
      </c>
    </row>
    <row r="1040" spans="30:33" x14ac:dyDescent="0.2">
      <c r="AD1040" s="13">
        <v>43146</v>
      </c>
      <c r="AE1040" s="12">
        <v>25.8733</v>
      </c>
      <c r="AF1040" s="13">
        <v>43146</v>
      </c>
      <c r="AG1040" s="12">
        <v>134.22989999999999</v>
      </c>
    </row>
    <row r="1041" spans="30:33" x14ac:dyDescent="0.2">
      <c r="AD1041" s="13">
        <v>43147</v>
      </c>
      <c r="AE1041" s="12">
        <v>25.915500000000002</v>
      </c>
      <c r="AF1041" s="13">
        <v>43147</v>
      </c>
      <c r="AG1041" s="12">
        <v>134.63040000000001</v>
      </c>
    </row>
    <row r="1042" spans="30:33" x14ac:dyDescent="0.2">
      <c r="AD1042" s="13">
        <v>43151</v>
      </c>
      <c r="AE1042" s="12">
        <v>25.883800000000001</v>
      </c>
      <c r="AF1042" s="13">
        <v>43151</v>
      </c>
      <c r="AG1042" s="12">
        <v>134.0582</v>
      </c>
    </row>
    <row r="1043" spans="30:33" x14ac:dyDescent="0.2">
      <c r="AD1043" s="13">
        <v>43152</v>
      </c>
      <c r="AE1043" s="12">
        <v>25.820499999999999</v>
      </c>
      <c r="AF1043" s="13">
        <v>43152</v>
      </c>
      <c r="AG1043" s="12">
        <v>133.32579999999999</v>
      </c>
    </row>
    <row r="1044" spans="30:33" x14ac:dyDescent="0.2">
      <c r="AD1044" s="13">
        <v>43153</v>
      </c>
      <c r="AE1044" s="12">
        <v>25.8521</v>
      </c>
      <c r="AF1044" s="13">
        <v>43153</v>
      </c>
      <c r="AG1044" s="12">
        <v>133.50890000000001</v>
      </c>
    </row>
    <row r="1045" spans="30:33" x14ac:dyDescent="0.2">
      <c r="AD1045" s="13">
        <v>43154</v>
      </c>
      <c r="AE1045" s="12">
        <v>25.894400000000001</v>
      </c>
      <c r="AF1045" s="13">
        <v>43154</v>
      </c>
      <c r="AG1045" s="12">
        <v>134.12690000000001</v>
      </c>
    </row>
    <row r="1046" spans="30:33" x14ac:dyDescent="0.2">
      <c r="AD1046" s="13">
        <v>43157</v>
      </c>
      <c r="AE1046" s="12">
        <v>25.926100000000002</v>
      </c>
      <c r="AF1046" s="13">
        <v>43157</v>
      </c>
      <c r="AG1046" s="12">
        <v>134.29849999999999</v>
      </c>
    </row>
    <row r="1047" spans="30:33" x14ac:dyDescent="0.2">
      <c r="AD1047" s="13">
        <v>43158</v>
      </c>
      <c r="AE1047" s="12">
        <v>25.8733</v>
      </c>
      <c r="AF1047" s="13">
        <v>43158</v>
      </c>
      <c r="AG1047" s="12">
        <v>133.7149</v>
      </c>
    </row>
    <row r="1048" spans="30:33" x14ac:dyDescent="0.2">
      <c r="AD1048" s="13">
        <v>43159</v>
      </c>
      <c r="AE1048" s="12">
        <v>25.926100000000002</v>
      </c>
      <c r="AF1048" s="13">
        <v>43159</v>
      </c>
      <c r="AG1048" s="12">
        <v>133.9667</v>
      </c>
    </row>
    <row r="1049" spans="30:33" x14ac:dyDescent="0.2">
      <c r="AD1049" s="13">
        <v>43160</v>
      </c>
      <c r="AE1049" s="12">
        <v>26.005400000000002</v>
      </c>
      <c r="AF1049" s="13">
        <v>43160</v>
      </c>
      <c r="AG1049" s="12">
        <v>133.8297</v>
      </c>
    </row>
    <row r="1050" spans="30:33" x14ac:dyDescent="0.2">
      <c r="AD1050" s="13">
        <v>43161</v>
      </c>
      <c r="AE1050" s="12">
        <v>25.942</v>
      </c>
      <c r="AF1050" s="13">
        <v>43161</v>
      </c>
      <c r="AG1050" s="12">
        <v>133.4051</v>
      </c>
    </row>
    <row r="1051" spans="30:33" x14ac:dyDescent="0.2">
      <c r="AD1051" s="13">
        <v>43164</v>
      </c>
      <c r="AE1051" s="12">
        <v>25.9208</v>
      </c>
      <c r="AF1051" s="13">
        <v>43164</v>
      </c>
      <c r="AG1051" s="12">
        <v>133.35919999999999</v>
      </c>
    </row>
    <row r="1052" spans="30:33" x14ac:dyDescent="0.2">
      <c r="AD1052" s="13">
        <v>43165</v>
      </c>
      <c r="AE1052" s="12">
        <v>25.9208</v>
      </c>
      <c r="AF1052" s="13">
        <v>43165</v>
      </c>
      <c r="AG1052" s="12">
        <v>133.47389999999999</v>
      </c>
    </row>
    <row r="1053" spans="30:33" x14ac:dyDescent="0.2">
      <c r="AD1053" s="13">
        <v>43166</v>
      </c>
      <c r="AE1053" s="12">
        <v>25.915500000000002</v>
      </c>
      <c r="AF1053" s="13">
        <v>43166</v>
      </c>
      <c r="AG1053" s="12">
        <v>133.428</v>
      </c>
    </row>
    <row r="1054" spans="30:33" x14ac:dyDescent="0.2">
      <c r="AD1054" s="13">
        <v>43167</v>
      </c>
      <c r="AE1054" s="12">
        <v>25.952500000000001</v>
      </c>
      <c r="AF1054" s="13">
        <v>43167</v>
      </c>
      <c r="AG1054" s="12">
        <v>133.69200000000001</v>
      </c>
    </row>
    <row r="1055" spans="30:33" x14ac:dyDescent="0.2">
      <c r="AD1055" s="13">
        <v>43168</v>
      </c>
      <c r="AE1055" s="12">
        <v>25.9102</v>
      </c>
      <c r="AF1055" s="13">
        <v>43168</v>
      </c>
      <c r="AG1055" s="12">
        <v>133.22149999999999</v>
      </c>
    </row>
    <row r="1056" spans="30:33" x14ac:dyDescent="0.2">
      <c r="AD1056" s="13">
        <v>43171</v>
      </c>
      <c r="AE1056" s="12">
        <v>25.952500000000001</v>
      </c>
      <c r="AF1056" s="13">
        <v>43171</v>
      </c>
      <c r="AG1056" s="12">
        <v>133.39359999999999</v>
      </c>
    </row>
    <row r="1057" spans="30:33" x14ac:dyDescent="0.2">
      <c r="AD1057" s="13">
        <v>43172</v>
      </c>
      <c r="AE1057" s="12">
        <v>25.978999999999999</v>
      </c>
      <c r="AF1057" s="13">
        <v>43172</v>
      </c>
      <c r="AG1057" s="12">
        <v>133.4051</v>
      </c>
    </row>
    <row r="1058" spans="30:33" x14ac:dyDescent="0.2">
      <c r="AD1058" s="13">
        <v>43173</v>
      </c>
      <c r="AE1058" s="12">
        <v>26.0319</v>
      </c>
      <c r="AF1058" s="13">
        <v>43173</v>
      </c>
      <c r="AG1058" s="12">
        <v>133.70339999999999</v>
      </c>
    </row>
    <row r="1059" spans="30:33" x14ac:dyDescent="0.2">
      <c r="AD1059" s="13">
        <v>43174</v>
      </c>
      <c r="AE1059" s="12">
        <v>26.026599999999998</v>
      </c>
      <c r="AF1059" s="13">
        <v>43174</v>
      </c>
      <c r="AG1059" s="12">
        <v>133.84119999999999</v>
      </c>
    </row>
    <row r="1060" spans="30:33" x14ac:dyDescent="0.2">
      <c r="AD1060" s="13">
        <v>43175</v>
      </c>
      <c r="AE1060" s="12">
        <v>26.0001</v>
      </c>
      <c r="AF1060" s="13">
        <v>43175</v>
      </c>
      <c r="AG1060" s="12">
        <v>133.99029999999999</v>
      </c>
    </row>
    <row r="1061" spans="30:33" x14ac:dyDescent="0.2">
      <c r="AD1061" s="13">
        <v>43178</v>
      </c>
      <c r="AE1061" s="12">
        <v>25.984300000000001</v>
      </c>
      <c r="AF1061" s="13">
        <v>43178</v>
      </c>
      <c r="AG1061" s="12">
        <v>133.5428</v>
      </c>
    </row>
    <row r="1062" spans="30:33" x14ac:dyDescent="0.2">
      <c r="AD1062" s="13">
        <v>43179</v>
      </c>
      <c r="AE1062" s="12">
        <v>25.9314</v>
      </c>
      <c r="AF1062" s="13">
        <v>43179</v>
      </c>
      <c r="AG1062" s="12">
        <v>133.07230000000001</v>
      </c>
    </row>
    <row r="1063" spans="30:33" x14ac:dyDescent="0.2">
      <c r="AD1063" s="13">
        <v>43180</v>
      </c>
      <c r="AE1063" s="12">
        <v>25.963100000000001</v>
      </c>
      <c r="AF1063" s="13">
        <v>43180</v>
      </c>
      <c r="AG1063" s="12">
        <v>132.99189999999999</v>
      </c>
    </row>
    <row r="1064" spans="30:33" x14ac:dyDescent="0.2">
      <c r="AD1064" s="13">
        <v>43181</v>
      </c>
      <c r="AE1064" s="12">
        <v>26.037199999999999</v>
      </c>
      <c r="AF1064" s="13">
        <v>43181</v>
      </c>
      <c r="AG1064" s="12">
        <v>133.22149999999999</v>
      </c>
    </row>
    <row r="1065" spans="30:33" x14ac:dyDescent="0.2">
      <c r="AD1065" s="13">
        <v>43182</v>
      </c>
      <c r="AE1065" s="12">
        <v>26.053000000000001</v>
      </c>
      <c r="AF1065" s="13">
        <v>43182</v>
      </c>
      <c r="AG1065" s="12">
        <v>132.79689999999999</v>
      </c>
    </row>
    <row r="1066" spans="30:33" x14ac:dyDescent="0.2">
      <c r="AD1066" s="13">
        <v>43185</v>
      </c>
      <c r="AE1066" s="12">
        <v>26.0107</v>
      </c>
      <c r="AF1066" s="13">
        <v>43185</v>
      </c>
      <c r="AG1066" s="12">
        <v>133.26740000000001</v>
      </c>
    </row>
    <row r="1067" spans="30:33" x14ac:dyDescent="0.2">
      <c r="AD1067" s="13">
        <v>43186</v>
      </c>
      <c r="AE1067" s="12">
        <v>26.105899999999998</v>
      </c>
      <c r="AF1067" s="13">
        <v>43186</v>
      </c>
      <c r="AG1067" s="12">
        <v>133.74930000000001</v>
      </c>
    </row>
    <row r="1068" spans="30:33" x14ac:dyDescent="0.2">
      <c r="AD1068" s="13">
        <v>43187</v>
      </c>
      <c r="AE1068" s="12">
        <v>26.084800000000001</v>
      </c>
      <c r="AF1068" s="13">
        <v>43187</v>
      </c>
      <c r="AG1068" s="12">
        <v>134.10509999999999</v>
      </c>
    </row>
    <row r="1069" spans="30:33" x14ac:dyDescent="0.2">
      <c r="AD1069" s="13">
        <v>43188</v>
      </c>
      <c r="AE1069" s="12">
        <v>26.1218</v>
      </c>
      <c r="AF1069" s="13">
        <v>43188</v>
      </c>
      <c r="AG1069" s="12">
        <v>134.7133</v>
      </c>
    </row>
    <row r="1070" spans="30:33" x14ac:dyDescent="0.2">
      <c r="AD1070" s="13">
        <v>43192</v>
      </c>
      <c r="AE1070" s="12">
        <v>26.172999999999998</v>
      </c>
      <c r="AF1070" s="13">
        <v>43192</v>
      </c>
      <c r="AG1070" s="12">
        <v>134.64080000000001</v>
      </c>
    </row>
    <row r="1071" spans="30:33" x14ac:dyDescent="0.2">
      <c r="AD1071" s="13">
        <v>43193</v>
      </c>
      <c r="AE1071" s="12">
        <v>26.109400000000001</v>
      </c>
      <c r="AF1071" s="13">
        <v>43193</v>
      </c>
      <c r="AG1071" s="12">
        <v>134.2841</v>
      </c>
    </row>
    <row r="1072" spans="30:33" x14ac:dyDescent="0.2">
      <c r="AD1072" s="13">
        <v>43194</v>
      </c>
      <c r="AE1072" s="12">
        <v>26.088200000000001</v>
      </c>
      <c r="AF1072" s="13">
        <v>43194</v>
      </c>
      <c r="AG1072" s="12">
        <v>134.2841</v>
      </c>
    </row>
    <row r="1073" spans="30:33" x14ac:dyDescent="0.2">
      <c r="AD1073" s="13">
        <v>43195</v>
      </c>
      <c r="AE1073" s="12">
        <v>26.0458</v>
      </c>
      <c r="AF1073" s="13">
        <v>43195</v>
      </c>
      <c r="AG1073" s="12">
        <v>134.33009999999999</v>
      </c>
    </row>
    <row r="1074" spans="30:33" x14ac:dyDescent="0.2">
      <c r="AD1074" s="13">
        <v>43196</v>
      </c>
      <c r="AE1074" s="12">
        <v>26.141200000000001</v>
      </c>
      <c r="AF1074" s="13">
        <v>43196</v>
      </c>
      <c r="AG1074" s="12">
        <v>134.7329</v>
      </c>
    </row>
    <row r="1075" spans="30:33" x14ac:dyDescent="0.2">
      <c r="AD1075" s="13">
        <v>43199</v>
      </c>
      <c r="AE1075" s="12">
        <v>26.141200000000001</v>
      </c>
      <c r="AF1075" s="13">
        <v>43199</v>
      </c>
      <c r="AG1075" s="12">
        <v>134.80199999999999</v>
      </c>
    </row>
    <row r="1076" spans="30:33" x14ac:dyDescent="0.2">
      <c r="AD1076" s="13">
        <v>43200</v>
      </c>
      <c r="AE1076" s="12">
        <v>26.109400000000001</v>
      </c>
      <c r="AF1076" s="13">
        <v>43200</v>
      </c>
      <c r="AG1076" s="12">
        <v>134.8365</v>
      </c>
    </row>
    <row r="1077" spans="30:33" x14ac:dyDescent="0.2">
      <c r="AD1077" s="13">
        <v>43201</v>
      </c>
      <c r="AE1077" s="12">
        <v>26.130600000000001</v>
      </c>
      <c r="AF1077" s="13">
        <v>43201</v>
      </c>
      <c r="AG1077" s="12">
        <v>134.92859999999999</v>
      </c>
    </row>
    <row r="1078" spans="30:33" x14ac:dyDescent="0.2">
      <c r="AD1078" s="13">
        <v>43202</v>
      </c>
      <c r="AE1078" s="12">
        <v>26.067</v>
      </c>
      <c r="AF1078" s="13">
        <v>43202</v>
      </c>
      <c r="AG1078" s="12">
        <v>134.56030000000001</v>
      </c>
    </row>
    <row r="1079" spans="30:33" x14ac:dyDescent="0.2">
      <c r="AD1079" s="13">
        <v>43203</v>
      </c>
      <c r="AE1079" s="12">
        <v>26.067</v>
      </c>
      <c r="AF1079" s="13">
        <v>43203</v>
      </c>
      <c r="AG1079" s="12">
        <v>134.6063</v>
      </c>
    </row>
    <row r="1080" spans="30:33" x14ac:dyDescent="0.2">
      <c r="AD1080" s="13">
        <v>43206</v>
      </c>
      <c r="AE1080" s="12">
        <v>26.067</v>
      </c>
      <c r="AF1080" s="13">
        <v>43206</v>
      </c>
      <c r="AG1080" s="12">
        <v>134.61779999999999</v>
      </c>
    </row>
    <row r="1081" spans="30:33" x14ac:dyDescent="0.2">
      <c r="AD1081" s="13">
        <v>43207</v>
      </c>
      <c r="AE1081" s="12">
        <v>26.082899999999999</v>
      </c>
      <c r="AF1081" s="13">
        <v>43207</v>
      </c>
      <c r="AG1081" s="12">
        <v>134.6293</v>
      </c>
    </row>
    <row r="1082" spans="30:33" x14ac:dyDescent="0.2">
      <c r="AD1082" s="13">
        <v>43208</v>
      </c>
      <c r="AE1082" s="12">
        <v>26.003499999999999</v>
      </c>
      <c r="AF1082" s="13">
        <v>43208</v>
      </c>
      <c r="AG1082" s="12">
        <v>133.93879999999999</v>
      </c>
    </row>
    <row r="1083" spans="30:33" x14ac:dyDescent="0.2">
      <c r="AD1083" s="13">
        <v>43209</v>
      </c>
      <c r="AE1083" s="12">
        <v>25.950500000000002</v>
      </c>
      <c r="AF1083" s="13">
        <v>43209</v>
      </c>
      <c r="AG1083" s="12">
        <v>133.4324</v>
      </c>
    </row>
    <row r="1084" spans="30:33" x14ac:dyDescent="0.2">
      <c r="AD1084" s="13">
        <v>43210</v>
      </c>
      <c r="AE1084" s="12">
        <v>25.886900000000001</v>
      </c>
      <c r="AF1084" s="13">
        <v>43210</v>
      </c>
      <c r="AG1084" s="12">
        <v>132.89150000000001</v>
      </c>
    </row>
    <row r="1085" spans="30:33" x14ac:dyDescent="0.2">
      <c r="AD1085" s="13">
        <v>43213</v>
      </c>
      <c r="AE1085" s="12">
        <v>25.876300000000001</v>
      </c>
      <c r="AF1085" s="13">
        <v>43213</v>
      </c>
      <c r="AG1085" s="12">
        <v>132.834</v>
      </c>
    </row>
    <row r="1086" spans="30:33" x14ac:dyDescent="0.2">
      <c r="AD1086" s="13">
        <v>43214</v>
      </c>
      <c r="AE1086" s="12">
        <v>25.8551</v>
      </c>
      <c r="AF1086" s="13">
        <v>43214</v>
      </c>
      <c r="AG1086" s="12">
        <v>132.4427</v>
      </c>
    </row>
    <row r="1087" spans="30:33" x14ac:dyDescent="0.2">
      <c r="AD1087" s="13">
        <v>43215</v>
      </c>
      <c r="AE1087" s="12">
        <v>25.8233</v>
      </c>
      <c r="AF1087" s="13">
        <v>43215</v>
      </c>
      <c r="AG1087" s="12">
        <v>132.0283</v>
      </c>
    </row>
    <row r="1088" spans="30:33" x14ac:dyDescent="0.2">
      <c r="AD1088" s="13">
        <v>43216</v>
      </c>
      <c r="AE1088" s="12">
        <v>25.8657</v>
      </c>
      <c r="AF1088" s="13">
        <v>43216</v>
      </c>
      <c r="AG1088" s="12">
        <v>132.4196</v>
      </c>
    </row>
    <row r="1089" spans="30:33" x14ac:dyDescent="0.2">
      <c r="AD1089" s="13">
        <v>43217</v>
      </c>
      <c r="AE1089" s="12">
        <v>25.897500000000001</v>
      </c>
      <c r="AF1089" s="13">
        <v>43217</v>
      </c>
      <c r="AG1089" s="12">
        <v>132.71889999999999</v>
      </c>
    </row>
    <row r="1090" spans="30:33" x14ac:dyDescent="0.2">
      <c r="AD1090" s="13">
        <v>43220</v>
      </c>
      <c r="AE1090" s="12">
        <v>25.918700000000001</v>
      </c>
      <c r="AF1090" s="13">
        <v>43220</v>
      </c>
      <c r="AG1090" s="12">
        <v>132.60380000000001</v>
      </c>
    </row>
    <row r="1091" spans="30:33" x14ac:dyDescent="0.2">
      <c r="AD1091" s="13">
        <v>43221</v>
      </c>
      <c r="AE1091" s="12">
        <v>25.8855</v>
      </c>
      <c r="AF1091" s="13">
        <v>43221</v>
      </c>
      <c r="AG1091" s="12">
        <v>132.24629999999999</v>
      </c>
    </row>
    <row r="1092" spans="30:33" x14ac:dyDescent="0.2">
      <c r="AD1092" s="13">
        <v>43222</v>
      </c>
      <c r="AE1092" s="12">
        <v>25.8855</v>
      </c>
      <c r="AF1092" s="13">
        <v>43222</v>
      </c>
      <c r="AG1092" s="12">
        <v>132.14250000000001</v>
      </c>
    </row>
    <row r="1093" spans="30:33" x14ac:dyDescent="0.2">
      <c r="AD1093" s="13">
        <v>43223</v>
      </c>
      <c r="AE1093" s="12">
        <v>25.949200000000001</v>
      </c>
      <c r="AF1093" s="13">
        <v>43223</v>
      </c>
      <c r="AG1093" s="12">
        <v>132.16550000000001</v>
      </c>
    </row>
    <row r="1094" spans="30:33" x14ac:dyDescent="0.2">
      <c r="AD1094" s="13">
        <v>43224</v>
      </c>
      <c r="AE1094" s="12">
        <v>25.938600000000001</v>
      </c>
      <c r="AF1094" s="13">
        <v>43224</v>
      </c>
      <c r="AG1094" s="12">
        <v>132.3502</v>
      </c>
    </row>
    <row r="1095" spans="30:33" x14ac:dyDescent="0.2">
      <c r="AD1095" s="13">
        <v>43227</v>
      </c>
      <c r="AE1095" s="12">
        <v>25.943899999999999</v>
      </c>
      <c r="AF1095" s="13">
        <v>43227</v>
      </c>
      <c r="AG1095" s="12">
        <v>132.2002</v>
      </c>
    </row>
    <row r="1096" spans="30:33" x14ac:dyDescent="0.2">
      <c r="AD1096" s="13">
        <v>43228</v>
      </c>
      <c r="AE1096" s="12">
        <v>25.928000000000001</v>
      </c>
      <c r="AF1096" s="13">
        <v>43228</v>
      </c>
      <c r="AG1096" s="12">
        <v>132.154</v>
      </c>
    </row>
    <row r="1097" spans="30:33" x14ac:dyDescent="0.2">
      <c r="AD1097" s="13">
        <v>43229</v>
      </c>
      <c r="AE1097" s="12">
        <v>25.8537</v>
      </c>
      <c r="AF1097" s="13">
        <v>43229</v>
      </c>
      <c r="AG1097" s="12">
        <v>132.1309</v>
      </c>
    </row>
    <row r="1098" spans="30:33" x14ac:dyDescent="0.2">
      <c r="AD1098" s="13">
        <v>43230</v>
      </c>
      <c r="AE1098" s="12">
        <v>25.928000000000001</v>
      </c>
      <c r="AF1098" s="13">
        <v>43230</v>
      </c>
      <c r="AG1098" s="12">
        <v>132.80029999999999</v>
      </c>
    </row>
    <row r="1099" spans="30:33" x14ac:dyDescent="0.2">
      <c r="AD1099" s="13">
        <v>43231</v>
      </c>
      <c r="AE1099" s="12">
        <v>25.906700000000001</v>
      </c>
      <c r="AF1099" s="13">
        <v>43231</v>
      </c>
      <c r="AG1099" s="12">
        <v>133.03120000000001</v>
      </c>
    </row>
    <row r="1100" spans="30:33" x14ac:dyDescent="0.2">
      <c r="AD1100" s="13">
        <v>43234</v>
      </c>
      <c r="AE1100" s="12">
        <v>25.8749</v>
      </c>
      <c r="AF1100" s="13">
        <v>43234</v>
      </c>
      <c r="AG1100" s="12">
        <v>132.78880000000001</v>
      </c>
    </row>
    <row r="1101" spans="30:33" x14ac:dyDescent="0.2">
      <c r="AD1101" s="13">
        <v>43235</v>
      </c>
      <c r="AE1101" s="12">
        <v>25.779399999999999</v>
      </c>
      <c r="AF1101" s="13">
        <v>43235</v>
      </c>
      <c r="AG1101" s="12">
        <v>131.78469999999999</v>
      </c>
    </row>
    <row r="1102" spans="30:33" x14ac:dyDescent="0.2">
      <c r="AD1102" s="13">
        <v>43236</v>
      </c>
      <c r="AE1102" s="12">
        <v>25.758199999999999</v>
      </c>
      <c r="AF1102" s="13">
        <v>43236</v>
      </c>
      <c r="AG1102" s="12">
        <v>131.61150000000001</v>
      </c>
    </row>
    <row r="1103" spans="30:33" x14ac:dyDescent="0.2">
      <c r="AD1103" s="13">
        <v>43237</v>
      </c>
      <c r="AE1103" s="12">
        <v>25.7529</v>
      </c>
      <c r="AF1103" s="13">
        <v>43237</v>
      </c>
      <c r="AG1103" s="12">
        <v>131.35759999999999</v>
      </c>
    </row>
    <row r="1104" spans="30:33" x14ac:dyDescent="0.2">
      <c r="AD1104" s="13">
        <v>43238</v>
      </c>
      <c r="AE1104" s="12">
        <v>25.811199999999999</v>
      </c>
      <c r="AF1104" s="13">
        <v>43238</v>
      </c>
      <c r="AG1104" s="12">
        <v>131.90010000000001</v>
      </c>
    </row>
    <row r="1105" spans="30:33" x14ac:dyDescent="0.2">
      <c r="AD1105" s="13">
        <v>43241</v>
      </c>
      <c r="AE1105" s="12">
        <v>25.827100000000002</v>
      </c>
      <c r="AF1105" s="13">
        <v>43241</v>
      </c>
      <c r="AG1105" s="12">
        <v>131.98089999999999</v>
      </c>
    </row>
    <row r="1106" spans="30:33" x14ac:dyDescent="0.2">
      <c r="AD1106" s="13">
        <v>43242</v>
      </c>
      <c r="AE1106" s="12">
        <v>25.811199999999999</v>
      </c>
      <c r="AF1106" s="13">
        <v>43242</v>
      </c>
      <c r="AG1106" s="12">
        <v>131.8424</v>
      </c>
    </row>
    <row r="1107" spans="30:33" x14ac:dyDescent="0.2">
      <c r="AD1107" s="13">
        <v>43243</v>
      </c>
      <c r="AE1107" s="12">
        <v>25.8855</v>
      </c>
      <c r="AF1107" s="13">
        <v>43243</v>
      </c>
      <c r="AG1107" s="12">
        <v>132.40790000000001</v>
      </c>
    </row>
    <row r="1108" spans="30:33" x14ac:dyDescent="0.2">
      <c r="AD1108" s="13">
        <v>43244</v>
      </c>
      <c r="AE1108" s="12">
        <v>25.928000000000001</v>
      </c>
      <c r="AF1108" s="13">
        <v>43244</v>
      </c>
      <c r="AG1108" s="12">
        <v>132.7773</v>
      </c>
    </row>
    <row r="1109" spans="30:33" x14ac:dyDescent="0.2">
      <c r="AD1109" s="13">
        <v>43245</v>
      </c>
      <c r="AE1109" s="12">
        <v>26.034099999999999</v>
      </c>
      <c r="AF1109" s="13">
        <v>43245</v>
      </c>
      <c r="AG1109" s="12">
        <v>133.16970000000001</v>
      </c>
    </row>
    <row r="1110" spans="30:33" x14ac:dyDescent="0.2">
      <c r="AD1110" s="13">
        <v>43249</v>
      </c>
      <c r="AE1110" s="12">
        <v>26.214500000000001</v>
      </c>
      <c r="AF1110" s="13">
        <v>43249</v>
      </c>
      <c r="AG1110" s="12">
        <v>133.87370000000001</v>
      </c>
    </row>
    <row r="1111" spans="30:33" x14ac:dyDescent="0.2">
      <c r="AD1111" s="13">
        <v>43250</v>
      </c>
      <c r="AE1111" s="12">
        <v>26.1402</v>
      </c>
      <c r="AF1111" s="13">
        <v>43250</v>
      </c>
      <c r="AG1111" s="12">
        <v>133.3544</v>
      </c>
    </row>
    <row r="1112" spans="30:33" x14ac:dyDescent="0.2">
      <c r="AD1112" s="13">
        <v>43251</v>
      </c>
      <c r="AE1112" s="12">
        <v>26.119</v>
      </c>
      <c r="AF1112" s="13">
        <v>43251</v>
      </c>
      <c r="AG1112" s="12">
        <v>133.29660000000001</v>
      </c>
    </row>
    <row r="1113" spans="30:33" x14ac:dyDescent="0.2">
      <c r="AD1113" s="13">
        <v>43252</v>
      </c>
      <c r="AE1113" s="12">
        <v>26.058</v>
      </c>
      <c r="AF1113" s="13">
        <v>43252</v>
      </c>
      <c r="AG1113" s="12">
        <v>133.04130000000001</v>
      </c>
    </row>
    <row r="1114" spans="30:33" x14ac:dyDescent="0.2">
      <c r="AD1114" s="13">
        <v>43255</v>
      </c>
      <c r="AE1114" s="12">
        <v>25.983599999999999</v>
      </c>
      <c r="AF1114" s="13">
        <v>43255</v>
      </c>
      <c r="AG1114" s="12">
        <v>132.74019999999999</v>
      </c>
    </row>
    <row r="1115" spans="30:33" x14ac:dyDescent="0.2">
      <c r="AD1115" s="13">
        <v>43256</v>
      </c>
      <c r="AE1115" s="12">
        <v>26.0261</v>
      </c>
      <c r="AF1115" s="13">
        <v>43256</v>
      </c>
      <c r="AG1115" s="12">
        <v>132.8329</v>
      </c>
    </row>
    <row r="1116" spans="30:33" x14ac:dyDescent="0.2">
      <c r="AD1116" s="13">
        <v>43257</v>
      </c>
      <c r="AE1116" s="12">
        <v>25.962299999999999</v>
      </c>
      <c r="AF1116" s="13">
        <v>43257</v>
      </c>
      <c r="AG1116" s="12">
        <v>132.3466</v>
      </c>
    </row>
    <row r="1117" spans="30:33" x14ac:dyDescent="0.2">
      <c r="AD1117" s="13">
        <v>43258</v>
      </c>
      <c r="AE1117" s="12">
        <v>26.0367</v>
      </c>
      <c r="AF1117" s="13">
        <v>43258</v>
      </c>
      <c r="AG1117" s="12">
        <v>132.78649999999999</v>
      </c>
    </row>
    <row r="1118" spans="30:33" x14ac:dyDescent="0.2">
      <c r="AD1118" s="13">
        <v>43259</v>
      </c>
      <c r="AE1118" s="12">
        <v>26.015499999999999</v>
      </c>
      <c r="AF1118" s="13">
        <v>43259</v>
      </c>
      <c r="AG1118" s="12">
        <v>132.56659999999999</v>
      </c>
    </row>
    <row r="1119" spans="30:33" x14ac:dyDescent="0.2">
      <c r="AD1119" s="13">
        <v>43262</v>
      </c>
      <c r="AE1119" s="12">
        <v>25.994199999999999</v>
      </c>
      <c r="AF1119" s="13">
        <v>43262</v>
      </c>
      <c r="AG1119" s="12">
        <v>132.4392</v>
      </c>
    </row>
    <row r="1120" spans="30:33" x14ac:dyDescent="0.2">
      <c r="AD1120" s="13">
        <v>43263</v>
      </c>
      <c r="AE1120" s="12">
        <v>25.983599999999999</v>
      </c>
      <c r="AF1120" s="13">
        <v>43263</v>
      </c>
      <c r="AG1120" s="12">
        <v>132.45079999999999</v>
      </c>
    </row>
    <row r="1121" spans="30:33" x14ac:dyDescent="0.2">
      <c r="AD1121" s="13">
        <v>43264</v>
      </c>
      <c r="AE1121" s="12">
        <v>25.962299999999999</v>
      </c>
      <c r="AF1121" s="13">
        <v>43264</v>
      </c>
      <c r="AG1121" s="12">
        <v>132.32339999999999</v>
      </c>
    </row>
    <row r="1122" spans="30:33" x14ac:dyDescent="0.2">
      <c r="AD1122" s="13">
        <v>43265</v>
      </c>
      <c r="AE1122" s="12">
        <v>26.042100000000001</v>
      </c>
      <c r="AF1122" s="13">
        <v>43265</v>
      </c>
      <c r="AG1122" s="12">
        <v>132.9255</v>
      </c>
    </row>
    <row r="1123" spans="30:33" x14ac:dyDescent="0.2">
      <c r="AD1123" s="13">
        <v>43266</v>
      </c>
      <c r="AE1123" s="12">
        <v>26.0367</v>
      </c>
      <c r="AF1123" s="13">
        <v>43266</v>
      </c>
      <c r="AG1123" s="12">
        <v>132.74019999999999</v>
      </c>
    </row>
    <row r="1124" spans="30:33" x14ac:dyDescent="0.2">
      <c r="AD1124" s="13">
        <v>43269</v>
      </c>
      <c r="AE1124" s="12">
        <v>26.0367</v>
      </c>
      <c r="AF1124" s="13">
        <v>43269</v>
      </c>
      <c r="AG1124" s="12">
        <v>132.60130000000001</v>
      </c>
    </row>
    <row r="1125" spans="30:33" x14ac:dyDescent="0.2">
      <c r="AD1125" s="13">
        <v>43270</v>
      </c>
      <c r="AE1125" s="12">
        <v>26.0899</v>
      </c>
      <c r="AF1125" s="13">
        <v>43270</v>
      </c>
      <c r="AG1125" s="12">
        <v>132.67080000000001</v>
      </c>
    </row>
    <row r="1126" spans="30:33" x14ac:dyDescent="0.2">
      <c r="AD1126" s="13">
        <v>43271</v>
      </c>
      <c r="AE1126" s="12">
        <v>26.0261</v>
      </c>
      <c r="AF1126" s="13">
        <v>43271</v>
      </c>
      <c r="AG1126" s="12">
        <v>131.9298</v>
      </c>
    </row>
    <row r="1127" spans="30:33" x14ac:dyDescent="0.2">
      <c r="AD1127" s="13">
        <v>43272</v>
      </c>
      <c r="AE1127" s="12">
        <v>26.0793</v>
      </c>
      <c r="AF1127" s="13">
        <v>43272</v>
      </c>
      <c r="AG1127" s="12">
        <v>131.82560000000001</v>
      </c>
    </row>
    <row r="1128" spans="30:33" x14ac:dyDescent="0.2">
      <c r="AD1128" s="13">
        <v>43273</v>
      </c>
      <c r="AE1128" s="12">
        <v>26.0899</v>
      </c>
      <c r="AF1128" s="13">
        <v>43273</v>
      </c>
      <c r="AG1128" s="12">
        <v>131.98769999999999</v>
      </c>
    </row>
    <row r="1129" spans="30:33" x14ac:dyDescent="0.2">
      <c r="AD1129" s="13">
        <v>43276</v>
      </c>
      <c r="AE1129" s="12">
        <v>26.1005</v>
      </c>
      <c r="AF1129" s="13">
        <v>43276</v>
      </c>
      <c r="AG1129" s="12">
        <v>131.8603</v>
      </c>
    </row>
    <row r="1130" spans="30:33" x14ac:dyDescent="0.2">
      <c r="AD1130" s="13">
        <v>43277</v>
      </c>
      <c r="AE1130" s="12">
        <v>26.1112</v>
      </c>
      <c r="AF1130" s="13">
        <v>43277</v>
      </c>
      <c r="AG1130" s="12">
        <v>132.30029999999999</v>
      </c>
    </row>
    <row r="1131" spans="30:33" x14ac:dyDescent="0.2">
      <c r="AD1131" s="13">
        <v>43278</v>
      </c>
      <c r="AE1131" s="12">
        <v>26.217500000000001</v>
      </c>
      <c r="AF1131" s="13">
        <v>43278</v>
      </c>
      <c r="AG1131" s="12">
        <v>132.7518</v>
      </c>
    </row>
    <row r="1132" spans="30:33" x14ac:dyDescent="0.2">
      <c r="AD1132" s="13">
        <v>43279</v>
      </c>
      <c r="AE1132" s="12">
        <v>26.174900000000001</v>
      </c>
      <c r="AF1132" s="13">
        <v>43279</v>
      </c>
      <c r="AG1132" s="12">
        <v>132.57810000000001</v>
      </c>
    </row>
    <row r="1133" spans="30:33" x14ac:dyDescent="0.2">
      <c r="AD1133" s="13">
        <v>43280</v>
      </c>
      <c r="AE1133" s="12">
        <v>26.180299999999999</v>
      </c>
      <c r="AF1133" s="13">
        <v>43280</v>
      </c>
      <c r="AG1133" s="12">
        <v>132.64760000000001</v>
      </c>
    </row>
    <row r="1134" spans="30:33" x14ac:dyDescent="0.2">
      <c r="AD1134" s="13">
        <v>43283</v>
      </c>
      <c r="AE1134" s="12">
        <v>26.142399999999999</v>
      </c>
      <c r="AF1134" s="13">
        <v>43283</v>
      </c>
      <c r="AG1134" s="12">
        <v>132.66540000000001</v>
      </c>
    </row>
    <row r="1135" spans="30:33" x14ac:dyDescent="0.2">
      <c r="AD1135" s="13">
        <v>43284</v>
      </c>
      <c r="AE1135" s="12">
        <v>26.184999999999999</v>
      </c>
      <c r="AF1135" s="13">
        <v>43284</v>
      </c>
      <c r="AG1135" s="12">
        <v>133.1532</v>
      </c>
    </row>
    <row r="1136" spans="30:33" x14ac:dyDescent="0.2">
      <c r="AD1136" s="13">
        <v>43286</v>
      </c>
      <c r="AE1136" s="12">
        <v>26.216999999999999</v>
      </c>
      <c r="AF1136" s="13">
        <v>43286</v>
      </c>
      <c r="AG1136" s="12">
        <v>133.5712</v>
      </c>
    </row>
    <row r="1137" spans="30:33" x14ac:dyDescent="0.2">
      <c r="AD1137" s="13">
        <v>43287</v>
      </c>
      <c r="AE1137" s="12">
        <v>26.227599999999999</v>
      </c>
      <c r="AF1137" s="13">
        <v>43287</v>
      </c>
      <c r="AG1137" s="12">
        <v>133.75700000000001</v>
      </c>
    </row>
    <row r="1138" spans="30:33" x14ac:dyDescent="0.2">
      <c r="AD1138" s="13">
        <v>43290</v>
      </c>
      <c r="AE1138" s="12">
        <v>26.174399999999999</v>
      </c>
      <c r="AF1138" s="13">
        <v>43290</v>
      </c>
      <c r="AG1138" s="12">
        <v>133.84989999999999</v>
      </c>
    </row>
    <row r="1139" spans="30:33" x14ac:dyDescent="0.2">
      <c r="AD1139" s="13">
        <v>43291</v>
      </c>
      <c r="AE1139" s="12">
        <v>26.163699999999999</v>
      </c>
      <c r="AF1139" s="13">
        <v>43291</v>
      </c>
      <c r="AG1139" s="12">
        <v>133.69900000000001</v>
      </c>
    </row>
    <row r="1140" spans="30:33" x14ac:dyDescent="0.2">
      <c r="AD1140" s="13">
        <v>43292</v>
      </c>
      <c r="AE1140" s="12">
        <v>26.195699999999999</v>
      </c>
      <c r="AF1140" s="13">
        <v>43292</v>
      </c>
      <c r="AG1140" s="12">
        <v>133.96610000000001</v>
      </c>
    </row>
    <row r="1141" spans="30:33" x14ac:dyDescent="0.2">
      <c r="AD1141" s="13">
        <v>43293</v>
      </c>
      <c r="AE1141" s="12">
        <v>26.195699999999999</v>
      </c>
      <c r="AF1141" s="13">
        <v>43293</v>
      </c>
      <c r="AG1141" s="12">
        <v>134.25640000000001</v>
      </c>
    </row>
    <row r="1142" spans="30:33" x14ac:dyDescent="0.2">
      <c r="AD1142" s="13">
        <v>43294</v>
      </c>
      <c r="AE1142" s="12">
        <v>26.227599999999999</v>
      </c>
      <c r="AF1142" s="13">
        <v>43294</v>
      </c>
      <c r="AG1142" s="12">
        <v>134.36089999999999</v>
      </c>
    </row>
    <row r="1143" spans="30:33" x14ac:dyDescent="0.2">
      <c r="AD1143" s="13">
        <v>43297</v>
      </c>
      <c r="AE1143" s="12">
        <v>26.195699999999999</v>
      </c>
      <c r="AF1143" s="13">
        <v>43297</v>
      </c>
      <c r="AG1143" s="12">
        <v>134.1403</v>
      </c>
    </row>
    <row r="1144" spans="30:33" x14ac:dyDescent="0.2">
      <c r="AD1144" s="13">
        <v>43298</v>
      </c>
      <c r="AE1144" s="12">
        <v>26.174399999999999</v>
      </c>
      <c r="AF1144" s="13">
        <v>43298</v>
      </c>
      <c r="AG1144" s="12">
        <v>134.04740000000001</v>
      </c>
    </row>
    <row r="1145" spans="30:33" x14ac:dyDescent="0.2">
      <c r="AD1145" s="13">
        <v>43299</v>
      </c>
      <c r="AE1145" s="12">
        <v>26.163699999999999</v>
      </c>
      <c r="AF1145" s="13">
        <v>43299</v>
      </c>
      <c r="AG1145" s="12">
        <v>134.0241</v>
      </c>
    </row>
    <row r="1146" spans="30:33" x14ac:dyDescent="0.2">
      <c r="AD1146" s="13">
        <v>43300</v>
      </c>
      <c r="AE1146" s="12">
        <v>26.216999999999999</v>
      </c>
      <c r="AF1146" s="13">
        <v>43300</v>
      </c>
      <c r="AG1146" s="12">
        <v>134.23320000000001</v>
      </c>
    </row>
    <row r="1147" spans="30:33" x14ac:dyDescent="0.2">
      <c r="AD1147" s="13">
        <v>43301</v>
      </c>
      <c r="AE1147" s="12">
        <v>26.163699999999999</v>
      </c>
      <c r="AF1147" s="13">
        <v>43301</v>
      </c>
      <c r="AG1147" s="12">
        <v>133.8383</v>
      </c>
    </row>
    <row r="1148" spans="30:33" x14ac:dyDescent="0.2">
      <c r="AD1148" s="13">
        <v>43304</v>
      </c>
      <c r="AE1148" s="12">
        <v>26.067900000000002</v>
      </c>
      <c r="AF1148" s="13">
        <v>43304</v>
      </c>
      <c r="AG1148" s="12">
        <v>133.30410000000001</v>
      </c>
    </row>
    <row r="1149" spans="30:33" x14ac:dyDescent="0.2">
      <c r="AD1149" s="13">
        <v>43305</v>
      </c>
      <c r="AE1149" s="12">
        <v>26.078600000000002</v>
      </c>
      <c r="AF1149" s="13">
        <v>43305</v>
      </c>
      <c r="AG1149" s="12">
        <v>133.72219999999999</v>
      </c>
    </row>
    <row r="1150" spans="30:33" x14ac:dyDescent="0.2">
      <c r="AD1150" s="13">
        <v>43306</v>
      </c>
      <c r="AE1150" s="12">
        <v>26.046600000000002</v>
      </c>
      <c r="AF1150" s="13">
        <v>43306</v>
      </c>
      <c r="AG1150" s="12">
        <v>133.8964</v>
      </c>
    </row>
    <row r="1151" spans="30:33" x14ac:dyDescent="0.2">
      <c r="AD1151" s="13">
        <v>43307</v>
      </c>
      <c r="AE1151" s="12">
        <v>26.025300000000001</v>
      </c>
      <c r="AF1151" s="13">
        <v>43307</v>
      </c>
      <c r="AG1151" s="12">
        <v>134.0241</v>
      </c>
    </row>
    <row r="1152" spans="30:33" x14ac:dyDescent="0.2">
      <c r="AD1152" s="13">
        <v>43308</v>
      </c>
      <c r="AE1152" s="12">
        <v>26.046600000000002</v>
      </c>
      <c r="AF1152" s="13">
        <v>43308</v>
      </c>
      <c r="AG1152" s="12">
        <v>134.19829999999999</v>
      </c>
    </row>
    <row r="1153" spans="30:33" x14ac:dyDescent="0.2">
      <c r="AD1153" s="13">
        <v>43311</v>
      </c>
      <c r="AE1153" s="12">
        <v>26.025300000000001</v>
      </c>
      <c r="AF1153" s="13">
        <v>43311</v>
      </c>
      <c r="AG1153" s="12">
        <v>134.01249999999999</v>
      </c>
    </row>
    <row r="1154" spans="30:33" x14ac:dyDescent="0.2">
      <c r="AD1154" s="13">
        <v>43312</v>
      </c>
      <c r="AE1154" s="12">
        <v>26.057300000000001</v>
      </c>
      <c r="AF1154" s="13">
        <v>43312</v>
      </c>
      <c r="AG1154" s="12">
        <v>134.4306</v>
      </c>
    </row>
    <row r="1155" spans="30:33" x14ac:dyDescent="0.2">
      <c r="AD1155" s="13">
        <v>43313</v>
      </c>
      <c r="AE1155" s="12">
        <v>26.006799999999998</v>
      </c>
      <c r="AF1155" s="13">
        <v>43313</v>
      </c>
      <c r="AG1155" s="12">
        <v>133.95750000000001</v>
      </c>
    </row>
    <row r="1156" spans="30:33" x14ac:dyDescent="0.2">
      <c r="AD1156" s="13">
        <v>43314</v>
      </c>
      <c r="AE1156" s="12">
        <v>26.028099999999998</v>
      </c>
      <c r="AF1156" s="13">
        <v>43314</v>
      </c>
      <c r="AG1156" s="12">
        <v>134.1206</v>
      </c>
    </row>
    <row r="1157" spans="30:33" x14ac:dyDescent="0.2">
      <c r="AD1157" s="13">
        <v>43315</v>
      </c>
      <c r="AE1157" s="12">
        <v>26.070799999999998</v>
      </c>
      <c r="AF1157" s="13">
        <v>43315</v>
      </c>
      <c r="AG1157" s="12">
        <v>134.53989999999999</v>
      </c>
    </row>
    <row r="1158" spans="30:33" x14ac:dyDescent="0.2">
      <c r="AD1158" s="13">
        <v>43318</v>
      </c>
      <c r="AE1158" s="12">
        <v>26.081499999999998</v>
      </c>
      <c r="AF1158" s="13">
        <v>43318</v>
      </c>
      <c r="AG1158" s="12">
        <v>134.66800000000001</v>
      </c>
    </row>
    <row r="1159" spans="30:33" x14ac:dyDescent="0.2">
      <c r="AD1159" s="13">
        <v>43319</v>
      </c>
      <c r="AE1159" s="12">
        <v>26.049499999999998</v>
      </c>
      <c r="AF1159" s="13">
        <v>43319</v>
      </c>
      <c r="AG1159" s="12">
        <v>134.24870000000001</v>
      </c>
    </row>
    <row r="1160" spans="30:33" x14ac:dyDescent="0.2">
      <c r="AD1160" s="13">
        <v>43320</v>
      </c>
      <c r="AE1160" s="12">
        <v>26.070799999999998</v>
      </c>
      <c r="AF1160" s="13">
        <v>43320</v>
      </c>
      <c r="AG1160" s="12">
        <v>134.03899999999999</v>
      </c>
    </row>
    <row r="1161" spans="30:33" x14ac:dyDescent="0.2">
      <c r="AD1161" s="13">
        <v>43321</v>
      </c>
      <c r="AE1161" s="12">
        <v>26.113499999999998</v>
      </c>
      <c r="AF1161" s="13">
        <v>43321</v>
      </c>
      <c r="AG1161" s="12">
        <v>134.1439</v>
      </c>
    </row>
    <row r="1162" spans="30:33" x14ac:dyDescent="0.2">
      <c r="AD1162" s="13">
        <v>43322</v>
      </c>
      <c r="AE1162" s="12">
        <v>26.209499999999998</v>
      </c>
      <c r="AF1162" s="13">
        <v>43322</v>
      </c>
      <c r="AG1162" s="12">
        <v>134.36519999999999</v>
      </c>
    </row>
    <row r="1163" spans="30:33" x14ac:dyDescent="0.2">
      <c r="AD1163" s="13">
        <v>43325</v>
      </c>
      <c r="AE1163" s="12">
        <v>26.188099999999999</v>
      </c>
      <c r="AF1163" s="13">
        <v>43325</v>
      </c>
      <c r="AG1163" s="12">
        <v>134.33019999999999</v>
      </c>
    </row>
    <row r="1164" spans="30:33" x14ac:dyDescent="0.2">
      <c r="AD1164" s="13">
        <v>43326</v>
      </c>
      <c r="AE1164" s="12">
        <v>26.166799999999999</v>
      </c>
      <c r="AF1164" s="13">
        <v>43326</v>
      </c>
      <c r="AG1164" s="12">
        <v>134.50489999999999</v>
      </c>
    </row>
    <row r="1165" spans="30:33" x14ac:dyDescent="0.2">
      <c r="AD1165" s="13">
        <v>43327</v>
      </c>
      <c r="AE1165" s="12">
        <v>26.209499999999998</v>
      </c>
      <c r="AF1165" s="13">
        <v>43327</v>
      </c>
      <c r="AG1165" s="12">
        <v>134.78450000000001</v>
      </c>
    </row>
    <row r="1166" spans="30:33" x14ac:dyDescent="0.2">
      <c r="AD1166" s="13">
        <v>43328</v>
      </c>
      <c r="AE1166" s="12">
        <v>26.209499999999998</v>
      </c>
      <c r="AF1166" s="13">
        <v>43328</v>
      </c>
      <c r="AG1166" s="12">
        <v>134.95920000000001</v>
      </c>
    </row>
    <row r="1167" spans="30:33" x14ac:dyDescent="0.2">
      <c r="AD1167" s="13">
        <v>43329</v>
      </c>
      <c r="AE1167" s="12">
        <v>26.241499999999998</v>
      </c>
      <c r="AF1167" s="13">
        <v>43329</v>
      </c>
      <c r="AG1167" s="12">
        <v>135.07570000000001</v>
      </c>
    </row>
    <row r="1168" spans="30:33" x14ac:dyDescent="0.2">
      <c r="AD1168" s="13">
        <v>43332</v>
      </c>
      <c r="AE1168" s="12">
        <v>26.273499999999999</v>
      </c>
      <c r="AF1168" s="13">
        <v>43332</v>
      </c>
      <c r="AG1168" s="12">
        <v>135.42509999999999</v>
      </c>
    </row>
    <row r="1169" spans="30:33" x14ac:dyDescent="0.2">
      <c r="AD1169" s="13">
        <v>43333</v>
      </c>
      <c r="AE1169" s="12">
        <v>26.252099999999999</v>
      </c>
      <c r="AF1169" s="13">
        <v>43333</v>
      </c>
      <c r="AG1169" s="12">
        <v>135.0873</v>
      </c>
    </row>
    <row r="1170" spans="30:33" x14ac:dyDescent="0.2">
      <c r="AD1170" s="13">
        <v>43334</v>
      </c>
      <c r="AE1170" s="12">
        <v>26.284099999999999</v>
      </c>
      <c r="AF1170" s="13">
        <v>43334</v>
      </c>
      <c r="AG1170" s="12">
        <v>135.07570000000001</v>
      </c>
    </row>
    <row r="1171" spans="30:33" x14ac:dyDescent="0.2">
      <c r="AD1171" s="13">
        <v>43335</v>
      </c>
      <c r="AE1171" s="12">
        <v>26.294799999999999</v>
      </c>
      <c r="AF1171" s="13">
        <v>43335</v>
      </c>
      <c r="AG1171" s="12">
        <v>135.12219999999999</v>
      </c>
    </row>
    <row r="1172" spans="30:33" x14ac:dyDescent="0.2">
      <c r="AD1172" s="13">
        <v>43336</v>
      </c>
      <c r="AE1172" s="12">
        <v>26.294799999999999</v>
      </c>
      <c r="AF1172" s="13">
        <v>43336</v>
      </c>
      <c r="AG1172" s="12">
        <v>135.39009999999999</v>
      </c>
    </row>
    <row r="1173" spans="30:33" x14ac:dyDescent="0.2">
      <c r="AD1173" s="13">
        <v>43339</v>
      </c>
      <c r="AE1173" s="12">
        <v>26.262799999999999</v>
      </c>
      <c r="AF1173" s="13">
        <v>43339</v>
      </c>
      <c r="AG1173" s="12">
        <v>135.18049999999999</v>
      </c>
    </row>
    <row r="1174" spans="30:33" x14ac:dyDescent="0.2">
      <c r="AD1174" s="13">
        <v>43340</v>
      </c>
      <c r="AE1174" s="12">
        <v>26.209499999999998</v>
      </c>
      <c r="AF1174" s="13">
        <v>43340</v>
      </c>
      <c r="AG1174" s="12">
        <v>134.66800000000001</v>
      </c>
    </row>
    <row r="1175" spans="30:33" x14ac:dyDescent="0.2">
      <c r="AD1175" s="13">
        <v>43341</v>
      </c>
      <c r="AE1175" s="12">
        <v>26.220099999999999</v>
      </c>
      <c r="AF1175" s="13">
        <v>43341</v>
      </c>
      <c r="AG1175" s="12">
        <v>134.5282</v>
      </c>
    </row>
    <row r="1176" spans="30:33" x14ac:dyDescent="0.2">
      <c r="AD1176" s="13">
        <v>43342</v>
      </c>
      <c r="AE1176" s="12">
        <v>26.262799999999999</v>
      </c>
      <c r="AF1176" s="13">
        <v>43342</v>
      </c>
      <c r="AG1176" s="12">
        <v>134.65629999999999</v>
      </c>
    </row>
    <row r="1177" spans="30:33" x14ac:dyDescent="0.2">
      <c r="AD1177" s="13">
        <v>43343</v>
      </c>
      <c r="AE1177" s="12">
        <v>26.252099999999999</v>
      </c>
      <c r="AF1177" s="13">
        <v>43343</v>
      </c>
      <c r="AG1177" s="12">
        <v>134.45830000000001</v>
      </c>
    </row>
    <row r="1178" spans="30:33" x14ac:dyDescent="0.2">
      <c r="AD1178" s="13">
        <v>43347</v>
      </c>
      <c r="AE1178" s="12">
        <v>26.213100000000001</v>
      </c>
      <c r="AF1178" s="13">
        <v>43347</v>
      </c>
      <c r="AG1178" s="12">
        <v>134.21100000000001</v>
      </c>
    </row>
    <row r="1179" spans="30:33" x14ac:dyDescent="0.2">
      <c r="AD1179" s="13">
        <v>43348</v>
      </c>
      <c r="AE1179" s="12">
        <v>26.202400000000001</v>
      </c>
      <c r="AF1179" s="13">
        <v>43348</v>
      </c>
      <c r="AG1179" s="12">
        <v>134.1293</v>
      </c>
    </row>
    <row r="1180" spans="30:33" x14ac:dyDescent="0.2">
      <c r="AD1180" s="13">
        <v>43349</v>
      </c>
      <c r="AE1180" s="12">
        <v>26.234500000000001</v>
      </c>
      <c r="AF1180" s="13">
        <v>43349</v>
      </c>
      <c r="AG1180" s="12">
        <v>134.50309999999999</v>
      </c>
    </row>
    <row r="1181" spans="30:33" x14ac:dyDescent="0.2">
      <c r="AD1181" s="13">
        <v>43350</v>
      </c>
      <c r="AE1181" s="12">
        <v>26.149000000000001</v>
      </c>
      <c r="AF1181" s="13">
        <v>43350</v>
      </c>
      <c r="AG1181" s="12">
        <v>133.94229999999999</v>
      </c>
    </row>
    <row r="1182" spans="30:33" x14ac:dyDescent="0.2">
      <c r="AD1182" s="13">
        <v>43353</v>
      </c>
      <c r="AE1182" s="12">
        <v>26.159700000000001</v>
      </c>
      <c r="AF1182" s="13">
        <v>43353</v>
      </c>
      <c r="AG1182" s="12">
        <v>134.38630000000001</v>
      </c>
    </row>
    <row r="1183" spans="30:33" x14ac:dyDescent="0.2">
      <c r="AD1183" s="13">
        <v>43354</v>
      </c>
      <c r="AE1183" s="12">
        <v>26.095500000000001</v>
      </c>
      <c r="AF1183" s="13">
        <v>43354</v>
      </c>
      <c r="AG1183" s="12">
        <v>134.08250000000001</v>
      </c>
    </row>
    <row r="1184" spans="30:33" x14ac:dyDescent="0.2">
      <c r="AD1184" s="13">
        <v>43355</v>
      </c>
      <c r="AE1184" s="12">
        <v>26.106200000000001</v>
      </c>
      <c r="AF1184" s="13">
        <v>43355</v>
      </c>
      <c r="AG1184" s="12">
        <v>134.35120000000001</v>
      </c>
    </row>
    <row r="1185" spans="30:33" x14ac:dyDescent="0.2">
      <c r="AD1185" s="13">
        <v>43356</v>
      </c>
      <c r="AE1185" s="12">
        <v>26.095500000000001</v>
      </c>
      <c r="AF1185" s="13">
        <v>43356</v>
      </c>
      <c r="AG1185" s="12">
        <v>134.63159999999999</v>
      </c>
    </row>
    <row r="1186" spans="30:33" x14ac:dyDescent="0.2">
      <c r="AD1186" s="13">
        <v>43357</v>
      </c>
      <c r="AE1186" s="12">
        <v>26.063500000000001</v>
      </c>
      <c r="AF1186" s="13">
        <v>43357</v>
      </c>
      <c r="AG1186" s="12">
        <v>134.46809999999999</v>
      </c>
    </row>
    <row r="1187" spans="30:33" x14ac:dyDescent="0.2">
      <c r="AD1187" s="13">
        <v>43360</v>
      </c>
      <c r="AE1187" s="12">
        <v>26.074200000000001</v>
      </c>
      <c r="AF1187" s="13">
        <v>43360</v>
      </c>
      <c r="AG1187" s="12">
        <v>134.38630000000001</v>
      </c>
    </row>
    <row r="1188" spans="30:33" x14ac:dyDescent="0.2">
      <c r="AD1188" s="13">
        <v>43361</v>
      </c>
      <c r="AE1188" s="12">
        <v>26.010100000000001</v>
      </c>
      <c r="AF1188" s="13">
        <v>43361</v>
      </c>
      <c r="AG1188" s="12">
        <v>133.8372</v>
      </c>
    </row>
    <row r="1189" spans="30:33" x14ac:dyDescent="0.2">
      <c r="AD1189" s="13">
        <v>43362</v>
      </c>
      <c r="AE1189" s="12">
        <v>25.967300000000002</v>
      </c>
      <c r="AF1189" s="13">
        <v>43362</v>
      </c>
      <c r="AG1189" s="12">
        <v>133.6386</v>
      </c>
    </row>
    <row r="1190" spans="30:33" x14ac:dyDescent="0.2">
      <c r="AD1190" s="13">
        <v>43363</v>
      </c>
      <c r="AE1190" s="12">
        <v>25.988700000000001</v>
      </c>
      <c r="AF1190" s="13">
        <v>43363</v>
      </c>
      <c r="AG1190" s="12">
        <v>133.98910000000001</v>
      </c>
    </row>
    <row r="1191" spans="30:33" x14ac:dyDescent="0.2">
      <c r="AD1191" s="13">
        <v>43364</v>
      </c>
      <c r="AE1191" s="12">
        <v>25.999400000000001</v>
      </c>
      <c r="AF1191" s="13">
        <v>43364</v>
      </c>
      <c r="AG1191" s="12">
        <v>134.01240000000001</v>
      </c>
    </row>
    <row r="1192" spans="30:33" x14ac:dyDescent="0.2">
      <c r="AD1192" s="13">
        <v>43367</v>
      </c>
      <c r="AE1192" s="12">
        <v>25.978000000000002</v>
      </c>
      <c r="AF1192" s="13">
        <v>43367</v>
      </c>
      <c r="AG1192" s="12">
        <v>133.70869999999999</v>
      </c>
    </row>
    <row r="1193" spans="30:33" x14ac:dyDescent="0.2">
      <c r="AD1193" s="13">
        <v>43368</v>
      </c>
      <c r="AE1193" s="12">
        <v>25.967300000000002</v>
      </c>
      <c r="AF1193" s="13">
        <v>43368</v>
      </c>
      <c r="AG1193" s="12">
        <v>133.70869999999999</v>
      </c>
    </row>
    <row r="1194" spans="30:33" x14ac:dyDescent="0.2">
      <c r="AD1194" s="13">
        <v>43369</v>
      </c>
      <c r="AE1194" s="12">
        <v>26.020700000000001</v>
      </c>
      <c r="AF1194" s="13">
        <v>43369</v>
      </c>
      <c r="AG1194" s="12">
        <v>134.18770000000001</v>
      </c>
    </row>
    <row r="1195" spans="30:33" x14ac:dyDescent="0.2">
      <c r="AD1195" s="13">
        <v>43370</v>
      </c>
      <c r="AE1195" s="12">
        <v>26.020700000000001</v>
      </c>
      <c r="AF1195" s="13">
        <v>43370</v>
      </c>
      <c r="AG1195" s="12">
        <v>134.3629</v>
      </c>
    </row>
    <row r="1196" spans="30:33" x14ac:dyDescent="0.2">
      <c r="AD1196" s="13">
        <v>43371</v>
      </c>
      <c r="AE1196" s="12">
        <v>26.010100000000001</v>
      </c>
      <c r="AF1196" s="13">
        <v>43371</v>
      </c>
      <c r="AG1196" s="12">
        <v>134.26949999999999</v>
      </c>
    </row>
    <row r="1197" spans="30:33" x14ac:dyDescent="0.2">
      <c r="AD1197" s="13">
        <v>43374</v>
      </c>
      <c r="AE1197" s="12">
        <v>25.958100000000002</v>
      </c>
      <c r="AF1197" s="13">
        <v>43374</v>
      </c>
      <c r="AG1197" s="12">
        <v>134.0848</v>
      </c>
    </row>
    <row r="1198" spans="30:33" x14ac:dyDescent="0.2">
      <c r="AD1198" s="13">
        <v>43375</v>
      </c>
      <c r="AE1198" s="12">
        <v>26.022300000000001</v>
      </c>
      <c r="AF1198" s="13">
        <v>43375</v>
      </c>
      <c r="AG1198" s="12">
        <v>134.202</v>
      </c>
    </row>
    <row r="1199" spans="30:33" x14ac:dyDescent="0.2">
      <c r="AD1199" s="13">
        <v>43376</v>
      </c>
      <c r="AE1199" s="12">
        <v>25.872499999999999</v>
      </c>
      <c r="AF1199" s="13">
        <v>43376</v>
      </c>
      <c r="AG1199" s="12">
        <v>133.4169</v>
      </c>
    </row>
    <row r="1200" spans="30:33" x14ac:dyDescent="0.2">
      <c r="AD1200" s="13">
        <v>43377</v>
      </c>
      <c r="AE1200" s="12">
        <v>25.840399999999999</v>
      </c>
      <c r="AF1200" s="13">
        <v>43377</v>
      </c>
      <c r="AG1200" s="12">
        <v>132.86609999999999</v>
      </c>
    </row>
    <row r="1201" spans="30:33" x14ac:dyDescent="0.2">
      <c r="AD1201" s="13">
        <v>43378</v>
      </c>
      <c r="AE1201" s="12">
        <v>25.786799999999999</v>
      </c>
      <c r="AF1201" s="13">
        <v>43378</v>
      </c>
      <c r="AG1201" s="12">
        <v>132.35050000000001</v>
      </c>
    </row>
    <row r="1202" spans="30:33" x14ac:dyDescent="0.2">
      <c r="AD1202" s="13">
        <v>43381</v>
      </c>
      <c r="AE1202" s="12">
        <v>25.7654</v>
      </c>
      <c r="AF1202" s="13">
        <v>43381</v>
      </c>
      <c r="AG1202" s="12">
        <v>132.2098</v>
      </c>
    </row>
    <row r="1203" spans="30:33" x14ac:dyDescent="0.2">
      <c r="AD1203" s="13">
        <v>43382</v>
      </c>
      <c r="AE1203" s="12">
        <v>25.818899999999999</v>
      </c>
      <c r="AF1203" s="13">
        <v>43382</v>
      </c>
      <c r="AG1203" s="12">
        <v>132.5848</v>
      </c>
    </row>
    <row r="1204" spans="30:33" x14ac:dyDescent="0.2">
      <c r="AD1204" s="13">
        <v>43383</v>
      </c>
      <c r="AE1204" s="12">
        <v>25.818899999999999</v>
      </c>
      <c r="AF1204" s="13">
        <v>43383</v>
      </c>
      <c r="AG1204" s="12">
        <v>132.22149999999999</v>
      </c>
    </row>
    <row r="1205" spans="30:33" x14ac:dyDescent="0.2">
      <c r="AD1205" s="13">
        <v>43384</v>
      </c>
      <c r="AE1205" s="12">
        <v>25.893899999999999</v>
      </c>
      <c r="AF1205" s="13">
        <v>43384</v>
      </c>
      <c r="AG1205" s="12">
        <v>132.7723</v>
      </c>
    </row>
    <row r="1206" spans="30:33" x14ac:dyDescent="0.2">
      <c r="AD1206" s="13">
        <v>43385</v>
      </c>
      <c r="AE1206" s="12">
        <v>25.872499999999999</v>
      </c>
      <c r="AF1206" s="13">
        <v>43385</v>
      </c>
      <c r="AG1206" s="12">
        <v>132.79580000000001</v>
      </c>
    </row>
    <row r="1207" spans="30:33" x14ac:dyDescent="0.2">
      <c r="AD1207" s="13">
        <v>43388</v>
      </c>
      <c r="AE1207" s="12">
        <v>25.893899999999999</v>
      </c>
      <c r="AF1207" s="13">
        <v>43388</v>
      </c>
      <c r="AG1207" s="12">
        <v>132.5497</v>
      </c>
    </row>
    <row r="1208" spans="30:33" x14ac:dyDescent="0.2">
      <c r="AD1208" s="13">
        <v>43389</v>
      </c>
      <c r="AE1208" s="12">
        <v>25.893899999999999</v>
      </c>
      <c r="AF1208" s="13">
        <v>43389</v>
      </c>
      <c r="AG1208" s="12">
        <v>132.8895</v>
      </c>
    </row>
    <row r="1209" spans="30:33" x14ac:dyDescent="0.2">
      <c r="AD1209" s="13">
        <v>43390</v>
      </c>
      <c r="AE1209" s="12">
        <v>25.851099999999999</v>
      </c>
      <c r="AF1209" s="13">
        <v>43390</v>
      </c>
      <c r="AG1209" s="12">
        <v>132.23330000000001</v>
      </c>
    </row>
    <row r="1210" spans="30:33" x14ac:dyDescent="0.2">
      <c r="AD1210" s="13">
        <v>43391</v>
      </c>
      <c r="AE1210" s="12">
        <v>25.872499999999999</v>
      </c>
      <c r="AF1210" s="13">
        <v>43391</v>
      </c>
      <c r="AG1210" s="12">
        <v>132.23330000000001</v>
      </c>
    </row>
    <row r="1211" spans="30:33" x14ac:dyDescent="0.2">
      <c r="AD1211" s="13">
        <v>43392</v>
      </c>
      <c r="AE1211" s="12">
        <v>25.851099999999999</v>
      </c>
      <c r="AF1211" s="13">
        <v>43392</v>
      </c>
      <c r="AG1211" s="12">
        <v>132.0692</v>
      </c>
    </row>
    <row r="1212" spans="30:33" x14ac:dyDescent="0.2">
      <c r="AD1212" s="13">
        <v>43395</v>
      </c>
      <c r="AE1212" s="12">
        <v>25.851099999999999</v>
      </c>
      <c r="AF1212" s="13">
        <v>43395</v>
      </c>
      <c r="AG1212" s="12">
        <v>131.9051</v>
      </c>
    </row>
    <row r="1213" spans="30:33" x14ac:dyDescent="0.2">
      <c r="AD1213" s="13">
        <v>43396</v>
      </c>
      <c r="AE1213" s="12">
        <v>25.883199999999999</v>
      </c>
      <c r="AF1213" s="13">
        <v>43396</v>
      </c>
      <c r="AG1213" s="12">
        <v>132.0926</v>
      </c>
    </row>
    <row r="1214" spans="30:33" x14ac:dyDescent="0.2">
      <c r="AD1214" s="13">
        <v>43397</v>
      </c>
      <c r="AE1214" s="12">
        <v>25.9742</v>
      </c>
      <c r="AF1214" s="13">
        <v>43397</v>
      </c>
      <c r="AG1214" s="12">
        <v>132.2801</v>
      </c>
    </row>
    <row r="1215" spans="30:33" x14ac:dyDescent="0.2">
      <c r="AD1215" s="13">
        <v>43398</v>
      </c>
      <c r="AE1215" s="12">
        <v>25.915299999999998</v>
      </c>
      <c r="AF1215" s="13">
        <v>43398</v>
      </c>
      <c r="AG1215" s="12">
        <v>132.11609999999999</v>
      </c>
    </row>
    <row r="1216" spans="30:33" x14ac:dyDescent="0.2">
      <c r="AD1216" s="13">
        <v>43399</v>
      </c>
      <c r="AE1216" s="12">
        <v>26.011600000000001</v>
      </c>
      <c r="AF1216" s="13">
        <v>43399</v>
      </c>
      <c r="AG1216" s="12">
        <v>132.33869999999999</v>
      </c>
    </row>
    <row r="1217" spans="30:33" x14ac:dyDescent="0.2">
      <c r="AD1217" s="13">
        <v>43402</v>
      </c>
      <c r="AE1217" s="12">
        <v>26.000900000000001</v>
      </c>
      <c r="AF1217" s="13">
        <v>43402</v>
      </c>
      <c r="AG1217" s="12">
        <v>132.18639999999999</v>
      </c>
    </row>
    <row r="1218" spans="30:33" x14ac:dyDescent="0.2">
      <c r="AD1218" s="13">
        <v>43403</v>
      </c>
      <c r="AE1218" s="12">
        <v>25.958100000000002</v>
      </c>
      <c r="AF1218" s="13">
        <v>43403</v>
      </c>
      <c r="AG1218" s="12">
        <v>131.89340000000001</v>
      </c>
    </row>
    <row r="1219" spans="30:33" x14ac:dyDescent="0.2">
      <c r="AD1219" s="13">
        <v>43404</v>
      </c>
      <c r="AE1219" s="12">
        <v>25.904599999999999</v>
      </c>
      <c r="AF1219" s="13">
        <v>43404</v>
      </c>
      <c r="AG1219" s="12">
        <v>131.51840000000001</v>
      </c>
    </row>
    <row r="1220" spans="30:33" x14ac:dyDescent="0.2">
      <c r="AD1220" s="13">
        <v>43405</v>
      </c>
      <c r="AE1220" s="12">
        <v>25.930399999999999</v>
      </c>
      <c r="AF1220" s="13">
        <v>43405</v>
      </c>
      <c r="AG1220" s="12">
        <v>131.9161</v>
      </c>
    </row>
    <row r="1221" spans="30:33" x14ac:dyDescent="0.2">
      <c r="AD1221" s="13">
        <v>43406</v>
      </c>
      <c r="AE1221" s="12">
        <v>25.8232</v>
      </c>
      <c r="AF1221" s="13">
        <v>43406</v>
      </c>
      <c r="AG1221" s="12">
        <v>131.387</v>
      </c>
    </row>
    <row r="1222" spans="30:33" x14ac:dyDescent="0.2">
      <c r="AD1222" s="13">
        <v>43409</v>
      </c>
      <c r="AE1222" s="12">
        <v>25.8339</v>
      </c>
      <c r="AF1222" s="13">
        <v>43409</v>
      </c>
      <c r="AG1222" s="12">
        <v>131.62219999999999</v>
      </c>
    </row>
    <row r="1223" spans="30:33" x14ac:dyDescent="0.2">
      <c r="AD1223" s="13">
        <v>43410</v>
      </c>
      <c r="AE1223" s="12">
        <v>25.817799999999998</v>
      </c>
      <c r="AF1223" s="13">
        <v>43410</v>
      </c>
      <c r="AG1223" s="12">
        <v>131.84549999999999</v>
      </c>
    </row>
    <row r="1224" spans="30:33" x14ac:dyDescent="0.2">
      <c r="AD1224" s="13">
        <v>43411</v>
      </c>
      <c r="AE1224" s="12">
        <v>25.8232</v>
      </c>
      <c r="AF1224" s="13">
        <v>43411</v>
      </c>
      <c r="AG1224" s="12">
        <v>132.1865</v>
      </c>
    </row>
    <row r="1225" spans="30:33" x14ac:dyDescent="0.2">
      <c r="AD1225" s="13">
        <v>43412</v>
      </c>
      <c r="AE1225" s="12">
        <v>25.8124</v>
      </c>
      <c r="AF1225" s="13">
        <v>43412</v>
      </c>
      <c r="AG1225" s="12">
        <v>131.79849999999999</v>
      </c>
    </row>
    <row r="1226" spans="30:33" x14ac:dyDescent="0.2">
      <c r="AD1226" s="13">
        <v>43413</v>
      </c>
      <c r="AE1226" s="12">
        <v>25.866099999999999</v>
      </c>
      <c r="AF1226" s="13">
        <v>43413</v>
      </c>
      <c r="AG1226" s="12">
        <v>131.89259999999999</v>
      </c>
    </row>
    <row r="1227" spans="30:33" x14ac:dyDescent="0.2">
      <c r="AD1227" s="13">
        <v>43416</v>
      </c>
      <c r="AE1227" s="12">
        <v>25.941099999999999</v>
      </c>
      <c r="AF1227" s="13">
        <v>43416</v>
      </c>
      <c r="AG1227" s="12">
        <v>131.88079999999999</v>
      </c>
    </row>
    <row r="1228" spans="30:33" x14ac:dyDescent="0.2">
      <c r="AD1228" s="13">
        <v>43417</v>
      </c>
      <c r="AE1228" s="12">
        <v>25.951799999999999</v>
      </c>
      <c r="AF1228" s="13">
        <v>43417</v>
      </c>
      <c r="AG1228" s="12">
        <v>131.7045</v>
      </c>
    </row>
    <row r="1229" spans="30:33" x14ac:dyDescent="0.2">
      <c r="AD1229" s="13">
        <v>43418</v>
      </c>
      <c r="AE1229" s="12">
        <v>25.984000000000002</v>
      </c>
      <c r="AF1229" s="13">
        <v>43418</v>
      </c>
      <c r="AG1229" s="12">
        <v>131.35169999999999</v>
      </c>
    </row>
    <row r="1230" spans="30:33" x14ac:dyDescent="0.2">
      <c r="AD1230" s="13">
        <v>43419</v>
      </c>
      <c r="AE1230" s="12">
        <v>25.994700000000002</v>
      </c>
      <c r="AF1230" s="13">
        <v>43419</v>
      </c>
      <c r="AG1230" s="12">
        <v>131.10480000000001</v>
      </c>
    </row>
    <row r="1231" spans="30:33" x14ac:dyDescent="0.2">
      <c r="AD1231" s="13">
        <v>43420</v>
      </c>
      <c r="AE1231" s="12">
        <v>26.048400000000001</v>
      </c>
      <c r="AF1231" s="13">
        <v>43420</v>
      </c>
      <c r="AG1231" s="12">
        <v>131.36349999999999</v>
      </c>
    </row>
    <row r="1232" spans="30:33" x14ac:dyDescent="0.2">
      <c r="AD1232" s="13">
        <v>43423</v>
      </c>
      <c r="AE1232" s="12">
        <v>26.080500000000001</v>
      </c>
      <c r="AF1232" s="13">
        <v>43423</v>
      </c>
      <c r="AG1232" s="12">
        <v>131.23419999999999</v>
      </c>
    </row>
    <row r="1233" spans="30:33" x14ac:dyDescent="0.2">
      <c r="AD1233" s="13">
        <v>43424</v>
      </c>
      <c r="AE1233" s="12">
        <v>26.080500000000001</v>
      </c>
      <c r="AF1233" s="13">
        <v>43424</v>
      </c>
      <c r="AG1233" s="12">
        <v>130.91669999999999</v>
      </c>
    </row>
    <row r="1234" spans="30:33" x14ac:dyDescent="0.2">
      <c r="AD1234" s="13">
        <v>43425</v>
      </c>
      <c r="AE1234" s="12">
        <v>26.080500000000001</v>
      </c>
      <c r="AF1234" s="13">
        <v>43425</v>
      </c>
      <c r="AG1234" s="12">
        <v>131.19890000000001</v>
      </c>
    </row>
    <row r="1235" spans="30:33" x14ac:dyDescent="0.2">
      <c r="AD1235" s="13">
        <v>43427</v>
      </c>
      <c r="AE1235" s="12">
        <v>26.069800000000001</v>
      </c>
      <c r="AF1235" s="13">
        <v>43427</v>
      </c>
      <c r="AG1235" s="12">
        <v>131.2577</v>
      </c>
    </row>
    <row r="1236" spans="30:33" x14ac:dyDescent="0.2">
      <c r="AD1236" s="13">
        <v>43430</v>
      </c>
      <c r="AE1236" s="12">
        <v>26.069800000000001</v>
      </c>
      <c r="AF1236" s="13">
        <v>43430</v>
      </c>
      <c r="AG1236" s="12">
        <v>131.31649999999999</v>
      </c>
    </row>
    <row r="1237" spans="30:33" x14ac:dyDescent="0.2">
      <c r="AD1237" s="13">
        <v>43431</v>
      </c>
      <c r="AE1237" s="12">
        <v>26.080500000000001</v>
      </c>
      <c r="AF1237" s="13">
        <v>43431</v>
      </c>
      <c r="AG1237" s="12">
        <v>131.15190000000001</v>
      </c>
    </row>
    <row r="1238" spans="30:33" x14ac:dyDescent="0.2">
      <c r="AD1238" s="13">
        <v>43432</v>
      </c>
      <c r="AE1238" s="12">
        <v>26.059100000000001</v>
      </c>
      <c r="AF1238" s="13">
        <v>43432</v>
      </c>
      <c r="AG1238" s="12">
        <v>131.50460000000001</v>
      </c>
    </row>
    <row r="1239" spans="30:33" x14ac:dyDescent="0.2">
      <c r="AD1239" s="13">
        <v>43433</v>
      </c>
      <c r="AE1239" s="12">
        <v>26.1127</v>
      </c>
      <c r="AF1239" s="13">
        <v>43433</v>
      </c>
      <c r="AG1239" s="12">
        <v>131.1283</v>
      </c>
    </row>
    <row r="1240" spans="30:33" x14ac:dyDescent="0.2">
      <c r="AD1240" s="13">
        <v>43434</v>
      </c>
      <c r="AE1240" s="12">
        <v>26.1342</v>
      </c>
      <c r="AF1240" s="13">
        <v>43434</v>
      </c>
      <c r="AG1240" s="12">
        <v>131.04599999999999</v>
      </c>
    </row>
    <row r="1241" spans="30:33" x14ac:dyDescent="0.2">
      <c r="AD1241" s="13">
        <v>43437</v>
      </c>
      <c r="AE1241" s="12">
        <v>26.159700000000001</v>
      </c>
      <c r="AF1241" s="13">
        <v>43437</v>
      </c>
      <c r="AG1241" s="12">
        <v>131.53110000000001</v>
      </c>
    </row>
    <row r="1242" spans="30:33" x14ac:dyDescent="0.2">
      <c r="AD1242" s="13">
        <v>43438</v>
      </c>
      <c r="AE1242" s="12">
        <v>26.277899999999999</v>
      </c>
      <c r="AF1242" s="13">
        <v>43438</v>
      </c>
      <c r="AG1242" s="12">
        <v>131.5547</v>
      </c>
    </row>
    <row r="1243" spans="30:33" x14ac:dyDescent="0.2">
      <c r="AD1243" s="13">
        <v>43440</v>
      </c>
      <c r="AE1243" s="12">
        <v>26.331600000000002</v>
      </c>
      <c r="AF1243" s="13">
        <v>43440</v>
      </c>
      <c r="AG1243" s="12">
        <v>131.95570000000001</v>
      </c>
    </row>
    <row r="1244" spans="30:33" x14ac:dyDescent="0.2">
      <c r="AD1244" s="13">
        <v>43441</v>
      </c>
      <c r="AE1244" s="12">
        <v>26.363800000000001</v>
      </c>
      <c r="AF1244" s="13">
        <v>43441</v>
      </c>
      <c r="AG1244" s="12">
        <v>131.9675</v>
      </c>
    </row>
    <row r="1245" spans="30:33" x14ac:dyDescent="0.2">
      <c r="AD1245" s="13">
        <v>43444</v>
      </c>
      <c r="AE1245" s="12">
        <v>26.396100000000001</v>
      </c>
      <c r="AF1245" s="13">
        <v>43444</v>
      </c>
      <c r="AG1245" s="12">
        <v>132.36850000000001</v>
      </c>
    </row>
    <row r="1246" spans="30:33" x14ac:dyDescent="0.2">
      <c r="AD1246" s="13">
        <v>43445</v>
      </c>
      <c r="AE1246" s="12">
        <v>26.363800000000001</v>
      </c>
      <c r="AF1246" s="13">
        <v>43445</v>
      </c>
      <c r="AG1246" s="12">
        <v>132.6044</v>
      </c>
    </row>
    <row r="1247" spans="30:33" x14ac:dyDescent="0.2">
      <c r="AD1247" s="13">
        <v>43446</v>
      </c>
      <c r="AE1247" s="12">
        <v>26.320900000000002</v>
      </c>
      <c r="AF1247" s="13">
        <v>43446</v>
      </c>
      <c r="AG1247" s="12">
        <v>132.74600000000001</v>
      </c>
    </row>
    <row r="1248" spans="30:33" x14ac:dyDescent="0.2">
      <c r="AD1248" s="13">
        <v>43447</v>
      </c>
      <c r="AE1248" s="12">
        <v>26.331600000000002</v>
      </c>
      <c r="AF1248" s="13">
        <v>43447</v>
      </c>
      <c r="AG1248" s="12">
        <v>133.09979999999999</v>
      </c>
    </row>
    <row r="1249" spans="30:33" x14ac:dyDescent="0.2">
      <c r="AD1249" s="13">
        <v>43448</v>
      </c>
      <c r="AE1249" s="12">
        <v>26.363800000000001</v>
      </c>
      <c r="AF1249" s="13">
        <v>43448</v>
      </c>
      <c r="AG1249" s="12">
        <v>132.95830000000001</v>
      </c>
    </row>
    <row r="1250" spans="30:33" x14ac:dyDescent="0.2">
      <c r="AD1250" s="13">
        <v>43451</v>
      </c>
      <c r="AE1250" s="12">
        <v>26.4176</v>
      </c>
      <c r="AF1250" s="13">
        <v>43451</v>
      </c>
      <c r="AG1250" s="12">
        <v>133.09979999999999</v>
      </c>
    </row>
    <row r="1251" spans="30:33" x14ac:dyDescent="0.2">
      <c r="AD1251" s="13">
        <v>43452</v>
      </c>
      <c r="AE1251" s="12">
        <v>26.481999999999999</v>
      </c>
      <c r="AF1251" s="13">
        <v>43452</v>
      </c>
      <c r="AG1251" s="12">
        <v>133.5735</v>
      </c>
    </row>
    <row r="1252" spans="30:33" x14ac:dyDescent="0.2">
      <c r="AD1252" s="13">
        <v>43453</v>
      </c>
      <c r="AE1252" s="12">
        <v>26.568000000000001</v>
      </c>
      <c r="AF1252" s="13">
        <v>43453</v>
      </c>
      <c r="AG1252" s="12">
        <v>133.46700000000001</v>
      </c>
    </row>
    <row r="1253" spans="30:33" x14ac:dyDescent="0.2">
      <c r="AD1253" s="13">
        <v>43454</v>
      </c>
      <c r="AE1253" s="12">
        <v>26.535799999999998</v>
      </c>
      <c r="AF1253" s="13">
        <v>43454</v>
      </c>
      <c r="AG1253" s="12">
        <v>133.0292</v>
      </c>
    </row>
    <row r="1254" spans="30:33" x14ac:dyDescent="0.2">
      <c r="AD1254" s="13">
        <v>43455</v>
      </c>
      <c r="AE1254" s="12">
        <v>26.546500000000002</v>
      </c>
      <c r="AF1254" s="13">
        <v>43455</v>
      </c>
      <c r="AG1254" s="12">
        <v>132.8991</v>
      </c>
    </row>
    <row r="1255" spans="30:33" x14ac:dyDescent="0.2">
      <c r="AD1255" s="13">
        <v>43458</v>
      </c>
      <c r="AE1255" s="12">
        <v>26.589600000000001</v>
      </c>
      <c r="AF1255" s="13">
        <v>43458</v>
      </c>
      <c r="AG1255" s="12">
        <v>132.5915</v>
      </c>
    </row>
    <row r="1256" spans="30:33" x14ac:dyDescent="0.2">
      <c r="AD1256" s="13">
        <v>43460</v>
      </c>
      <c r="AE1256" s="12">
        <v>26.514199999999999</v>
      </c>
      <c r="AF1256" s="13">
        <v>43460</v>
      </c>
      <c r="AG1256" s="12">
        <v>132.48500000000001</v>
      </c>
    </row>
    <row r="1257" spans="30:33" x14ac:dyDescent="0.2">
      <c r="AD1257" s="13">
        <v>43461</v>
      </c>
      <c r="AE1257" s="12">
        <v>26.535799999999998</v>
      </c>
      <c r="AF1257" s="13">
        <v>43461</v>
      </c>
      <c r="AG1257" s="12">
        <v>132.48500000000001</v>
      </c>
    </row>
    <row r="1258" spans="30:33" x14ac:dyDescent="0.2">
      <c r="AD1258" s="13">
        <v>43462</v>
      </c>
      <c r="AE1258" s="12">
        <v>26.638000000000002</v>
      </c>
      <c r="AF1258" s="13">
        <v>43462</v>
      </c>
      <c r="AG1258" s="12">
        <v>133.1121</v>
      </c>
    </row>
    <row r="1259" spans="30:33" x14ac:dyDescent="0.2">
      <c r="AD1259" s="13">
        <v>43465</v>
      </c>
      <c r="AE1259" s="12">
        <v>26.524999999999999</v>
      </c>
      <c r="AF1259" s="13">
        <v>43465</v>
      </c>
      <c r="AG1259" s="12">
        <v>133.47880000000001</v>
      </c>
    </row>
    <row r="1260" spans="30:33" x14ac:dyDescent="0.2">
      <c r="AD1260" s="13">
        <v>43467</v>
      </c>
      <c r="AE1260" s="12">
        <v>26.740200000000002</v>
      </c>
      <c r="AF1260" s="13">
        <v>43467</v>
      </c>
      <c r="AG1260" s="12">
        <v>133.8929</v>
      </c>
    </row>
    <row r="1261" spans="30:33" x14ac:dyDescent="0.2">
      <c r="AD1261" s="13">
        <v>43468</v>
      </c>
      <c r="AE1261" s="12">
        <v>26.890899999999998</v>
      </c>
      <c r="AF1261" s="13">
        <v>43468</v>
      </c>
      <c r="AG1261" s="12">
        <v>133.9521</v>
      </c>
    </row>
    <row r="1262" spans="30:33" x14ac:dyDescent="0.2">
      <c r="AD1262" s="13">
        <v>43469</v>
      </c>
      <c r="AE1262" s="12">
        <v>26.751000000000001</v>
      </c>
      <c r="AF1262" s="13">
        <v>43469</v>
      </c>
      <c r="AG1262" s="12">
        <v>133.86930000000001</v>
      </c>
    </row>
    <row r="1263" spans="30:33" x14ac:dyDescent="0.2">
      <c r="AD1263" s="13">
        <v>43472</v>
      </c>
      <c r="AE1263" s="12">
        <v>26.697199999999999</v>
      </c>
      <c r="AF1263" s="13">
        <v>43472</v>
      </c>
      <c r="AG1263" s="12">
        <v>133.8811</v>
      </c>
    </row>
    <row r="1264" spans="30:33" x14ac:dyDescent="0.2">
      <c r="AD1264" s="13">
        <v>43473</v>
      </c>
      <c r="AE1264" s="12">
        <v>26.6434</v>
      </c>
      <c r="AF1264" s="13">
        <v>43473</v>
      </c>
      <c r="AG1264" s="12">
        <v>134.17689999999999</v>
      </c>
    </row>
    <row r="1265" spans="30:33" x14ac:dyDescent="0.2">
      <c r="AD1265" s="13">
        <v>43474</v>
      </c>
      <c r="AE1265" s="12">
        <v>26.6434</v>
      </c>
      <c r="AF1265" s="13">
        <v>43474</v>
      </c>
      <c r="AG1265" s="12">
        <v>134.68559999999999</v>
      </c>
    </row>
    <row r="1266" spans="30:33" x14ac:dyDescent="0.2">
      <c r="AD1266" s="13">
        <v>43475</v>
      </c>
      <c r="AE1266" s="12">
        <v>26.6111</v>
      </c>
      <c r="AF1266" s="13">
        <v>43475</v>
      </c>
      <c r="AG1266" s="12">
        <v>134.33070000000001</v>
      </c>
    </row>
    <row r="1267" spans="30:33" x14ac:dyDescent="0.2">
      <c r="AD1267" s="13">
        <v>43476</v>
      </c>
      <c r="AE1267" s="12">
        <v>26.675699999999999</v>
      </c>
      <c r="AF1267" s="13">
        <v>43476</v>
      </c>
      <c r="AG1267" s="12">
        <v>134.57910000000001</v>
      </c>
    </row>
    <row r="1268" spans="30:33" x14ac:dyDescent="0.2">
      <c r="AD1268" s="13">
        <v>43479</v>
      </c>
      <c r="AE1268" s="12">
        <v>26.6434</v>
      </c>
      <c r="AF1268" s="13">
        <v>43479</v>
      </c>
      <c r="AG1268" s="12">
        <v>134.2242</v>
      </c>
    </row>
    <row r="1269" spans="30:33" x14ac:dyDescent="0.2">
      <c r="AD1269" s="13">
        <v>43480</v>
      </c>
      <c r="AE1269" s="12">
        <v>26.6434</v>
      </c>
      <c r="AF1269" s="13">
        <v>43480</v>
      </c>
      <c r="AG1269" s="12">
        <v>134.30699999999999</v>
      </c>
    </row>
    <row r="1270" spans="30:33" x14ac:dyDescent="0.2">
      <c r="AD1270" s="13">
        <v>43481</v>
      </c>
      <c r="AE1270" s="12">
        <v>26.6326</v>
      </c>
      <c r="AF1270" s="13">
        <v>43481</v>
      </c>
      <c r="AG1270" s="12">
        <v>134.56729999999999</v>
      </c>
    </row>
    <row r="1271" spans="30:33" x14ac:dyDescent="0.2">
      <c r="AD1271" s="13">
        <v>43482</v>
      </c>
      <c r="AE1271" s="12">
        <v>26.6218</v>
      </c>
      <c r="AF1271" s="13">
        <v>43482</v>
      </c>
      <c r="AG1271" s="12">
        <v>134.83940000000001</v>
      </c>
    </row>
    <row r="1272" spans="30:33" x14ac:dyDescent="0.2">
      <c r="AD1272" s="13">
        <v>43483</v>
      </c>
      <c r="AE1272" s="12">
        <v>26.568000000000001</v>
      </c>
      <c r="AF1272" s="13">
        <v>43483</v>
      </c>
      <c r="AG1272" s="12">
        <v>135.07599999999999</v>
      </c>
    </row>
    <row r="1273" spans="30:33" x14ac:dyDescent="0.2">
      <c r="AD1273" s="13">
        <v>43487</v>
      </c>
      <c r="AE1273" s="12">
        <v>26.616499999999998</v>
      </c>
      <c r="AF1273" s="13">
        <v>43487</v>
      </c>
      <c r="AG1273" s="12">
        <v>135.30080000000001</v>
      </c>
    </row>
    <row r="1274" spans="30:33" x14ac:dyDescent="0.2">
      <c r="AD1274" s="13">
        <v>43488</v>
      </c>
      <c r="AE1274" s="12">
        <v>26.6218</v>
      </c>
      <c r="AF1274" s="13">
        <v>43488</v>
      </c>
      <c r="AG1274" s="12">
        <v>135.6439</v>
      </c>
    </row>
    <row r="1275" spans="30:33" x14ac:dyDescent="0.2">
      <c r="AD1275" s="13">
        <v>43489</v>
      </c>
      <c r="AE1275" s="12">
        <v>26.681000000000001</v>
      </c>
      <c r="AF1275" s="13">
        <v>43489</v>
      </c>
      <c r="AG1275" s="12">
        <v>135.99889999999999</v>
      </c>
    </row>
    <row r="1276" spans="30:33" x14ac:dyDescent="0.2">
      <c r="AD1276" s="13">
        <v>43490</v>
      </c>
      <c r="AE1276" s="12">
        <v>26.6434</v>
      </c>
      <c r="AF1276" s="13">
        <v>43490</v>
      </c>
      <c r="AG1276" s="12">
        <v>136.1172</v>
      </c>
    </row>
    <row r="1277" spans="30:33" x14ac:dyDescent="0.2">
      <c r="AD1277" s="13">
        <v>43493</v>
      </c>
      <c r="AE1277" s="12">
        <v>26.6434</v>
      </c>
      <c r="AF1277" s="13">
        <v>43493</v>
      </c>
      <c r="AG1277" s="12">
        <v>136.09350000000001</v>
      </c>
    </row>
    <row r="1278" spans="30:33" x14ac:dyDescent="0.2">
      <c r="AD1278" s="13">
        <v>43494</v>
      </c>
      <c r="AE1278" s="12">
        <v>26.686399999999999</v>
      </c>
      <c r="AF1278" s="13">
        <v>43494</v>
      </c>
      <c r="AG1278" s="12">
        <v>136.38929999999999</v>
      </c>
    </row>
    <row r="1279" spans="30:33" x14ac:dyDescent="0.2">
      <c r="AD1279" s="13">
        <v>43495</v>
      </c>
      <c r="AE1279" s="12">
        <v>26.718699999999998</v>
      </c>
      <c r="AF1279" s="13">
        <v>43495</v>
      </c>
      <c r="AG1279" s="12">
        <v>137.0163</v>
      </c>
    </row>
    <row r="1280" spans="30:33" x14ac:dyDescent="0.2">
      <c r="AD1280" s="13">
        <v>43496</v>
      </c>
      <c r="AE1280" s="12">
        <v>26.794</v>
      </c>
      <c r="AF1280" s="13">
        <v>43496</v>
      </c>
      <c r="AG1280" s="12">
        <v>137.97470000000001</v>
      </c>
    </row>
    <row r="1281" spans="30:33" x14ac:dyDescent="0.2">
      <c r="AD1281" s="13">
        <v>43497</v>
      </c>
      <c r="AE1281" s="12">
        <v>26.725200000000001</v>
      </c>
      <c r="AF1281" s="13">
        <v>43497</v>
      </c>
      <c r="AG1281" s="12">
        <v>137.6464</v>
      </c>
    </row>
    <row r="1282" spans="30:33" x14ac:dyDescent="0.2">
      <c r="AD1282" s="13">
        <v>43500</v>
      </c>
      <c r="AE1282" s="12">
        <v>26.681999999999999</v>
      </c>
      <c r="AF1282" s="13">
        <v>43500</v>
      </c>
      <c r="AG1282" s="12">
        <v>137.45650000000001</v>
      </c>
    </row>
    <row r="1283" spans="30:33" x14ac:dyDescent="0.2">
      <c r="AD1283" s="13">
        <v>43501</v>
      </c>
      <c r="AE1283" s="12">
        <v>26.719799999999999</v>
      </c>
      <c r="AF1283" s="13">
        <v>43501</v>
      </c>
      <c r="AG1283" s="12">
        <v>138.01429999999999</v>
      </c>
    </row>
    <row r="1284" spans="30:33" x14ac:dyDescent="0.2">
      <c r="AD1284" s="13">
        <v>43502</v>
      </c>
      <c r="AE1284" s="12">
        <v>26.725200000000001</v>
      </c>
      <c r="AF1284" s="13">
        <v>43502</v>
      </c>
      <c r="AG1284" s="12">
        <v>137.75319999999999</v>
      </c>
    </row>
    <row r="1285" spans="30:33" x14ac:dyDescent="0.2">
      <c r="AD1285" s="13">
        <v>43503</v>
      </c>
      <c r="AE1285" s="12">
        <v>26.789899999999999</v>
      </c>
      <c r="AF1285" s="13">
        <v>43503</v>
      </c>
      <c r="AG1285" s="12">
        <v>137.7295</v>
      </c>
    </row>
    <row r="1286" spans="30:33" x14ac:dyDescent="0.2">
      <c r="AD1286" s="13">
        <v>43504</v>
      </c>
      <c r="AE1286" s="12">
        <v>26.822199999999999</v>
      </c>
      <c r="AF1286" s="13">
        <v>43504</v>
      </c>
      <c r="AG1286" s="12">
        <v>138.0736</v>
      </c>
    </row>
    <row r="1287" spans="30:33" x14ac:dyDescent="0.2">
      <c r="AD1287" s="13">
        <v>43507</v>
      </c>
      <c r="AE1287" s="12">
        <v>26.795200000000001</v>
      </c>
      <c r="AF1287" s="13">
        <v>43507</v>
      </c>
      <c r="AG1287" s="12">
        <v>137.76509999999999</v>
      </c>
    </row>
    <row r="1288" spans="30:33" x14ac:dyDescent="0.2">
      <c r="AD1288" s="13">
        <v>43508</v>
      </c>
      <c r="AE1288" s="12">
        <v>26.7575</v>
      </c>
      <c r="AF1288" s="13">
        <v>43508</v>
      </c>
      <c r="AG1288" s="12">
        <v>137.95490000000001</v>
      </c>
    </row>
    <row r="1289" spans="30:33" x14ac:dyDescent="0.2">
      <c r="AD1289" s="13">
        <v>43509</v>
      </c>
      <c r="AE1289" s="12">
        <v>26.730599999999999</v>
      </c>
      <c r="AF1289" s="13">
        <v>43509</v>
      </c>
      <c r="AG1289" s="12">
        <v>137.59889999999999</v>
      </c>
    </row>
    <row r="1290" spans="30:33" x14ac:dyDescent="0.2">
      <c r="AD1290" s="13">
        <v>43510</v>
      </c>
      <c r="AE1290" s="12">
        <v>26.795200000000001</v>
      </c>
      <c r="AF1290" s="13">
        <v>43510</v>
      </c>
      <c r="AG1290" s="12">
        <v>137.75319999999999</v>
      </c>
    </row>
    <row r="1291" spans="30:33" x14ac:dyDescent="0.2">
      <c r="AD1291" s="13">
        <v>43511</v>
      </c>
      <c r="AE1291" s="12">
        <v>26.800599999999999</v>
      </c>
      <c r="AF1291" s="13">
        <v>43511</v>
      </c>
      <c r="AG1291" s="12">
        <v>137.91929999999999</v>
      </c>
    </row>
    <row r="1292" spans="30:33" x14ac:dyDescent="0.2">
      <c r="AD1292" s="13">
        <v>43515</v>
      </c>
      <c r="AE1292" s="12">
        <v>26.832999999999998</v>
      </c>
      <c r="AF1292" s="13">
        <v>43515</v>
      </c>
      <c r="AG1292" s="12">
        <v>138.00239999999999</v>
      </c>
    </row>
    <row r="1293" spans="30:33" x14ac:dyDescent="0.2">
      <c r="AD1293" s="13">
        <v>43516</v>
      </c>
      <c r="AE1293" s="12">
        <v>26.822199999999999</v>
      </c>
      <c r="AF1293" s="13">
        <v>43516</v>
      </c>
      <c r="AG1293" s="12">
        <v>137.8837</v>
      </c>
    </row>
    <row r="1294" spans="30:33" x14ac:dyDescent="0.2">
      <c r="AD1294" s="13">
        <v>43517</v>
      </c>
      <c r="AE1294" s="12">
        <v>26.7575</v>
      </c>
      <c r="AF1294" s="13">
        <v>43517</v>
      </c>
      <c r="AG1294" s="12">
        <v>137.49209999999999</v>
      </c>
    </row>
    <row r="1295" spans="30:33" x14ac:dyDescent="0.2">
      <c r="AD1295" s="13">
        <v>43518</v>
      </c>
      <c r="AE1295" s="12">
        <v>26.806000000000001</v>
      </c>
      <c r="AF1295" s="13">
        <v>43518</v>
      </c>
      <c r="AG1295" s="12">
        <v>138.10919999999999</v>
      </c>
    </row>
    <row r="1296" spans="30:33" x14ac:dyDescent="0.2">
      <c r="AD1296" s="13">
        <v>43521</v>
      </c>
      <c r="AE1296" s="12">
        <v>26.789899999999999</v>
      </c>
      <c r="AF1296" s="13">
        <v>43521</v>
      </c>
      <c r="AG1296" s="12">
        <v>138.06180000000001</v>
      </c>
    </row>
    <row r="1297" spans="30:33" x14ac:dyDescent="0.2">
      <c r="AD1297" s="13">
        <v>43522</v>
      </c>
      <c r="AE1297" s="12">
        <v>26.8276</v>
      </c>
      <c r="AF1297" s="13">
        <v>43522</v>
      </c>
      <c r="AG1297" s="12">
        <v>138.27539999999999</v>
      </c>
    </row>
    <row r="1298" spans="30:33" x14ac:dyDescent="0.2">
      <c r="AD1298" s="13">
        <v>43523</v>
      </c>
      <c r="AE1298" s="12">
        <v>26.762899999999998</v>
      </c>
      <c r="AF1298" s="13">
        <v>43523</v>
      </c>
      <c r="AG1298" s="12">
        <v>137.8837</v>
      </c>
    </row>
    <row r="1299" spans="30:33" x14ac:dyDescent="0.2">
      <c r="AD1299" s="13">
        <v>43524</v>
      </c>
      <c r="AE1299" s="12">
        <v>26.725200000000001</v>
      </c>
      <c r="AF1299" s="13">
        <v>43524</v>
      </c>
      <c r="AG1299" s="12">
        <v>137.69390000000001</v>
      </c>
    </row>
    <row r="1300" spans="30:33" x14ac:dyDescent="0.2">
      <c r="AD1300" s="13">
        <v>43525</v>
      </c>
      <c r="AE1300" s="12">
        <v>26.651700000000002</v>
      </c>
      <c r="AF1300" s="13">
        <v>43525</v>
      </c>
      <c r="AG1300" s="12">
        <v>137.4547</v>
      </c>
    </row>
    <row r="1301" spans="30:33" x14ac:dyDescent="0.2">
      <c r="AD1301" s="13">
        <v>43528</v>
      </c>
      <c r="AE1301" s="12">
        <v>26.711099999999998</v>
      </c>
      <c r="AF1301" s="13">
        <v>43528</v>
      </c>
      <c r="AG1301" s="12">
        <v>137.76419999999999</v>
      </c>
    </row>
    <row r="1302" spans="30:33" x14ac:dyDescent="0.2">
      <c r="AD1302" s="13">
        <v>43529</v>
      </c>
      <c r="AE1302" s="12">
        <v>26.721900000000002</v>
      </c>
      <c r="AF1302" s="13">
        <v>43529</v>
      </c>
      <c r="AG1302" s="12">
        <v>137.81180000000001</v>
      </c>
    </row>
    <row r="1303" spans="30:33" x14ac:dyDescent="0.2">
      <c r="AD1303" s="13">
        <v>43530</v>
      </c>
      <c r="AE1303" s="12">
        <v>26.765000000000001</v>
      </c>
      <c r="AF1303" s="13">
        <v>43530</v>
      </c>
      <c r="AG1303" s="12">
        <v>137.9427</v>
      </c>
    </row>
    <row r="1304" spans="30:33" x14ac:dyDescent="0.2">
      <c r="AD1304" s="13">
        <v>43531</v>
      </c>
      <c r="AE1304" s="12">
        <v>26.8352</v>
      </c>
      <c r="AF1304" s="13">
        <v>43531</v>
      </c>
      <c r="AG1304" s="12">
        <v>138.39510000000001</v>
      </c>
    </row>
    <row r="1305" spans="30:33" x14ac:dyDescent="0.2">
      <c r="AD1305" s="13">
        <v>43532</v>
      </c>
      <c r="AE1305" s="12">
        <v>26.878399999999999</v>
      </c>
      <c r="AF1305" s="13">
        <v>43532</v>
      </c>
      <c r="AG1305" s="12">
        <v>138.5736</v>
      </c>
    </row>
    <row r="1306" spans="30:33" x14ac:dyDescent="0.2">
      <c r="AD1306" s="13">
        <v>43535</v>
      </c>
      <c r="AE1306" s="12">
        <v>26.824400000000001</v>
      </c>
      <c r="AF1306" s="13">
        <v>43535</v>
      </c>
      <c r="AG1306" s="12">
        <v>138.72839999999999</v>
      </c>
    </row>
    <row r="1307" spans="30:33" x14ac:dyDescent="0.2">
      <c r="AD1307" s="13">
        <v>43536</v>
      </c>
      <c r="AE1307" s="12">
        <v>26.9054</v>
      </c>
      <c r="AF1307" s="13">
        <v>43536</v>
      </c>
      <c r="AG1307" s="12">
        <v>139.10929999999999</v>
      </c>
    </row>
    <row r="1308" spans="30:33" x14ac:dyDescent="0.2">
      <c r="AD1308" s="13">
        <v>43537</v>
      </c>
      <c r="AE1308" s="12">
        <v>26.894600000000001</v>
      </c>
      <c r="AF1308" s="13">
        <v>43537</v>
      </c>
      <c r="AG1308" s="12">
        <v>138.88310000000001</v>
      </c>
    </row>
    <row r="1309" spans="30:33" x14ac:dyDescent="0.2">
      <c r="AD1309" s="13">
        <v>43538</v>
      </c>
      <c r="AE1309" s="12">
        <v>26.8568</v>
      </c>
      <c r="AF1309" s="13">
        <v>43538</v>
      </c>
      <c r="AG1309" s="12">
        <v>138.60929999999999</v>
      </c>
    </row>
    <row r="1310" spans="30:33" x14ac:dyDescent="0.2">
      <c r="AD1310" s="13">
        <v>43539</v>
      </c>
      <c r="AE1310" s="12">
        <v>26.910799999999998</v>
      </c>
      <c r="AF1310" s="13">
        <v>43539</v>
      </c>
      <c r="AG1310" s="12">
        <v>139.10929999999999</v>
      </c>
    </row>
    <row r="1311" spans="30:33" x14ac:dyDescent="0.2">
      <c r="AD1311" s="13">
        <v>43542</v>
      </c>
      <c r="AE1311" s="12">
        <v>26.9</v>
      </c>
      <c r="AF1311" s="13">
        <v>43542</v>
      </c>
      <c r="AG1311" s="12">
        <v>139.03790000000001</v>
      </c>
    </row>
    <row r="1312" spans="30:33" x14ac:dyDescent="0.2">
      <c r="AD1312" s="13">
        <v>43543</v>
      </c>
      <c r="AE1312" s="12">
        <v>26.889199999999999</v>
      </c>
      <c r="AF1312" s="13">
        <v>43543</v>
      </c>
      <c r="AG1312" s="12">
        <v>139.0617</v>
      </c>
    </row>
    <row r="1313" spans="30:33" x14ac:dyDescent="0.2">
      <c r="AD1313" s="13">
        <v>43544</v>
      </c>
      <c r="AE1313" s="12">
        <v>27.007999999999999</v>
      </c>
      <c r="AF1313" s="13">
        <v>43544</v>
      </c>
      <c r="AG1313" s="12">
        <v>140.00210000000001</v>
      </c>
    </row>
    <row r="1314" spans="30:33" x14ac:dyDescent="0.2">
      <c r="AD1314" s="13">
        <v>43545</v>
      </c>
      <c r="AE1314" s="12">
        <v>27.002600000000001</v>
      </c>
      <c r="AF1314" s="13">
        <v>43545</v>
      </c>
      <c r="AG1314" s="12">
        <v>140.26400000000001</v>
      </c>
    </row>
    <row r="1315" spans="30:33" x14ac:dyDescent="0.2">
      <c r="AD1315" s="13">
        <v>43546</v>
      </c>
      <c r="AE1315" s="12">
        <v>27.159199999999998</v>
      </c>
      <c r="AF1315" s="13">
        <v>43546</v>
      </c>
      <c r="AG1315" s="12">
        <v>141.12110000000001</v>
      </c>
    </row>
    <row r="1316" spans="30:33" x14ac:dyDescent="0.2">
      <c r="AD1316" s="13">
        <v>43549</v>
      </c>
      <c r="AE1316" s="12">
        <v>27.202400000000001</v>
      </c>
      <c r="AF1316" s="13">
        <v>43549</v>
      </c>
      <c r="AG1316" s="12">
        <v>141.4068</v>
      </c>
    </row>
    <row r="1317" spans="30:33" x14ac:dyDescent="0.2">
      <c r="AD1317" s="13">
        <v>43550</v>
      </c>
      <c r="AE1317" s="12">
        <v>27.202400000000001</v>
      </c>
      <c r="AF1317" s="13">
        <v>43550</v>
      </c>
      <c r="AG1317" s="12">
        <v>141.46629999999999</v>
      </c>
    </row>
    <row r="1318" spans="30:33" x14ac:dyDescent="0.2">
      <c r="AD1318" s="13">
        <v>43551</v>
      </c>
      <c r="AE1318" s="12">
        <v>27.267199999999999</v>
      </c>
      <c r="AF1318" s="13">
        <v>43551</v>
      </c>
      <c r="AG1318" s="12">
        <v>141.6568</v>
      </c>
    </row>
    <row r="1319" spans="30:33" x14ac:dyDescent="0.2">
      <c r="AD1319" s="13">
        <v>43552</v>
      </c>
      <c r="AE1319" s="12">
        <v>27.267199999999999</v>
      </c>
      <c r="AF1319" s="13">
        <v>43552</v>
      </c>
      <c r="AG1319" s="12">
        <v>141.83529999999999</v>
      </c>
    </row>
    <row r="1320" spans="30:33" x14ac:dyDescent="0.2">
      <c r="AD1320" s="13">
        <v>43553</v>
      </c>
      <c r="AE1320" s="12">
        <v>27.256399999999999</v>
      </c>
      <c r="AF1320" s="13">
        <v>43553</v>
      </c>
      <c r="AG1320" s="12">
        <v>141.72819999999999</v>
      </c>
    </row>
    <row r="1321" spans="30:33" x14ac:dyDescent="0.2">
      <c r="AD1321" s="13">
        <v>43556</v>
      </c>
      <c r="AE1321" s="12">
        <v>27.1004</v>
      </c>
      <c r="AF1321" s="13">
        <v>43556</v>
      </c>
      <c r="AG1321" s="12">
        <v>141.202</v>
      </c>
    </row>
    <row r="1322" spans="30:33" x14ac:dyDescent="0.2">
      <c r="AD1322" s="13">
        <v>43557</v>
      </c>
      <c r="AE1322" s="12">
        <v>27.1221</v>
      </c>
      <c r="AF1322" s="13">
        <v>43557</v>
      </c>
      <c r="AG1322" s="12">
        <v>141.393</v>
      </c>
    </row>
    <row r="1323" spans="30:33" x14ac:dyDescent="0.2">
      <c r="AD1323" s="13">
        <v>43558</v>
      </c>
      <c r="AE1323" s="12">
        <v>27.078800000000001</v>
      </c>
      <c r="AF1323" s="13">
        <v>43558</v>
      </c>
      <c r="AG1323" s="12">
        <v>141.09450000000001</v>
      </c>
    </row>
    <row r="1324" spans="30:33" x14ac:dyDescent="0.2">
      <c r="AD1324" s="13">
        <v>43559</v>
      </c>
      <c r="AE1324" s="12">
        <v>27.1004</v>
      </c>
      <c r="AF1324" s="13">
        <v>43559</v>
      </c>
      <c r="AG1324" s="12">
        <v>141.32140000000001</v>
      </c>
    </row>
    <row r="1325" spans="30:33" x14ac:dyDescent="0.2">
      <c r="AD1325" s="13">
        <v>43560</v>
      </c>
      <c r="AE1325" s="12">
        <v>27.105799999999999</v>
      </c>
      <c r="AF1325" s="13">
        <v>43560</v>
      </c>
      <c r="AG1325" s="12">
        <v>141.54820000000001</v>
      </c>
    </row>
    <row r="1326" spans="30:33" x14ac:dyDescent="0.2">
      <c r="AD1326" s="13">
        <v>43563</v>
      </c>
      <c r="AE1326" s="12">
        <v>27.089600000000001</v>
      </c>
      <c r="AF1326" s="13">
        <v>43563</v>
      </c>
      <c r="AG1326" s="12">
        <v>141.34530000000001</v>
      </c>
    </row>
    <row r="1327" spans="30:33" x14ac:dyDescent="0.2">
      <c r="AD1327" s="13">
        <v>43564</v>
      </c>
      <c r="AE1327" s="12">
        <v>27.1221</v>
      </c>
      <c r="AF1327" s="13">
        <v>43564</v>
      </c>
      <c r="AG1327" s="12">
        <v>141.6437</v>
      </c>
    </row>
    <row r="1328" spans="30:33" x14ac:dyDescent="0.2">
      <c r="AD1328" s="13">
        <v>43565</v>
      </c>
      <c r="AE1328" s="12">
        <v>27.154499999999999</v>
      </c>
      <c r="AF1328" s="13">
        <v>43565</v>
      </c>
      <c r="AG1328" s="12">
        <v>142.33629999999999</v>
      </c>
    </row>
    <row r="1329" spans="30:33" x14ac:dyDescent="0.2">
      <c r="AD1329" s="13">
        <v>43566</v>
      </c>
      <c r="AE1329" s="12">
        <v>27.1004</v>
      </c>
      <c r="AF1329" s="13">
        <v>43566</v>
      </c>
      <c r="AG1329" s="12">
        <v>142.19300000000001</v>
      </c>
    </row>
    <row r="1330" spans="30:33" x14ac:dyDescent="0.2">
      <c r="AD1330" s="13">
        <v>43567</v>
      </c>
      <c r="AE1330" s="12">
        <v>27.019300000000001</v>
      </c>
      <c r="AF1330" s="13">
        <v>43567</v>
      </c>
      <c r="AG1330" s="12">
        <v>142.10939999999999</v>
      </c>
    </row>
    <row r="1331" spans="30:33" x14ac:dyDescent="0.2">
      <c r="AD1331" s="13">
        <v>43570</v>
      </c>
      <c r="AE1331" s="12">
        <v>27.046299999999999</v>
      </c>
      <c r="AF1331" s="13">
        <v>43570</v>
      </c>
      <c r="AG1331" s="12">
        <v>141.88249999999999</v>
      </c>
    </row>
    <row r="1332" spans="30:33" x14ac:dyDescent="0.2">
      <c r="AD1332" s="13">
        <v>43571</v>
      </c>
      <c r="AE1332" s="12">
        <v>26.970600000000001</v>
      </c>
      <c r="AF1332" s="13">
        <v>43571</v>
      </c>
      <c r="AG1332" s="12">
        <v>141.48849999999999</v>
      </c>
    </row>
    <row r="1333" spans="30:33" x14ac:dyDescent="0.2">
      <c r="AD1333" s="13">
        <v>43572</v>
      </c>
      <c r="AE1333" s="12">
        <v>26.997699999999998</v>
      </c>
      <c r="AF1333" s="13">
        <v>43572</v>
      </c>
      <c r="AG1333" s="12">
        <v>141.46459999999999</v>
      </c>
    </row>
    <row r="1334" spans="30:33" x14ac:dyDescent="0.2">
      <c r="AD1334" s="13">
        <v>43573</v>
      </c>
      <c r="AE1334" s="12">
        <v>27.046299999999999</v>
      </c>
      <c r="AF1334" s="13">
        <v>43573</v>
      </c>
      <c r="AG1334" s="12">
        <v>141.584</v>
      </c>
    </row>
    <row r="1335" spans="30:33" x14ac:dyDescent="0.2">
      <c r="AD1335" s="13">
        <v>43577</v>
      </c>
      <c r="AE1335" s="12">
        <v>27.0139</v>
      </c>
      <c r="AF1335" s="13">
        <v>43577</v>
      </c>
      <c r="AG1335" s="12">
        <v>141.35720000000001</v>
      </c>
    </row>
    <row r="1336" spans="30:33" x14ac:dyDescent="0.2">
      <c r="AD1336" s="13">
        <v>43578</v>
      </c>
      <c r="AE1336" s="12">
        <v>27.046299999999999</v>
      </c>
      <c r="AF1336" s="13">
        <v>43578</v>
      </c>
      <c r="AG1336" s="12">
        <v>141.94220000000001</v>
      </c>
    </row>
    <row r="1337" spans="30:33" x14ac:dyDescent="0.2">
      <c r="AD1337" s="13">
        <v>43579</v>
      </c>
      <c r="AE1337" s="12">
        <v>27.1221</v>
      </c>
      <c r="AF1337" s="13">
        <v>43579</v>
      </c>
      <c r="AG1337" s="12">
        <v>142.41980000000001</v>
      </c>
    </row>
    <row r="1338" spans="30:33" x14ac:dyDescent="0.2">
      <c r="AD1338" s="13">
        <v>43580</v>
      </c>
      <c r="AE1338" s="12">
        <v>27.105799999999999</v>
      </c>
      <c r="AF1338" s="13">
        <v>43580</v>
      </c>
      <c r="AG1338" s="12">
        <v>142.34819999999999</v>
      </c>
    </row>
    <row r="1339" spans="30:33" x14ac:dyDescent="0.2">
      <c r="AD1339" s="13">
        <v>43581</v>
      </c>
      <c r="AE1339" s="12">
        <v>27.154499999999999</v>
      </c>
      <c r="AF1339" s="13">
        <v>43581</v>
      </c>
      <c r="AG1339" s="12">
        <v>142.84970000000001</v>
      </c>
    </row>
    <row r="1340" spans="30:33" x14ac:dyDescent="0.2">
      <c r="AD1340" s="13">
        <v>43584</v>
      </c>
      <c r="AE1340" s="12">
        <v>27.1113</v>
      </c>
      <c r="AF1340" s="13">
        <v>43584</v>
      </c>
      <c r="AG1340" s="12">
        <v>142.2885</v>
      </c>
    </row>
    <row r="1341" spans="30:33" x14ac:dyDescent="0.2">
      <c r="AD1341" s="13">
        <v>43585</v>
      </c>
      <c r="AE1341" s="12">
        <v>27.143699999999999</v>
      </c>
      <c r="AF1341" s="13">
        <v>43585</v>
      </c>
      <c r="AG1341" s="12">
        <v>142.34819999999999</v>
      </c>
    </row>
    <row r="1342" spans="30:33" x14ac:dyDescent="0.2">
      <c r="AD1342" s="13">
        <v>43586</v>
      </c>
      <c r="AE1342" s="12">
        <v>27.16</v>
      </c>
      <c r="AF1342" s="13">
        <v>43586</v>
      </c>
      <c r="AG1342" s="12">
        <v>142.30240000000001</v>
      </c>
    </row>
    <row r="1343" spans="30:33" x14ac:dyDescent="0.2">
      <c r="AD1343" s="13">
        <v>43587</v>
      </c>
      <c r="AE1343" s="12">
        <v>27.1112</v>
      </c>
      <c r="AF1343" s="13">
        <v>43587</v>
      </c>
      <c r="AG1343" s="12">
        <v>141.78749999999999</v>
      </c>
    </row>
    <row r="1344" spans="30:33" x14ac:dyDescent="0.2">
      <c r="AD1344" s="13">
        <v>43588</v>
      </c>
      <c r="AE1344" s="12">
        <v>27.132899999999999</v>
      </c>
      <c r="AF1344" s="13">
        <v>43588</v>
      </c>
      <c r="AG1344" s="12">
        <v>142.4221</v>
      </c>
    </row>
    <row r="1345" spans="30:33" x14ac:dyDescent="0.2">
      <c r="AD1345" s="13">
        <v>43591</v>
      </c>
      <c r="AE1345" s="12">
        <v>27.176200000000001</v>
      </c>
      <c r="AF1345" s="13">
        <v>43591</v>
      </c>
      <c r="AG1345" s="12">
        <v>142.61369999999999</v>
      </c>
    </row>
    <row r="1346" spans="30:33" x14ac:dyDescent="0.2">
      <c r="AD1346" s="13">
        <v>43592</v>
      </c>
      <c r="AE1346" s="12">
        <v>27.246700000000001</v>
      </c>
      <c r="AF1346" s="13">
        <v>43592</v>
      </c>
      <c r="AG1346" s="12">
        <v>142.6018</v>
      </c>
    </row>
    <row r="1347" spans="30:33" x14ac:dyDescent="0.2">
      <c r="AD1347" s="13">
        <v>43593</v>
      </c>
      <c r="AE1347" s="12">
        <v>27.214200000000002</v>
      </c>
      <c r="AF1347" s="13">
        <v>43593</v>
      </c>
      <c r="AG1347" s="12">
        <v>142.12280000000001</v>
      </c>
    </row>
    <row r="1348" spans="30:33" x14ac:dyDescent="0.2">
      <c r="AD1348" s="13">
        <v>43594</v>
      </c>
      <c r="AE1348" s="12">
        <v>27.2575</v>
      </c>
      <c r="AF1348" s="13">
        <v>43594</v>
      </c>
      <c r="AG1348" s="12">
        <v>142.25450000000001</v>
      </c>
    </row>
    <row r="1349" spans="30:33" x14ac:dyDescent="0.2">
      <c r="AD1349" s="13">
        <v>43595</v>
      </c>
      <c r="AE1349" s="12">
        <v>27.241299999999999</v>
      </c>
      <c r="AF1349" s="13">
        <v>43595</v>
      </c>
      <c r="AG1349" s="12">
        <v>142.3383</v>
      </c>
    </row>
    <row r="1350" spans="30:33" x14ac:dyDescent="0.2">
      <c r="AD1350" s="13">
        <v>43598</v>
      </c>
      <c r="AE1350" s="12">
        <v>27.344200000000001</v>
      </c>
      <c r="AF1350" s="13">
        <v>43598</v>
      </c>
      <c r="AG1350" s="12">
        <v>142.4221</v>
      </c>
    </row>
    <row r="1351" spans="30:33" x14ac:dyDescent="0.2">
      <c r="AD1351" s="13">
        <v>43599</v>
      </c>
      <c r="AE1351" s="12">
        <v>27.322600000000001</v>
      </c>
      <c r="AF1351" s="13">
        <v>43599</v>
      </c>
      <c r="AG1351" s="12">
        <v>142.62569999999999</v>
      </c>
    </row>
    <row r="1352" spans="30:33" x14ac:dyDescent="0.2">
      <c r="AD1352" s="13">
        <v>43600</v>
      </c>
      <c r="AE1352" s="12">
        <v>27.387599999999999</v>
      </c>
      <c r="AF1352" s="13">
        <v>43600</v>
      </c>
      <c r="AG1352" s="12">
        <v>143.02090000000001</v>
      </c>
    </row>
    <row r="1353" spans="30:33" x14ac:dyDescent="0.2">
      <c r="AD1353" s="13">
        <v>43601</v>
      </c>
      <c r="AE1353" s="12">
        <v>27.349599999999999</v>
      </c>
      <c r="AF1353" s="13">
        <v>43601</v>
      </c>
      <c r="AG1353" s="12">
        <v>142.79339999999999</v>
      </c>
    </row>
    <row r="1354" spans="30:33" x14ac:dyDescent="0.2">
      <c r="AD1354" s="13">
        <v>43602</v>
      </c>
      <c r="AE1354" s="12">
        <v>27.3659</v>
      </c>
      <c r="AF1354" s="13">
        <v>43602</v>
      </c>
      <c r="AG1354" s="12">
        <v>142.80539999999999</v>
      </c>
    </row>
    <row r="1355" spans="30:33" x14ac:dyDescent="0.2">
      <c r="AD1355" s="13">
        <v>43605</v>
      </c>
      <c r="AE1355" s="12">
        <v>27.322600000000001</v>
      </c>
      <c r="AF1355" s="13">
        <v>43605</v>
      </c>
      <c r="AG1355" s="12">
        <v>142.47</v>
      </c>
    </row>
    <row r="1356" spans="30:33" x14ac:dyDescent="0.2">
      <c r="AD1356" s="13">
        <v>43606</v>
      </c>
      <c r="AE1356" s="12">
        <v>27.3063</v>
      </c>
      <c r="AF1356" s="13">
        <v>43606</v>
      </c>
      <c r="AG1356" s="12">
        <v>142.5898</v>
      </c>
    </row>
    <row r="1357" spans="30:33" x14ac:dyDescent="0.2">
      <c r="AD1357" s="13">
        <v>43607</v>
      </c>
      <c r="AE1357" s="12">
        <v>27.3659</v>
      </c>
      <c r="AF1357" s="13">
        <v>43607</v>
      </c>
      <c r="AG1357" s="12">
        <v>142.76939999999999</v>
      </c>
    </row>
    <row r="1358" spans="30:33" x14ac:dyDescent="0.2">
      <c r="AD1358" s="13">
        <v>43608</v>
      </c>
      <c r="AE1358" s="12">
        <v>27.490500000000001</v>
      </c>
      <c r="AF1358" s="13">
        <v>43608</v>
      </c>
      <c r="AG1358" s="12">
        <v>143.08080000000001</v>
      </c>
    </row>
    <row r="1359" spans="30:33" x14ac:dyDescent="0.2">
      <c r="AD1359" s="13">
        <v>43609</v>
      </c>
      <c r="AE1359" s="12">
        <v>27.495999999999999</v>
      </c>
      <c r="AF1359" s="13">
        <v>43609</v>
      </c>
      <c r="AG1359" s="12">
        <v>143.3802</v>
      </c>
    </row>
    <row r="1360" spans="30:33" x14ac:dyDescent="0.2">
      <c r="AD1360" s="13">
        <v>43613</v>
      </c>
      <c r="AE1360" s="12">
        <v>27.5718</v>
      </c>
      <c r="AF1360" s="13">
        <v>43613</v>
      </c>
      <c r="AG1360" s="12">
        <v>143.476</v>
      </c>
    </row>
    <row r="1361" spans="30:33" x14ac:dyDescent="0.2">
      <c r="AD1361" s="13">
        <v>43614</v>
      </c>
      <c r="AE1361" s="12">
        <v>27.582699999999999</v>
      </c>
      <c r="AF1361" s="13">
        <v>43614</v>
      </c>
      <c r="AG1361" s="12">
        <v>143.53579999999999</v>
      </c>
    </row>
    <row r="1362" spans="30:33" x14ac:dyDescent="0.2">
      <c r="AD1362" s="13">
        <v>43615</v>
      </c>
      <c r="AE1362" s="12">
        <v>27.6585</v>
      </c>
      <c r="AF1362" s="13">
        <v>43615</v>
      </c>
      <c r="AG1362" s="12">
        <v>144.3621</v>
      </c>
    </row>
    <row r="1363" spans="30:33" x14ac:dyDescent="0.2">
      <c r="AD1363" s="13">
        <v>43616</v>
      </c>
      <c r="AE1363" s="12">
        <v>27.799399999999999</v>
      </c>
      <c r="AF1363" s="13">
        <v>43616</v>
      </c>
      <c r="AG1363" s="12">
        <v>144.69739999999999</v>
      </c>
    </row>
    <row r="1364" spans="30:33" x14ac:dyDescent="0.2">
      <c r="AD1364" s="13">
        <v>43619</v>
      </c>
      <c r="AE1364" s="12">
        <v>27.908899999999999</v>
      </c>
      <c r="AF1364" s="13">
        <v>43619</v>
      </c>
      <c r="AG1364" s="12">
        <v>145.14150000000001</v>
      </c>
    </row>
    <row r="1365" spans="30:33" x14ac:dyDescent="0.2">
      <c r="AD1365" s="13">
        <v>43620</v>
      </c>
      <c r="AE1365" s="12">
        <v>27.816600000000001</v>
      </c>
      <c r="AF1365" s="13">
        <v>43620</v>
      </c>
      <c r="AG1365" s="12">
        <v>145.18950000000001</v>
      </c>
    </row>
    <row r="1366" spans="30:33" x14ac:dyDescent="0.2">
      <c r="AD1366" s="13">
        <v>43621</v>
      </c>
      <c r="AE1366" s="12">
        <v>27.783999999999999</v>
      </c>
      <c r="AF1366" s="13">
        <v>43621</v>
      </c>
      <c r="AG1366" s="12">
        <v>145.0934</v>
      </c>
    </row>
    <row r="1367" spans="30:33" x14ac:dyDescent="0.2">
      <c r="AD1367" s="13">
        <v>43622</v>
      </c>
      <c r="AE1367" s="12">
        <v>27.794899999999998</v>
      </c>
      <c r="AF1367" s="13">
        <v>43622</v>
      </c>
      <c r="AG1367" s="12">
        <v>145.36969999999999</v>
      </c>
    </row>
    <row r="1368" spans="30:33" x14ac:dyDescent="0.2">
      <c r="AD1368" s="13">
        <v>43623</v>
      </c>
      <c r="AE1368" s="12">
        <v>27.870899999999999</v>
      </c>
      <c r="AF1368" s="13">
        <v>43623</v>
      </c>
      <c r="AG1368" s="12">
        <v>146.01830000000001</v>
      </c>
    </row>
    <row r="1369" spans="30:33" x14ac:dyDescent="0.2">
      <c r="AD1369" s="13">
        <v>43626</v>
      </c>
      <c r="AE1369" s="12">
        <v>27.7895</v>
      </c>
      <c r="AF1369" s="13">
        <v>43626</v>
      </c>
      <c r="AG1369" s="12">
        <v>145.4898</v>
      </c>
    </row>
    <row r="1370" spans="30:33" x14ac:dyDescent="0.2">
      <c r="AD1370" s="13">
        <v>43627</v>
      </c>
      <c r="AE1370" s="12">
        <v>27.773199999999999</v>
      </c>
      <c r="AF1370" s="13">
        <v>43627</v>
      </c>
      <c r="AG1370" s="12">
        <v>145.62190000000001</v>
      </c>
    </row>
    <row r="1371" spans="30:33" x14ac:dyDescent="0.2">
      <c r="AD1371" s="13">
        <v>43628</v>
      </c>
      <c r="AE1371" s="12">
        <v>27.816600000000001</v>
      </c>
      <c r="AF1371" s="13">
        <v>43628</v>
      </c>
      <c r="AG1371" s="12">
        <v>145.8382</v>
      </c>
    </row>
    <row r="1372" spans="30:33" x14ac:dyDescent="0.2">
      <c r="AD1372" s="13">
        <v>43629</v>
      </c>
      <c r="AE1372" s="12">
        <v>27.86</v>
      </c>
      <c r="AF1372" s="13">
        <v>43629</v>
      </c>
      <c r="AG1372" s="12">
        <v>146.2105</v>
      </c>
    </row>
    <row r="1373" spans="30:33" x14ac:dyDescent="0.2">
      <c r="AD1373" s="13">
        <v>43630</v>
      </c>
      <c r="AE1373" s="12">
        <v>27.892600000000002</v>
      </c>
      <c r="AF1373" s="13">
        <v>43630</v>
      </c>
      <c r="AG1373" s="12">
        <v>146.2706</v>
      </c>
    </row>
    <row r="1374" spans="30:33" x14ac:dyDescent="0.2">
      <c r="AD1374" s="13">
        <v>43633</v>
      </c>
      <c r="AE1374" s="12">
        <v>27.881699999999999</v>
      </c>
      <c r="AF1374" s="13">
        <v>43633</v>
      </c>
      <c r="AG1374" s="12">
        <v>146.34270000000001</v>
      </c>
    </row>
    <row r="1375" spans="30:33" x14ac:dyDescent="0.2">
      <c r="AD1375" s="13">
        <v>43634</v>
      </c>
      <c r="AE1375" s="12">
        <v>27.914300000000001</v>
      </c>
      <c r="AF1375" s="13">
        <v>43634</v>
      </c>
      <c r="AG1375" s="12">
        <v>147.31559999999999</v>
      </c>
    </row>
    <row r="1376" spans="30:33" x14ac:dyDescent="0.2">
      <c r="AD1376" s="13">
        <v>43635</v>
      </c>
      <c r="AE1376" s="12">
        <v>27.9849</v>
      </c>
      <c r="AF1376" s="13">
        <v>43635</v>
      </c>
      <c r="AG1376" s="12">
        <v>148.2526</v>
      </c>
    </row>
    <row r="1377" spans="30:33" x14ac:dyDescent="0.2">
      <c r="AD1377" s="13">
        <v>43636</v>
      </c>
      <c r="AE1377" s="12">
        <v>28.012</v>
      </c>
      <c r="AF1377" s="13">
        <v>43636</v>
      </c>
      <c r="AG1377" s="12">
        <v>149.0574</v>
      </c>
    </row>
    <row r="1378" spans="30:33" x14ac:dyDescent="0.2">
      <c r="AD1378" s="13">
        <v>43637</v>
      </c>
      <c r="AE1378" s="12">
        <v>27.9252</v>
      </c>
      <c r="AF1378" s="13">
        <v>43637</v>
      </c>
      <c r="AG1378" s="12">
        <v>148.51679999999999</v>
      </c>
    </row>
    <row r="1379" spans="30:33" x14ac:dyDescent="0.2">
      <c r="AD1379" s="13">
        <v>43640</v>
      </c>
      <c r="AE1379" s="12">
        <v>27.990300000000001</v>
      </c>
      <c r="AF1379" s="13">
        <v>43640</v>
      </c>
      <c r="AG1379" s="12">
        <v>148.88919999999999</v>
      </c>
    </row>
    <row r="1380" spans="30:33" x14ac:dyDescent="0.2">
      <c r="AD1380" s="13">
        <v>43641</v>
      </c>
      <c r="AE1380" s="12">
        <v>28.0229</v>
      </c>
      <c r="AF1380" s="13">
        <v>43641</v>
      </c>
      <c r="AG1380" s="12">
        <v>148.44479999999999</v>
      </c>
    </row>
    <row r="1381" spans="30:33" x14ac:dyDescent="0.2">
      <c r="AD1381" s="13">
        <v>43642</v>
      </c>
      <c r="AE1381" s="12">
        <v>27.946899999999999</v>
      </c>
      <c r="AF1381" s="13">
        <v>43642</v>
      </c>
      <c r="AG1381" s="12">
        <v>148.14449999999999</v>
      </c>
    </row>
    <row r="1382" spans="30:33" x14ac:dyDescent="0.2">
      <c r="AD1382" s="13">
        <v>43643</v>
      </c>
      <c r="AE1382" s="12">
        <v>28.012</v>
      </c>
      <c r="AF1382" s="13">
        <v>43643</v>
      </c>
      <c r="AG1382" s="12">
        <v>149.0093</v>
      </c>
    </row>
    <row r="1383" spans="30:33" x14ac:dyDescent="0.2">
      <c r="AD1383" s="13">
        <v>43644</v>
      </c>
      <c r="AE1383" s="12">
        <v>28.028300000000002</v>
      </c>
      <c r="AF1383" s="13">
        <v>43644</v>
      </c>
      <c r="AG1383" s="12">
        <v>149.3937</v>
      </c>
    </row>
    <row r="1384" spans="30:33" x14ac:dyDescent="0.2">
      <c r="AD1384" s="13">
        <v>43647</v>
      </c>
      <c r="AE1384" s="12">
        <v>27.991900000000001</v>
      </c>
      <c r="AF1384" s="13">
        <v>43647</v>
      </c>
      <c r="AG1384" s="12">
        <v>149.6754</v>
      </c>
    </row>
    <row r="1385" spans="30:33" x14ac:dyDescent="0.2">
      <c r="AD1385" s="13">
        <v>43648</v>
      </c>
      <c r="AE1385" s="12">
        <v>28.057200000000002</v>
      </c>
      <c r="AF1385" s="13">
        <v>43648</v>
      </c>
      <c r="AG1385" s="12">
        <v>150.08500000000001</v>
      </c>
    </row>
    <row r="1386" spans="30:33" x14ac:dyDescent="0.2">
      <c r="AD1386" s="13">
        <v>43649</v>
      </c>
      <c r="AE1386" s="12">
        <v>28.111599999999999</v>
      </c>
      <c r="AF1386" s="13">
        <v>43649</v>
      </c>
      <c r="AG1386" s="12">
        <v>150.49459999999999</v>
      </c>
    </row>
    <row r="1387" spans="30:33" x14ac:dyDescent="0.2">
      <c r="AD1387" s="13">
        <v>43651</v>
      </c>
      <c r="AE1387" s="12">
        <v>27.964700000000001</v>
      </c>
      <c r="AF1387" s="13">
        <v>43651</v>
      </c>
      <c r="AG1387" s="12">
        <v>149.1695</v>
      </c>
    </row>
    <row r="1388" spans="30:33" x14ac:dyDescent="0.2">
      <c r="AD1388" s="13">
        <v>43654</v>
      </c>
      <c r="AE1388" s="12">
        <v>27.948399999999999</v>
      </c>
      <c r="AF1388" s="13">
        <v>43654</v>
      </c>
      <c r="AG1388" s="12">
        <v>148.96469999999999</v>
      </c>
    </row>
    <row r="1389" spans="30:33" x14ac:dyDescent="0.2">
      <c r="AD1389" s="13">
        <v>43655</v>
      </c>
      <c r="AE1389" s="12">
        <v>27.9267</v>
      </c>
      <c r="AF1389" s="13">
        <v>43655</v>
      </c>
      <c r="AG1389" s="12">
        <v>148.6515</v>
      </c>
    </row>
    <row r="1390" spans="30:33" x14ac:dyDescent="0.2">
      <c r="AD1390" s="13">
        <v>43656</v>
      </c>
      <c r="AE1390" s="12">
        <v>27.9376</v>
      </c>
      <c r="AF1390" s="13">
        <v>43656</v>
      </c>
      <c r="AG1390" s="12">
        <v>148.9888</v>
      </c>
    </row>
    <row r="1391" spans="30:33" x14ac:dyDescent="0.2">
      <c r="AD1391" s="13">
        <v>43657</v>
      </c>
      <c r="AE1391" s="12">
        <v>27.839700000000001</v>
      </c>
      <c r="AF1391" s="13">
        <v>43657</v>
      </c>
      <c r="AG1391" s="12">
        <v>148.10939999999999</v>
      </c>
    </row>
    <row r="1392" spans="30:33" x14ac:dyDescent="0.2">
      <c r="AD1392" s="13">
        <v>43658</v>
      </c>
      <c r="AE1392" s="12">
        <v>27.8506</v>
      </c>
      <c r="AF1392" s="13">
        <v>43658</v>
      </c>
      <c r="AG1392" s="12">
        <v>148.25399999999999</v>
      </c>
    </row>
    <row r="1393" spans="30:33" x14ac:dyDescent="0.2">
      <c r="AD1393" s="13">
        <v>43661</v>
      </c>
      <c r="AE1393" s="12">
        <v>27.904900000000001</v>
      </c>
      <c r="AF1393" s="13">
        <v>43661</v>
      </c>
      <c r="AG1393" s="12">
        <v>148.5069</v>
      </c>
    </row>
    <row r="1394" spans="30:33" x14ac:dyDescent="0.2">
      <c r="AD1394" s="13">
        <v>43662</v>
      </c>
      <c r="AE1394" s="12">
        <v>27.8614</v>
      </c>
      <c r="AF1394" s="13">
        <v>43662</v>
      </c>
      <c r="AG1394" s="12">
        <v>148.19370000000001</v>
      </c>
    </row>
    <row r="1395" spans="30:33" x14ac:dyDescent="0.2">
      <c r="AD1395" s="13">
        <v>43663</v>
      </c>
      <c r="AE1395" s="12">
        <v>27.959299999999999</v>
      </c>
      <c r="AF1395" s="13">
        <v>43663</v>
      </c>
      <c r="AG1395" s="12">
        <v>148.97669999999999</v>
      </c>
    </row>
    <row r="1396" spans="30:33" x14ac:dyDescent="0.2">
      <c r="AD1396" s="13">
        <v>43664</v>
      </c>
      <c r="AE1396" s="12">
        <v>28.002800000000001</v>
      </c>
      <c r="AF1396" s="13">
        <v>43664</v>
      </c>
      <c r="AG1396" s="12">
        <v>149.3261</v>
      </c>
    </row>
    <row r="1397" spans="30:33" x14ac:dyDescent="0.2">
      <c r="AD1397" s="13">
        <v>43665</v>
      </c>
      <c r="AE1397" s="12">
        <v>27.959299999999999</v>
      </c>
      <c r="AF1397" s="13">
        <v>43665</v>
      </c>
      <c r="AG1397" s="12">
        <v>149.09719999999999</v>
      </c>
    </row>
    <row r="1398" spans="30:33" x14ac:dyDescent="0.2">
      <c r="AD1398" s="13">
        <v>43668</v>
      </c>
      <c r="AE1398" s="12">
        <v>27.991900000000001</v>
      </c>
      <c r="AF1398" s="13">
        <v>43668</v>
      </c>
      <c r="AG1398" s="12">
        <v>149.55500000000001</v>
      </c>
    </row>
    <row r="1399" spans="30:33" x14ac:dyDescent="0.2">
      <c r="AD1399" s="13">
        <v>43669</v>
      </c>
      <c r="AE1399" s="12">
        <v>27.943000000000001</v>
      </c>
      <c r="AF1399" s="13">
        <v>43669</v>
      </c>
      <c r="AG1399" s="12">
        <v>149.63929999999999</v>
      </c>
    </row>
    <row r="1400" spans="30:33" x14ac:dyDescent="0.2">
      <c r="AD1400" s="13">
        <v>43670</v>
      </c>
      <c r="AE1400" s="12">
        <v>27.970199999999998</v>
      </c>
      <c r="AF1400" s="13">
        <v>43670</v>
      </c>
      <c r="AG1400" s="12">
        <v>150.0609</v>
      </c>
    </row>
    <row r="1401" spans="30:33" x14ac:dyDescent="0.2">
      <c r="AD1401" s="13">
        <v>43671</v>
      </c>
      <c r="AE1401" s="12">
        <v>27.9267</v>
      </c>
      <c r="AF1401" s="13">
        <v>43671</v>
      </c>
      <c r="AG1401" s="12">
        <v>149.57900000000001</v>
      </c>
    </row>
    <row r="1402" spans="30:33" x14ac:dyDescent="0.2">
      <c r="AD1402" s="13">
        <v>43672</v>
      </c>
      <c r="AE1402" s="12">
        <v>27.9376</v>
      </c>
      <c r="AF1402" s="13">
        <v>43672</v>
      </c>
      <c r="AG1402" s="12">
        <v>149.78380000000001</v>
      </c>
    </row>
    <row r="1403" spans="30:33" x14ac:dyDescent="0.2">
      <c r="AD1403" s="13">
        <v>43675</v>
      </c>
      <c r="AE1403" s="12">
        <v>27.959299999999999</v>
      </c>
      <c r="AF1403" s="13">
        <v>43675</v>
      </c>
      <c r="AG1403" s="12">
        <v>149.6875</v>
      </c>
    </row>
    <row r="1404" spans="30:33" x14ac:dyDescent="0.2">
      <c r="AD1404" s="13">
        <v>43676</v>
      </c>
      <c r="AE1404" s="12">
        <v>27.959299999999999</v>
      </c>
      <c r="AF1404" s="13">
        <v>43676</v>
      </c>
      <c r="AG1404" s="12">
        <v>149.63929999999999</v>
      </c>
    </row>
    <row r="1405" spans="30:33" x14ac:dyDescent="0.2">
      <c r="AD1405" s="13">
        <v>43677</v>
      </c>
      <c r="AE1405" s="12">
        <v>28.0246</v>
      </c>
      <c r="AF1405" s="13">
        <v>43677</v>
      </c>
      <c r="AG1405" s="12">
        <v>149.77180000000001</v>
      </c>
    </row>
    <row r="1406" spans="30:33" x14ac:dyDescent="0.2">
      <c r="AD1406" s="13">
        <v>43678</v>
      </c>
      <c r="AE1406" s="12">
        <v>28.233799999999999</v>
      </c>
      <c r="AF1406" s="13">
        <v>43678</v>
      </c>
      <c r="AG1406" s="12">
        <v>150.98580000000001</v>
      </c>
    </row>
    <row r="1407" spans="30:33" x14ac:dyDescent="0.2">
      <c r="AD1407" s="13">
        <v>43679</v>
      </c>
      <c r="AE1407" s="12">
        <v>28.299099999999999</v>
      </c>
      <c r="AF1407" s="13">
        <v>43679</v>
      </c>
      <c r="AG1407" s="12">
        <v>151.14279999999999</v>
      </c>
    </row>
    <row r="1408" spans="30:33" x14ac:dyDescent="0.2">
      <c r="AD1408" s="13">
        <v>43682</v>
      </c>
      <c r="AE1408" s="12">
        <v>28.484300000000001</v>
      </c>
      <c r="AF1408" s="13">
        <v>43682</v>
      </c>
      <c r="AG1408" s="12">
        <v>151.25149999999999</v>
      </c>
    </row>
    <row r="1409" spans="30:33" x14ac:dyDescent="0.2">
      <c r="AD1409" s="13">
        <v>43683</v>
      </c>
      <c r="AE1409" s="12">
        <v>28.549700000000001</v>
      </c>
      <c r="AF1409" s="13">
        <v>43683</v>
      </c>
      <c r="AG1409" s="12">
        <v>152.19370000000001</v>
      </c>
    </row>
    <row r="1410" spans="30:33" x14ac:dyDescent="0.2">
      <c r="AD1410" s="13">
        <v>43684</v>
      </c>
      <c r="AE1410" s="12">
        <v>28.560500000000001</v>
      </c>
      <c r="AF1410" s="13">
        <v>43684</v>
      </c>
      <c r="AG1410" s="12">
        <v>152.1696</v>
      </c>
    </row>
    <row r="1411" spans="30:33" x14ac:dyDescent="0.2">
      <c r="AD1411" s="13">
        <v>43685</v>
      </c>
      <c r="AE1411" s="12">
        <v>28.560500000000001</v>
      </c>
      <c r="AF1411" s="13">
        <v>43685</v>
      </c>
      <c r="AG1411" s="12">
        <v>152.58029999999999</v>
      </c>
    </row>
    <row r="1412" spans="30:33" x14ac:dyDescent="0.2">
      <c r="AD1412" s="13">
        <v>43686</v>
      </c>
      <c r="AE1412" s="12">
        <v>28.527899999999999</v>
      </c>
      <c r="AF1412" s="13">
        <v>43686</v>
      </c>
      <c r="AG1412" s="12">
        <v>152.13329999999999</v>
      </c>
    </row>
    <row r="1413" spans="30:33" x14ac:dyDescent="0.2">
      <c r="AD1413" s="13">
        <v>43689</v>
      </c>
      <c r="AE1413" s="12">
        <v>28.707599999999999</v>
      </c>
      <c r="AF1413" s="13">
        <v>43689</v>
      </c>
      <c r="AG1413" s="12">
        <v>153.08770000000001</v>
      </c>
    </row>
    <row r="1414" spans="30:33" x14ac:dyDescent="0.2">
      <c r="AD1414" s="13">
        <v>43690</v>
      </c>
      <c r="AE1414" s="12">
        <v>28.636800000000001</v>
      </c>
      <c r="AF1414" s="13">
        <v>43690</v>
      </c>
      <c r="AG1414" s="12">
        <v>152.96690000000001</v>
      </c>
    </row>
    <row r="1415" spans="30:33" x14ac:dyDescent="0.2">
      <c r="AD1415" s="13">
        <v>43691</v>
      </c>
      <c r="AE1415" s="12">
        <v>28.827400000000001</v>
      </c>
      <c r="AF1415" s="13">
        <v>43691</v>
      </c>
      <c r="AG1415" s="12">
        <v>153.41380000000001</v>
      </c>
    </row>
    <row r="1416" spans="30:33" x14ac:dyDescent="0.2">
      <c r="AD1416" s="13">
        <v>43692</v>
      </c>
      <c r="AE1416" s="12">
        <v>28.9527</v>
      </c>
      <c r="AF1416" s="13">
        <v>43692</v>
      </c>
      <c r="AG1416" s="12">
        <v>154.1628</v>
      </c>
    </row>
    <row r="1417" spans="30:33" x14ac:dyDescent="0.2">
      <c r="AD1417" s="13">
        <v>43693</v>
      </c>
      <c r="AE1417" s="12">
        <v>28.903700000000001</v>
      </c>
      <c r="AF1417" s="13">
        <v>43693</v>
      </c>
      <c r="AG1417" s="12">
        <v>154.44059999999999</v>
      </c>
    </row>
    <row r="1418" spans="30:33" x14ac:dyDescent="0.2">
      <c r="AD1418" s="13">
        <v>43696</v>
      </c>
      <c r="AE1418" s="12">
        <v>28.767499999999998</v>
      </c>
      <c r="AF1418" s="13">
        <v>43696</v>
      </c>
      <c r="AG1418" s="12">
        <v>153.9332</v>
      </c>
    </row>
    <row r="1419" spans="30:33" x14ac:dyDescent="0.2">
      <c r="AD1419" s="13">
        <v>43697</v>
      </c>
      <c r="AE1419" s="12">
        <v>28.881900000000002</v>
      </c>
      <c r="AF1419" s="13">
        <v>43697</v>
      </c>
      <c r="AG1419" s="12">
        <v>154.8271</v>
      </c>
    </row>
    <row r="1420" spans="30:33" x14ac:dyDescent="0.2">
      <c r="AD1420" s="13">
        <v>43698</v>
      </c>
      <c r="AE1420" s="12">
        <v>28.8002</v>
      </c>
      <c r="AF1420" s="13">
        <v>43698</v>
      </c>
      <c r="AG1420" s="12">
        <v>155.10499999999999</v>
      </c>
    </row>
    <row r="1421" spans="30:33" x14ac:dyDescent="0.2">
      <c r="AD1421" s="13">
        <v>43699</v>
      </c>
      <c r="AE1421" s="12">
        <v>28.745699999999999</v>
      </c>
      <c r="AF1421" s="13">
        <v>43699</v>
      </c>
      <c r="AG1421" s="12">
        <v>154.53720000000001</v>
      </c>
    </row>
    <row r="1422" spans="30:33" x14ac:dyDescent="0.2">
      <c r="AD1422" s="13">
        <v>43700</v>
      </c>
      <c r="AE1422" s="12">
        <v>28.909099999999999</v>
      </c>
      <c r="AF1422" s="13">
        <v>43700</v>
      </c>
      <c r="AG1422" s="12">
        <v>155.10499999999999</v>
      </c>
    </row>
    <row r="1423" spans="30:33" x14ac:dyDescent="0.2">
      <c r="AD1423" s="13">
        <v>43703</v>
      </c>
      <c r="AE1423" s="12">
        <v>28.865500000000001</v>
      </c>
      <c r="AF1423" s="13">
        <v>43703</v>
      </c>
      <c r="AG1423" s="12">
        <v>155.11709999999999</v>
      </c>
    </row>
    <row r="1424" spans="30:33" x14ac:dyDescent="0.2">
      <c r="AD1424" s="13">
        <v>43704</v>
      </c>
      <c r="AE1424" s="12">
        <v>28.996300000000002</v>
      </c>
      <c r="AF1424" s="13">
        <v>43704</v>
      </c>
      <c r="AG1424" s="12">
        <v>155.95060000000001</v>
      </c>
    </row>
    <row r="1425" spans="30:33" x14ac:dyDescent="0.2">
      <c r="AD1425" s="13">
        <v>43705</v>
      </c>
      <c r="AE1425" s="12">
        <v>29.007100000000001</v>
      </c>
      <c r="AF1425" s="13">
        <v>43705</v>
      </c>
      <c r="AG1425" s="12">
        <v>155.95060000000001</v>
      </c>
    </row>
    <row r="1426" spans="30:33" x14ac:dyDescent="0.2">
      <c r="AD1426" s="13">
        <v>43706</v>
      </c>
      <c r="AE1426" s="12">
        <v>28.9636</v>
      </c>
      <c r="AF1426" s="13">
        <v>43706</v>
      </c>
      <c r="AG1426" s="12">
        <v>155.6123</v>
      </c>
    </row>
    <row r="1427" spans="30:33" x14ac:dyDescent="0.2">
      <c r="AD1427" s="13">
        <v>43707</v>
      </c>
      <c r="AE1427" s="12">
        <v>28.9636</v>
      </c>
      <c r="AF1427" s="13">
        <v>43707</v>
      </c>
      <c r="AG1427" s="12">
        <v>155.5882</v>
      </c>
    </row>
    <row r="1428" spans="30:33" x14ac:dyDescent="0.2">
      <c r="AD1428" s="13">
        <v>43711</v>
      </c>
      <c r="AE1428" s="12">
        <v>29.01</v>
      </c>
      <c r="AF1428" s="13">
        <v>43711</v>
      </c>
      <c r="AG1428" s="12">
        <v>155.44220000000001</v>
      </c>
    </row>
    <row r="1429" spans="30:33" x14ac:dyDescent="0.2">
      <c r="AD1429" s="13">
        <v>43712</v>
      </c>
      <c r="AE1429" s="12">
        <v>29.053699999999999</v>
      </c>
      <c r="AF1429" s="13">
        <v>43712</v>
      </c>
      <c r="AG1429" s="12">
        <v>155.7329</v>
      </c>
    </row>
    <row r="1430" spans="30:33" x14ac:dyDescent="0.2">
      <c r="AD1430" s="13">
        <v>43713</v>
      </c>
      <c r="AE1430" s="12">
        <v>28.8627</v>
      </c>
      <c r="AF1430" s="13">
        <v>43713</v>
      </c>
      <c r="AG1430" s="12">
        <v>154.5943</v>
      </c>
    </row>
    <row r="1431" spans="30:33" x14ac:dyDescent="0.2">
      <c r="AD1431" s="13">
        <v>43714</v>
      </c>
      <c r="AE1431" s="12">
        <v>28.906400000000001</v>
      </c>
      <c r="AF1431" s="13">
        <v>43714</v>
      </c>
      <c r="AG1431" s="12">
        <v>155.1515</v>
      </c>
    </row>
    <row r="1432" spans="30:33" x14ac:dyDescent="0.2">
      <c r="AD1432" s="13">
        <v>43717</v>
      </c>
      <c r="AE1432" s="12">
        <v>28.737300000000001</v>
      </c>
      <c r="AF1432" s="13">
        <v>43717</v>
      </c>
      <c r="AG1432" s="12">
        <v>154.0129</v>
      </c>
    </row>
    <row r="1433" spans="30:33" x14ac:dyDescent="0.2">
      <c r="AD1433" s="13">
        <v>43718</v>
      </c>
      <c r="AE1433" s="12">
        <v>28.568200000000001</v>
      </c>
      <c r="AF1433" s="13">
        <v>43718</v>
      </c>
      <c r="AG1433" s="12">
        <v>152.71690000000001</v>
      </c>
    </row>
    <row r="1434" spans="30:33" x14ac:dyDescent="0.2">
      <c r="AD1434" s="13">
        <v>43719</v>
      </c>
      <c r="AE1434" s="12">
        <v>28.540900000000001</v>
      </c>
      <c r="AF1434" s="13">
        <v>43719</v>
      </c>
      <c r="AG1434" s="12">
        <v>152.59569999999999</v>
      </c>
    </row>
    <row r="1435" spans="30:33" x14ac:dyDescent="0.2">
      <c r="AD1435" s="13">
        <v>43720</v>
      </c>
      <c r="AE1435" s="12">
        <v>28.4863</v>
      </c>
      <c r="AF1435" s="13">
        <v>43720</v>
      </c>
      <c r="AG1435" s="12">
        <v>152.38980000000001</v>
      </c>
    </row>
    <row r="1436" spans="30:33" x14ac:dyDescent="0.2">
      <c r="AD1436" s="13">
        <v>43721</v>
      </c>
      <c r="AE1436" s="12">
        <v>28.289899999999999</v>
      </c>
      <c r="AF1436" s="13">
        <v>43721</v>
      </c>
      <c r="AG1436" s="12">
        <v>151.02109999999999</v>
      </c>
    </row>
    <row r="1437" spans="30:33" x14ac:dyDescent="0.2">
      <c r="AD1437" s="13">
        <v>43724</v>
      </c>
      <c r="AE1437" s="12">
        <v>28.377199999999998</v>
      </c>
      <c r="AF1437" s="13">
        <v>43724</v>
      </c>
      <c r="AG1437" s="12">
        <v>151.7842</v>
      </c>
    </row>
    <row r="1438" spans="30:33" x14ac:dyDescent="0.2">
      <c r="AD1438" s="13">
        <v>43725</v>
      </c>
      <c r="AE1438" s="12">
        <v>28.453600000000002</v>
      </c>
      <c r="AF1438" s="13">
        <v>43725</v>
      </c>
      <c r="AG1438" s="12">
        <v>152.17179999999999</v>
      </c>
    </row>
    <row r="1439" spans="30:33" x14ac:dyDescent="0.2">
      <c r="AD1439" s="13">
        <v>43726</v>
      </c>
      <c r="AE1439" s="12">
        <v>28.4754</v>
      </c>
      <c r="AF1439" s="13">
        <v>43726</v>
      </c>
      <c r="AG1439" s="12">
        <v>152.54730000000001</v>
      </c>
    </row>
    <row r="1440" spans="30:33" x14ac:dyDescent="0.2">
      <c r="AD1440" s="13">
        <v>43727</v>
      </c>
      <c r="AE1440" s="12">
        <v>28.4863</v>
      </c>
      <c r="AF1440" s="13">
        <v>43727</v>
      </c>
      <c r="AG1440" s="12">
        <v>152.98330000000001</v>
      </c>
    </row>
    <row r="1441" spans="30:33" x14ac:dyDescent="0.2">
      <c r="AD1441" s="13">
        <v>43728</v>
      </c>
      <c r="AE1441" s="12">
        <v>28.606300000000001</v>
      </c>
      <c r="AF1441" s="13">
        <v>43728</v>
      </c>
      <c r="AG1441" s="12">
        <v>154.03710000000001</v>
      </c>
    </row>
    <row r="1442" spans="30:33" x14ac:dyDescent="0.2">
      <c r="AD1442" s="13">
        <v>43731</v>
      </c>
      <c r="AE1442" s="12">
        <v>28.6282</v>
      </c>
      <c r="AF1442" s="13">
        <v>43731</v>
      </c>
      <c r="AG1442" s="12">
        <v>153.9281</v>
      </c>
    </row>
    <row r="1443" spans="30:33" x14ac:dyDescent="0.2">
      <c r="AD1443" s="13">
        <v>43732</v>
      </c>
      <c r="AE1443" s="12">
        <v>28.748200000000001</v>
      </c>
      <c r="AF1443" s="13">
        <v>43732</v>
      </c>
      <c r="AG1443" s="12">
        <v>154.4126</v>
      </c>
    </row>
    <row r="1444" spans="30:33" x14ac:dyDescent="0.2">
      <c r="AD1444" s="13">
        <v>43733</v>
      </c>
      <c r="AE1444" s="12">
        <v>28.595400000000001</v>
      </c>
      <c r="AF1444" s="13">
        <v>43733</v>
      </c>
      <c r="AG1444" s="12">
        <v>153.54050000000001</v>
      </c>
    </row>
    <row r="1445" spans="30:33" x14ac:dyDescent="0.2">
      <c r="AD1445" s="13">
        <v>43734</v>
      </c>
      <c r="AE1445" s="12">
        <v>28.65</v>
      </c>
      <c r="AF1445" s="13">
        <v>43734</v>
      </c>
      <c r="AG1445" s="12">
        <v>153.86760000000001</v>
      </c>
    </row>
    <row r="1446" spans="30:33" x14ac:dyDescent="0.2">
      <c r="AD1446" s="13">
        <v>43735</v>
      </c>
      <c r="AE1446" s="12">
        <v>28.682700000000001</v>
      </c>
      <c r="AF1446" s="13">
        <v>43735</v>
      </c>
      <c r="AG1446" s="12">
        <v>153.90389999999999</v>
      </c>
    </row>
    <row r="1447" spans="30:33" x14ac:dyDescent="0.2">
      <c r="AD1447" s="13">
        <v>43738</v>
      </c>
      <c r="AE1447" s="12">
        <v>28.7209</v>
      </c>
      <c r="AF1447" s="13">
        <v>43738</v>
      </c>
      <c r="AG1447" s="12">
        <v>154.4126</v>
      </c>
    </row>
    <row r="1448" spans="30:33" x14ac:dyDescent="0.2">
      <c r="AD1448" s="13">
        <v>43739</v>
      </c>
      <c r="AE1448" s="12">
        <v>28.7925</v>
      </c>
      <c r="AF1448" s="13">
        <v>43739</v>
      </c>
      <c r="AG1448" s="12">
        <v>154.5889</v>
      </c>
    </row>
    <row r="1449" spans="30:33" x14ac:dyDescent="0.2">
      <c r="AD1449" s="13">
        <v>43740</v>
      </c>
      <c r="AE1449" s="12">
        <v>28.847100000000001</v>
      </c>
      <c r="AF1449" s="13">
        <v>43740</v>
      </c>
      <c r="AG1449" s="12">
        <v>154.5282</v>
      </c>
    </row>
    <row r="1450" spans="30:33" x14ac:dyDescent="0.2">
      <c r="AD1450" s="13">
        <v>43741</v>
      </c>
      <c r="AE1450" s="12">
        <v>28.945499999999999</v>
      </c>
      <c r="AF1450" s="13">
        <v>43741</v>
      </c>
      <c r="AG1450" s="12">
        <v>155.13550000000001</v>
      </c>
    </row>
    <row r="1451" spans="30:33" x14ac:dyDescent="0.2">
      <c r="AD1451" s="13">
        <v>43742</v>
      </c>
      <c r="AE1451" s="12">
        <v>29.021999999999998</v>
      </c>
      <c r="AF1451" s="13">
        <v>43742</v>
      </c>
      <c r="AG1451" s="12">
        <v>155.7791</v>
      </c>
    </row>
    <row r="1452" spans="30:33" x14ac:dyDescent="0.2">
      <c r="AD1452" s="13">
        <v>43745</v>
      </c>
      <c r="AE1452" s="12">
        <v>28.9346</v>
      </c>
      <c r="AF1452" s="13">
        <v>43745</v>
      </c>
      <c r="AG1452" s="12">
        <v>154.9897</v>
      </c>
    </row>
    <row r="1453" spans="30:33" x14ac:dyDescent="0.2">
      <c r="AD1453" s="13">
        <v>43746</v>
      </c>
      <c r="AE1453" s="12">
        <v>28.978300000000001</v>
      </c>
      <c r="AF1453" s="13">
        <v>43746</v>
      </c>
      <c r="AG1453" s="12">
        <v>154.8561</v>
      </c>
    </row>
    <row r="1454" spans="30:33" x14ac:dyDescent="0.2">
      <c r="AD1454" s="13">
        <v>43747</v>
      </c>
      <c r="AE1454" s="12">
        <v>28.912700000000001</v>
      </c>
      <c r="AF1454" s="13">
        <v>43747</v>
      </c>
      <c r="AG1454" s="12">
        <v>154.9169</v>
      </c>
    </row>
    <row r="1455" spans="30:33" x14ac:dyDescent="0.2">
      <c r="AD1455" s="13">
        <v>43748</v>
      </c>
      <c r="AE1455" s="12">
        <v>28.7652</v>
      </c>
      <c r="AF1455" s="13">
        <v>43748</v>
      </c>
      <c r="AG1455" s="12">
        <v>154.006</v>
      </c>
    </row>
    <row r="1456" spans="30:33" x14ac:dyDescent="0.2">
      <c r="AD1456" s="13">
        <v>43749</v>
      </c>
      <c r="AE1456" s="12">
        <v>28.639500000000002</v>
      </c>
      <c r="AF1456" s="13">
        <v>43749</v>
      </c>
      <c r="AG1456" s="12">
        <v>153.72669999999999</v>
      </c>
    </row>
    <row r="1457" spans="30:33" x14ac:dyDescent="0.2">
      <c r="AD1457" s="13">
        <v>43752</v>
      </c>
      <c r="AE1457" s="12">
        <v>28.6614</v>
      </c>
      <c r="AF1457" s="13">
        <v>43752</v>
      </c>
      <c r="AG1457" s="12">
        <v>154.23679999999999</v>
      </c>
    </row>
    <row r="1458" spans="30:33" x14ac:dyDescent="0.2">
      <c r="AD1458" s="13">
        <v>43753</v>
      </c>
      <c r="AE1458" s="12">
        <v>28.5794</v>
      </c>
      <c r="AF1458" s="13">
        <v>43753</v>
      </c>
      <c r="AG1458" s="12">
        <v>153.82380000000001</v>
      </c>
    </row>
    <row r="1459" spans="30:33" x14ac:dyDescent="0.2">
      <c r="AD1459" s="13">
        <v>43754</v>
      </c>
      <c r="AE1459" s="12">
        <v>28.601299999999998</v>
      </c>
      <c r="AF1459" s="13">
        <v>43754</v>
      </c>
      <c r="AG1459" s="12">
        <v>153.9939</v>
      </c>
    </row>
    <row r="1460" spans="30:33" x14ac:dyDescent="0.2">
      <c r="AD1460" s="13">
        <v>43755</v>
      </c>
      <c r="AE1460" s="12">
        <v>28.584900000000001</v>
      </c>
      <c r="AF1460" s="13">
        <v>43755</v>
      </c>
      <c r="AG1460" s="12">
        <v>154.21250000000001</v>
      </c>
    </row>
    <row r="1461" spans="30:33" x14ac:dyDescent="0.2">
      <c r="AD1461" s="13">
        <v>43756</v>
      </c>
      <c r="AE1461" s="12">
        <v>28.612200000000001</v>
      </c>
      <c r="AF1461" s="13">
        <v>43756</v>
      </c>
      <c r="AG1461" s="12">
        <v>154.4068</v>
      </c>
    </row>
    <row r="1462" spans="30:33" x14ac:dyDescent="0.2">
      <c r="AD1462" s="13">
        <v>43759</v>
      </c>
      <c r="AE1462" s="12">
        <v>28.519300000000001</v>
      </c>
      <c r="AF1462" s="13">
        <v>43759</v>
      </c>
      <c r="AG1462" s="12">
        <v>154.05459999999999</v>
      </c>
    </row>
    <row r="1463" spans="30:33" x14ac:dyDescent="0.2">
      <c r="AD1463" s="13">
        <v>43760</v>
      </c>
      <c r="AE1463" s="12">
        <v>28.574000000000002</v>
      </c>
      <c r="AF1463" s="13">
        <v>43760</v>
      </c>
      <c r="AG1463" s="12">
        <v>154.3218</v>
      </c>
    </row>
    <row r="1464" spans="30:33" x14ac:dyDescent="0.2">
      <c r="AD1464" s="13">
        <v>43761</v>
      </c>
      <c r="AE1464" s="12">
        <v>28.574000000000002</v>
      </c>
      <c r="AF1464" s="13">
        <v>43761</v>
      </c>
      <c r="AG1464" s="12">
        <v>154.4068</v>
      </c>
    </row>
    <row r="1465" spans="30:33" x14ac:dyDescent="0.2">
      <c r="AD1465" s="13">
        <v>43762</v>
      </c>
      <c r="AE1465" s="12">
        <v>28.5794</v>
      </c>
      <c r="AF1465" s="13">
        <v>43762</v>
      </c>
      <c r="AG1465" s="12">
        <v>154.74680000000001</v>
      </c>
    </row>
    <row r="1466" spans="30:33" x14ac:dyDescent="0.2">
      <c r="AD1466" s="13">
        <v>43763</v>
      </c>
      <c r="AE1466" s="12">
        <v>28.519300000000001</v>
      </c>
      <c r="AF1466" s="13">
        <v>43763</v>
      </c>
      <c r="AG1466" s="12">
        <v>154.4796</v>
      </c>
    </row>
    <row r="1467" spans="30:33" x14ac:dyDescent="0.2">
      <c r="AD1467" s="13">
        <v>43766</v>
      </c>
      <c r="AE1467" s="12">
        <v>28.442799999999998</v>
      </c>
      <c r="AF1467" s="13">
        <v>43766</v>
      </c>
      <c r="AG1467" s="12">
        <v>154.01820000000001</v>
      </c>
    </row>
    <row r="1468" spans="30:33" x14ac:dyDescent="0.2">
      <c r="AD1468" s="13">
        <v>43767</v>
      </c>
      <c r="AE1468" s="12">
        <v>28.442799999999998</v>
      </c>
      <c r="AF1468" s="13">
        <v>43767</v>
      </c>
      <c r="AG1468" s="12">
        <v>153.6174</v>
      </c>
    </row>
    <row r="1469" spans="30:33" x14ac:dyDescent="0.2">
      <c r="AD1469" s="13">
        <v>43768</v>
      </c>
      <c r="AE1469" s="12">
        <v>28.562999999999999</v>
      </c>
      <c r="AF1469" s="13">
        <v>43768</v>
      </c>
      <c r="AG1469" s="12">
        <v>154.16390000000001</v>
      </c>
    </row>
    <row r="1470" spans="30:33" x14ac:dyDescent="0.2">
      <c r="AD1470" s="13">
        <v>43769</v>
      </c>
      <c r="AE1470" s="12">
        <v>28.721499999999999</v>
      </c>
      <c r="AF1470" s="13">
        <v>43769</v>
      </c>
      <c r="AG1470" s="12">
        <v>155.09899999999999</v>
      </c>
    </row>
    <row r="1471" spans="30:33" x14ac:dyDescent="0.2">
      <c r="AD1471" s="13">
        <v>43770</v>
      </c>
      <c r="AE1471" s="12">
        <v>28.678899999999999</v>
      </c>
      <c r="AF1471" s="13">
        <v>43770</v>
      </c>
      <c r="AG1471" s="12">
        <v>155.2509</v>
      </c>
    </row>
    <row r="1472" spans="30:33" x14ac:dyDescent="0.2">
      <c r="AD1472" s="13">
        <v>43773</v>
      </c>
      <c r="AE1472" s="12">
        <v>28.558499999999999</v>
      </c>
      <c r="AF1472" s="13">
        <v>43773</v>
      </c>
      <c r="AG1472" s="12">
        <v>154.52029999999999</v>
      </c>
    </row>
    <row r="1473" spans="30:33" x14ac:dyDescent="0.2">
      <c r="AD1473" s="13">
        <v>43774</v>
      </c>
      <c r="AE1473" s="12">
        <v>28.4436</v>
      </c>
      <c r="AF1473" s="13">
        <v>43774</v>
      </c>
      <c r="AG1473" s="12">
        <v>153.63130000000001</v>
      </c>
    </row>
    <row r="1474" spans="30:33" x14ac:dyDescent="0.2">
      <c r="AD1474" s="13">
        <v>43775</v>
      </c>
      <c r="AE1474" s="12">
        <v>28.514700000000001</v>
      </c>
      <c r="AF1474" s="13">
        <v>43775</v>
      </c>
      <c r="AG1474" s="12">
        <v>154.49590000000001</v>
      </c>
    </row>
    <row r="1475" spans="30:33" x14ac:dyDescent="0.2">
      <c r="AD1475" s="13">
        <v>43776</v>
      </c>
      <c r="AE1475" s="12">
        <v>28.345099999999999</v>
      </c>
      <c r="AF1475" s="13">
        <v>43776</v>
      </c>
      <c r="AG1475" s="12">
        <v>153.29040000000001</v>
      </c>
    </row>
    <row r="1476" spans="30:33" x14ac:dyDescent="0.2">
      <c r="AD1476" s="13">
        <v>43777</v>
      </c>
      <c r="AE1476" s="12">
        <v>28.301300000000001</v>
      </c>
      <c r="AF1476" s="13">
        <v>43777</v>
      </c>
      <c r="AG1476" s="12">
        <v>153.08330000000001</v>
      </c>
    </row>
    <row r="1477" spans="30:33" x14ac:dyDescent="0.2">
      <c r="AD1477" s="13">
        <v>43780</v>
      </c>
      <c r="AE1477" s="12">
        <v>28.3232</v>
      </c>
      <c r="AF1477" s="13">
        <v>43780</v>
      </c>
      <c r="AG1477" s="12">
        <v>153.13210000000001</v>
      </c>
    </row>
    <row r="1478" spans="30:33" x14ac:dyDescent="0.2">
      <c r="AD1478" s="13">
        <v>43781</v>
      </c>
      <c r="AE1478" s="12">
        <v>28.3506</v>
      </c>
      <c r="AF1478" s="13">
        <v>43781</v>
      </c>
      <c r="AG1478" s="12">
        <v>153.2782</v>
      </c>
    </row>
    <row r="1479" spans="30:33" x14ac:dyDescent="0.2">
      <c r="AD1479" s="13">
        <v>43782</v>
      </c>
      <c r="AE1479" s="12">
        <v>28.410799999999998</v>
      </c>
      <c r="AF1479" s="13">
        <v>43782</v>
      </c>
      <c r="AG1479" s="12">
        <v>153.64349999999999</v>
      </c>
    </row>
    <row r="1480" spans="30:33" x14ac:dyDescent="0.2">
      <c r="AD1480" s="13">
        <v>43783</v>
      </c>
      <c r="AE1480" s="12">
        <v>28.5093</v>
      </c>
      <c r="AF1480" s="13">
        <v>43783</v>
      </c>
      <c r="AG1480" s="12">
        <v>154.44720000000001</v>
      </c>
    </row>
    <row r="1481" spans="30:33" x14ac:dyDescent="0.2">
      <c r="AD1481" s="13">
        <v>43784</v>
      </c>
      <c r="AE1481" s="12">
        <v>28.5093</v>
      </c>
      <c r="AF1481" s="13">
        <v>43784</v>
      </c>
      <c r="AG1481" s="12">
        <v>154.4716</v>
      </c>
    </row>
    <row r="1482" spans="30:33" x14ac:dyDescent="0.2">
      <c r="AD1482" s="13">
        <v>43787</v>
      </c>
      <c r="AE1482" s="12">
        <v>28.5366</v>
      </c>
      <c r="AF1482" s="13">
        <v>43787</v>
      </c>
      <c r="AG1482" s="12">
        <v>154.6421</v>
      </c>
    </row>
    <row r="1483" spans="30:33" x14ac:dyDescent="0.2">
      <c r="AD1483" s="13">
        <v>43788</v>
      </c>
      <c r="AE1483" s="12">
        <v>28.585899999999999</v>
      </c>
      <c r="AF1483" s="13">
        <v>43788</v>
      </c>
      <c r="AG1483" s="12">
        <v>154.94649999999999</v>
      </c>
    </row>
    <row r="1484" spans="30:33" x14ac:dyDescent="0.2">
      <c r="AD1484" s="13">
        <v>43789</v>
      </c>
      <c r="AE1484" s="12">
        <v>28.6844</v>
      </c>
      <c r="AF1484" s="13">
        <v>43789</v>
      </c>
      <c r="AG1484" s="12">
        <v>155.16569999999999</v>
      </c>
    </row>
    <row r="1485" spans="30:33" x14ac:dyDescent="0.2">
      <c r="AD1485" s="13">
        <v>43790</v>
      </c>
      <c r="AE1485" s="12">
        <v>28.6187</v>
      </c>
      <c r="AF1485" s="13">
        <v>43790</v>
      </c>
      <c r="AG1485" s="12">
        <v>154.8004</v>
      </c>
    </row>
    <row r="1486" spans="30:33" x14ac:dyDescent="0.2">
      <c r="AD1486" s="13">
        <v>43791</v>
      </c>
      <c r="AE1486" s="12">
        <v>28.624199999999998</v>
      </c>
      <c r="AF1486" s="13">
        <v>43791</v>
      </c>
      <c r="AG1486" s="12">
        <v>155.22659999999999</v>
      </c>
    </row>
    <row r="1487" spans="30:33" x14ac:dyDescent="0.2">
      <c r="AD1487" s="13">
        <v>43794</v>
      </c>
      <c r="AE1487" s="12">
        <v>28.651499999999999</v>
      </c>
      <c r="AF1487" s="13">
        <v>43794</v>
      </c>
      <c r="AG1487" s="12">
        <v>155.76240000000001</v>
      </c>
    </row>
    <row r="1488" spans="30:33" x14ac:dyDescent="0.2">
      <c r="AD1488" s="13">
        <v>43795</v>
      </c>
      <c r="AE1488" s="12">
        <v>28.6844</v>
      </c>
      <c r="AF1488" s="13">
        <v>43795</v>
      </c>
      <c r="AG1488" s="12">
        <v>156.1643</v>
      </c>
    </row>
    <row r="1489" spans="30:33" x14ac:dyDescent="0.2">
      <c r="AD1489" s="13">
        <v>43796</v>
      </c>
      <c r="AE1489" s="12">
        <v>28.640599999999999</v>
      </c>
      <c r="AF1489" s="13">
        <v>43796</v>
      </c>
      <c r="AG1489" s="12">
        <v>156.15209999999999</v>
      </c>
    </row>
    <row r="1490" spans="30:33" x14ac:dyDescent="0.2">
      <c r="AD1490" s="13">
        <v>43798</v>
      </c>
      <c r="AE1490" s="12">
        <v>28.635100000000001</v>
      </c>
      <c r="AF1490" s="13">
        <v>43798</v>
      </c>
      <c r="AG1490" s="12">
        <v>155.8355</v>
      </c>
    </row>
    <row r="1491" spans="30:33" x14ac:dyDescent="0.2">
      <c r="AD1491" s="13">
        <v>43801</v>
      </c>
      <c r="AE1491" s="12">
        <v>28.542400000000001</v>
      </c>
      <c r="AF1491" s="13">
        <v>43801</v>
      </c>
      <c r="AG1491" s="12">
        <v>155.16079999999999</v>
      </c>
    </row>
    <row r="1492" spans="30:33" x14ac:dyDescent="0.2">
      <c r="AD1492" s="13">
        <v>43802</v>
      </c>
      <c r="AE1492" s="12">
        <v>28.739699999999999</v>
      </c>
      <c r="AF1492" s="13">
        <v>43802</v>
      </c>
      <c r="AG1492" s="12">
        <v>156.35740000000001</v>
      </c>
    </row>
    <row r="1493" spans="30:33" x14ac:dyDescent="0.2">
      <c r="AD1493" s="13">
        <v>43803</v>
      </c>
      <c r="AE1493" s="12">
        <v>28.640999999999998</v>
      </c>
      <c r="AF1493" s="13">
        <v>43803</v>
      </c>
      <c r="AG1493" s="12">
        <v>156.1499</v>
      </c>
    </row>
    <row r="1494" spans="30:33" x14ac:dyDescent="0.2">
      <c r="AD1494" s="13">
        <v>43804</v>
      </c>
      <c r="AE1494" s="12">
        <v>28.597200000000001</v>
      </c>
      <c r="AF1494" s="13">
        <v>43804</v>
      </c>
      <c r="AG1494" s="12">
        <v>155.97890000000001</v>
      </c>
    </row>
    <row r="1495" spans="30:33" x14ac:dyDescent="0.2">
      <c r="AD1495" s="13">
        <v>43805</v>
      </c>
      <c r="AE1495" s="12">
        <v>28.542400000000001</v>
      </c>
      <c r="AF1495" s="13">
        <v>43805</v>
      </c>
      <c r="AG1495" s="12">
        <v>155.89340000000001</v>
      </c>
    </row>
    <row r="1496" spans="30:33" x14ac:dyDescent="0.2">
      <c r="AD1496" s="13">
        <v>43808</v>
      </c>
      <c r="AE1496" s="12">
        <v>28.5533</v>
      </c>
      <c r="AF1496" s="13">
        <v>43808</v>
      </c>
      <c r="AG1496" s="12">
        <v>155.869</v>
      </c>
    </row>
    <row r="1497" spans="30:33" x14ac:dyDescent="0.2">
      <c r="AD1497" s="13">
        <v>43809</v>
      </c>
      <c r="AE1497" s="12">
        <v>28.536899999999999</v>
      </c>
      <c r="AF1497" s="13">
        <v>43809</v>
      </c>
      <c r="AG1497" s="12">
        <v>155.869</v>
      </c>
    </row>
    <row r="1498" spans="30:33" x14ac:dyDescent="0.2">
      <c r="AD1498" s="13">
        <v>43810</v>
      </c>
      <c r="AE1498" s="12">
        <v>28.6191</v>
      </c>
      <c r="AF1498" s="13">
        <v>43810</v>
      </c>
      <c r="AG1498" s="12">
        <v>156.4795</v>
      </c>
    </row>
    <row r="1499" spans="30:33" x14ac:dyDescent="0.2">
      <c r="AD1499" s="13">
        <v>43811</v>
      </c>
      <c r="AE1499" s="12">
        <v>28.465599999999998</v>
      </c>
      <c r="AF1499" s="13">
        <v>43811</v>
      </c>
      <c r="AG1499" s="12">
        <v>155.75909999999999</v>
      </c>
    </row>
    <row r="1500" spans="30:33" x14ac:dyDescent="0.2">
      <c r="AD1500" s="13">
        <v>43812</v>
      </c>
      <c r="AE1500" s="12">
        <v>28.5807</v>
      </c>
      <c r="AF1500" s="13">
        <v>43812</v>
      </c>
      <c r="AG1500" s="12">
        <v>156.77260000000001</v>
      </c>
    </row>
    <row r="1501" spans="30:33" x14ac:dyDescent="0.2">
      <c r="AD1501" s="13">
        <v>43815</v>
      </c>
      <c r="AE1501" s="12">
        <v>28.4985</v>
      </c>
      <c r="AF1501" s="13">
        <v>43815</v>
      </c>
      <c r="AG1501" s="12">
        <v>156.41849999999999</v>
      </c>
    </row>
    <row r="1502" spans="30:33" x14ac:dyDescent="0.2">
      <c r="AD1502" s="13">
        <v>43816</v>
      </c>
      <c r="AE1502" s="12">
        <v>28.487500000000001</v>
      </c>
      <c r="AF1502" s="13">
        <v>43816</v>
      </c>
      <c r="AG1502" s="12">
        <v>156.29640000000001</v>
      </c>
    </row>
    <row r="1503" spans="30:33" x14ac:dyDescent="0.2">
      <c r="AD1503" s="13">
        <v>43817</v>
      </c>
      <c r="AE1503" s="12">
        <v>28.427299999999999</v>
      </c>
      <c r="AF1503" s="13">
        <v>43817</v>
      </c>
      <c r="AG1503" s="12">
        <v>156.1865</v>
      </c>
    </row>
    <row r="1504" spans="30:33" x14ac:dyDescent="0.2">
      <c r="AD1504" s="13">
        <v>43818</v>
      </c>
      <c r="AE1504" s="12">
        <v>28.4434</v>
      </c>
      <c r="AF1504" s="13">
        <v>43818</v>
      </c>
      <c r="AG1504" s="12">
        <v>156.3407</v>
      </c>
    </row>
    <row r="1505" spans="30:33" x14ac:dyDescent="0.2">
      <c r="AD1505" s="13">
        <v>43819</v>
      </c>
      <c r="AE1505" s="12">
        <v>28.4543</v>
      </c>
      <c r="AF1505" s="13">
        <v>43819</v>
      </c>
      <c r="AG1505" s="12">
        <v>156.29169999999999</v>
      </c>
    </row>
    <row r="1506" spans="30:33" x14ac:dyDescent="0.2">
      <c r="AD1506" s="13">
        <v>43822</v>
      </c>
      <c r="AE1506" s="12">
        <v>28.432400000000001</v>
      </c>
      <c r="AF1506" s="13">
        <v>43822</v>
      </c>
      <c r="AG1506" s="12">
        <v>156.36519999999999</v>
      </c>
    </row>
    <row r="1507" spans="30:33" x14ac:dyDescent="0.2">
      <c r="AD1507" s="13">
        <v>43823</v>
      </c>
      <c r="AE1507" s="12">
        <v>28.465299999999999</v>
      </c>
      <c r="AF1507" s="13">
        <v>43823</v>
      </c>
      <c r="AG1507" s="12">
        <v>156.52430000000001</v>
      </c>
    </row>
    <row r="1508" spans="30:33" x14ac:dyDescent="0.2">
      <c r="AD1508" s="13">
        <v>43825</v>
      </c>
      <c r="AE1508" s="12">
        <v>28.498200000000001</v>
      </c>
      <c r="AF1508" s="13">
        <v>43825</v>
      </c>
      <c r="AG1508" s="12">
        <v>156.80590000000001</v>
      </c>
    </row>
    <row r="1509" spans="30:33" x14ac:dyDescent="0.2">
      <c r="AD1509" s="13">
        <v>43826</v>
      </c>
      <c r="AE1509" s="12">
        <v>28.531199999999998</v>
      </c>
      <c r="AF1509" s="13">
        <v>43826</v>
      </c>
      <c r="AG1509" s="12">
        <v>157.02629999999999</v>
      </c>
    </row>
    <row r="1510" spans="30:33" x14ac:dyDescent="0.2">
      <c r="AD1510" s="13">
        <v>43829</v>
      </c>
      <c r="AE1510" s="12">
        <v>28.5092</v>
      </c>
      <c r="AF1510" s="13">
        <v>43829</v>
      </c>
      <c r="AG1510" s="12">
        <v>157.30789999999999</v>
      </c>
    </row>
    <row r="1511" spans="30:33" x14ac:dyDescent="0.2">
      <c r="AD1511" s="13">
        <v>43830</v>
      </c>
      <c r="AE1511" s="12">
        <v>28.476299999999998</v>
      </c>
      <c r="AF1511" s="13">
        <v>43830</v>
      </c>
      <c r="AG1511" s="12">
        <v>156.65899999999999</v>
      </c>
    </row>
    <row r="1512" spans="30:33" x14ac:dyDescent="0.2">
      <c r="AD1512" s="13">
        <v>43832</v>
      </c>
      <c r="AE1512" s="12">
        <v>28.531199999999998</v>
      </c>
      <c r="AF1512" s="13">
        <v>43832</v>
      </c>
      <c r="AG1512" s="12">
        <v>156.98949999999999</v>
      </c>
    </row>
    <row r="1513" spans="30:33" x14ac:dyDescent="0.2">
      <c r="AD1513" s="13">
        <v>43833</v>
      </c>
      <c r="AE1513" s="12">
        <v>28.6739</v>
      </c>
      <c r="AF1513" s="13">
        <v>43833</v>
      </c>
      <c r="AG1513" s="12">
        <v>157.5282</v>
      </c>
    </row>
    <row r="1514" spans="30:33" x14ac:dyDescent="0.2">
      <c r="AD1514" s="13">
        <v>43836</v>
      </c>
      <c r="AE1514" s="12">
        <v>28.6355</v>
      </c>
      <c r="AF1514" s="13">
        <v>43836</v>
      </c>
      <c r="AG1514" s="12">
        <v>157.0018</v>
      </c>
    </row>
    <row r="1515" spans="30:33" x14ac:dyDescent="0.2">
      <c r="AD1515" s="13">
        <v>43837</v>
      </c>
      <c r="AE1515" s="12">
        <v>28.586099999999998</v>
      </c>
      <c r="AF1515" s="13">
        <v>43837</v>
      </c>
      <c r="AG1515" s="12">
        <v>156.59780000000001</v>
      </c>
    </row>
    <row r="1516" spans="30:33" x14ac:dyDescent="0.2">
      <c r="AD1516" s="13">
        <v>43838</v>
      </c>
      <c r="AE1516" s="12">
        <v>28.542200000000001</v>
      </c>
      <c r="AF1516" s="13">
        <v>43838</v>
      </c>
      <c r="AG1516" s="12">
        <v>156.37739999999999</v>
      </c>
    </row>
    <row r="1517" spans="30:33" x14ac:dyDescent="0.2">
      <c r="AD1517" s="13">
        <v>43839</v>
      </c>
      <c r="AE1517" s="12">
        <v>28.558599999999998</v>
      </c>
      <c r="AF1517" s="13">
        <v>43839</v>
      </c>
      <c r="AG1517" s="12">
        <v>157.1242</v>
      </c>
    </row>
    <row r="1518" spans="30:33" x14ac:dyDescent="0.2">
      <c r="AD1518" s="13">
        <v>43840</v>
      </c>
      <c r="AE1518" s="12">
        <v>28.624500000000001</v>
      </c>
      <c r="AF1518" s="13">
        <v>43840</v>
      </c>
      <c r="AG1518" s="12">
        <v>157.565</v>
      </c>
    </row>
    <row r="1519" spans="30:33" x14ac:dyDescent="0.2">
      <c r="AD1519" s="13">
        <v>43843</v>
      </c>
      <c r="AE1519" s="12">
        <v>28.597000000000001</v>
      </c>
      <c r="AF1519" s="13">
        <v>43843</v>
      </c>
      <c r="AG1519" s="12">
        <v>157.18539999999999</v>
      </c>
    </row>
    <row r="1520" spans="30:33" x14ac:dyDescent="0.2">
      <c r="AD1520" s="13">
        <v>43844</v>
      </c>
      <c r="AE1520" s="12">
        <v>28.651900000000001</v>
      </c>
      <c r="AF1520" s="13">
        <v>43844</v>
      </c>
      <c r="AG1520" s="12">
        <v>157.38130000000001</v>
      </c>
    </row>
    <row r="1521" spans="30:33" x14ac:dyDescent="0.2">
      <c r="AD1521" s="13">
        <v>43845</v>
      </c>
      <c r="AE1521" s="12">
        <v>28.695799999999998</v>
      </c>
      <c r="AF1521" s="13">
        <v>43845</v>
      </c>
      <c r="AG1521" s="12">
        <v>157.72409999999999</v>
      </c>
    </row>
    <row r="1522" spans="30:33" x14ac:dyDescent="0.2">
      <c r="AD1522" s="13">
        <v>43846</v>
      </c>
      <c r="AE1522" s="12">
        <v>28.651900000000001</v>
      </c>
      <c r="AF1522" s="13">
        <v>43846</v>
      </c>
      <c r="AG1522" s="12">
        <v>157.94450000000001</v>
      </c>
    </row>
    <row r="1523" spans="30:33" x14ac:dyDescent="0.2">
      <c r="AD1523" s="13">
        <v>43847</v>
      </c>
      <c r="AE1523" s="12">
        <v>28.619</v>
      </c>
      <c r="AF1523" s="13">
        <v>43847</v>
      </c>
      <c r="AG1523" s="12">
        <v>157.91999999999999</v>
      </c>
    </row>
    <row r="1524" spans="30:33" x14ac:dyDescent="0.2">
      <c r="AD1524" s="13">
        <v>43851</v>
      </c>
      <c r="AE1524" s="12">
        <v>28.7178</v>
      </c>
      <c r="AF1524" s="13">
        <v>43851</v>
      </c>
      <c r="AG1524" s="12">
        <v>158.679</v>
      </c>
    </row>
    <row r="1525" spans="30:33" x14ac:dyDescent="0.2">
      <c r="AD1525" s="13">
        <v>43852</v>
      </c>
      <c r="AE1525" s="12">
        <v>28.739799999999999</v>
      </c>
      <c r="AF1525" s="13">
        <v>43852</v>
      </c>
      <c r="AG1525" s="12">
        <v>158.7647</v>
      </c>
    </row>
    <row r="1526" spans="30:33" x14ac:dyDescent="0.2">
      <c r="AD1526" s="13">
        <v>43853</v>
      </c>
      <c r="AE1526" s="12">
        <v>28.805599999999998</v>
      </c>
      <c r="AF1526" s="13">
        <v>43853</v>
      </c>
      <c r="AG1526" s="12">
        <v>158.97290000000001</v>
      </c>
    </row>
    <row r="1527" spans="30:33" x14ac:dyDescent="0.2">
      <c r="AD1527" s="13">
        <v>43854</v>
      </c>
      <c r="AE1527" s="12">
        <v>28.876999999999999</v>
      </c>
      <c r="AF1527" s="13">
        <v>43854</v>
      </c>
      <c r="AG1527" s="12">
        <v>159.2422</v>
      </c>
    </row>
    <row r="1528" spans="30:33" x14ac:dyDescent="0.2">
      <c r="AD1528" s="13">
        <v>43857</v>
      </c>
      <c r="AE1528" s="12">
        <v>29.0307</v>
      </c>
      <c r="AF1528" s="13">
        <v>43857</v>
      </c>
      <c r="AG1528" s="12">
        <v>159.54830000000001</v>
      </c>
    </row>
    <row r="1529" spans="30:33" x14ac:dyDescent="0.2">
      <c r="AD1529" s="13">
        <v>43858</v>
      </c>
      <c r="AE1529" s="12">
        <v>28.959299999999999</v>
      </c>
      <c r="AF1529" s="13">
        <v>43858</v>
      </c>
      <c r="AG1529" s="12">
        <v>159.46260000000001</v>
      </c>
    </row>
    <row r="1530" spans="30:33" x14ac:dyDescent="0.2">
      <c r="AD1530" s="13">
        <v>43859</v>
      </c>
      <c r="AE1530" s="12">
        <v>29.063600000000001</v>
      </c>
      <c r="AF1530" s="13">
        <v>43859</v>
      </c>
      <c r="AG1530" s="12">
        <v>159.9768</v>
      </c>
    </row>
    <row r="1531" spans="30:33" x14ac:dyDescent="0.2">
      <c r="AD1531" s="13">
        <v>43860</v>
      </c>
      <c r="AE1531" s="12">
        <v>29.069099999999999</v>
      </c>
      <c r="AF1531" s="13">
        <v>43860</v>
      </c>
      <c r="AG1531" s="12">
        <v>160.07470000000001</v>
      </c>
    </row>
    <row r="1532" spans="30:33" x14ac:dyDescent="0.2">
      <c r="AD1532" s="13">
        <v>43861</v>
      </c>
      <c r="AE1532" s="12">
        <v>29.1843</v>
      </c>
      <c r="AF1532" s="13">
        <v>43861</v>
      </c>
      <c r="AG1532" s="12">
        <v>160.49100000000001</v>
      </c>
    </row>
    <row r="1533" spans="30:33" x14ac:dyDescent="0.2">
      <c r="AD1533" s="13">
        <v>43864</v>
      </c>
      <c r="AE1533" s="12">
        <v>29.168600000000001</v>
      </c>
      <c r="AF1533" s="13">
        <v>43864</v>
      </c>
      <c r="AG1533" s="12">
        <v>160.3646</v>
      </c>
    </row>
    <row r="1534" spans="30:33" x14ac:dyDescent="0.2">
      <c r="AD1534" s="13">
        <v>43865</v>
      </c>
      <c r="AE1534" s="12">
        <v>29.025700000000001</v>
      </c>
      <c r="AF1534" s="13">
        <v>43865</v>
      </c>
      <c r="AG1534" s="12">
        <v>159.97190000000001</v>
      </c>
    </row>
    <row r="1535" spans="30:33" x14ac:dyDescent="0.2">
      <c r="AD1535" s="13">
        <v>43866</v>
      </c>
      <c r="AE1535" s="12">
        <v>28.9377</v>
      </c>
      <c r="AF1535" s="13">
        <v>43866</v>
      </c>
      <c r="AG1535" s="12">
        <v>159.87370000000001</v>
      </c>
    </row>
    <row r="1536" spans="30:33" x14ac:dyDescent="0.2">
      <c r="AD1536" s="13">
        <v>43867</v>
      </c>
      <c r="AE1536" s="12">
        <v>28.970700000000001</v>
      </c>
      <c r="AF1536" s="13">
        <v>43867</v>
      </c>
      <c r="AG1536" s="12">
        <v>159.80000000000001</v>
      </c>
    </row>
    <row r="1537" spans="30:33" x14ac:dyDescent="0.2">
      <c r="AD1537" s="13">
        <v>43868</v>
      </c>
      <c r="AE1537" s="12">
        <v>29.058700000000002</v>
      </c>
      <c r="AF1537" s="13">
        <v>43868</v>
      </c>
      <c r="AG1537" s="12">
        <v>160.41370000000001</v>
      </c>
    </row>
    <row r="1538" spans="30:33" x14ac:dyDescent="0.2">
      <c r="AD1538" s="13">
        <v>43871</v>
      </c>
      <c r="AE1538" s="12">
        <v>29.113700000000001</v>
      </c>
      <c r="AF1538" s="13">
        <v>43871</v>
      </c>
      <c r="AG1538" s="12">
        <v>160.79419999999999</v>
      </c>
    </row>
    <row r="1539" spans="30:33" x14ac:dyDescent="0.2">
      <c r="AD1539" s="13">
        <v>43872</v>
      </c>
      <c r="AE1539" s="12">
        <v>29.0642</v>
      </c>
      <c r="AF1539" s="13">
        <v>43872</v>
      </c>
      <c r="AG1539" s="12">
        <v>160.56100000000001</v>
      </c>
    </row>
    <row r="1540" spans="30:33" x14ac:dyDescent="0.2">
      <c r="AD1540" s="13">
        <v>43873</v>
      </c>
      <c r="AE1540" s="12">
        <v>29.003699999999998</v>
      </c>
      <c r="AF1540" s="13">
        <v>43873</v>
      </c>
      <c r="AG1540" s="12">
        <v>160.48740000000001</v>
      </c>
    </row>
    <row r="1541" spans="30:33" x14ac:dyDescent="0.2">
      <c r="AD1541" s="13">
        <v>43874</v>
      </c>
      <c r="AE1541" s="12">
        <v>29.025700000000001</v>
      </c>
      <c r="AF1541" s="13">
        <v>43874</v>
      </c>
      <c r="AG1541" s="12">
        <v>160.37690000000001</v>
      </c>
    </row>
    <row r="1542" spans="30:33" x14ac:dyDescent="0.2">
      <c r="AD1542" s="13">
        <v>43875</v>
      </c>
      <c r="AE1542" s="12">
        <v>29.058700000000002</v>
      </c>
      <c r="AF1542" s="13">
        <v>43875</v>
      </c>
      <c r="AG1542" s="12">
        <v>160.7697</v>
      </c>
    </row>
    <row r="1543" spans="30:33" x14ac:dyDescent="0.2">
      <c r="AD1543" s="13">
        <v>43879</v>
      </c>
      <c r="AE1543" s="12">
        <v>29.124600000000001</v>
      </c>
      <c r="AF1543" s="13">
        <v>43879</v>
      </c>
      <c r="AG1543" s="12">
        <v>161.07650000000001</v>
      </c>
    </row>
    <row r="1544" spans="30:33" x14ac:dyDescent="0.2">
      <c r="AD1544" s="13">
        <v>43880</v>
      </c>
      <c r="AE1544" s="12">
        <v>29.113700000000001</v>
      </c>
      <c r="AF1544" s="13">
        <v>43880</v>
      </c>
      <c r="AG1544" s="12">
        <v>160.85560000000001</v>
      </c>
    </row>
    <row r="1545" spans="30:33" x14ac:dyDescent="0.2">
      <c r="AD1545" s="13">
        <v>43881</v>
      </c>
      <c r="AE1545" s="12">
        <v>29.212599999999998</v>
      </c>
      <c r="AF1545" s="13">
        <v>43881</v>
      </c>
      <c r="AG1545" s="12">
        <v>161.39570000000001</v>
      </c>
    </row>
    <row r="1546" spans="30:33" x14ac:dyDescent="0.2">
      <c r="AD1546" s="13">
        <v>43882</v>
      </c>
      <c r="AE1546" s="12">
        <v>29.311599999999999</v>
      </c>
      <c r="AF1546" s="13">
        <v>43882</v>
      </c>
      <c r="AG1546" s="12">
        <v>161.7148</v>
      </c>
    </row>
    <row r="1547" spans="30:33" x14ac:dyDescent="0.2">
      <c r="AD1547" s="13">
        <v>43885</v>
      </c>
      <c r="AE1547" s="12">
        <v>29.487500000000001</v>
      </c>
      <c r="AF1547" s="13">
        <v>43885</v>
      </c>
      <c r="AG1547" s="12">
        <v>161.73939999999999</v>
      </c>
    </row>
    <row r="1548" spans="30:33" x14ac:dyDescent="0.2">
      <c r="AD1548" s="13">
        <v>43886</v>
      </c>
      <c r="AE1548" s="12">
        <v>29.564399999999999</v>
      </c>
      <c r="AF1548" s="13">
        <v>43886</v>
      </c>
      <c r="AG1548" s="12">
        <v>161.8989</v>
      </c>
    </row>
    <row r="1549" spans="30:33" x14ac:dyDescent="0.2">
      <c r="AD1549" s="13">
        <v>43887</v>
      </c>
      <c r="AE1549" s="12">
        <v>29.5259</v>
      </c>
      <c r="AF1549" s="13">
        <v>43887</v>
      </c>
      <c r="AG1549" s="12">
        <v>161.29750000000001</v>
      </c>
    </row>
    <row r="1550" spans="30:33" x14ac:dyDescent="0.2">
      <c r="AD1550" s="13">
        <v>43888</v>
      </c>
      <c r="AE1550" s="12">
        <v>29.6524</v>
      </c>
      <c r="AF1550" s="13">
        <v>43888</v>
      </c>
      <c r="AG1550" s="12">
        <v>160.4383</v>
      </c>
    </row>
    <row r="1551" spans="30:33" x14ac:dyDescent="0.2">
      <c r="AD1551" s="13">
        <v>43889</v>
      </c>
      <c r="AE1551" s="12">
        <v>29.9053</v>
      </c>
      <c r="AF1551" s="13">
        <v>43889</v>
      </c>
      <c r="AG1551" s="12">
        <v>162.24260000000001</v>
      </c>
    </row>
    <row r="1552" spans="30:33" x14ac:dyDescent="0.2">
      <c r="AD1552" s="13">
        <v>43892</v>
      </c>
      <c r="AE1552" s="12">
        <v>29.869399999999999</v>
      </c>
      <c r="AF1552" s="13">
        <v>43892</v>
      </c>
      <c r="AG1552" s="12">
        <v>162.0822</v>
      </c>
    </row>
    <row r="1553" spans="30:33" x14ac:dyDescent="0.2">
      <c r="AD1553" s="13">
        <v>43893</v>
      </c>
      <c r="AE1553" s="12">
        <v>30.133700000000001</v>
      </c>
      <c r="AF1553" s="13">
        <v>43893</v>
      </c>
      <c r="AG1553" s="12">
        <v>163.9282</v>
      </c>
    </row>
    <row r="1554" spans="30:33" x14ac:dyDescent="0.2">
      <c r="AD1554" s="13">
        <v>43894</v>
      </c>
      <c r="AE1554" s="12">
        <v>30.067599999999999</v>
      </c>
      <c r="AF1554" s="13">
        <v>43894</v>
      </c>
      <c r="AG1554" s="12">
        <v>164.16200000000001</v>
      </c>
    </row>
    <row r="1555" spans="30:33" x14ac:dyDescent="0.2">
      <c r="AD1555" s="13">
        <v>43895</v>
      </c>
      <c r="AE1555" s="12">
        <v>30.287800000000001</v>
      </c>
      <c r="AF1555" s="13">
        <v>43895</v>
      </c>
      <c r="AG1555" s="12">
        <v>164.10050000000001</v>
      </c>
    </row>
    <row r="1556" spans="30:33" x14ac:dyDescent="0.2">
      <c r="AD1556" s="13">
        <v>43896</v>
      </c>
      <c r="AE1556" s="12">
        <v>30.783300000000001</v>
      </c>
      <c r="AF1556" s="13">
        <v>43896</v>
      </c>
      <c r="AG1556" s="12">
        <v>165.245</v>
      </c>
    </row>
    <row r="1557" spans="30:33" x14ac:dyDescent="0.2">
      <c r="AD1557" s="13">
        <v>43899</v>
      </c>
      <c r="AE1557" s="12">
        <v>31.124600000000001</v>
      </c>
      <c r="AF1557" s="13">
        <v>43899</v>
      </c>
      <c r="AG1557" s="12">
        <v>161.233</v>
      </c>
    </row>
    <row r="1558" spans="30:33" x14ac:dyDescent="0.2">
      <c r="AD1558" s="13">
        <v>43900</v>
      </c>
      <c r="AE1558" s="12">
        <v>30.563099999999999</v>
      </c>
      <c r="AF1558" s="13">
        <v>43900</v>
      </c>
      <c r="AG1558" s="12">
        <v>157.60239999999999</v>
      </c>
    </row>
    <row r="1559" spans="30:33" x14ac:dyDescent="0.2">
      <c r="AD1559" s="13">
        <v>43901</v>
      </c>
      <c r="AE1559" s="12">
        <v>30.408899999999999</v>
      </c>
      <c r="AF1559" s="13">
        <v>43901</v>
      </c>
      <c r="AG1559" s="12">
        <v>152.4212</v>
      </c>
    </row>
    <row r="1560" spans="30:33" x14ac:dyDescent="0.2">
      <c r="AD1560" s="13">
        <v>43902</v>
      </c>
      <c r="AE1560" s="12">
        <v>30.375900000000001</v>
      </c>
      <c r="AF1560" s="13">
        <v>43902</v>
      </c>
      <c r="AG1560" s="12">
        <v>145.14779999999999</v>
      </c>
    </row>
    <row r="1561" spans="30:33" x14ac:dyDescent="0.2">
      <c r="AD1561" s="13">
        <v>43903</v>
      </c>
      <c r="AE1561" s="12">
        <v>30.1997</v>
      </c>
      <c r="AF1561" s="13">
        <v>43903</v>
      </c>
      <c r="AG1561" s="12">
        <v>151.4367</v>
      </c>
    </row>
    <row r="1562" spans="30:33" x14ac:dyDescent="0.2">
      <c r="AD1562" s="13">
        <v>43906</v>
      </c>
      <c r="AE1562" s="12">
        <v>30.684200000000001</v>
      </c>
      <c r="AF1562" s="13">
        <v>43906</v>
      </c>
      <c r="AG1562" s="12">
        <v>149.28299999999999</v>
      </c>
    </row>
    <row r="1563" spans="30:33" x14ac:dyDescent="0.2">
      <c r="AD1563" s="13">
        <v>43907</v>
      </c>
      <c r="AE1563" s="12">
        <v>30.0016</v>
      </c>
      <c r="AF1563" s="13">
        <v>43907</v>
      </c>
      <c r="AG1563" s="12">
        <v>143.16640000000001</v>
      </c>
    </row>
    <row r="1564" spans="30:33" x14ac:dyDescent="0.2">
      <c r="AD1564" s="13">
        <v>43908</v>
      </c>
      <c r="AE1564" s="12">
        <v>29.698799999999999</v>
      </c>
      <c r="AF1564" s="13">
        <v>43908</v>
      </c>
      <c r="AG1564" s="12">
        <v>136.00380000000001</v>
      </c>
    </row>
    <row r="1565" spans="30:33" x14ac:dyDescent="0.2">
      <c r="AD1565" s="13">
        <v>43909</v>
      </c>
      <c r="AE1565" s="12">
        <v>29.7483</v>
      </c>
      <c r="AF1565" s="13">
        <v>43909</v>
      </c>
      <c r="AG1565" s="12">
        <v>129.2842</v>
      </c>
    </row>
    <row r="1566" spans="30:33" x14ac:dyDescent="0.2">
      <c r="AD1566" s="13">
        <v>43910</v>
      </c>
      <c r="AE1566" s="12">
        <v>30.419899999999998</v>
      </c>
      <c r="AF1566" s="13">
        <v>43910</v>
      </c>
      <c r="AG1566" s="12">
        <v>131.36410000000001</v>
      </c>
    </row>
    <row r="1567" spans="30:33" x14ac:dyDescent="0.2">
      <c r="AD1567" s="13">
        <v>43913</v>
      </c>
      <c r="AE1567" s="12">
        <v>30.783300000000001</v>
      </c>
      <c r="AF1567" s="13">
        <v>43913</v>
      </c>
      <c r="AG1567" s="12">
        <v>141.07429999999999</v>
      </c>
    </row>
    <row r="1568" spans="30:33" x14ac:dyDescent="0.2">
      <c r="AD1568" s="13">
        <v>43914</v>
      </c>
      <c r="AE1568" s="12">
        <v>30.629100000000001</v>
      </c>
      <c r="AF1568" s="13">
        <v>43914</v>
      </c>
      <c r="AG1568" s="12">
        <v>143.96639999999999</v>
      </c>
    </row>
    <row r="1569" spans="30:33" x14ac:dyDescent="0.2">
      <c r="AD1569" s="13">
        <v>43915</v>
      </c>
      <c r="AE1569" s="12">
        <v>30.629100000000001</v>
      </c>
      <c r="AF1569" s="13">
        <v>43915</v>
      </c>
      <c r="AG1569" s="12">
        <v>150.85830000000001</v>
      </c>
    </row>
    <row r="1570" spans="30:33" x14ac:dyDescent="0.2">
      <c r="AD1570" s="13">
        <v>43916</v>
      </c>
      <c r="AE1570" s="12">
        <v>30.6952</v>
      </c>
      <c r="AF1570" s="13">
        <v>43916</v>
      </c>
      <c r="AG1570" s="12">
        <v>150.9813</v>
      </c>
    </row>
    <row r="1571" spans="30:33" x14ac:dyDescent="0.2">
      <c r="AD1571" s="13">
        <v>43917</v>
      </c>
      <c r="AE1571" s="12">
        <v>30.981400000000001</v>
      </c>
      <c r="AF1571" s="13">
        <v>43917</v>
      </c>
      <c r="AG1571" s="12">
        <v>150.6737</v>
      </c>
    </row>
    <row r="1572" spans="30:33" x14ac:dyDescent="0.2">
      <c r="AD1572" s="13">
        <v>43920</v>
      </c>
      <c r="AE1572" s="12">
        <v>30.8383</v>
      </c>
      <c r="AF1572" s="13">
        <v>43920</v>
      </c>
      <c r="AG1572" s="12">
        <v>152.50739999999999</v>
      </c>
    </row>
    <row r="1573" spans="30:33" x14ac:dyDescent="0.2">
      <c r="AD1573" s="13">
        <v>43921</v>
      </c>
      <c r="AE1573" s="12">
        <v>30.8383</v>
      </c>
      <c r="AF1573" s="13">
        <v>43921</v>
      </c>
      <c r="AG1573" s="12">
        <v>152.00280000000001</v>
      </c>
    </row>
    <row r="1574" spans="30:33" x14ac:dyDescent="0.2">
      <c r="AD1574" s="13">
        <v>43922</v>
      </c>
      <c r="AE1574" s="12">
        <v>30.9785</v>
      </c>
      <c r="AF1574" s="13">
        <v>43922</v>
      </c>
      <c r="AG1574" s="12">
        <v>149.79990000000001</v>
      </c>
    </row>
    <row r="1575" spans="30:33" x14ac:dyDescent="0.2">
      <c r="AD1575" s="13">
        <v>43923</v>
      </c>
      <c r="AE1575" s="12">
        <v>30.9785</v>
      </c>
      <c r="AF1575" s="13">
        <v>43923</v>
      </c>
      <c r="AG1575" s="12">
        <v>150.19470000000001</v>
      </c>
    </row>
    <row r="1576" spans="30:33" x14ac:dyDescent="0.2">
      <c r="AD1576" s="13">
        <v>43924</v>
      </c>
      <c r="AE1576" s="12">
        <v>31.022600000000001</v>
      </c>
      <c r="AF1576" s="13">
        <v>43924</v>
      </c>
      <c r="AG1576" s="12">
        <v>149.41739999999999</v>
      </c>
    </row>
    <row r="1577" spans="30:33" x14ac:dyDescent="0.2">
      <c r="AD1577" s="13">
        <v>43927</v>
      </c>
      <c r="AE1577" s="12">
        <v>30.945499999999999</v>
      </c>
      <c r="AF1577" s="13">
        <v>43927</v>
      </c>
      <c r="AG1577" s="12">
        <v>152.3663</v>
      </c>
    </row>
    <row r="1578" spans="30:33" x14ac:dyDescent="0.2">
      <c r="AD1578" s="13">
        <v>43928</v>
      </c>
      <c r="AE1578" s="12">
        <v>30.8462</v>
      </c>
      <c r="AF1578" s="13">
        <v>43928</v>
      </c>
      <c r="AG1578" s="12">
        <v>152.60069999999999</v>
      </c>
    </row>
    <row r="1579" spans="30:33" x14ac:dyDescent="0.2">
      <c r="AD1579" s="13">
        <v>43929</v>
      </c>
      <c r="AE1579" s="12">
        <v>30.802099999999999</v>
      </c>
      <c r="AF1579" s="13">
        <v>43929</v>
      </c>
      <c r="AG1579" s="12">
        <v>155.35220000000001</v>
      </c>
    </row>
    <row r="1580" spans="30:33" x14ac:dyDescent="0.2">
      <c r="AD1580" s="13">
        <v>43930</v>
      </c>
      <c r="AE1580" s="12">
        <v>30.802099999999999</v>
      </c>
      <c r="AF1580" s="13">
        <v>43930</v>
      </c>
      <c r="AG1580" s="12">
        <v>162.65649999999999</v>
      </c>
    </row>
    <row r="1581" spans="30:33" x14ac:dyDescent="0.2">
      <c r="AD1581" s="13">
        <v>43934</v>
      </c>
      <c r="AE1581" s="12">
        <v>30.741499999999998</v>
      </c>
      <c r="AF1581" s="13">
        <v>43934</v>
      </c>
      <c r="AG1581" s="12">
        <v>161.0772</v>
      </c>
    </row>
    <row r="1582" spans="30:33" x14ac:dyDescent="0.2">
      <c r="AD1582" s="13">
        <v>43935</v>
      </c>
      <c r="AE1582" s="12">
        <v>30.757999999999999</v>
      </c>
      <c r="AF1582" s="13">
        <v>43935</v>
      </c>
      <c r="AG1582" s="12">
        <v>160.28749999999999</v>
      </c>
    </row>
    <row r="1583" spans="30:33" x14ac:dyDescent="0.2">
      <c r="AD1583" s="13">
        <v>43936</v>
      </c>
      <c r="AE1583" s="12">
        <v>30.989599999999999</v>
      </c>
      <c r="AF1583" s="13">
        <v>43936</v>
      </c>
      <c r="AG1583" s="12">
        <v>161.36089999999999</v>
      </c>
    </row>
    <row r="1584" spans="30:33" x14ac:dyDescent="0.2">
      <c r="AD1584" s="13">
        <v>43937</v>
      </c>
      <c r="AE1584" s="12">
        <v>31.099799999999998</v>
      </c>
      <c r="AF1584" s="13">
        <v>43937</v>
      </c>
      <c r="AG1584" s="12">
        <v>160.55889999999999</v>
      </c>
    </row>
    <row r="1585" spans="30:33" x14ac:dyDescent="0.2">
      <c r="AD1585" s="13">
        <v>43938</v>
      </c>
      <c r="AE1585" s="12">
        <v>30.967500000000001</v>
      </c>
      <c r="AF1585" s="13">
        <v>43938</v>
      </c>
      <c r="AG1585" s="12">
        <v>161.08949999999999</v>
      </c>
    </row>
    <row r="1586" spans="30:33" x14ac:dyDescent="0.2">
      <c r="AD1586" s="13">
        <v>43941</v>
      </c>
      <c r="AE1586" s="12">
        <v>31.044699999999999</v>
      </c>
      <c r="AF1586" s="13">
        <v>43941</v>
      </c>
      <c r="AG1586" s="12">
        <v>160.1765</v>
      </c>
    </row>
    <row r="1587" spans="30:33" x14ac:dyDescent="0.2">
      <c r="AD1587" s="13">
        <v>43942</v>
      </c>
      <c r="AE1587" s="12">
        <v>31.132899999999999</v>
      </c>
      <c r="AF1587" s="13">
        <v>43942</v>
      </c>
      <c r="AG1587" s="12">
        <v>159.60890000000001</v>
      </c>
    </row>
    <row r="1588" spans="30:33" x14ac:dyDescent="0.2">
      <c r="AD1588" s="13">
        <v>43943</v>
      </c>
      <c r="AE1588" s="12">
        <v>31.044699999999999</v>
      </c>
      <c r="AF1588" s="13">
        <v>43943</v>
      </c>
      <c r="AG1588" s="12">
        <v>159.70760000000001</v>
      </c>
    </row>
    <row r="1589" spans="30:33" x14ac:dyDescent="0.2">
      <c r="AD1589" s="13">
        <v>43944</v>
      </c>
      <c r="AE1589" s="12">
        <v>31.088799999999999</v>
      </c>
      <c r="AF1589" s="13">
        <v>43944</v>
      </c>
      <c r="AG1589" s="12">
        <v>160.3862</v>
      </c>
    </row>
    <row r="1590" spans="30:33" x14ac:dyDescent="0.2">
      <c r="AD1590" s="13">
        <v>43945</v>
      </c>
      <c r="AE1590" s="12">
        <v>31.066700000000001</v>
      </c>
      <c r="AF1590" s="13">
        <v>43945</v>
      </c>
      <c r="AG1590" s="12">
        <v>160.27520000000001</v>
      </c>
    </row>
    <row r="1591" spans="30:33" x14ac:dyDescent="0.2">
      <c r="AD1591" s="13">
        <v>43948</v>
      </c>
      <c r="AE1591" s="12">
        <v>30.923400000000001</v>
      </c>
      <c r="AF1591" s="13">
        <v>43948</v>
      </c>
      <c r="AG1591" s="12">
        <v>158.9796</v>
      </c>
    </row>
    <row r="1592" spans="30:33" x14ac:dyDescent="0.2">
      <c r="AD1592" s="13">
        <v>43949</v>
      </c>
      <c r="AE1592" s="12">
        <v>31.0337</v>
      </c>
      <c r="AF1592" s="13">
        <v>43949</v>
      </c>
      <c r="AG1592" s="12">
        <v>159.41149999999999</v>
      </c>
    </row>
    <row r="1593" spans="30:33" x14ac:dyDescent="0.2">
      <c r="AD1593" s="13">
        <v>43950</v>
      </c>
      <c r="AE1593" s="12">
        <v>31.011600000000001</v>
      </c>
      <c r="AF1593" s="13">
        <v>43950</v>
      </c>
      <c r="AG1593" s="12">
        <v>160.46019999999999</v>
      </c>
    </row>
    <row r="1594" spans="30:33" x14ac:dyDescent="0.2">
      <c r="AD1594" s="13">
        <v>43951</v>
      </c>
      <c r="AE1594" s="12">
        <v>30.9344</v>
      </c>
      <c r="AF1594" s="13">
        <v>43951</v>
      </c>
      <c r="AG1594" s="12">
        <v>159.37450000000001</v>
      </c>
    </row>
    <row r="1595" spans="30:33" x14ac:dyDescent="0.2">
      <c r="AD1595" s="13">
        <v>43952</v>
      </c>
      <c r="AE1595" s="12">
        <v>30.982199999999999</v>
      </c>
      <c r="AF1595" s="13">
        <v>43952</v>
      </c>
      <c r="AG1595" s="12">
        <v>158.74539999999999</v>
      </c>
    </row>
    <row r="1596" spans="30:33" x14ac:dyDescent="0.2">
      <c r="AD1596" s="13">
        <v>43955</v>
      </c>
      <c r="AE1596" s="12">
        <v>30.960100000000001</v>
      </c>
      <c r="AF1596" s="13">
        <v>43955</v>
      </c>
      <c r="AG1596" s="12">
        <v>158.99279999999999</v>
      </c>
    </row>
    <row r="1597" spans="30:33" x14ac:dyDescent="0.2">
      <c r="AD1597" s="13">
        <v>43956</v>
      </c>
      <c r="AE1597" s="12">
        <v>30.937999999999999</v>
      </c>
      <c r="AF1597" s="13">
        <v>43956</v>
      </c>
      <c r="AG1597" s="12">
        <v>158.7825</v>
      </c>
    </row>
    <row r="1598" spans="30:33" x14ac:dyDescent="0.2">
      <c r="AD1598" s="13">
        <v>43957</v>
      </c>
      <c r="AE1598" s="12">
        <v>30.805599999999998</v>
      </c>
      <c r="AF1598" s="13">
        <v>43957</v>
      </c>
      <c r="AG1598" s="12">
        <v>157.00139999999999</v>
      </c>
    </row>
    <row r="1599" spans="30:33" x14ac:dyDescent="0.2">
      <c r="AD1599" s="13">
        <v>43958</v>
      </c>
      <c r="AE1599" s="12">
        <v>30.960100000000001</v>
      </c>
      <c r="AF1599" s="13">
        <v>43958</v>
      </c>
      <c r="AG1599" s="12">
        <v>157.42189999999999</v>
      </c>
    </row>
    <row r="1600" spans="30:33" x14ac:dyDescent="0.2">
      <c r="AD1600" s="13">
        <v>43959</v>
      </c>
      <c r="AE1600" s="12">
        <v>30.860800000000001</v>
      </c>
      <c r="AF1600" s="13">
        <v>43959</v>
      </c>
      <c r="AG1600" s="12">
        <v>156.66739999999999</v>
      </c>
    </row>
    <row r="1601" spans="30:33" x14ac:dyDescent="0.2">
      <c r="AD1601" s="13">
        <v>43962</v>
      </c>
      <c r="AE1601" s="12">
        <v>30.7835</v>
      </c>
      <c r="AF1601" s="13">
        <v>43962</v>
      </c>
      <c r="AG1601" s="12">
        <v>155.2944</v>
      </c>
    </row>
    <row r="1602" spans="30:33" x14ac:dyDescent="0.2">
      <c r="AD1602" s="13">
        <v>43963</v>
      </c>
      <c r="AE1602" s="12">
        <v>30.8718</v>
      </c>
      <c r="AF1602" s="13">
        <v>43963</v>
      </c>
      <c r="AG1602" s="12">
        <v>156.7911</v>
      </c>
    </row>
    <row r="1603" spans="30:33" x14ac:dyDescent="0.2">
      <c r="AD1603" s="13">
        <v>43964</v>
      </c>
      <c r="AE1603" s="12">
        <v>30.937999999999999</v>
      </c>
      <c r="AF1603" s="13">
        <v>43964</v>
      </c>
      <c r="AG1603" s="12">
        <v>157.1498</v>
      </c>
    </row>
    <row r="1604" spans="30:33" x14ac:dyDescent="0.2">
      <c r="AD1604" s="13">
        <v>43965</v>
      </c>
      <c r="AE1604" s="12">
        <v>31.004300000000001</v>
      </c>
      <c r="AF1604" s="13">
        <v>43965</v>
      </c>
      <c r="AG1604" s="12">
        <v>158.4486</v>
      </c>
    </row>
    <row r="1605" spans="30:33" x14ac:dyDescent="0.2">
      <c r="AD1605" s="13">
        <v>43966</v>
      </c>
      <c r="AE1605" s="12">
        <v>30.9877</v>
      </c>
      <c r="AF1605" s="13">
        <v>43966</v>
      </c>
      <c r="AG1605" s="12">
        <v>159.0052</v>
      </c>
    </row>
    <row r="1606" spans="30:33" x14ac:dyDescent="0.2">
      <c r="AD1606" s="13">
        <v>43969</v>
      </c>
      <c r="AE1606" s="12">
        <v>30.794599999999999</v>
      </c>
      <c r="AF1606" s="13">
        <v>43969</v>
      </c>
      <c r="AG1606" s="12">
        <v>159.90809999999999</v>
      </c>
    </row>
    <row r="1607" spans="30:33" x14ac:dyDescent="0.2">
      <c r="AD1607" s="13">
        <v>43970</v>
      </c>
      <c r="AE1607" s="12">
        <v>30.860800000000001</v>
      </c>
      <c r="AF1607" s="13">
        <v>43970</v>
      </c>
      <c r="AG1607" s="12">
        <v>160.0318</v>
      </c>
    </row>
    <row r="1608" spans="30:33" x14ac:dyDescent="0.2">
      <c r="AD1608" s="13">
        <v>43971</v>
      </c>
      <c r="AE1608" s="12">
        <v>30.8718</v>
      </c>
      <c r="AF1608" s="13">
        <v>43971</v>
      </c>
      <c r="AG1608" s="12">
        <v>161.78819999999999</v>
      </c>
    </row>
    <row r="1609" spans="30:33" x14ac:dyDescent="0.2">
      <c r="AD1609" s="13">
        <v>43972</v>
      </c>
      <c r="AE1609" s="12">
        <v>30.893899999999999</v>
      </c>
      <c r="AF1609" s="13">
        <v>43972</v>
      </c>
      <c r="AG1609" s="12">
        <v>161.6645</v>
      </c>
    </row>
    <row r="1610" spans="30:33" x14ac:dyDescent="0.2">
      <c r="AD1610" s="13">
        <v>43973</v>
      </c>
      <c r="AE1610" s="12">
        <v>30.949100000000001</v>
      </c>
      <c r="AF1610" s="13">
        <v>43973</v>
      </c>
      <c r="AG1610" s="12">
        <v>161.6645</v>
      </c>
    </row>
    <row r="1611" spans="30:33" x14ac:dyDescent="0.2">
      <c r="AD1611" s="13">
        <v>43977</v>
      </c>
      <c r="AE1611" s="12">
        <v>30.860800000000001</v>
      </c>
      <c r="AF1611" s="13">
        <v>43977</v>
      </c>
      <c r="AG1611" s="12">
        <v>161.4419</v>
      </c>
    </row>
    <row r="1612" spans="30:33" x14ac:dyDescent="0.2">
      <c r="AD1612" s="13">
        <v>43978</v>
      </c>
      <c r="AE1612" s="12">
        <v>30.844200000000001</v>
      </c>
      <c r="AF1612" s="13">
        <v>43978</v>
      </c>
      <c r="AG1612" s="12">
        <v>162.10980000000001</v>
      </c>
    </row>
    <row r="1613" spans="30:33" x14ac:dyDescent="0.2">
      <c r="AD1613" s="13">
        <v>43979</v>
      </c>
      <c r="AE1613" s="12">
        <v>30.8277</v>
      </c>
      <c r="AF1613" s="13">
        <v>43979</v>
      </c>
      <c r="AG1613" s="12">
        <v>162.24590000000001</v>
      </c>
    </row>
    <row r="1614" spans="30:33" x14ac:dyDescent="0.2">
      <c r="AD1614" s="13">
        <v>43980</v>
      </c>
      <c r="AE1614" s="12">
        <v>30.888400000000001</v>
      </c>
      <c r="AF1614" s="13">
        <v>43980</v>
      </c>
      <c r="AG1614" s="12">
        <v>163.29730000000001</v>
      </c>
    </row>
    <row r="1615" spans="30:33" x14ac:dyDescent="0.2">
      <c r="AD1615" s="13">
        <v>43983</v>
      </c>
      <c r="AE1615" s="12">
        <v>30.846499999999999</v>
      </c>
      <c r="AF1615" s="13">
        <v>43983</v>
      </c>
      <c r="AG1615" s="12">
        <v>163.22540000000001</v>
      </c>
    </row>
    <row r="1616" spans="30:33" x14ac:dyDescent="0.2">
      <c r="AD1616" s="13">
        <v>43984</v>
      </c>
      <c r="AE1616" s="12">
        <v>30.796800000000001</v>
      </c>
      <c r="AF1616" s="13">
        <v>43984</v>
      </c>
      <c r="AG1616" s="12">
        <v>163.74610000000001</v>
      </c>
    </row>
    <row r="1617" spans="30:33" x14ac:dyDescent="0.2">
      <c r="AD1617" s="13">
        <v>43985</v>
      </c>
      <c r="AE1617" s="12">
        <v>30.6752</v>
      </c>
      <c r="AF1617" s="13">
        <v>43985</v>
      </c>
      <c r="AG1617" s="12">
        <v>163.64699999999999</v>
      </c>
    </row>
    <row r="1618" spans="30:33" x14ac:dyDescent="0.2">
      <c r="AD1618" s="13">
        <v>43986</v>
      </c>
      <c r="AE1618" s="12">
        <v>30.564699999999998</v>
      </c>
      <c r="AF1618" s="13">
        <v>43986</v>
      </c>
      <c r="AG1618" s="12">
        <v>163.15100000000001</v>
      </c>
    </row>
    <row r="1619" spans="30:33" x14ac:dyDescent="0.2">
      <c r="AD1619" s="13">
        <v>43987</v>
      </c>
      <c r="AE1619" s="12">
        <v>30.459800000000001</v>
      </c>
      <c r="AF1619" s="13">
        <v>43987</v>
      </c>
      <c r="AG1619" s="12">
        <v>163.9941</v>
      </c>
    </row>
    <row r="1620" spans="30:33" x14ac:dyDescent="0.2">
      <c r="AD1620" s="13">
        <v>43990</v>
      </c>
      <c r="AE1620" s="12">
        <v>30.487400000000001</v>
      </c>
      <c r="AF1620" s="13">
        <v>43990</v>
      </c>
      <c r="AG1620" s="12">
        <v>164.53970000000001</v>
      </c>
    </row>
    <row r="1621" spans="30:33" x14ac:dyDescent="0.2">
      <c r="AD1621" s="13">
        <v>43991</v>
      </c>
      <c r="AE1621" s="12">
        <v>30.608899999999998</v>
      </c>
      <c r="AF1621" s="13">
        <v>43991</v>
      </c>
      <c r="AG1621" s="12">
        <v>164.1925</v>
      </c>
    </row>
    <row r="1622" spans="30:33" x14ac:dyDescent="0.2">
      <c r="AD1622" s="13">
        <v>43992</v>
      </c>
      <c r="AE1622" s="12">
        <v>30.741499999999998</v>
      </c>
      <c r="AF1622" s="13">
        <v>43992</v>
      </c>
      <c r="AG1622" s="12">
        <v>165.2713</v>
      </c>
    </row>
    <row r="1623" spans="30:33" x14ac:dyDescent="0.2">
      <c r="AD1623" s="13">
        <v>43993</v>
      </c>
      <c r="AE1623" s="12">
        <v>30.8797</v>
      </c>
      <c r="AF1623" s="13">
        <v>43993</v>
      </c>
      <c r="AG1623" s="12">
        <v>163.2998</v>
      </c>
    </row>
    <row r="1624" spans="30:33" x14ac:dyDescent="0.2">
      <c r="AD1624" s="13">
        <v>43994</v>
      </c>
      <c r="AE1624" s="12">
        <v>30.8078</v>
      </c>
      <c r="AF1624" s="13">
        <v>43994</v>
      </c>
      <c r="AG1624" s="12">
        <v>164.0933</v>
      </c>
    </row>
    <row r="1625" spans="30:33" x14ac:dyDescent="0.2">
      <c r="AD1625" s="13">
        <v>43997</v>
      </c>
      <c r="AE1625" s="12">
        <v>30.8078</v>
      </c>
      <c r="AF1625" s="13">
        <v>43997</v>
      </c>
      <c r="AG1625" s="12">
        <v>166.42439999999999</v>
      </c>
    </row>
    <row r="1626" spans="30:33" x14ac:dyDescent="0.2">
      <c r="AD1626" s="13">
        <v>43998</v>
      </c>
      <c r="AE1626" s="12">
        <v>30.7194</v>
      </c>
      <c r="AF1626" s="13">
        <v>43998</v>
      </c>
      <c r="AG1626" s="12">
        <v>165.96559999999999</v>
      </c>
    </row>
    <row r="1627" spans="30:33" x14ac:dyDescent="0.2">
      <c r="AD1627" s="13">
        <v>43999</v>
      </c>
      <c r="AE1627" s="12">
        <v>30.741499999999998</v>
      </c>
      <c r="AF1627" s="13">
        <v>43999</v>
      </c>
      <c r="AG1627" s="12">
        <v>165.64330000000001</v>
      </c>
    </row>
    <row r="1628" spans="30:33" x14ac:dyDescent="0.2">
      <c r="AD1628" s="13">
        <v>44000</v>
      </c>
      <c r="AE1628" s="12">
        <v>30.813400000000001</v>
      </c>
      <c r="AF1628" s="13">
        <v>44000</v>
      </c>
      <c r="AG1628" s="12">
        <v>166.01519999999999</v>
      </c>
    </row>
    <row r="1629" spans="30:33" x14ac:dyDescent="0.2">
      <c r="AD1629" s="13">
        <v>44001</v>
      </c>
      <c r="AE1629" s="12">
        <v>30.818899999999999</v>
      </c>
      <c r="AF1629" s="13">
        <v>44001</v>
      </c>
      <c r="AG1629" s="12">
        <v>166.13919999999999</v>
      </c>
    </row>
    <row r="1630" spans="30:33" x14ac:dyDescent="0.2">
      <c r="AD1630" s="13">
        <v>44004</v>
      </c>
      <c r="AE1630" s="12">
        <v>30.818899999999999</v>
      </c>
      <c r="AF1630" s="13">
        <v>44004</v>
      </c>
      <c r="AG1630" s="12">
        <v>165.97800000000001</v>
      </c>
    </row>
    <row r="1631" spans="30:33" x14ac:dyDescent="0.2">
      <c r="AD1631" s="13">
        <v>44005</v>
      </c>
      <c r="AE1631" s="12">
        <v>30.780200000000001</v>
      </c>
      <c r="AF1631" s="13">
        <v>44005</v>
      </c>
      <c r="AG1631" s="12">
        <v>165.66810000000001</v>
      </c>
    </row>
    <row r="1632" spans="30:33" x14ac:dyDescent="0.2">
      <c r="AD1632" s="13">
        <v>44006</v>
      </c>
      <c r="AE1632" s="12">
        <v>30.857600000000001</v>
      </c>
      <c r="AF1632" s="13">
        <v>44006</v>
      </c>
      <c r="AG1632" s="12">
        <v>165.20930000000001</v>
      </c>
    </row>
    <row r="1633" spans="30:33" x14ac:dyDescent="0.2">
      <c r="AD1633" s="13">
        <v>44007</v>
      </c>
      <c r="AE1633" s="12">
        <v>30.8797</v>
      </c>
      <c r="AF1633" s="13">
        <v>44007</v>
      </c>
      <c r="AG1633" s="12">
        <v>165.38290000000001</v>
      </c>
    </row>
    <row r="1634" spans="30:33" x14ac:dyDescent="0.2">
      <c r="AD1634" s="13">
        <v>44008</v>
      </c>
      <c r="AE1634" s="12">
        <v>30.962499999999999</v>
      </c>
      <c r="AF1634" s="13">
        <v>44008</v>
      </c>
      <c r="AG1634" s="12">
        <v>165.5317</v>
      </c>
    </row>
    <row r="1635" spans="30:33" x14ac:dyDescent="0.2">
      <c r="AD1635" s="13">
        <v>44011</v>
      </c>
      <c r="AE1635" s="12">
        <v>30.973600000000001</v>
      </c>
      <c r="AF1635" s="13">
        <v>44011</v>
      </c>
      <c r="AG1635" s="12">
        <v>166.3004</v>
      </c>
    </row>
    <row r="1636" spans="30:33" x14ac:dyDescent="0.2">
      <c r="AD1636" s="13">
        <v>44012</v>
      </c>
      <c r="AE1636" s="12">
        <v>30.929400000000001</v>
      </c>
      <c r="AF1636" s="13">
        <v>44012</v>
      </c>
      <c r="AG1636" s="12">
        <v>166.77160000000001</v>
      </c>
    </row>
    <row r="1637" spans="30:33" x14ac:dyDescent="0.2">
      <c r="AD1637" s="13">
        <v>44013</v>
      </c>
      <c r="AE1637" s="12">
        <v>30.8947</v>
      </c>
      <c r="AF1637" s="13">
        <v>44013</v>
      </c>
      <c r="AG1637" s="12">
        <v>167.42920000000001</v>
      </c>
    </row>
    <row r="1638" spans="30:33" x14ac:dyDescent="0.2">
      <c r="AD1638" s="13">
        <v>44014</v>
      </c>
      <c r="AE1638" s="12">
        <v>31.0274</v>
      </c>
      <c r="AF1638" s="13">
        <v>44014</v>
      </c>
      <c r="AG1638" s="12">
        <v>167.83930000000001</v>
      </c>
    </row>
    <row r="1639" spans="30:33" x14ac:dyDescent="0.2">
      <c r="AD1639" s="13">
        <v>44018</v>
      </c>
      <c r="AE1639" s="12">
        <v>30.883600000000001</v>
      </c>
      <c r="AF1639" s="13">
        <v>44018</v>
      </c>
      <c r="AG1639" s="12">
        <v>168.27430000000001</v>
      </c>
    </row>
    <row r="1640" spans="30:33" x14ac:dyDescent="0.2">
      <c r="AD1640" s="13">
        <v>44019</v>
      </c>
      <c r="AE1640" s="12">
        <v>30.977699999999999</v>
      </c>
      <c r="AF1640" s="13">
        <v>44019</v>
      </c>
      <c r="AG1640" s="12">
        <v>168.49799999999999</v>
      </c>
    </row>
    <row r="1641" spans="30:33" x14ac:dyDescent="0.2">
      <c r="AD1641" s="13">
        <v>44020</v>
      </c>
      <c r="AE1641" s="12">
        <v>30.961099999999998</v>
      </c>
      <c r="AF1641" s="13">
        <v>44020</v>
      </c>
      <c r="AG1641" s="12">
        <v>168.22460000000001</v>
      </c>
    </row>
    <row r="1642" spans="30:33" x14ac:dyDescent="0.2">
      <c r="AD1642" s="13">
        <v>44021</v>
      </c>
      <c r="AE1642" s="12">
        <v>31.0717</v>
      </c>
      <c r="AF1642" s="13">
        <v>44021</v>
      </c>
      <c r="AG1642" s="12">
        <v>169.16909999999999</v>
      </c>
    </row>
    <row r="1643" spans="30:33" x14ac:dyDescent="0.2">
      <c r="AD1643" s="13">
        <v>44022</v>
      </c>
      <c r="AE1643" s="12">
        <v>31.0274</v>
      </c>
      <c r="AF1643" s="13">
        <v>44022</v>
      </c>
      <c r="AG1643" s="12">
        <v>168.85839999999999</v>
      </c>
    </row>
    <row r="1644" spans="30:33" x14ac:dyDescent="0.2">
      <c r="AD1644" s="13">
        <v>44025</v>
      </c>
      <c r="AE1644" s="12">
        <v>31.055099999999999</v>
      </c>
      <c r="AF1644" s="13">
        <v>44025</v>
      </c>
      <c r="AG1644" s="12">
        <v>168.411</v>
      </c>
    </row>
    <row r="1645" spans="30:33" x14ac:dyDescent="0.2">
      <c r="AD1645" s="13">
        <v>44026</v>
      </c>
      <c r="AE1645" s="12">
        <v>31.060600000000001</v>
      </c>
      <c r="AF1645" s="13">
        <v>44026</v>
      </c>
      <c r="AG1645" s="12">
        <v>169.39279999999999</v>
      </c>
    </row>
    <row r="1646" spans="30:33" x14ac:dyDescent="0.2">
      <c r="AD1646" s="13">
        <v>44027</v>
      </c>
      <c r="AE1646" s="12">
        <v>31.038499999999999</v>
      </c>
      <c r="AF1646" s="13">
        <v>44027</v>
      </c>
      <c r="AG1646" s="12">
        <v>169.72829999999999</v>
      </c>
    </row>
    <row r="1647" spans="30:33" x14ac:dyDescent="0.2">
      <c r="AD1647" s="13">
        <v>44028</v>
      </c>
      <c r="AE1647" s="12">
        <v>31.0717</v>
      </c>
      <c r="AF1647" s="13">
        <v>44028</v>
      </c>
      <c r="AG1647" s="12">
        <v>170.20060000000001</v>
      </c>
    </row>
    <row r="1648" spans="30:33" x14ac:dyDescent="0.2">
      <c r="AD1648" s="13">
        <v>44029</v>
      </c>
      <c r="AE1648" s="12">
        <v>31.060600000000001</v>
      </c>
      <c r="AF1648" s="13">
        <v>44029</v>
      </c>
      <c r="AG1648" s="12">
        <v>170.66040000000001</v>
      </c>
    </row>
    <row r="1649" spans="30:33" x14ac:dyDescent="0.2">
      <c r="AD1649" s="13">
        <v>44032</v>
      </c>
      <c r="AE1649" s="12">
        <v>31.077200000000001</v>
      </c>
      <c r="AF1649" s="13">
        <v>44032</v>
      </c>
      <c r="AG1649" s="12">
        <v>171.1327</v>
      </c>
    </row>
    <row r="1650" spans="30:33" x14ac:dyDescent="0.2">
      <c r="AD1650" s="13">
        <v>44033</v>
      </c>
      <c r="AE1650" s="12">
        <v>31.093800000000002</v>
      </c>
      <c r="AF1650" s="13">
        <v>44033</v>
      </c>
      <c r="AG1650" s="12">
        <v>171.35640000000001</v>
      </c>
    </row>
    <row r="1651" spans="30:33" x14ac:dyDescent="0.2">
      <c r="AD1651" s="13">
        <v>44034</v>
      </c>
      <c r="AE1651" s="12">
        <v>31.110399999999998</v>
      </c>
      <c r="AF1651" s="13">
        <v>44034</v>
      </c>
      <c r="AG1651" s="12">
        <v>171.91569999999999</v>
      </c>
    </row>
    <row r="1652" spans="30:33" x14ac:dyDescent="0.2">
      <c r="AD1652" s="13">
        <v>44035</v>
      </c>
      <c r="AE1652" s="12">
        <v>31.182300000000001</v>
      </c>
      <c r="AF1652" s="13">
        <v>44035</v>
      </c>
      <c r="AG1652" s="12">
        <v>172.03989999999999</v>
      </c>
    </row>
    <row r="1653" spans="30:33" x14ac:dyDescent="0.2">
      <c r="AD1653" s="13">
        <v>44036</v>
      </c>
      <c r="AE1653" s="12">
        <v>31.187799999999999</v>
      </c>
      <c r="AF1653" s="13">
        <v>44036</v>
      </c>
      <c r="AG1653" s="12">
        <v>171.65469999999999</v>
      </c>
    </row>
    <row r="1654" spans="30:33" x14ac:dyDescent="0.2">
      <c r="AD1654" s="13">
        <v>44039</v>
      </c>
      <c r="AE1654" s="12">
        <v>31.138100000000001</v>
      </c>
      <c r="AF1654" s="13">
        <v>44039</v>
      </c>
      <c r="AG1654" s="12">
        <v>171.1327</v>
      </c>
    </row>
    <row r="1655" spans="30:33" x14ac:dyDescent="0.2">
      <c r="AD1655" s="13">
        <v>44040</v>
      </c>
      <c r="AE1655" s="12">
        <v>31.215499999999999</v>
      </c>
      <c r="AF1655" s="13">
        <v>44040</v>
      </c>
      <c r="AG1655" s="12">
        <v>170.95869999999999</v>
      </c>
    </row>
    <row r="1656" spans="30:33" x14ac:dyDescent="0.2">
      <c r="AD1656" s="13">
        <v>44041</v>
      </c>
      <c r="AE1656" s="12">
        <v>31.221</v>
      </c>
      <c r="AF1656" s="13">
        <v>44041</v>
      </c>
      <c r="AG1656" s="12">
        <v>171.89080000000001</v>
      </c>
    </row>
    <row r="1657" spans="30:33" x14ac:dyDescent="0.2">
      <c r="AD1657" s="13">
        <v>44042</v>
      </c>
      <c r="AE1657" s="12">
        <v>31.276299999999999</v>
      </c>
      <c r="AF1657" s="13">
        <v>44042</v>
      </c>
      <c r="AG1657" s="12">
        <v>171.70439999999999</v>
      </c>
    </row>
    <row r="1658" spans="30:33" x14ac:dyDescent="0.2">
      <c r="AD1658" s="13">
        <v>44043</v>
      </c>
      <c r="AE1658" s="12">
        <v>31.2818</v>
      </c>
      <c r="AF1658" s="13">
        <v>44043</v>
      </c>
      <c r="AG1658" s="12">
        <v>171.94049999999999</v>
      </c>
    </row>
    <row r="1659" spans="30:33" x14ac:dyDescent="0.2">
      <c r="AD1659" s="13">
        <v>44046</v>
      </c>
      <c r="AE1659" s="12">
        <v>31.256499999999999</v>
      </c>
      <c r="AF1659" s="13">
        <v>44046</v>
      </c>
      <c r="AG1659" s="12">
        <v>172.17089999999999</v>
      </c>
    </row>
    <row r="1660" spans="30:33" x14ac:dyDescent="0.2">
      <c r="AD1660" s="13">
        <v>44047</v>
      </c>
      <c r="AE1660" s="12">
        <v>31.334</v>
      </c>
      <c r="AF1660" s="13">
        <v>44047</v>
      </c>
      <c r="AG1660" s="12">
        <v>172.80609999999999</v>
      </c>
    </row>
    <row r="1661" spans="30:33" x14ac:dyDescent="0.2">
      <c r="AD1661" s="13">
        <v>44048</v>
      </c>
      <c r="AE1661" s="12">
        <v>31.256499999999999</v>
      </c>
      <c r="AF1661" s="13">
        <v>44048</v>
      </c>
      <c r="AG1661" s="12">
        <v>172.56950000000001</v>
      </c>
    </row>
    <row r="1662" spans="30:33" x14ac:dyDescent="0.2">
      <c r="AD1662" s="13">
        <v>44049</v>
      </c>
      <c r="AE1662" s="12">
        <v>31.2898</v>
      </c>
      <c r="AF1662" s="13">
        <v>44049</v>
      </c>
      <c r="AG1662" s="12">
        <v>173.30430000000001</v>
      </c>
    </row>
    <row r="1663" spans="30:33" x14ac:dyDescent="0.2">
      <c r="AD1663" s="13">
        <v>44050</v>
      </c>
      <c r="AE1663" s="12">
        <v>31.234400000000001</v>
      </c>
      <c r="AF1663" s="13">
        <v>44050</v>
      </c>
      <c r="AG1663" s="12">
        <v>172.8186</v>
      </c>
    </row>
    <row r="1664" spans="30:33" x14ac:dyDescent="0.2">
      <c r="AD1664" s="13">
        <v>44053</v>
      </c>
      <c r="AE1664" s="12">
        <v>31.195599999999999</v>
      </c>
      <c r="AF1664" s="13">
        <v>44053</v>
      </c>
      <c r="AG1664" s="12">
        <v>172.44489999999999</v>
      </c>
    </row>
    <row r="1665" spans="30:33" x14ac:dyDescent="0.2">
      <c r="AD1665" s="13">
        <v>44054</v>
      </c>
      <c r="AE1665" s="12">
        <v>31.0794</v>
      </c>
      <c r="AF1665" s="13">
        <v>44054</v>
      </c>
      <c r="AG1665" s="12">
        <v>171.3614</v>
      </c>
    </row>
    <row r="1666" spans="30:33" x14ac:dyDescent="0.2">
      <c r="AD1666" s="13">
        <v>44055</v>
      </c>
      <c r="AE1666" s="12">
        <v>31.013000000000002</v>
      </c>
      <c r="AF1666" s="13">
        <v>44055</v>
      </c>
      <c r="AG1666" s="12">
        <v>170.93790000000001</v>
      </c>
    </row>
    <row r="1667" spans="30:33" x14ac:dyDescent="0.2">
      <c r="AD1667" s="13">
        <v>44056</v>
      </c>
      <c r="AE1667" s="12">
        <v>30.924399999999999</v>
      </c>
      <c r="AF1667" s="13">
        <v>44056</v>
      </c>
      <c r="AG1667" s="12">
        <v>169.39359999999999</v>
      </c>
    </row>
    <row r="1668" spans="30:33" x14ac:dyDescent="0.2">
      <c r="AD1668" s="13">
        <v>44057</v>
      </c>
      <c r="AE1668" s="12">
        <v>30.907800000000002</v>
      </c>
      <c r="AF1668" s="13">
        <v>44057</v>
      </c>
      <c r="AG1668" s="12">
        <v>168.6463</v>
      </c>
    </row>
    <row r="1669" spans="30:33" x14ac:dyDescent="0.2">
      <c r="AD1669" s="13">
        <v>44060</v>
      </c>
      <c r="AE1669" s="12">
        <v>30.924399999999999</v>
      </c>
      <c r="AF1669" s="13">
        <v>44060</v>
      </c>
      <c r="AG1669" s="12">
        <v>168.995</v>
      </c>
    </row>
    <row r="1670" spans="30:33" x14ac:dyDescent="0.2">
      <c r="AD1670" s="13">
        <v>44061</v>
      </c>
      <c r="AE1670" s="12">
        <v>30.979700000000001</v>
      </c>
      <c r="AF1670" s="13">
        <v>44061</v>
      </c>
      <c r="AG1670" s="12">
        <v>169.48079999999999</v>
      </c>
    </row>
    <row r="1671" spans="30:33" x14ac:dyDescent="0.2">
      <c r="AD1671" s="13">
        <v>44062</v>
      </c>
      <c r="AE1671" s="12">
        <v>30.940999999999999</v>
      </c>
      <c r="AF1671" s="13">
        <v>44062</v>
      </c>
      <c r="AG1671" s="12">
        <v>169.0324</v>
      </c>
    </row>
    <row r="1672" spans="30:33" x14ac:dyDescent="0.2">
      <c r="AD1672" s="13">
        <v>44063</v>
      </c>
      <c r="AE1672" s="12">
        <v>31.013000000000002</v>
      </c>
      <c r="AF1672" s="13">
        <v>44063</v>
      </c>
      <c r="AG1672" s="12">
        <v>169.6302</v>
      </c>
    </row>
    <row r="1673" spans="30:33" x14ac:dyDescent="0.2">
      <c r="AD1673" s="13">
        <v>44064</v>
      </c>
      <c r="AE1673" s="12">
        <v>31.046199999999999</v>
      </c>
      <c r="AF1673" s="13">
        <v>44064</v>
      </c>
      <c r="AG1673" s="12">
        <v>169.94159999999999</v>
      </c>
    </row>
    <row r="1674" spans="30:33" x14ac:dyDescent="0.2">
      <c r="AD1674" s="13">
        <v>44067</v>
      </c>
      <c r="AE1674" s="12">
        <v>31.0351</v>
      </c>
      <c r="AF1674" s="13">
        <v>44067</v>
      </c>
      <c r="AG1674" s="12">
        <v>169.64269999999999</v>
      </c>
    </row>
    <row r="1675" spans="30:33" x14ac:dyDescent="0.2">
      <c r="AD1675" s="13">
        <v>44068</v>
      </c>
      <c r="AE1675" s="12">
        <v>30.968699999999998</v>
      </c>
      <c r="AF1675" s="13">
        <v>44068</v>
      </c>
      <c r="AG1675" s="12">
        <v>168.90790000000001</v>
      </c>
    </row>
    <row r="1676" spans="30:33" x14ac:dyDescent="0.2">
      <c r="AD1676" s="13">
        <v>44069</v>
      </c>
      <c r="AE1676" s="12">
        <v>30.9465</v>
      </c>
      <c r="AF1676" s="13">
        <v>44069</v>
      </c>
      <c r="AG1676" s="12">
        <v>168.9701</v>
      </c>
    </row>
    <row r="1677" spans="30:33" x14ac:dyDescent="0.2">
      <c r="AD1677" s="13">
        <v>44070</v>
      </c>
      <c r="AE1677" s="12">
        <v>30.819199999999999</v>
      </c>
      <c r="AF1677" s="13">
        <v>44070</v>
      </c>
      <c r="AG1677" s="12">
        <v>167.625</v>
      </c>
    </row>
    <row r="1678" spans="30:33" x14ac:dyDescent="0.2">
      <c r="AD1678" s="13">
        <v>44071</v>
      </c>
      <c r="AE1678" s="12">
        <v>30.846900000000002</v>
      </c>
      <c r="AF1678" s="13">
        <v>44071</v>
      </c>
      <c r="AG1678" s="12">
        <v>168.13570000000001</v>
      </c>
    </row>
    <row r="1679" spans="30:33" x14ac:dyDescent="0.2">
      <c r="AD1679" s="13">
        <v>44074</v>
      </c>
      <c r="AE1679" s="12">
        <v>30.891200000000001</v>
      </c>
      <c r="AF1679" s="13">
        <v>44074</v>
      </c>
      <c r="AG1679" s="12">
        <v>168.88290000000001</v>
      </c>
    </row>
    <row r="1680" spans="30:33" x14ac:dyDescent="0.2">
      <c r="AD1680" s="13">
        <v>44075</v>
      </c>
      <c r="AE1680" s="12">
        <v>30.985900000000001</v>
      </c>
      <c r="AF1680" s="13">
        <v>44075</v>
      </c>
      <c r="AG1680" s="12">
        <v>169.94800000000001</v>
      </c>
    </row>
    <row r="1681" spans="30:33" x14ac:dyDescent="0.2">
      <c r="AD1681" s="13">
        <v>44076</v>
      </c>
      <c r="AE1681" s="12">
        <v>31.052299999999999</v>
      </c>
      <c r="AF1681" s="13">
        <v>44076</v>
      </c>
      <c r="AG1681" s="12">
        <v>170.62200000000001</v>
      </c>
    </row>
    <row r="1682" spans="30:33" x14ac:dyDescent="0.2">
      <c r="AD1682" s="13">
        <v>44077</v>
      </c>
      <c r="AE1682" s="12">
        <v>31.0745</v>
      </c>
      <c r="AF1682" s="13">
        <v>44077</v>
      </c>
      <c r="AG1682" s="12">
        <v>170.24760000000001</v>
      </c>
    </row>
    <row r="1683" spans="30:33" x14ac:dyDescent="0.2">
      <c r="AD1683" s="13">
        <v>44078</v>
      </c>
      <c r="AE1683" s="12">
        <v>30.908300000000001</v>
      </c>
      <c r="AF1683" s="13">
        <v>44078</v>
      </c>
      <c r="AG1683" s="12">
        <v>168.43770000000001</v>
      </c>
    </row>
    <row r="1684" spans="30:33" x14ac:dyDescent="0.2">
      <c r="AD1684" s="13">
        <v>44082</v>
      </c>
      <c r="AE1684" s="12">
        <v>30.963699999999999</v>
      </c>
      <c r="AF1684" s="13">
        <v>44082</v>
      </c>
      <c r="AG1684" s="12">
        <v>168.6</v>
      </c>
    </row>
    <row r="1685" spans="30:33" x14ac:dyDescent="0.2">
      <c r="AD1685" s="13">
        <v>44083</v>
      </c>
      <c r="AE1685" s="12">
        <v>30.941500000000001</v>
      </c>
      <c r="AF1685" s="13">
        <v>44083</v>
      </c>
      <c r="AG1685" s="12">
        <v>168.7123</v>
      </c>
    </row>
    <row r="1686" spans="30:33" x14ac:dyDescent="0.2">
      <c r="AD1686" s="13">
        <v>44084</v>
      </c>
      <c r="AE1686" s="12">
        <v>30.985900000000001</v>
      </c>
      <c r="AF1686" s="13">
        <v>44084</v>
      </c>
      <c r="AG1686" s="12">
        <v>168.83709999999999</v>
      </c>
    </row>
    <row r="1687" spans="30:33" x14ac:dyDescent="0.2">
      <c r="AD1687" s="13">
        <v>44085</v>
      </c>
      <c r="AE1687" s="12">
        <v>31.007999999999999</v>
      </c>
      <c r="AF1687" s="13">
        <v>44085</v>
      </c>
      <c r="AG1687" s="12">
        <v>168.96199999999999</v>
      </c>
    </row>
    <row r="1688" spans="30:33" x14ac:dyDescent="0.2">
      <c r="AD1688" s="13">
        <v>44088</v>
      </c>
      <c r="AE1688" s="12">
        <v>30.9969</v>
      </c>
      <c r="AF1688" s="13">
        <v>44088</v>
      </c>
      <c r="AG1688" s="12">
        <v>169.38630000000001</v>
      </c>
    </row>
    <row r="1689" spans="30:33" x14ac:dyDescent="0.2">
      <c r="AD1689" s="13">
        <v>44089</v>
      </c>
      <c r="AE1689" s="12">
        <v>30.9969</v>
      </c>
      <c r="AF1689" s="13">
        <v>44089</v>
      </c>
      <c r="AG1689" s="12">
        <v>169.5736</v>
      </c>
    </row>
    <row r="1690" spans="30:33" x14ac:dyDescent="0.2">
      <c r="AD1690" s="13">
        <v>44090</v>
      </c>
      <c r="AE1690" s="12">
        <v>30.963699999999999</v>
      </c>
      <c r="AF1690" s="13">
        <v>44090</v>
      </c>
      <c r="AG1690" s="12">
        <v>169.6859</v>
      </c>
    </row>
    <row r="1691" spans="30:33" x14ac:dyDescent="0.2">
      <c r="AD1691" s="13">
        <v>44091</v>
      </c>
      <c r="AE1691" s="12">
        <v>30.974799999999998</v>
      </c>
      <c r="AF1691" s="13">
        <v>44091</v>
      </c>
      <c r="AG1691" s="12">
        <v>169.72329999999999</v>
      </c>
    </row>
    <row r="1692" spans="30:33" x14ac:dyDescent="0.2">
      <c r="AD1692" s="13">
        <v>44092</v>
      </c>
      <c r="AE1692" s="12">
        <v>30.9526</v>
      </c>
      <c r="AF1692" s="13">
        <v>44092</v>
      </c>
      <c r="AG1692" s="12">
        <v>169.41130000000001</v>
      </c>
    </row>
    <row r="1693" spans="30:33" x14ac:dyDescent="0.2">
      <c r="AD1693" s="13">
        <v>44095</v>
      </c>
      <c r="AE1693" s="12">
        <v>30.9969</v>
      </c>
      <c r="AF1693" s="13">
        <v>44095</v>
      </c>
      <c r="AG1693" s="12">
        <v>169.249</v>
      </c>
    </row>
    <row r="1694" spans="30:33" x14ac:dyDescent="0.2">
      <c r="AD1694" s="13">
        <v>44096</v>
      </c>
      <c r="AE1694" s="12">
        <v>30.991399999999999</v>
      </c>
      <c r="AF1694" s="13">
        <v>44096</v>
      </c>
      <c r="AG1694" s="12">
        <v>169.34889999999999</v>
      </c>
    </row>
    <row r="1695" spans="30:33" x14ac:dyDescent="0.2">
      <c r="AD1695" s="13">
        <v>44097</v>
      </c>
      <c r="AE1695" s="12">
        <v>31.002500000000001</v>
      </c>
      <c r="AF1695" s="13">
        <v>44097</v>
      </c>
      <c r="AG1695" s="12">
        <v>168.12569999999999</v>
      </c>
    </row>
    <row r="1696" spans="30:33" x14ac:dyDescent="0.2">
      <c r="AD1696" s="13">
        <v>44098</v>
      </c>
      <c r="AE1696" s="12">
        <v>31.0246</v>
      </c>
      <c r="AF1696" s="13">
        <v>44098</v>
      </c>
      <c r="AG1696" s="12">
        <v>167.7013</v>
      </c>
    </row>
    <row r="1697" spans="30:33" x14ac:dyDescent="0.2">
      <c r="AD1697" s="13">
        <v>44099</v>
      </c>
      <c r="AE1697" s="12">
        <v>31.0413</v>
      </c>
      <c r="AF1697" s="13">
        <v>44099</v>
      </c>
      <c r="AG1697" s="12">
        <v>167.5266</v>
      </c>
    </row>
    <row r="1698" spans="30:33" x14ac:dyDescent="0.2">
      <c r="AD1698" s="13">
        <v>44102</v>
      </c>
      <c r="AE1698" s="12">
        <v>31.019100000000002</v>
      </c>
      <c r="AF1698" s="13">
        <v>44102</v>
      </c>
      <c r="AG1698" s="12">
        <v>168.37530000000001</v>
      </c>
    </row>
    <row r="1699" spans="30:33" x14ac:dyDescent="0.2">
      <c r="AD1699" s="13">
        <v>44103</v>
      </c>
      <c r="AE1699" s="12">
        <v>31.030200000000001</v>
      </c>
      <c r="AF1699" s="13">
        <v>44103</v>
      </c>
      <c r="AG1699" s="12">
        <v>168.16309999999999</v>
      </c>
    </row>
    <row r="1700" spans="30:33" x14ac:dyDescent="0.2">
      <c r="AD1700" s="13">
        <v>44104</v>
      </c>
      <c r="AE1700" s="12">
        <v>30.974799999999998</v>
      </c>
      <c r="AF1700" s="13">
        <v>44104</v>
      </c>
      <c r="AG1700" s="12">
        <v>168.13820000000001</v>
      </c>
    </row>
    <row r="1701" spans="30:33" x14ac:dyDescent="0.2">
      <c r="AD1701" s="13">
        <v>44105</v>
      </c>
      <c r="AE1701" s="12">
        <v>30.978100000000001</v>
      </c>
      <c r="AF1701" s="13">
        <v>44105</v>
      </c>
      <c r="AG1701" s="12">
        <v>168.60560000000001</v>
      </c>
    </row>
    <row r="1702" spans="30:33" x14ac:dyDescent="0.2">
      <c r="AD1702" s="13">
        <v>44106</v>
      </c>
      <c r="AE1702" s="12">
        <v>30.939299999999999</v>
      </c>
      <c r="AF1702" s="13">
        <v>44106</v>
      </c>
      <c r="AG1702" s="12">
        <v>168.63059999999999</v>
      </c>
    </row>
    <row r="1703" spans="30:33" x14ac:dyDescent="0.2">
      <c r="AD1703" s="13">
        <v>44109</v>
      </c>
      <c r="AE1703" s="12">
        <v>30.7729</v>
      </c>
      <c r="AF1703" s="13">
        <v>44109</v>
      </c>
      <c r="AG1703" s="12">
        <v>168.0677</v>
      </c>
    </row>
    <row r="1704" spans="30:33" x14ac:dyDescent="0.2">
      <c r="AD1704" s="13">
        <v>44110</v>
      </c>
      <c r="AE1704" s="12">
        <v>30.8339</v>
      </c>
      <c r="AF1704" s="13">
        <v>44110</v>
      </c>
      <c r="AG1704" s="12">
        <v>167.93010000000001</v>
      </c>
    </row>
    <row r="1705" spans="30:33" x14ac:dyDescent="0.2">
      <c r="AD1705" s="13">
        <v>44111</v>
      </c>
      <c r="AE1705" s="12">
        <v>30.750699999999998</v>
      </c>
      <c r="AF1705" s="13">
        <v>44111</v>
      </c>
      <c r="AG1705" s="12">
        <v>167.98009999999999</v>
      </c>
    </row>
    <row r="1706" spans="30:33" x14ac:dyDescent="0.2">
      <c r="AD1706" s="13">
        <v>44112</v>
      </c>
      <c r="AE1706" s="12">
        <v>30.8062</v>
      </c>
      <c r="AF1706" s="13">
        <v>44112</v>
      </c>
      <c r="AG1706" s="12">
        <v>168.3929</v>
      </c>
    </row>
    <row r="1707" spans="30:33" x14ac:dyDescent="0.2">
      <c r="AD1707" s="13">
        <v>44113</v>
      </c>
      <c r="AE1707" s="12">
        <v>30.783999999999999</v>
      </c>
      <c r="AF1707" s="13">
        <v>44113</v>
      </c>
      <c r="AG1707" s="12">
        <v>168.7807</v>
      </c>
    </row>
    <row r="1708" spans="30:33" x14ac:dyDescent="0.2">
      <c r="AD1708" s="13">
        <v>44116</v>
      </c>
      <c r="AE1708" s="12">
        <v>30.811699999999998</v>
      </c>
      <c r="AF1708" s="13">
        <v>44116</v>
      </c>
      <c r="AG1708" s="12">
        <v>169.75640000000001</v>
      </c>
    </row>
    <row r="1709" spans="30:33" x14ac:dyDescent="0.2">
      <c r="AD1709" s="13">
        <v>44117</v>
      </c>
      <c r="AE1709" s="12">
        <v>30.878299999999999</v>
      </c>
      <c r="AF1709" s="13">
        <v>44117</v>
      </c>
      <c r="AG1709" s="12">
        <v>169.59379999999999</v>
      </c>
    </row>
    <row r="1710" spans="30:33" x14ac:dyDescent="0.2">
      <c r="AD1710" s="13">
        <v>44118</v>
      </c>
      <c r="AE1710" s="12">
        <v>30.900500000000001</v>
      </c>
      <c r="AF1710" s="13">
        <v>44118</v>
      </c>
      <c r="AG1710" s="12">
        <v>169.75640000000001</v>
      </c>
    </row>
    <row r="1711" spans="30:33" x14ac:dyDescent="0.2">
      <c r="AD1711" s="13">
        <v>44119</v>
      </c>
      <c r="AE1711" s="12">
        <v>30.889399999999998</v>
      </c>
      <c r="AF1711" s="13">
        <v>44119</v>
      </c>
      <c r="AG1711" s="12">
        <v>169.5813</v>
      </c>
    </row>
    <row r="1712" spans="30:33" x14ac:dyDescent="0.2">
      <c r="AD1712" s="13">
        <v>44120</v>
      </c>
      <c r="AE1712" s="12">
        <v>30.8672</v>
      </c>
      <c r="AF1712" s="13">
        <v>44120</v>
      </c>
      <c r="AG1712" s="12">
        <v>169.2936</v>
      </c>
    </row>
    <row r="1713" spans="30:33" x14ac:dyDescent="0.2">
      <c r="AD1713" s="13">
        <v>44123</v>
      </c>
      <c r="AE1713" s="12">
        <v>30.822800000000001</v>
      </c>
      <c r="AF1713" s="13">
        <v>44123</v>
      </c>
      <c r="AG1713" s="12">
        <v>168.9683</v>
      </c>
    </row>
    <row r="1714" spans="30:33" x14ac:dyDescent="0.2">
      <c r="AD1714" s="13">
        <v>44124</v>
      </c>
      <c r="AE1714" s="12">
        <v>30.7563</v>
      </c>
      <c r="AF1714" s="13">
        <v>44124</v>
      </c>
      <c r="AG1714" s="12">
        <v>168.6181</v>
      </c>
    </row>
    <row r="1715" spans="30:33" x14ac:dyDescent="0.2">
      <c r="AD1715" s="13">
        <v>44125</v>
      </c>
      <c r="AE1715" s="12">
        <v>30.7119</v>
      </c>
      <c r="AF1715" s="13">
        <v>44125</v>
      </c>
      <c r="AG1715" s="12">
        <v>168.34289999999999</v>
      </c>
    </row>
    <row r="1716" spans="30:33" x14ac:dyDescent="0.2">
      <c r="AD1716" s="13">
        <v>44126</v>
      </c>
      <c r="AE1716" s="12">
        <v>30.612100000000002</v>
      </c>
      <c r="AF1716" s="13">
        <v>44126</v>
      </c>
      <c r="AG1716" s="12">
        <v>167.9676</v>
      </c>
    </row>
    <row r="1717" spans="30:33" x14ac:dyDescent="0.2">
      <c r="AD1717" s="13">
        <v>44127</v>
      </c>
      <c r="AE1717" s="12">
        <v>30.6675</v>
      </c>
      <c r="AF1717" s="13">
        <v>44127</v>
      </c>
      <c r="AG1717" s="12">
        <v>168.3929</v>
      </c>
    </row>
    <row r="1718" spans="30:33" x14ac:dyDescent="0.2">
      <c r="AD1718" s="13">
        <v>44130</v>
      </c>
      <c r="AE1718" s="12">
        <v>30.745200000000001</v>
      </c>
      <c r="AF1718" s="13">
        <v>44130</v>
      </c>
      <c r="AG1718" s="12">
        <v>168.7432</v>
      </c>
    </row>
    <row r="1719" spans="30:33" x14ac:dyDescent="0.2">
      <c r="AD1719" s="13">
        <v>44131</v>
      </c>
      <c r="AE1719" s="12">
        <v>30.811699999999998</v>
      </c>
      <c r="AF1719" s="13">
        <v>44131</v>
      </c>
      <c r="AG1719" s="12">
        <v>169.43119999999999</v>
      </c>
    </row>
    <row r="1720" spans="30:33" x14ac:dyDescent="0.2">
      <c r="AD1720" s="13">
        <v>44132</v>
      </c>
      <c r="AE1720" s="12">
        <v>30.811699999999998</v>
      </c>
      <c r="AF1720" s="13">
        <v>44132</v>
      </c>
      <c r="AG1720" s="12">
        <v>168.59309999999999</v>
      </c>
    </row>
    <row r="1721" spans="30:33" x14ac:dyDescent="0.2">
      <c r="AD1721" s="13">
        <v>44133</v>
      </c>
      <c r="AE1721" s="12">
        <v>30.722999999999999</v>
      </c>
      <c r="AF1721" s="13">
        <v>44133</v>
      </c>
      <c r="AG1721" s="12">
        <v>168.15530000000001</v>
      </c>
    </row>
    <row r="1722" spans="30:33" x14ac:dyDescent="0.2">
      <c r="AD1722" s="13">
        <v>44134</v>
      </c>
      <c r="AE1722" s="12">
        <v>30.6343</v>
      </c>
      <c r="AF1722" s="13">
        <v>44134</v>
      </c>
      <c r="AG1722" s="12">
        <v>167.27969999999999</v>
      </c>
    </row>
    <row r="1723" spans="30:33" x14ac:dyDescent="0.2">
      <c r="AD1723" s="13">
        <v>44137</v>
      </c>
      <c r="AE1723" s="12">
        <v>30.680900000000001</v>
      </c>
      <c r="AF1723" s="13">
        <v>44137</v>
      </c>
      <c r="AG1723" s="12">
        <v>167.93340000000001</v>
      </c>
    </row>
    <row r="1724" spans="30:33" x14ac:dyDescent="0.2">
      <c r="AD1724" s="13">
        <v>44138</v>
      </c>
      <c r="AE1724" s="12">
        <v>30.636500000000002</v>
      </c>
      <c r="AF1724" s="13">
        <v>44138</v>
      </c>
      <c r="AG1724" s="12">
        <v>168.09630000000001</v>
      </c>
    </row>
    <row r="1725" spans="30:33" x14ac:dyDescent="0.2">
      <c r="AD1725" s="13">
        <v>44139</v>
      </c>
      <c r="AE1725" s="12">
        <v>30.825199999999999</v>
      </c>
      <c r="AF1725" s="13">
        <v>44139</v>
      </c>
      <c r="AG1725" s="12">
        <v>170.61590000000001</v>
      </c>
    </row>
    <row r="1726" spans="30:33" x14ac:dyDescent="0.2">
      <c r="AD1726" s="13">
        <v>44140</v>
      </c>
      <c r="AE1726" s="12">
        <v>30.858499999999999</v>
      </c>
      <c r="AF1726" s="13">
        <v>44140</v>
      </c>
      <c r="AG1726" s="12">
        <v>171.2552</v>
      </c>
    </row>
    <row r="1727" spans="30:33" x14ac:dyDescent="0.2">
      <c r="AD1727" s="13">
        <v>44141</v>
      </c>
      <c r="AE1727" s="12">
        <v>30.758600000000001</v>
      </c>
      <c r="AF1727" s="13">
        <v>44141</v>
      </c>
      <c r="AG1727" s="12">
        <v>170.71619999999999</v>
      </c>
    </row>
    <row r="1728" spans="30:33" x14ac:dyDescent="0.2">
      <c r="AD1728" s="13">
        <v>44144</v>
      </c>
      <c r="AE1728" s="12">
        <v>30.5533</v>
      </c>
      <c r="AF1728" s="13">
        <v>44144</v>
      </c>
      <c r="AG1728" s="12">
        <v>169.42500000000001</v>
      </c>
    </row>
    <row r="1729" spans="30:33" x14ac:dyDescent="0.2">
      <c r="AD1729" s="13">
        <v>44145</v>
      </c>
      <c r="AE1729" s="12">
        <v>30.503299999999999</v>
      </c>
      <c r="AF1729" s="13">
        <v>44145</v>
      </c>
      <c r="AG1729" s="12">
        <v>168.9863</v>
      </c>
    </row>
    <row r="1730" spans="30:33" x14ac:dyDescent="0.2">
      <c r="AD1730" s="13">
        <v>44146</v>
      </c>
      <c r="AE1730" s="12">
        <v>30.514399999999998</v>
      </c>
      <c r="AF1730" s="13">
        <v>44146</v>
      </c>
      <c r="AG1730" s="12">
        <v>169.2997</v>
      </c>
    </row>
    <row r="1731" spans="30:33" x14ac:dyDescent="0.2">
      <c r="AD1731" s="13">
        <v>44147</v>
      </c>
      <c r="AE1731" s="12">
        <v>30.6754</v>
      </c>
      <c r="AF1731" s="13">
        <v>44147</v>
      </c>
      <c r="AG1731" s="12">
        <v>169.97659999999999</v>
      </c>
    </row>
    <row r="1732" spans="30:33" x14ac:dyDescent="0.2">
      <c r="AD1732" s="13">
        <v>44148</v>
      </c>
      <c r="AE1732" s="12">
        <v>30.664300000000001</v>
      </c>
      <c r="AF1732" s="13">
        <v>44148</v>
      </c>
      <c r="AG1732" s="12">
        <v>170.1772</v>
      </c>
    </row>
    <row r="1733" spans="30:33" x14ac:dyDescent="0.2">
      <c r="AD1733" s="13">
        <v>44151</v>
      </c>
      <c r="AE1733" s="12">
        <v>30.647600000000001</v>
      </c>
      <c r="AF1733" s="13">
        <v>44151</v>
      </c>
      <c r="AG1733" s="12">
        <v>170.7287</v>
      </c>
    </row>
    <row r="1734" spans="30:33" x14ac:dyDescent="0.2">
      <c r="AD1734" s="13">
        <v>44152</v>
      </c>
      <c r="AE1734" s="12">
        <v>30.697600000000001</v>
      </c>
      <c r="AF1734" s="13">
        <v>44152</v>
      </c>
      <c r="AG1734" s="12">
        <v>171.28030000000001</v>
      </c>
    </row>
    <row r="1735" spans="30:33" x14ac:dyDescent="0.2">
      <c r="AD1735" s="13">
        <v>44153</v>
      </c>
      <c r="AE1735" s="12">
        <v>30.703099999999999</v>
      </c>
      <c r="AF1735" s="13">
        <v>44153</v>
      </c>
      <c r="AG1735" s="12">
        <v>171.6438</v>
      </c>
    </row>
    <row r="1736" spans="30:33" x14ac:dyDescent="0.2">
      <c r="AD1736" s="13">
        <v>44154</v>
      </c>
      <c r="AE1736" s="12">
        <v>30.747499999999999</v>
      </c>
      <c r="AF1736" s="13">
        <v>44154</v>
      </c>
      <c r="AG1736" s="12">
        <v>172.59639999999999</v>
      </c>
    </row>
    <row r="1737" spans="30:33" x14ac:dyDescent="0.2">
      <c r="AD1737" s="13">
        <v>44155</v>
      </c>
      <c r="AE1737" s="12">
        <v>30.825199999999999</v>
      </c>
      <c r="AF1737" s="13">
        <v>44155</v>
      </c>
      <c r="AG1737" s="12">
        <v>172.446</v>
      </c>
    </row>
    <row r="1738" spans="30:33" x14ac:dyDescent="0.2">
      <c r="AD1738" s="13">
        <v>44158</v>
      </c>
      <c r="AE1738" s="12">
        <v>30.7864</v>
      </c>
      <c r="AF1738" s="13">
        <v>44158</v>
      </c>
      <c r="AG1738" s="12">
        <v>172.6591</v>
      </c>
    </row>
    <row r="1739" spans="30:33" x14ac:dyDescent="0.2">
      <c r="AD1739" s="13">
        <v>44159</v>
      </c>
      <c r="AE1739" s="12">
        <v>30.714200000000002</v>
      </c>
      <c r="AF1739" s="13">
        <v>44159</v>
      </c>
      <c r="AG1739" s="12">
        <v>172.2705</v>
      </c>
    </row>
    <row r="1740" spans="30:33" x14ac:dyDescent="0.2">
      <c r="AD1740" s="13">
        <v>44160</v>
      </c>
      <c r="AE1740" s="12">
        <v>30.703099999999999</v>
      </c>
      <c r="AF1740" s="13">
        <v>44160</v>
      </c>
      <c r="AG1740" s="12">
        <v>172.3708</v>
      </c>
    </row>
    <row r="1741" spans="30:33" x14ac:dyDescent="0.2">
      <c r="AD1741" s="13">
        <v>44162</v>
      </c>
      <c r="AE1741" s="12">
        <v>30.7697</v>
      </c>
      <c r="AF1741" s="13">
        <v>44162</v>
      </c>
      <c r="AG1741" s="12">
        <v>172.98500000000001</v>
      </c>
    </row>
    <row r="1742" spans="30:33" x14ac:dyDescent="0.2">
      <c r="AD1742" s="13">
        <v>44165</v>
      </c>
      <c r="AE1742" s="12">
        <v>30.7864</v>
      </c>
      <c r="AF1742" s="13">
        <v>44165</v>
      </c>
      <c r="AG1742" s="12">
        <v>173.58670000000001</v>
      </c>
    </row>
    <row r="1743" spans="30:33" x14ac:dyDescent="0.2">
      <c r="AD1743" s="13">
        <v>44166</v>
      </c>
      <c r="AE1743" s="12">
        <v>30.627800000000001</v>
      </c>
      <c r="AF1743" s="13">
        <v>44166</v>
      </c>
      <c r="AG1743" s="12">
        <v>172.9299</v>
      </c>
    </row>
    <row r="1744" spans="30:33" x14ac:dyDescent="0.2">
      <c r="AD1744" s="13">
        <v>44167</v>
      </c>
      <c r="AE1744" s="12">
        <v>30.5718</v>
      </c>
      <c r="AF1744" s="13">
        <v>44167</v>
      </c>
      <c r="AG1744" s="12">
        <v>172.35210000000001</v>
      </c>
    </row>
    <row r="1745" spans="30:33" x14ac:dyDescent="0.2">
      <c r="AD1745" s="13">
        <v>44168</v>
      </c>
      <c r="AE1745" s="12">
        <v>30.655799999999999</v>
      </c>
      <c r="AF1745" s="13">
        <v>44168</v>
      </c>
      <c r="AG1745" s="12">
        <v>173.03039999999999</v>
      </c>
    </row>
    <row r="1746" spans="30:33" x14ac:dyDescent="0.2">
      <c r="AD1746" s="13">
        <v>44169</v>
      </c>
      <c r="AE1746" s="12">
        <v>30.532499999999999</v>
      </c>
      <c r="AF1746" s="13">
        <v>44169</v>
      </c>
      <c r="AG1746" s="12">
        <v>172.07579999999999</v>
      </c>
    </row>
    <row r="1747" spans="30:33" x14ac:dyDescent="0.2">
      <c r="AD1747" s="13">
        <v>44172</v>
      </c>
      <c r="AE1747" s="12">
        <v>30.627800000000001</v>
      </c>
      <c r="AF1747" s="13">
        <v>44172</v>
      </c>
      <c r="AG1747" s="12">
        <v>172.22649999999999</v>
      </c>
    </row>
    <row r="1748" spans="30:33" x14ac:dyDescent="0.2">
      <c r="AD1748" s="13">
        <v>44173</v>
      </c>
      <c r="AE1748" s="12">
        <v>30.655799999999999</v>
      </c>
      <c r="AF1748" s="13">
        <v>44173</v>
      </c>
      <c r="AG1748" s="12">
        <v>172.0256</v>
      </c>
    </row>
    <row r="1749" spans="30:33" x14ac:dyDescent="0.2">
      <c r="AD1749" s="13">
        <v>44174</v>
      </c>
      <c r="AE1749" s="12">
        <v>30.627800000000001</v>
      </c>
      <c r="AF1749" s="13">
        <v>44174</v>
      </c>
      <c r="AG1749" s="12">
        <v>171.39760000000001</v>
      </c>
    </row>
    <row r="1750" spans="30:33" x14ac:dyDescent="0.2">
      <c r="AD1750" s="13">
        <v>44175</v>
      </c>
      <c r="AE1750" s="12">
        <v>30.683800000000002</v>
      </c>
      <c r="AF1750" s="13">
        <v>44175</v>
      </c>
      <c r="AG1750" s="12">
        <v>172.2517</v>
      </c>
    </row>
    <row r="1751" spans="30:33" x14ac:dyDescent="0.2">
      <c r="AD1751" s="13">
        <v>44176</v>
      </c>
      <c r="AE1751" s="12">
        <v>30.7455</v>
      </c>
      <c r="AF1751" s="13">
        <v>44176</v>
      </c>
      <c r="AG1751" s="12">
        <v>172.42750000000001</v>
      </c>
    </row>
    <row r="1752" spans="30:33" x14ac:dyDescent="0.2">
      <c r="AD1752" s="13">
        <v>44179</v>
      </c>
      <c r="AE1752" s="12">
        <v>30.717500000000001</v>
      </c>
      <c r="AF1752" s="13">
        <v>44179</v>
      </c>
      <c r="AG1752" s="12">
        <v>172.30189999999999</v>
      </c>
    </row>
    <row r="1753" spans="30:33" x14ac:dyDescent="0.2">
      <c r="AD1753" s="13">
        <v>44180</v>
      </c>
      <c r="AE1753" s="12">
        <v>30.695</v>
      </c>
      <c r="AF1753" s="13">
        <v>44180</v>
      </c>
      <c r="AG1753" s="12">
        <v>172.64099999999999</v>
      </c>
    </row>
    <row r="1754" spans="30:33" x14ac:dyDescent="0.2">
      <c r="AD1754" s="13">
        <v>44181</v>
      </c>
      <c r="AE1754" s="12">
        <v>30.672599999999999</v>
      </c>
      <c r="AF1754" s="13">
        <v>44181</v>
      </c>
      <c r="AG1754" s="12">
        <v>172.50290000000001</v>
      </c>
    </row>
    <row r="1755" spans="30:33" x14ac:dyDescent="0.2">
      <c r="AD1755" s="13">
        <v>44182</v>
      </c>
      <c r="AE1755" s="12">
        <v>30.640699999999999</v>
      </c>
      <c r="AF1755" s="13">
        <v>44182</v>
      </c>
      <c r="AG1755" s="12">
        <v>172.75409999999999</v>
      </c>
    </row>
    <row r="1756" spans="30:33" x14ac:dyDescent="0.2">
      <c r="AD1756" s="13">
        <v>44183</v>
      </c>
      <c r="AE1756" s="12">
        <v>30.6294</v>
      </c>
      <c r="AF1756" s="13">
        <v>44183</v>
      </c>
      <c r="AG1756" s="12">
        <v>172.62819999999999</v>
      </c>
    </row>
    <row r="1757" spans="30:33" x14ac:dyDescent="0.2">
      <c r="AD1757" s="13">
        <v>44186</v>
      </c>
      <c r="AE1757" s="12">
        <v>30.6631</v>
      </c>
      <c r="AF1757" s="13">
        <v>44186</v>
      </c>
      <c r="AG1757" s="12">
        <v>172.2884</v>
      </c>
    </row>
    <row r="1758" spans="30:33" x14ac:dyDescent="0.2">
      <c r="AD1758" s="13">
        <v>44187</v>
      </c>
      <c r="AE1758" s="12">
        <v>30.6967</v>
      </c>
      <c r="AF1758" s="13">
        <v>44187</v>
      </c>
      <c r="AG1758" s="12">
        <v>172.76669999999999</v>
      </c>
    </row>
    <row r="1759" spans="30:33" x14ac:dyDescent="0.2">
      <c r="AD1759" s="13">
        <v>44188</v>
      </c>
      <c r="AE1759" s="12">
        <v>30.651900000000001</v>
      </c>
      <c r="AF1759" s="13">
        <v>44188</v>
      </c>
      <c r="AG1759" s="12">
        <v>172.80439999999999</v>
      </c>
    </row>
    <row r="1760" spans="30:33" x14ac:dyDescent="0.2">
      <c r="AD1760" s="13">
        <v>44189</v>
      </c>
      <c r="AE1760" s="12">
        <v>30.6631</v>
      </c>
      <c r="AF1760" s="13">
        <v>44189</v>
      </c>
      <c r="AG1760" s="12">
        <v>173.39599999999999</v>
      </c>
    </row>
    <row r="1761" spans="30:33" x14ac:dyDescent="0.2">
      <c r="AD1761" s="13">
        <v>44193</v>
      </c>
      <c r="AE1761" s="12">
        <v>30.674299999999999</v>
      </c>
      <c r="AF1761" s="13">
        <v>44193</v>
      </c>
      <c r="AG1761" s="12">
        <v>173.50919999999999</v>
      </c>
    </row>
    <row r="1762" spans="30:33" x14ac:dyDescent="0.2">
      <c r="AD1762" s="13">
        <v>44194</v>
      </c>
      <c r="AE1762" s="12">
        <v>30.668700000000001</v>
      </c>
      <c r="AF1762" s="13">
        <v>44194</v>
      </c>
      <c r="AG1762" s="12">
        <v>173.5847</v>
      </c>
    </row>
    <row r="1763" spans="30:33" x14ac:dyDescent="0.2">
      <c r="AD1763" s="13">
        <v>44195</v>
      </c>
      <c r="AE1763" s="12">
        <v>30.685500000000001</v>
      </c>
      <c r="AF1763" s="13">
        <v>44195</v>
      </c>
      <c r="AG1763" s="12">
        <v>173.81129999999999</v>
      </c>
    </row>
    <row r="1764" spans="30:33" x14ac:dyDescent="0.2">
      <c r="AD1764" s="13">
        <v>44196</v>
      </c>
      <c r="AE1764" s="12">
        <v>30.550899999999999</v>
      </c>
      <c r="AF1764" s="13">
        <v>44196</v>
      </c>
      <c r="AG1764" s="12">
        <v>173.84899999999999</v>
      </c>
    </row>
    <row r="1765" spans="30:33" x14ac:dyDescent="0.2">
      <c r="AD1765" s="13">
        <v>44200</v>
      </c>
      <c r="AE1765" s="12">
        <v>30.702300000000001</v>
      </c>
      <c r="AF1765" s="13">
        <v>44200</v>
      </c>
      <c r="AG1765" s="12">
        <v>172.96799999999999</v>
      </c>
    </row>
    <row r="1766" spans="30:33" x14ac:dyDescent="0.2">
      <c r="AD1766" s="13">
        <v>44201</v>
      </c>
      <c r="AE1766" s="12">
        <v>30.640699999999999</v>
      </c>
      <c r="AF1766" s="13">
        <v>44201</v>
      </c>
      <c r="AG1766" s="12">
        <v>172.4143</v>
      </c>
    </row>
    <row r="1767" spans="30:33" x14ac:dyDescent="0.2">
      <c r="AD1767" s="13">
        <v>44202</v>
      </c>
      <c r="AE1767" s="12">
        <v>30.461200000000002</v>
      </c>
      <c r="AF1767" s="13">
        <v>44202</v>
      </c>
      <c r="AG1767" s="12">
        <v>171.0172</v>
      </c>
    </row>
    <row r="1768" spans="30:33" x14ac:dyDescent="0.2">
      <c r="AD1768" s="13">
        <v>44203</v>
      </c>
      <c r="AE1768" s="12">
        <v>30.3827</v>
      </c>
      <c r="AF1768" s="13">
        <v>44203</v>
      </c>
      <c r="AG1768" s="12">
        <v>170.99199999999999</v>
      </c>
    </row>
    <row r="1769" spans="30:33" x14ac:dyDescent="0.2">
      <c r="AD1769" s="13">
        <v>44204</v>
      </c>
      <c r="AE1769" s="12">
        <v>30.337800000000001</v>
      </c>
      <c r="AF1769" s="13">
        <v>44204</v>
      </c>
      <c r="AG1769" s="12">
        <v>170.86619999999999</v>
      </c>
    </row>
    <row r="1770" spans="30:33" x14ac:dyDescent="0.2">
      <c r="AD1770" s="13">
        <v>44207</v>
      </c>
      <c r="AE1770" s="12">
        <v>30.309799999999999</v>
      </c>
      <c r="AF1770" s="13">
        <v>44207</v>
      </c>
      <c r="AG1770" s="12">
        <v>170.1362</v>
      </c>
    </row>
    <row r="1771" spans="30:33" x14ac:dyDescent="0.2">
      <c r="AD1771" s="13">
        <v>44208</v>
      </c>
      <c r="AE1771" s="12">
        <v>30.309799999999999</v>
      </c>
      <c r="AF1771" s="13">
        <v>44208</v>
      </c>
      <c r="AG1771" s="12">
        <v>170.50120000000001</v>
      </c>
    </row>
    <row r="1772" spans="30:33" x14ac:dyDescent="0.2">
      <c r="AD1772" s="13">
        <v>44209</v>
      </c>
      <c r="AE1772" s="12">
        <v>30.393899999999999</v>
      </c>
      <c r="AF1772" s="13">
        <v>44209</v>
      </c>
      <c r="AG1772" s="12">
        <v>171.8227</v>
      </c>
    </row>
    <row r="1773" spans="30:33" x14ac:dyDescent="0.2">
      <c r="AD1773" s="13">
        <v>44210</v>
      </c>
      <c r="AE1773" s="12">
        <v>30.343399999999999</v>
      </c>
      <c r="AF1773" s="13">
        <v>44210</v>
      </c>
      <c r="AG1773" s="12">
        <v>171.08019999999999</v>
      </c>
    </row>
    <row r="1774" spans="30:33" x14ac:dyDescent="0.2">
      <c r="AD1774" s="13">
        <v>44211</v>
      </c>
      <c r="AE1774" s="12">
        <v>30.3827</v>
      </c>
      <c r="AF1774" s="13">
        <v>44211</v>
      </c>
      <c r="AG1774" s="12">
        <v>171.34450000000001</v>
      </c>
    </row>
    <row r="1775" spans="30:33" x14ac:dyDescent="0.2">
      <c r="AD1775" s="13">
        <v>44215</v>
      </c>
      <c r="AE1775" s="12">
        <v>30.405100000000001</v>
      </c>
      <c r="AF1775" s="13">
        <v>44215</v>
      </c>
      <c r="AG1775" s="12">
        <v>171.6465</v>
      </c>
    </row>
    <row r="1776" spans="30:33" x14ac:dyDescent="0.2">
      <c r="AD1776" s="13">
        <v>44216</v>
      </c>
      <c r="AE1776" s="12">
        <v>30.4163</v>
      </c>
      <c r="AF1776" s="13">
        <v>44216</v>
      </c>
      <c r="AG1776" s="12">
        <v>171.59620000000001</v>
      </c>
    </row>
    <row r="1777" spans="30:33" x14ac:dyDescent="0.2">
      <c r="AD1777" s="13">
        <v>44217</v>
      </c>
      <c r="AE1777" s="12">
        <v>30.371500000000001</v>
      </c>
      <c r="AF1777" s="13">
        <v>44217</v>
      </c>
      <c r="AG1777" s="12">
        <v>170.91650000000001</v>
      </c>
    </row>
    <row r="1778" spans="30:33" x14ac:dyDescent="0.2">
      <c r="AD1778" s="13">
        <v>44218</v>
      </c>
      <c r="AE1778" s="12">
        <v>30.393899999999999</v>
      </c>
      <c r="AF1778" s="13">
        <v>44218</v>
      </c>
      <c r="AG1778" s="12">
        <v>170.79069999999999</v>
      </c>
    </row>
    <row r="1779" spans="30:33" x14ac:dyDescent="0.2">
      <c r="AD1779" s="13">
        <v>44221</v>
      </c>
      <c r="AE1779" s="12">
        <v>30.500499999999999</v>
      </c>
      <c r="AF1779" s="13">
        <v>44221</v>
      </c>
      <c r="AG1779" s="12">
        <v>171.52070000000001</v>
      </c>
    </row>
    <row r="1780" spans="30:33" x14ac:dyDescent="0.2">
      <c r="AD1780" s="13">
        <v>44222</v>
      </c>
      <c r="AE1780" s="12">
        <v>30.483599999999999</v>
      </c>
      <c r="AF1780" s="13">
        <v>44222</v>
      </c>
      <c r="AG1780" s="12">
        <v>171.50810000000001</v>
      </c>
    </row>
    <row r="1781" spans="30:33" x14ac:dyDescent="0.2">
      <c r="AD1781" s="13">
        <v>44223</v>
      </c>
      <c r="AE1781" s="12">
        <v>30.517299999999999</v>
      </c>
      <c r="AF1781" s="13">
        <v>44223</v>
      </c>
      <c r="AG1781" s="12">
        <v>171.20599999999999</v>
      </c>
    </row>
    <row r="1782" spans="30:33" x14ac:dyDescent="0.2">
      <c r="AD1782" s="13">
        <v>44224</v>
      </c>
      <c r="AE1782" s="12">
        <v>30.4556</v>
      </c>
      <c r="AF1782" s="13">
        <v>44224</v>
      </c>
      <c r="AG1782" s="12">
        <v>170.92910000000001</v>
      </c>
    </row>
    <row r="1783" spans="30:33" x14ac:dyDescent="0.2">
      <c r="AD1783" s="13">
        <v>44225</v>
      </c>
      <c r="AE1783" s="12">
        <v>30.410699999999999</v>
      </c>
      <c r="AF1783" s="13">
        <v>44225</v>
      </c>
      <c r="AG1783" s="12">
        <v>170.66480000000001</v>
      </c>
    </row>
    <row r="1784" spans="30:33" x14ac:dyDescent="0.2">
      <c r="AD1784" s="13">
        <v>44228</v>
      </c>
      <c r="AE1784" s="12">
        <v>30.439499999999999</v>
      </c>
      <c r="AF1784" s="13">
        <v>44228</v>
      </c>
      <c r="AG1784" s="12">
        <v>171.00120000000001</v>
      </c>
    </row>
    <row r="1785" spans="30:33" x14ac:dyDescent="0.2">
      <c r="AD1785" s="13">
        <v>44229</v>
      </c>
      <c r="AE1785" s="12">
        <v>30.3721</v>
      </c>
      <c r="AF1785" s="13">
        <v>44229</v>
      </c>
      <c r="AG1785" s="12">
        <v>170.5472</v>
      </c>
    </row>
    <row r="1786" spans="30:33" x14ac:dyDescent="0.2">
      <c r="AD1786" s="13">
        <v>44230</v>
      </c>
      <c r="AE1786" s="12">
        <v>30.293500000000002</v>
      </c>
      <c r="AF1786" s="13">
        <v>44230</v>
      </c>
      <c r="AG1786" s="12">
        <v>170.1437</v>
      </c>
    </row>
    <row r="1787" spans="30:33" x14ac:dyDescent="0.2">
      <c r="AD1787" s="13">
        <v>44231</v>
      </c>
      <c r="AE1787" s="12">
        <v>30.271100000000001</v>
      </c>
      <c r="AF1787" s="13">
        <v>44231</v>
      </c>
      <c r="AG1787" s="12">
        <v>170.43369999999999</v>
      </c>
    </row>
    <row r="1788" spans="30:33" x14ac:dyDescent="0.2">
      <c r="AD1788" s="13">
        <v>44232</v>
      </c>
      <c r="AE1788" s="12">
        <v>30.226199999999999</v>
      </c>
      <c r="AF1788" s="13">
        <v>44232</v>
      </c>
      <c r="AG1788" s="12">
        <v>169.97970000000001</v>
      </c>
    </row>
    <row r="1789" spans="30:33" x14ac:dyDescent="0.2">
      <c r="AD1789" s="13">
        <v>44235</v>
      </c>
      <c r="AE1789" s="12">
        <v>30.237400000000001</v>
      </c>
      <c r="AF1789" s="13">
        <v>44235</v>
      </c>
      <c r="AG1789" s="12">
        <v>170.71109999999999</v>
      </c>
    </row>
    <row r="1790" spans="30:33" x14ac:dyDescent="0.2">
      <c r="AD1790" s="13">
        <v>44236</v>
      </c>
      <c r="AE1790" s="12">
        <v>30.254300000000001</v>
      </c>
      <c r="AF1790" s="13">
        <v>44236</v>
      </c>
      <c r="AG1790" s="12">
        <v>170.44630000000001</v>
      </c>
    </row>
    <row r="1791" spans="30:33" x14ac:dyDescent="0.2">
      <c r="AD1791" s="13">
        <v>44237</v>
      </c>
      <c r="AE1791" s="12">
        <v>30.315999999999999</v>
      </c>
      <c r="AF1791" s="13">
        <v>44237</v>
      </c>
      <c r="AG1791" s="12">
        <v>170.84989999999999</v>
      </c>
    </row>
    <row r="1792" spans="30:33" x14ac:dyDescent="0.2">
      <c r="AD1792" s="13">
        <v>44238</v>
      </c>
      <c r="AE1792" s="12">
        <v>30.276700000000002</v>
      </c>
      <c r="AF1792" s="13">
        <v>44238</v>
      </c>
      <c r="AG1792" s="12">
        <v>170.39590000000001</v>
      </c>
    </row>
    <row r="1793" spans="30:33" x14ac:dyDescent="0.2">
      <c r="AD1793" s="13">
        <v>44239</v>
      </c>
      <c r="AE1793" s="12">
        <v>30.170100000000001</v>
      </c>
      <c r="AF1793" s="13">
        <v>44239</v>
      </c>
      <c r="AG1793" s="12">
        <v>169.84100000000001</v>
      </c>
    </row>
    <row r="1794" spans="30:33" x14ac:dyDescent="0.2">
      <c r="AD1794" s="13">
        <v>44243</v>
      </c>
      <c r="AE1794" s="12">
        <v>30.035399999999999</v>
      </c>
      <c r="AF1794" s="13">
        <v>44243</v>
      </c>
      <c r="AG1794" s="12">
        <v>168.643</v>
      </c>
    </row>
    <row r="1795" spans="30:33" x14ac:dyDescent="0.2">
      <c r="AD1795" s="13">
        <v>44244</v>
      </c>
      <c r="AE1795" s="12">
        <v>30.080300000000001</v>
      </c>
      <c r="AF1795" s="13">
        <v>44244</v>
      </c>
      <c r="AG1795" s="12">
        <v>169.4879</v>
      </c>
    </row>
    <row r="1796" spans="30:33" x14ac:dyDescent="0.2">
      <c r="AD1796" s="13">
        <v>44245</v>
      </c>
      <c r="AE1796" s="12">
        <v>30.052199999999999</v>
      </c>
      <c r="AF1796" s="13">
        <v>44245</v>
      </c>
      <c r="AG1796" s="12">
        <v>169.16</v>
      </c>
    </row>
    <row r="1797" spans="30:33" x14ac:dyDescent="0.2">
      <c r="AD1797" s="13">
        <v>44246</v>
      </c>
      <c r="AE1797" s="12">
        <v>29.945599999999999</v>
      </c>
      <c r="AF1797" s="13">
        <v>44246</v>
      </c>
      <c r="AG1797" s="12">
        <v>167.93680000000001</v>
      </c>
    </row>
    <row r="1798" spans="30:33" x14ac:dyDescent="0.2">
      <c r="AD1798" s="13">
        <v>44249</v>
      </c>
      <c r="AE1798" s="12">
        <v>29.883900000000001</v>
      </c>
      <c r="AF1798" s="13">
        <v>44249</v>
      </c>
      <c r="AG1798" s="12">
        <v>166.89009999999999</v>
      </c>
    </row>
    <row r="1799" spans="30:33" x14ac:dyDescent="0.2">
      <c r="AD1799" s="13">
        <v>44250</v>
      </c>
      <c r="AE1799" s="12">
        <v>29.872599999999998</v>
      </c>
      <c r="AF1799" s="13">
        <v>44250</v>
      </c>
      <c r="AG1799" s="12">
        <v>167.0162</v>
      </c>
    </row>
    <row r="1800" spans="30:33" x14ac:dyDescent="0.2">
      <c r="AD1800" s="13">
        <v>44251</v>
      </c>
      <c r="AE1800" s="12">
        <v>29.822099999999999</v>
      </c>
      <c r="AF1800" s="13">
        <v>44251</v>
      </c>
      <c r="AG1800" s="12">
        <v>167.26840000000001</v>
      </c>
    </row>
    <row r="1801" spans="30:33" x14ac:dyDescent="0.2">
      <c r="AD1801" s="13">
        <v>44252</v>
      </c>
      <c r="AE1801" s="12">
        <v>29.541499999999999</v>
      </c>
      <c r="AF1801" s="13">
        <v>44252</v>
      </c>
      <c r="AG1801" s="12">
        <v>164.62020000000001</v>
      </c>
    </row>
    <row r="1802" spans="30:33" x14ac:dyDescent="0.2">
      <c r="AD1802" s="13">
        <v>44253</v>
      </c>
      <c r="AE1802" s="12">
        <v>29.855799999999999</v>
      </c>
      <c r="AF1802" s="13">
        <v>44253</v>
      </c>
      <c r="AG1802" s="12">
        <v>166.80179999999999</v>
      </c>
    </row>
    <row r="1803" spans="30:33" x14ac:dyDescent="0.2">
      <c r="AD1803" s="13">
        <v>44256</v>
      </c>
      <c r="AE1803" s="12">
        <v>29.764500000000002</v>
      </c>
      <c r="AF1803" s="13">
        <v>44256</v>
      </c>
      <c r="AG1803" s="12">
        <v>166.9648</v>
      </c>
    </row>
    <row r="1804" spans="30:33" x14ac:dyDescent="0.2">
      <c r="AD1804" s="13">
        <v>44257</v>
      </c>
      <c r="AE1804" s="12">
        <v>29.786899999999999</v>
      </c>
      <c r="AF1804" s="13">
        <v>44257</v>
      </c>
      <c r="AG1804" s="12">
        <v>166.77520000000001</v>
      </c>
    </row>
    <row r="1805" spans="30:33" x14ac:dyDescent="0.2">
      <c r="AD1805" s="13">
        <v>44258</v>
      </c>
      <c r="AE1805" s="12">
        <v>29.697099999999999</v>
      </c>
      <c r="AF1805" s="13">
        <v>44258</v>
      </c>
      <c r="AG1805" s="12">
        <v>165.5368</v>
      </c>
    </row>
    <row r="1806" spans="30:33" x14ac:dyDescent="0.2">
      <c r="AD1806" s="13">
        <v>44259</v>
      </c>
      <c r="AE1806" s="12">
        <v>29.607199999999999</v>
      </c>
      <c r="AF1806" s="13">
        <v>44259</v>
      </c>
      <c r="AG1806" s="12">
        <v>164.18469999999999</v>
      </c>
    </row>
    <row r="1807" spans="30:33" x14ac:dyDescent="0.2">
      <c r="AD1807" s="13">
        <v>44260</v>
      </c>
      <c r="AE1807" s="12">
        <v>29.607199999999999</v>
      </c>
      <c r="AF1807" s="13">
        <v>44260</v>
      </c>
      <c r="AG1807" s="12">
        <v>163.9699</v>
      </c>
    </row>
    <row r="1808" spans="30:33" x14ac:dyDescent="0.2">
      <c r="AD1808" s="13">
        <v>44263</v>
      </c>
      <c r="AE1808" s="12">
        <v>29.511800000000001</v>
      </c>
      <c r="AF1808" s="13">
        <v>44263</v>
      </c>
      <c r="AG1808" s="12">
        <v>162.4409</v>
      </c>
    </row>
    <row r="1809" spans="30:33" x14ac:dyDescent="0.2">
      <c r="AD1809" s="13">
        <v>44264</v>
      </c>
      <c r="AE1809" s="12">
        <v>29.618500000000001</v>
      </c>
      <c r="AF1809" s="13">
        <v>44264</v>
      </c>
      <c r="AG1809" s="12">
        <v>163.66669999999999</v>
      </c>
    </row>
    <row r="1810" spans="30:33" x14ac:dyDescent="0.2">
      <c r="AD1810" s="13">
        <v>44265</v>
      </c>
      <c r="AE1810" s="12">
        <v>29.6465</v>
      </c>
      <c r="AF1810" s="13">
        <v>44265</v>
      </c>
      <c r="AG1810" s="12">
        <v>164.4375</v>
      </c>
    </row>
    <row r="1811" spans="30:33" x14ac:dyDescent="0.2">
      <c r="AD1811" s="13">
        <v>44266</v>
      </c>
      <c r="AE1811" s="12">
        <v>29.624099999999999</v>
      </c>
      <c r="AF1811" s="13">
        <v>44266</v>
      </c>
      <c r="AG1811" s="12">
        <v>164.5386</v>
      </c>
    </row>
    <row r="1812" spans="30:33" x14ac:dyDescent="0.2">
      <c r="AD1812" s="13">
        <v>44267</v>
      </c>
      <c r="AE1812" s="12">
        <v>29.438800000000001</v>
      </c>
      <c r="AF1812" s="13">
        <v>44267</v>
      </c>
      <c r="AG1812" s="12">
        <v>162.6431</v>
      </c>
    </row>
    <row r="1813" spans="30:33" x14ac:dyDescent="0.2">
      <c r="AD1813" s="13">
        <v>44270</v>
      </c>
      <c r="AE1813" s="12">
        <v>29.4893</v>
      </c>
      <c r="AF1813" s="13">
        <v>44270</v>
      </c>
      <c r="AG1813" s="12">
        <v>163.19909999999999</v>
      </c>
    </row>
    <row r="1814" spans="30:33" x14ac:dyDescent="0.2">
      <c r="AD1814" s="13">
        <v>44271</v>
      </c>
      <c r="AE1814" s="12">
        <v>29.4724</v>
      </c>
      <c r="AF1814" s="13">
        <v>44271</v>
      </c>
      <c r="AG1814" s="12">
        <v>163.08539999999999</v>
      </c>
    </row>
    <row r="1815" spans="30:33" x14ac:dyDescent="0.2">
      <c r="AD1815" s="13">
        <v>44272</v>
      </c>
      <c r="AE1815" s="12">
        <v>29.4331</v>
      </c>
      <c r="AF1815" s="13">
        <v>44272</v>
      </c>
      <c r="AG1815" s="12">
        <v>163.23699999999999</v>
      </c>
    </row>
    <row r="1816" spans="30:33" x14ac:dyDescent="0.2">
      <c r="AD1816" s="13">
        <v>44273</v>
      </c>
      <c r="AE1816" s="12">
        <v>29.332000000000001</v>
      </c>
      <c r="AF1816" s="13">
        <v>44273</v>
      </c>
      <c r="AG1816" s="12">
        <v>162.30189999999999</v>
      </c>
    </row>
    <row r="1817" spans="30:33" x14ac:dyDescent="0.2">
      <c r="AD1817" s="13">
        <v>44274</v>
      </c>
      <c r="AE1817" s="12">
        <v>29.3657</v>
      </c>
      <c r="AF1817" s="13">
        <v>44274</v>
      </c>
      <c r="AG1817" s="12">
        <v>162.542</v>
      </c>
    </row>
    <row r="1818" spans="30:33" x14ac:dyDescent="0.2">
      <c r="AD1818" s="13">
        <v>44277</v>
      </c>
      <c r="AE1818" s="12">
        <v>29.444400000000002</v>
      </c>
      <c r="AF1818" s="13">
        <v>44277</v>
      </c>
      <c r="AG1818" s="12">
        <v>163.1233</v>
      </c>
    </row>
    <row r="1819" spans="30:33" x14ac:dyDescent="0.2">
      <c r="AD1819" s="13">
        <v>44278</v>
      </c>
      <c r="AE1819" s="12">
        <v>29.5061</v>
      </c>
      <c r="AF1819" s="13">
        <v>44278</v>
      </c>
      <c r="AG1819" s="12">
        <v>163.6035</v>
      </c>
    </row>
    <row r="1820" spans="30:33" x14ac:dyDescent="0.2">
      <c r="AD1820" s="13">
        <v>44279</v>
      </c>
      <c r="AE1820" s="12">
        <v>29.5623</v>
      </c>
      <c r="AF1820" s="13">
        <v>44279</v>
      </c>
      <c r="AG1820" s="12">
        <v>164.09630000000001</v>
      </c>
    </row>
    <row r="1821" spans="30:33" x14ac:dyDescent="0.2">
      <c r="AD1821" s="13">
        <v>44280</v>
      </c>
      <c r="AE1821" s="12">
        <v>29.528600000000001</v>
      </c>
      <c r="AF1821" s="13">
        <v>44280</v>
      </c>
      <c r="AG1821" s="12">
        <v>163.9067</v>
      </c>
    </row>
    <row r="1822" spans="30:33" x14ac:dyDescent="0.2">
      <c r="AD1822" s="13">
        <v>44281</v>
      </c>
      <c r="AE1822" s="12">
        <v>29.483699999999999</v>
      </c>
      <c r="AF1822" s="13">
        <v>44281</v>
      </c>
      <c r="AG1822" s="12">
        <v>163.79300000000001</v>
      </c>
    </row>
    <row r="1823" spans="30:33" x14ac:dyDescent="0.2">
      <c r="AD1823" s="13">
        <v>44284</v>
      </c>
      <c r="AE1823" s="12">
        <v>29.410699999999999</v>
      </c>
      <c r="AF1823" s="13">
        <v>44284</v>
      </c>
      <c r="AG1823" s="12">
        <v>163.40129999999999</v>
      </c>
    </row>
    <row r="1824" spans="30:33" x14ac:dyDescent="0.2">
      <c r="AD1824" s="13">
        <v>44285</v>
      </c>
      <c r="AE1824" s="12">
        <v>29.421900000000001</v>
      </c>
      <c r="AF1824" s="13">
        <v>44285</v>
      </c>
      <c r="AG1824" s="12">
        <v>163.9067</v>
      </c>
    </row>
    <row r="1825" spans="30:33" x14ac:dyDescent="0.2">
      <c r="AD1825" s="13">
        <v>44286</v>
      </c>
      <c r="AE1825" s="12">
        <v>29.4163</v>
      </c>
      <c r="AF1825" s="13">
        <v>44286</v>
      </c>
      <c r="AG1825" s="12">
        <v>164.3364</v>
      </c>
    </row>
    <row r="1826" spans="30:33" x14ac:dyDescent="0.2">
      <c r="AD1826" s="13">
        <v>44287</v>
      </c>
      <c r="AE1826" s="12">
        <v>29.499700000000001</v>
      </c>
      <c r="AF1826" s="13">
        <v>44287</v>
      </c>
      <c r="AG1826" s="12">
        <v>165.36490000000001</v>
      </c>
    </row>
    <row r="1827" spans="30:33" x14ac:dyDescent="0.2">
      <c r="AD1827" s="13">
        <v>44291</v>
      </c>
      <c r="AE1827" s="12">
        <v>29.437899999999999</v>
      </c>
      <c r="AF1827" s="13">
        <v>44291</v>
      </c>
      <c r="AG1827" s="12">
        <v>164.55459999999999</v>
      </c>
    </row>
    <row r="1828" spans="30:33" x14ac:dyDescent="0.2">
      <c r="AD1828" s="13">
        <v>44292</v>
      </c>
      <c r="AE1828" s="12">
        <v>29.5334</v>
      </c>
      <c r="AF1828" s="13">
        <v>44292</v>
      </c>
      <c r="AG1828" s="12">
        <v>165.65610000000001</v>
      </c>
    </row>
    <row r="1829" spans="30:33" x14ac:dyDescent="0.2">
      <c r="AD1829" s="13">
        <v>44293</v>
      </c>
      <c r="AE1829" s="12">
        <v>29.505299999999998</v>
      </c>
      <c r="AF1829" s="13">
        <v>44293</v>
      </c>
      <c r="AG1829" s="12">
        <v>165.32689999999999</v>
      </c>
    </row>
    <row r="1830" spans="30:33" x14ac:dyDescent="0.2">
      <c r="AD1830" s="13">
        <v>44294</v>
      </c>
      <c r="AE1830" s="12">
        <v>29.5671</v>
      </c>
      <c r="AF1830" s="13">
        <v>44294</v>
      </c>
      <c r="AG1830" s="12">
        <v>165.93459999999999</v>
      </c>
    </row>
    <row r="1831" spans="30:33" x14ac:dyDescent="0.2">
      <c r="AD1831" s="13">
        <v>44295</v>
      </c>
      <c r="AE1831" s="12">
        <v>29.5334</v>
      </c>
      <c r="AF1831" s="13">
        <v>44295</v>
      </c>
      <c r="AG1831" s="12">
        <v>165.59280000000001</v>
      </c>
    </row>
    <row r="1832" spans="30:33" x14ac:dyDescent="0.2">
      <c r="AD1832" s="13">
        <v>44298</v>
      </c>
      <c r="AE1832" s="12">
        <v>29.516500000000001</v>
      </c>
      <c r="AF1832" s="13">
        <v>44298</v>
      </c>
      <c r="AG1832" s="12">
        <v>165.5548</v>
      </c>
    </row>
    <row r="1833" spans="30:33" x14ac:dyDescent="0.2">
      <c r="AD1833" s="13">
        <v>44299</v>
      </c>
      <c r="AE1833" s="12">
        <v>29.589600000000001</v>
      </c>
      <c r="AF1833" s="13">
        <v>44299</v>
      </c>
      <c r="AG1833" s="12">
        <v>166.28909999999999</v>
      </c>
    </row>
    <row r="1834" spans="30:33" x14ac:dyDescent="0.2">
      <c r="AD1834" s="13">
        <v>44300</v>
      </c>
      <c r="AE1834" s="12">
        <v>29.561499999999999</v>
      </c>
      <c r="AF1834" s="13">
        <v>44300</v>
      </c>
      <c r="AG1834" s="12">
        <v>166.06120000000001</v>
      </c>
    </row>
    <row r="1835" spans="30:33" x14ac:dyDescent="0.2">
      <c r="AD1835" s="13">
        <v>44301</v>
      </c>
      <c r="AE1835" s="12">
        <v>29.707599999999999</v>
      </c>
      <c r="AF1835" s="13">
        <v>44301</v>
      </c>
      <c r="AG1835" s="12">
        <v>167.08680000000001</v>
      </c>
    </row>
    <row r="1836" spans="30:33" x14ac:dyDescent="0.2">
      <c r="AD1836" s="13">
        <v>44302</v>
      </c>
      <c r="AE1836" s="12">
        <v>29.6402</v>
      </c>
      <c r="AF1836" s="13">
        <v>44302</v>
      </c>
      <c r="AG1836" s="12">
        <v>165.94730000000001</v>
      </c>
    </row>
    <row r="1837" spans="30:33" x14ac:dyDescent="0.2">
      <c r="AD1837" s="13">
        <v>44305</v>
      </c>
      <c r="AE1837" s="12">
        <v>29.628900000000002</v>
      </c>
      <c r="AF1837" s="13">
        <v>44305</v>
      </c>
      <c r="AG1837" s="12">
        <v>165.51679999999999</v>
      </c>
    </row>
    <row r="1838" spans="30:33" x14ac:dyDescent="0.2">
      <c r="AD1838" s="13">
        <v>44306</v>
      </c>
      <c r="AE1838" s="12">
        <v>29.685099999999998</v>
      </c>
      <c r="AF1838" s="13">
        <v>44306</v>
      </c>
      <c r="AG1838" s="12">
        <v>165.83330000000001</v>
      </c>
    </row>
    <row r="1839" spans="30:33" x14ac:dyDescent="0.2">
      <c r="AD1839" s="13">
        <v>44307</v>
      </c>
      <c r="AE1839" s="12">
        <v>29.6739</v>
      </c>
      <c r="AF1839" s="13">
        <v>44307</v>
      </c>
      <c r="AG1839" s="12">
        <v>166.40309999999999</v>
      </c>
    </row>
    <row r="1840" spans="30:33" x14ac:dyDescent="0.2">
      <c r="AD1840" s="13">
        <v>44308</v>
      </c>
      <c r="AE1840" s="12">
        <v>29.707599999999999</v>
      </c>
      <c r="AF1840" s="13">
        <v>44308</v>
      </c>
      <c r="AG1840" s="12">
        <v>166.5677</v>
      </c>
    </row>
    <row r="1841" spans="30:33" x14ac:dyDescent="0.2">
      <c r="AD1841" s="13">
        <v>44309</v>
      </c>
      <c r="AE1841" s="12">
        <v>29.696400000000001</v>
      </c>
      <c r="AF1841" s="13">
        <v>44309</v>
      </c>
      <c r="AG1841" s="12">
        <v>166.70689999999999</v>
      </c>
    </row>
    <row r="1842" spans="30:33" x14ac:dyDescent="0.2">
      <c r="AD1842" s="13">
        <v>44312</v>
      </c>
      <c r="AE1842" s="12">
        <v>29.679500000000001</v>
      </c>
      <c r="AF1842" s="13">
        <v>44312</v>
      </c>
      <c r="AG1842" s="12">
        <v>166.631</v>
      </c>
    </row>
    <row r="1843" spans="30:33" x14ac:dyDescent="0.2">
      <c r="AD1843" s="13">
        <v>44313</v>
      </c>
      <c r="AE1843" s="12">
        <v>29.595199999999998</v>
      </c>
      <c r="AF1843" s="13">
        <v>44313</v>
      </c>
      <c r="AG1843" s="12">
        <v>165.88399999999999</v>
      </c>
    </row>
    <row r="1844" spans="30:33" x14ac:dyDescent="0.2">
      <c r="AD1844" s="13">
        <v>44314</v>
      </c>
      <c r="AE1844" s="12">
        <v>29.628900000000002</v>
      </c>
      <c r="AF1844" s="13">
        <v>44314</v>
      </c>
      <c r="AG1844" s="12">
        <v>165.9093</v>
      </c>
    </row>
    <row r="1845" spans="30:33" x14ac:dyDescent="0.2">
      <c r="AD1845" s="13">
        <v>44315</v>
      </c>
      <c r="AE1845" s="12">
        <v>29.595199999999998</v>
      </c>
      <c r="AF1845" s="13">
        <v>44315</v>
      </c>
      <c r="AG1845" s="12">
        <v>165.70670000000001</v>
      </c>
    </row>
    <row r="1846" spans="30:33" x14ac:dyDescent="0.2">
      <c r="AD1846" s="13">
        <v>44316</v>
      </c>
      <c r="AE1846" s="12">
        <v>29.628900000000002</v>
      </c>
      <c r="AF1846" s="13">
        <v>44316</v>
      </c>
      <c r="AG1846" s="12">
        <v>166.04859999999999</v>
      </c>
    </row>
    <row r="1847" spans="30:33" x14ac:dyDescent="0.2">
      <c r="AD1847" s="13">
        <v>44319</v>
      </c>
      <c r="AE1847" s="12">
        <v>29.640499999999999</v>
      </c>
      <c r="AF1847" s="13">
        <v>44319</v>
      </c>
      <c r="AG1847" s="12">
        <v>166.44759999999999</v>
      </c>
    </row>
    <row r="1848" spans="30:33" x14ac:dyDescent="0.2">
      <c r="AD1848" s="13">
        <v>44320</v>
      </c>
      <c r="AE1848" s="12">
        <v>29.685500000000001</v>
      </c>
      <c r="AF1848" s="13">
        <v>44320</v>
      </c>
      <c r="AG1848" s="12">
        <v>166.54910000000001</v>
      </c>
    </row>
    <row r="1849" spans="30:33" x14ac:dyDescent="0.2">
      <c r="AD1849" s="13">
        <v>44321</v>
      </c>
      <c r="AE1849" s="12">
        <v>29.707999999999998</v>
      </c>
      <c r="AF1849" s="13">
        <v>44321</v>
      </c>
      <c r="AG1849" s="12">
        <v>166.75210000000001</v>
      </c>
    </row>
    <row r="1850" spans="30:33" x14ac:dyDescent="0.2">
      <c r="AD1850" s="13">
        <v>44322</v>
      </c>
      <c r="AE1850" s="12">
        <v>29.7136</v>
      </c>
      <c r="AF1850" s="13">
        <v>44322</v>
      </c>
      <c r="AG1850" s="12">
        <v>167.0692</v>
      </c>
    </row>
    <row r="1851" spans="30:33" x14ac:dyDescent="0.2">
      <c r="AD1851" s="13">
        <v>44323</v>
      </c>
      <c r="AE1851" s="12">
        <v>29.707999999999998</v>
      </c>
      <c r="AF1851" s="13">
        <v>44323</v>
      </c>
      <c r="AG1851" s="12">
        <v>167.1326</v>
      </c>
    </row>
    <row r="1852" spans="30:33" x14ac:dyDescent="0.2">
      <c r="AD1852" s="13">
        <v>44326</v>
      </c>
      <c r="AE1852" s="12">
        <v>29.640499999999999</v>
      </c>
      <c r="AF1852" s="13">
        <v>44326</v>
      </c>
      <c r="AG1852" s="12">
        <v>166.232</v>
      </c>
    </row>
    <row r="1853" spans="30:33" x14ac:dyDescent="0.2">
      <c r="AD1853" s="13">
        <v>44327</v>
      </c>
      <c r="AE1853" s="12">
        <v>29.6068</v>
      </c>
      <c r="AF1853" s="13">
        <v>44327</v>
      </c>
      <c r="AG1853" s="12">
        <v>165.62299999999999</v>
      </c>
    </row>
    <row r="1854" spans="30:33" x14ac:dyDescent="0.2">
      <c r="AD1854" s="13">
        <v>44328</v>
      </c>
      <c r="AE1854" s="12">
        <v>29.488700000000001</v>
      </c>
      <c r="AF1854" s="13">
        <v>44328</v>
      </c>
      <c r="AG1854" s="12">
        <v>164.72239999999999</v>
      </c>
    </row>
    <row r="1855" spans="30:33" x14ac:dyDescent="0.2">
      <c r="AD1855" s="13">
        <v>44329</v>
      </c>
      <c r="AE1855" s="12">
        <v>29.527999999999999</v>
      </c>
      <c r="AF1855" s="13">
        <v>44329</v>
      </c>
      <c r="AG1855" s="12">
        <v>165.34399999999999</v>
      </c>
    </row>
    <row r="1856" spans="30:33" x14ac:dyDescent="0.2">
      <c r="AD1856" s="13">
        <v>44330</v>
      </c>
      <c r="AE1856" s="12">
        <v>29.5899</v>
      </c>
      <c r="AF1856" s="13">
        <v>44330</v>
      </c>
      <c r="AG1856" s="12">
        <v>166.24459999999999</v>
      </c>
    </row>
    <row r="1857" spans="30:33" x14ac:dyDescent="0.2">
      <c r="AD1857" s="13">
        <v>44333</v>
      </c>
      <c r="AE1857" s="12">
        <v>29.567399999999999</v>
      </c>
      <c r="AF1857" s="13">
        <v>44333</v>
      </c>
      <c r="AG1857" s="12">
        <v>166.05439999999999</v>
      </c>
    </row>
    <row r="1858" spans="30:33" x14ac:dyDescent="0.2">
      <c r="AD1858" s="13">
        <v>44334</v>
      </c>
      <c r="AE1858" s="12">
        <v>29.5505</v>
      </c>
      <c r="AF1858" s="13">
        <v>44334</v>
      </c>
      <c r="AG1858" s="12">
        <v>165.50890000000001</v>
      </c>
    </row>
    <row r="1859" spans="30:33" x14ac:dyDescent="0.2">
      <c r="AD1859" s="13">
        <v>44335</v>
      </c>
      <c r="AE1859" s="12">
        <v>29.5168</v>
      </c>
      <c r="AF1859" s="13">
        <v>44335</v>
      </c>
      <c r="AG1859" s="12">
        <v>165.21709999999999</v>
      </c>
    </row>
    <row r="1860" spans="30:33" x14ac:dyDescent="0.2">
      <c r="AD1860" s="13">
        <v>44336</v>
      </c>
      <c r="AE1860" s="12">
        <v>29.5899</v>
      </c>
      <c r="AF1860" s="13">
        <v>44336</v>
      </c>
      <c r="AG1860" s="12">
        <v>166.34610000000001</v>
      </c>
    </row>
    <row r="1861" spans="30:33" x14ac:dyDescent="0.2">
      <c r="AD1861" s="13">
        <v>44337</v>
      </c>
      <c r="AE1861" s="12">
        <v>29.612400000000001</v>
      </c>
      <c r="AF1861" s="13">
        <v>44337</v>
      </c>
      <c r="AG1861" s="12">
        <v>166.46029999999999</v>
      </c>
    </row>
    <row r="1862" spans="30:33" x14ac:dyDescent="0.2">
      <c r="AD1862" s="13">
        <v>44340</v>
      </c>
      <c r="AE1862" s="12">
        <v>29.634899999999998</v>
      </c>
      <c r="AF1862" s="13">
        <v>44340</v>
      </c>
      <c r="AG1862" s="12">
        <v>166.917</v>
      </c>
    </row>
    <row r="1863" spans="30:33" x14ac:dyDescent="0.2">
      <c r="AD1863" s="13">
        <v>44341</v>
      </c>
      <c r="AE1863" s="12">
        <v>29.7193</v>
      </c>
      <c r="AF1863" s="13">
        <v>44341</v>
      </c>
      <c r="AG1863" s="12">
        <v>167.5386</v>
      </c>
    </row>
    <row r="1864" spans="30:33" x14ac:dyDescent="0.2">
      <c r="AD1864" s="13">
        <v>44342</v>
      </c>
      <c r="AE1864" s="12">
        <v>29.6968</v>
      </c>
      <c r="AF1864" s="13">
        <v>44342</v>
      </c>
      <c r="AG1864" s="12">
        <v>167.44980000000001</v>
      </c>
    </row>
    <row r="1865" spans="30:33" x14ac:dyDescent="0.2">
      <c r="AD1865" s="13">
        <v>44343</v>
      </c>
      <c r="AE1865" s="12">
        <v>29.685500000000001</v>
      </c>
      <c r="AF1865" s="13">
        <v>44343</v>
      </c>
      <c r="AG1865" s="12">
        <v>166.94229999999999</v>
      </c>
    </row>
    <row r="1866" spans="30:33" x14ac:dyDescent="0.2">
      <c r="AD1866" s="13">
        <v>44344</v>
      </c>
      <c r="AE1866" s="12">
        <v>29.685500000000001</v>
      </c>
      <c r="AF1866" s="13">
        <v>44344</v>
      </c>
      <c r="AG1866" s="12">
        <v>167.08189999999999</v>
      </c>
    </row>
    <row r="1867" spans="30:33" x14ac:dyDescent="0.2">
      <c r="AD1867" s="13">
        <v>44348</v>
      </c>
      <c r="AE1867" s="12">
        <v>29.653700000000001</v>
      </c>
      <c r="AF1867" s="13">
        <v>44348</v>
      </c>
      <c r="AG1867" s="12">
        <v>167.10300000000001</v>
      </c>
    </row>
    <row r="1868" spans="30:33" x14ac:dyDescent="0.2">
      <c r="AD1868" s="13">
        <v>44349</v>
      </c>
      <c r="AE1868" s="12">
        <v>29.6875</v>
      </c>
      <c r="AF1868" s="13">
        <v>44349</v>
      </c>
      <c r="AG1868" s="12">
        <v>167.3699</v>
      </c>
    </row>
    <row r="1869" spans="30:33" x14ac:dyDescent="0.2">
      <c r="AD1869" s="13">
        <v>44350</v>
      </c>
      <c r="AE1869" s="12">
        <v>29.6312</v>
      </c>
      <c r="AF1869" s="13">
        <v>44350</v>
      </c>
      <c r="AG1869" s="12">
        <v>166.709</v>
      </c>
    </row>
    <row r="1870" spans="30:33" x14ac:dyDescent="0.2">
      <c r="AD1870" s="13">
        <v>44351</v>
      </c>
      <c r="AE1870" s="12">
        <v>29.754999999999999</v>
      </c>
      <c r="AF1870" s="13">
        <v>44351</v>
      </c>
      <c r="AG1870" s="12">
        <v>167.89109999999999</v>
      </c>
    </row>
    <row r="1871" spans="30:33" x14ac:dyDescent="0.2">
      <c r="AD1871" s="13">
        <v>44354</v>
      </c>
      <c r="AE1871" s="12">
        <v>29.7212</v>
      </c>
      <c r="AF1871" s="13">
        <v>44354</v>
      </c>
      <c r="AG1871" s="12">
        <v>167.75120000000001</v>
      </c>
    </row>
    <row r="1872" spans="30:33" x14ac:dyDescent="0.2">
      <c r="AD1872" s="13">
        <v>44355</v>
      </c>
      <c r="AE1872" s="12">
        <v>29.7944</v>
      </c>
      <c r="AF1872" s="13">
        <v>44355</v>
      </c>
      <c r="AG1872" s="12">
        <v>168.38679999999999</v>
      </c>
    </row>
    <row r="1873" spans="30:33" x14ac:dyDescent="0.2">
      <c r="AD1873" s="13">
        <v>44356</v>
      </c>
      <c r="AE1873" s="12">
        <v>29.856300000000001</v>
      </c>
      <c r="AF1873" s="13">
        <v>44356</v>
      </c>
      <c r="AG1873" s="12">
        <v>168.99690000000001</v>
      </c>
    </row>
    <row r="1874" spans="30:33" x14ac:dyDescent="0.2">
      <c r="AD1874" s="13">
        <v>44357</v>
      </c>
      <c r="AE1874" s="12">
        <v>29.9239</v>
      </c>
      <c r="AF1874" s="13">
        <v>44357</v>
      </c>
      <c r="AG1874" s="12">
        <v>169.7595</v>
      </c>
    </row>
    <row r="1875" spans="30:33" x14ac:dyDescent="0.2">
      <c r="AD1875" s="13">
        <v>44358</v>
      </c>
      <c r="AE1875" s="12">
        <v>29.895700000000001</v>
      </c>
      <c r="AF1875" s="13">
        <v>44358</v>
      </c>
      <c r="AG1875" s="12">
        <v>169.89930000000001</v>
      </c>
    </row>
    <row r="1876" spans="30:33" x14ac:dyDescent="0.2">
      <c r="AD1876" s="13">
        <v>44361</v>
      </c>
      <c r="AE1876" s="12">
        <v>29.828199999999999</v>
      </c>
      <c r="AF1876" s="13">
        <v>44361</v>
      </c>
      <c r="AG1876" s="12">
        <v>169.2765</v>
      </c>
    </row>
    <row r="1877" spans="30:33" x14ac:dyDescent="0.2">
      <c r="AD1877" s="13">
        <v>44362</v>
      </c>
      <c r="AE1877" s="12">
        <v>29.811299999999999</v>
      </c>
      <c r="AF1877" s="13">
        <v>44362</v>
      </c>
      <c r="AG1877" s="12">
        <v>169.40360000000001</v>
      </c>
    </row>
    <row r="1878" spans="30:33" x14ac:dyDescent="0.2">
      <c r="AD1878" s="13">
        <v>44363</v>
      </c>
      <c r="AE1878" s="12">
        <v>29.726900000000001</v>
      </c>
      <c r="AF1878" s="13">
        <v>44363</v>
      </c>
      <c r="AG1878" s="12">
        <v>168.92060000000001</v>
      </c>
    </row>
    <row r="1879" spans="30:33" x14ac:dyDescent="0.2">
      <c r="AD1879" s="13">
        <v>44364</v>
      </c>
      <c r="AE1879" s="12">
        <v>29.828199999999999</v>
      </c>
      <c r="AF1879" s="13">
        <v>44364</v>
      </c>
      <c r="AG1879" s="12">
        <v>169.8612</v>
      </c>
    </row>
    <row r="1880" spans="30:33" x14ac:dyDescent="0.2">
      <c r="AD1880" s="13">
        <v>44365</v>
      </c>
      <c r="AE1880" s="12">
        <v>29.957699999999999</v>
      </c>
      <c r="AF1880" s="13">
        <v>44365</v>
      </c>
      <c r="AG1880" s="12">
        <v>170.7509</v>
      </c>
    </row>
    <row r="1881" spans="30:33" x14ac:dyDescent="0.2">
      <c r="AD1881" s="13">
        <v>44368</v>
      </c>
      <c r="AE1881" s="12">
        <v>29.856300000000001</v>
      </c>
      <c r="AF1881" s="13">
        <v>44368</v>
      </c>
      <c r="AG1881" s="12">
        <v>169.7595</v>
      </c>
    </row>
    <row r="1882" spans="30:33" x14ac:dyDescent="0.2">
      <c r="AD1882" s="13">
        <v>44369</v>
      </c>
      <c r="AE1882" s="12">
        <v>29.884499999999999</v>
      </c>
      <c r="AF1882" s="13">
        <v>44369</v>
      </c>
      <c r="AG1882" s="12">
        <v>170.03909999999999</v>
      </c>
    </row>
    <row r="1883" spans="30:33" x14ac:dyDescent="0.2">
      <c r="AD1883" s="13">
        <v>44370</v>
      </c>
      <c r="AE1883" s="12">
        <v>29.845099999999999</v>
      </c>
      <c r="AF1883" s="13">
        <v>44370</v>
      </c>
      <c r="AG1883" s="12">
        <v>169.7722</v>
      </c>
    </row>
    <row r="1884" spans="30:33" x14ac:dyDescent="0.2">
      <c r="AD1884" s="13">
        <v>44371</v>
      </c>
      <c r="AE1884" s="12">
        <v>29.856300000000001</v>
      </c>
      <c r="AF1884" s="13">
        <v>44371</v>
      </c>
      <c r="AG1884" s="12">
        <v>170.1027</v>
      </c>
    </row>
    <row r="1885" spans="30:33" x14ac:dyDescent="0.2">
      <c r="AD1885" s="13">
        <v>44372</v>
      </c>
      <c r="AE1885" s="12">
        <v>29.771899999999999</v>
      </c>
      <c r="AF1885" s="13">
        <v>44372</v>
      </c>
      <c r="AG1885" s="12">
        <v>169.65780000000001</v>
      </c>
    </row>
    <row r="1886" spans="30:33" x14ac:dyDescent="0.2">
      <c r="AD1886" s="13">
        <v>44375</v>
      </c>
      <c r="AE1886" s="12">
        <v>29.856300000000001</v>
      </c>
      <c r="AF1886" s="13">
        <v>44375</v>
      </c>
      <c r="AG1886" s="12">
        <v>170.38229999999999</v>
      </c>
    </row>
    <row r="1887" spans="30:33" x14ac:dyDescent="0.2">
      <c r="AD1887" s="13">
        <v>44376</v>
      </c>
      <c r="AE1887" s="12">
        <v>29.867599999999999</v>
      </c>
      <c r="AF1887" s="13">
        <v>44376</v>
      </c>
      <c r="AG1887" s="12">
        <v>170.5857</v>
      </c>
    </row>
    <row r="1888" spans="30:33" x14ac:dyDescent="0.2">
      <c r="AD1888" s="13">
        <v>44377</v>
      </c>
      <c r="AE1888" s="12">
        <v>29.946400000000001</v>
      </c>
      <c r="AF1888" s="13">
        <v>44377</v>
      </c>
      <c r="AG1888" s="12">
        <v>170.77629999999999</v>
      </c>
    </row>
    <row r="1889" spans="30:33" x14ac:dyDescent="0.2">
      <c r="AD1889" s="13">
        <v>44378</v>
      </c>
      <c r="AE1889" s="12">
        <v>29.8916</v>
      </c>
      <c r="AF1889" s="13">
        <v>44378</v>
      </c>
      <c r="AG1889" s="12">
        <v>170.6276</v>
      </c>
    </row>
    <row r="1890" spans="30:33" x14ac:dyDescent="0.2">
      <c r="AD1890" s="13">
        <v>44379</v>
      </c>
      <c r="AE1890" s="12">
        <v>29.902899999999999</v>
      </c>
      <c r="AF1890" s="13">
        <v>44379</v>
      </c>
      <c r="AG1890" s="12">
        <v>171.11150000000001</v>
      </c>
    </row>
    <row r="1891" spans="30:33" x14ac:dyDescent="0.2">
      <c r="AD1891" s="13">
        <v>44383</v>
      </c>
      <c r="AE1891" s="12">
        <v>30.088799999999999</v>
      </c>
      <c r="AF1891" s="13">
        <v>44383</v>
      </c>
      <c r="AG1891" s="12">
        <v>171.7355</v>
      </c>
    </row>
    <row r="1892" spans="30:33" x14ac:dyDescent="0.2">
      <c r="AD1892" s="13">
        <v>44384</v>
      </c>
      <c r="AE1892" s="12">
        <v>30.161999999999999</v>
      </c>
      <c r="AF1892" s="13">
        <v>44384</v>
      </c>
      <c r="AG1892" s="12">
        <v>172.3212</v>
      </c>
    </row>
    <row r="1893" spans="30:33" x14ac:dyDescent="0.2">
      <c r="AD1893" s="13">
        <v>44385</v>
      </c>
      <c r="AE1893" s="12">
        <v>30.224</v>
      </c>
      <c r="AF1893" s="13">
        <v>44385</v>
      </c>
      <c r="AG1893" s="12">
        <v>172.41040000000001</v>
      </c>
    </row>
    <row r="1894" spans="30:33" x14ac:dyDescent="0.2">
      <c r="AD1894" s="13">
        <v>44386</v>
      </c>
      <c r="AE1894" s="12">
        <v>30.0944</v>
      </c>
      <c r="AF1894" s="13">
        <v>44386</v>
      </c>
      <c r="AG1894" s="12">
        <v>171.68450000000001</v>
      </c>
    </row>
    <row r="1895" spans="30:33" x14ac:dyDescent="0.2">
      <c r="AD1895" s="13">
        <v>44389</v>
      </c>
      <c r="AE1895" s="12">
        <v>30.077500000000001</v>
      </c>
      <c r="AF1895" s="13">
        <v>44389</v>
      </c>
      <c r="AG1895" s="12">
        <v>171.59540000000001</v>
      </c>
    </row>
    <row r="1896" spans="30:33" x14ac:dyDescent="0.2">
      <c r="AD1896" s="13">
        <v>44390</v>
      </c>
      <c r="AE1896" s="12">
        <v>29.9986</v>
      </c>
      <c r="AF1896" s="13">
        <v>44390</v>
      </c>
      <c r="AG1896" s="12">
        <v>170.95869999999999</v>
      </c>
    </row>
    <row r="1897" spans="30:33" x14ac:dyDescent="0.2">
      <c r="AD1897" s="13">
        <v>44391</v>
      </c>
      <c r="AE1897" s="12">
        <v>30.0944</v>
      </c>
      <c r="AF1897" s="13">
        <v>44391</v>
      </c>
      <c r="AG1897" s="12">
        <v>171.7482</v>
      </c>
    </row>
    <row r="1898" spans="30:33" x14ac:dyDescent="0.2">
      <c r="AD1898" s="13">
        <v>44392</v>
      </c>
      <c r="AE1898" s="12">
        <v>30.190200000000001</v>
      </c>
      <c r="AF1898" s="13">
        <v>44392</v>
      </c>
      <c r="AG1898" s="12">
        <v>172.11750000000001</v>
      </c>
    </row>
    <row r="1899" spans="30:33" x14ac:dyDescent="0.2">
      <c r="AD1899" s="13">
        <v>44393</v>
      </c>
      <c r="AE1899" s="12">
        <v>30.1676</v>
      </c>
      <c r="AF1899" s="13">
        <v>44393</v>
      </c>
      <c r="AG1899" s="12">
        <v>171.87549999999999</v>
      </c>
    </row>
    <row r="1900" spans="30:33" x14ac:dyDescent="0.2">
      <c r="AD1900" s="13">
        <v>44396</v>
      </c>
      <c r="AE1900" s="12">
        <v>30.364799999999999</v>
      </c>
      <c r="AF1900" s="13">
        <v>44396</v>
      </c>
      <c r="AG1900" s="12">
        <v>173.11080000000001</v>
      </c>
    </row>
    <row r="1901" spans="30:33" x14ac:dyDescent="0.2">
      <c r="AD1901" s="13">
        <v>44397</v>
      </c>
      <c r="AE1901" s="12">
        <v>30.325399999999998</v>
      </c>
      <c r="AF1901" s="13">
        <v>44397</v>
      </c>
      <c r="AG1901" s="12">
        <v>172.86879999999999</v>
      </c>
    </row>
    <row r="1902" spans="30:33" x14ac:dyDescent="0.2">
      <c r="AD1902" s="13">
        <v>44398</v>
      </c>
      <c r="AE1902" s="12">
        <v>30.2014</v>
      </c>
      <c r="AF1902" s="13">
        <v>44398</v>
      </c>
      <c r="AG1902" s="12">
        <v>172.2576</v>
      </c>
    </row>
    <row r="1903" spans="30:33" x14ac:dyDescent="0.2">
      <c r="AD1903" s="13">
        <v>44399</v>
      </c>
      <c r="AE1903" s="12">
        <v>30.2803</v>
      </c>
      <c r="AF1903" s="13">
        <v>44399</v>
      </c>
      <c r="AG1903" s="12">
        <v>172.97069999999999</v>
      </c>
    </row>
    <row r="1904" spans="30:33" x14ac:dyDescent="0.2">
      <c r="AD1904" s="13">
        <v>44400</v>
      </c>
      <c r="AE1904" s="12">
        <v>30.2409</v>
      </c>
      <c r="AF1904" s="13">
        <v>44400</v>
      </c>
      <c r="AG1904" s="12">
        <v>172.89429999999999</v>
      </c>
    </row>
    <row r="1905" spans="30:33" x14ac:dyDescent="0.2">
      <c r="AD1905" s="13">
        <v>44403</v>
      </c>
      <c r="AE1905" s="12">
        <v>30.195799999999998</v>
      </c>
      <c r="AF1905" s="13">
        <v>44403</v>
      </c>
      <c r="AG1905" s="12">
        <v>172.51220000000001</v>
      </c>
    </row>
    <row r="1906" spans="30:33" x14ac:dyDescent="0.2">
      <c r="AD1906" s="13">
        <v>44404</v>
      </c>
      <c r="AE1906" s="12">
        <v>30.263400000000001</v>
      </c>
      <c r="AF1906" s="13">
        <v>44404</v>
      </c>
      <c r="AG1906" s="12">
        <v>173.2508</v>
      </c>
    </row>
    <row r="1907" spans="30:33" x14ac:dyDescent="0.2">
      <c r="AD1907" s="13">
        <v>44405</v>
      </c>
      <c r="AE1907" s="12">
        <v>30.2972</v>
      </c>
      <c r="AF1907" s="13">
        <v>44405</v>
      </c>
      <c r="AG1907" s="12">
        <v>173.5565</v>
      </c>
    </row>
    <row r="1908" spans="30:33" x14ac:dyDescent="0.2">
      <c r="AD1908" s="13">
        <v>44406</v>
      </c>
      <c r="AE1908" s="12">
        <v>30.263400000000001</v>
      </c>
      <c r="AF1908" s="13">
        <v>44406</v>
      </c>
      <c r="AG1908" s="12">
        <v>173.0598</v>
      </c>
    </row>
    <row r="1909" spans="30:33" x14ac:dyDescent="0.2">
      <c r="AD1909" s="13">
        <v>44407</v>
      </c>
      <c r="AE1909" s="12">
        <v>30.2972</v>
      </c>
      <c r="AF1909" s="13">
        <v>44407</v>
      </c>
      <c r="AG1909" s="12">
        <v>173.19990000000001</v>
      </c>
    </row>
    <row r="1910" spans="30:33" x14ac:dyDescent="0.2">
      <c r="AD1910" s="13">
        <v>44410</v>
      </c>
      <c r="AE1910" s="12">
        <v>30.401800000000001</v>
      </c>
      <c r="AF1910" s="13">
        <v>44410</v>
      </c>
      <c r="AG1910" s="12">
        <v>173.70050000000001</v>
      </c>
    </row>
    <row r="1911" spans="30:33" x14ac:dyDescent="0.2">
      <c r="AD1911" s="13">
        <v>44411</v>
      </c>
      <c r="AE1911" s="12">
        <v>30.407399999999999</v>
      </c>
      <c r="AF1911" s="13">
        <v>44411</v>
      </c>
      <c r="AG1911" s="12">
        <v>173.87909999999999</v>
      </c>
    </row>
    <row r="1912" spans="30:33" x14ac:dyDescent="0.2">
      <c r="AD1912" s="13">
        <v>44412</v>
      </c>
      <c r="AE1912" s="12">
        <v>30.407399999999999</v>
      </c>
      <c r="AF1912" s="13">
        <v>44412</v>
      </c>
      <c r="AG1912" s="12">
        <v>173.91739999999999</v>
      </c>
    </row>
    <row r="1913" spans="30:33" x14ac:dyDescent="0.2">
      <c r="AD1913" s="13">
        <v>44413</v>
      </c>
      <c r="AE1913" s="12">
        <v>30.345400000000001</v>
      </c>
      <c r="AF1913" s="13">
        <v>44413</v>
      </c>
      <c r="AG1913" s="12">
        <v>173.203</v>
      </c>
    </row>
    <row r="1914" spans="30:33" x14ac:dyDescent="0.2">
      <c r="AD1914" s="13">
        <v>44414</v>
      </c>
      <c r="AE1914" s="12">
        <v>30.1875</v>
      </c>
      <c r="AF1914" s="13">
        <v>44414</v>
      </c>
      <c r="AG1914" s="12">
        <v>171.78700000000001</v>
      </c>
    </row>
    <row r="1915" spans="30:33" x14ac:dyDescent="0.2">
      <c r="AD1915" s="13">
        <v>44417</v>
      </c>
      <c r="AE1915" s="12">
        <v>30.142399999999999</v>
      </c>
      <c r="AF1915" s="13">
        <v>44417</v>
      </c>
      <c r="AG1915" s="12">
        <v>171.0471</v>
      </c>
    </row>
    <row r="1916" spans="30:33" x14ac:dyDescent="0.2">
      <c r="AD1916" s="13">
        <v>44418</v>
      </c>
      <c r="AE1916" s="12">
        <v>30.097300000000001</v>
      </c>
      <c r="AF1916" s="13">
        <v>44418</v>
      </c>
      <c r="AG1916" s="12">
        <v>170.6644</v>
      </c>
    </row>
    <row r="1917" spans="30:33" x14ac:dyDescent="0.2">
      <c r="AD1917" s="13">
        <v>44419</v>
      </c>
      <c r="AE1917" s="12">
        <v>30.1142</v>
      </c>
      <c r="AF1917" s="13">
        <v>44419</v>
      </c>
      <c r="AG1917" s="12">
        <v>170.9323</v>
      </c>
    </row>
    <row r="1918" spans="30:33" x14ac:dyDescent="0.2">
      <c r="AD1918" s="13">
        <v>44420</v>
      </c>
      <c r="AE1918" s="12">
        <v>30.085999999999999</v>
      </c>
      <c r="AF1918" s="13">
        <v>44420</v>
      </c>
      <c r="AG1918" s="12">
        <v>171.1746</v>
      </c>
    </row>
    <row r="1919" spans="30:33" x14ac:dyDescent="0.2">
      <c r="AD1919" s="13">
        <v>44421</v>
      </c>
      <c r="AE1919" s="12">
        <v>30.221299999999999</v>
      </c>
      <c r="AF1919" s="13">
        <v>44421</v>
      </c>
      <c r="AG1919" s="12">
        <v>172.3228</v>
      </c>
    </row>
    <row r="1920" spans="30:33" x14ac:dyDescent="0.2">
      <c r="AD1920" s="13">
        <v>44424</v>
      </c>
      <c r="AE1920" s="12">
        <v>30.255199999999999</v>
      </c>
      <c r="AF1920" s="13">
        <v>44424</v>
      </c>
      <c r="AG1920" s="12">
        <v>172.4248</v>
      </c>
    </row>
    <row r="1921" spans="30:33" x14ac:dyDescent="0.2">
      <c r="AD1921" s="13">
        <v>44425</v>
      </c>
      <c r="AE1921" s="12">
        <v>30.249500000000001</v>
      </c>
      <c r="AF1921" s="13">
        <v>44425</v>
      </c>
      <c r="AG1921" s="12">
        <v>172.11869999999999</v>
      </c>
    </row>
    <row r="1922" spans="30:33" x14ac:dyDescent="0.2">
      <c r="AD1922" s="13">
        <v>44426</v>
      </c>
      <c r="AE1922" s="12">
        <v>30.2608</v>
      </c>
      <c r="AF1922" s="13">
        <v>44426</v>
      </c>
      <c r="AG1922" s="12">
        <v>172.00389999999999</v>
      </c>
    </row>
    <row r="1923" spans="30:33" x14ac:dyDescent="0.2">
      <c r="AD1923" s="13">
        <v>44427</v>
      </c>
      <c r="AE1923" s="12">
        <v>30.3172</v>
      </c>
      <c r="AF1923" s="13">
        <v>44427</v>
      </c>
      <c r="AG1923" s="12">
        <v>172.39930000000001</v>
      </c>
    </row>
    <row r="1924" spans="30:33" x14ac:dyDescent="0.2">
      <c r="AD1924" s="13">
        <v>44428</v>
      </c>
      <c r="AE1924" s="12">
        <v>30.311499999999999</v>
      </c>
      <c r="AF1924" s="13">
        <v>44428</v>
      </c>
      <c r="AG1924" s="12">
        <v>172.51410000000001</v>
      </c>
    </row>
    <row r="1925" spans="30:33" x14ac:dyDescent="0.2">
      <c r="AD1925" s="13">
        <v>44431</v>
      </c>
      <c r="AE1925" s="12">
        <v>30.311499999999999</v>
      </c>
      <c r="AF1925" s="13">
        <v>44431</v>
      </c>
      <c r="AG1925" s="12">
        <v>172.64169999999999</v>
      </c>
    </row>
    <row r="1926" spans="30:33" x14ac:dyDescent="0.2">
      <c r="AD1926" s="13">
        <v>44432</v>
      </c>
      <c r="AE1926" s="12">
        <v>30.2439</v>
      </c>
      <c r="AF1926" s="13">
        <v>44432</v>
      </c>
      <c r="AG1926" s="12">
        <v>172.24619999999999</v>
      </c>
    </row>
    <row r="1927" spans="30:33" x14ac:dyDescent="0.2">
      <c r="AD1927" s="13">
        <v>44433</v>
      </c>
      <c r="AE1927" s="12">
        <v>30.164999999999999</v>
      </c>
      <c r="AF1927" s="13">
        <v>44433</v>
      </c>
      <c r="AG1927" s="12">
        <v>171.7997</v>
      </c>
    </row>
    <row r="1928" spans="30:33" x14ac:dyDescent="0.2">
      <c r="AD1928" s="13">
        <v>44434</v>
      </c>
      <c r="AE1928" s="12">
        <v>29.882999999999999</v>
      </c>
      <c r="AF1928" s="13">
        <v>44434</v>
      </c>
      <c r="AG1928" s="12">
        <v>171.74870000000001</v>
      </c>
    </row>
    <row r="1929" spans="30:33" x14ac:dyDescent="0.2">
      <c r="AD1929" s="13">
        <v>44435</v>
      </c>
      <c r="AE1929" s="12">
        <v>30.255199999999999</v>
      </c>
      <c r="AF1929" s="13">
        <v>44435</v>
      </c>
      <c r="AG1929" s="12">
        <v>172.7055</v>
      </c>
    </row>
    <row r="1930" spans="30:33" x14ac:dyDescent="0.2">
      <c r="AD1930" s="13">
        <v>44438</v>
      </c>
      <c r="AE1930" s="12">
        <v>30.289000000000001</v>
      </c>
      <c r="AF1930" s="13">
        <v>44438</v>
      </c>
      <c r="AG1930" s="12">
        <v>172.99889999999999</v>
      </c>
    </row>
    <row r="1931" spans="30:33" x14ac:dyDescent="0.2">
      <c r="AD1931" s="13">
        <v>44439</v>
      </c>
      <c r="AE1931" s="12">
        <v>30.266400000000001</v>
      </c>
      <c r="AF1931" s="13">
        <v>44439</v>
      </c>
      <c r="AG1931" s="12">
        <v>172.60339999999999</v>
      </c>
    </row>
    <row r="1932" spans="30:33" x14ac:dyDescent="0.2">
      <c r="AD1932" s="13">
        <v>44440</v>
      </c>
      <c r="AE1932" s="12">
        <v>30.258199999999999</v>
      </c>
      <c r="AF1932" s="13">
        <v>44440</v>
      </c>
      <c r="AG1932" s="12">
        <v>172.82550000000001</v>
      </c>
    </row>
    <row r="1933" spans="30:33" x14ac:dyDescent="0.2">
      <c r="AD1933" s="13">
        <v>44441</v>
      </c>
      <c r="AE1933" s="12">
        <v>30.292100000000001</v>
      </c>
      <c r="AF1933" s="13">
        <v>44441</v>
      </c>
      <c r="AG1933" s="12">
        <v>173.13220000000001</v>
      </c>
    </row>
    <row r="1934" spans="30:33" x14ac:dyDescent="0.2">
      <c r="AD1934" s="13">
        <v>44442</v>
      </c>
      <c r="AE1934" s="12">
        <v>30.23</v>
      </c>
      <c r="AF1934" s="13">
        <v>44442</v>
      </c>
      <c r="AG1934" s="12">
        <v>172.506</v>
      </c>
    </row>
    <row r="1935" spans="30:33" x14ac:dyDescent="0.2">
      <c r="AD1935" s="13">
        <v>44446</v>
      </c>
      <c r="AE1935" s="12">
        <v>30.145399999999999</v>
      </c>
      <c r="AF1935" s="13">
        <v>44446</v>
      </c>
      <c r="AG1935" s="12">
        <v>171.68819999999999</v>
      </c>
    </row>
    <row r="1936" spans="30:33" x14ac:dyDescent="0.2">
      <c r="AD1936" s="13">
        <v>44447</v>
      </c>
      <c r="AE1936" s="12">
        <v>30.2075</v>
      </c>
      <c r="AF1936" s="13">
        <v>44447</v>
      </c>
      <c r="AG1936" s="12">
        <v>172.23769999999999</v>
      </c>
    </row>
    <row r="1937" spans="30:33" x14ac:dyDescent="0.2">
      <c r="AD1937" s="13">
        <v>44448</v>
      </c>
      <c r="AE1937" s="12">
        <v>30.297699999999999</v>
      </c>
      <c r="AF1937" s="13">
        <v>44448</v>
      </c>
      <c r="AG1937" s="12">
        <v>173.3622</v>
      </c>
    </row>
    <row r="1938" spans="30:33" x14ac:dyDescent="0.2">
      <c r="AD1938" s="13">
        <v>44449</v>
      </c>
      <c r="AE1938" s="12">
        <v>30.213100000000001</v>
      </c>
      <c r="AF1938" s="13">
        <v>44449</v>
      </c>
      <c r="AG1938" s="12">
        <v>172.8638</v>
      </c>
    </row>
    <row r="1939" spans="30:33" x14ac:dyDescent="0.2">
      <c r="AD1939" s="13">
        <v>44452</v>
      </c>
      <c r="AE1939" s="12">
        <v>30.269500000000001</v>
      </c>
      <c r="AF1939" s="13">
        <v>44452</v>
      </c>
      <c r="AG1939" s="12">
        <v>173.28550000000001</v>
      </c>
    </row>
    <row r="1940" spans="30:33" x14ac:dyDescent="0.2">
      <c r="AD1940" s="13">
        <v>44453</v>
      </c>
      <c r="AE1940" s="12">
        <v>30.354199999999999</v>
      </c>
      <c r="AF1940" s="13">
        <v>44453</v>
      </c>
      <c r="AG1940" s="12">
        <v>173.80950000000001</v>
      </c>
    </row>
    <row r="1941" spans="30:33" x14ac:dyDescent="0.2">
      <c r="AD1941" s="13">
        <v>44454</v>
      </c>
      <c r="AE1941" s="12">
        <v>30.326000000000001</v>
      </c>
      <c r="AF1941" s="13">
        <v>44454</v>
      </c>
      <c r="AG1941" s="12">
        <v>173.60499999999999</v>
      </c>
    </row>
    <row r="1942" spans="30:33" x14ac:dyDescent="0.2">
      <c r="AD1942" s="13">
        <v>44455</v>
      </c>
      <c r="AE1942" s="12">
        <v>30.258199999999999</v>
      </c>
      <c r="AF1942" s="13">
        <v>44455</v>
      </c>
      <c r="AG1942" s="12">
        <v>173.3622</v>
      </c>
    </row>
    <row r="1943" spans="30:33" x14ac:dyDescent="0.2">
      <c r="AD1943" s="13">
        <v>44456</v>
      </c>
      <c r="AE1943" s="12">
        <v>30.201799999999999</v>
      </c>
      <c r="AF1943" s="13">
        <v>44456</v>
      </c>
      <c r="AG1943" s="12">
        <v>172.97880000000001</v>
      </c>
    </row>
    <row r="1944" spans="30:33" x14ac:dyDescent="0.2">
      <c r="AD1944" s="13">
        <v>44459</v>
      </c>
      <c r="AE1944" s="12">
        <v>30.326000000000001</v>
      </c>
      <c r="AF1944" s="13">
        <v>44459</v>
      </c>
      <c r="AG1944" s="12">
        <v>173.51560000000001</v>
      </c>
    </row>
    <row r="1945" spans="30:33" x14ac:dyDescent="0.2">
      <c r="AD1945" s="13">
        <v>44460</v>
      </c>
      <c r="AE1945" s="12">
        <v>30.3034</v>
      </c>
      <c r="AF1945" s="13">
        <v>44460</v>
      </c>
      <c r="AG1945" s="12">
        <v>173.50280000000001</v>
      </c>
    </row>
    <row r="1946" spans="30:33" x14ac:dyDescent="0.2">
      <c r="AD1946" s="13">
        <v>44461</v>
      </c>
      <c r="AE1946" s="12">
        <v>30.337199999999999</v>
      </c>
      <c r="AF1946" s="13">
        <v>44461</v>
      </c>
      <c r="AG1946" s="12">
        <v>173.98840000000001</v>
      </c>
    </row>
    <row r="1947" spans="30:33" x14ac:dyDescent="0.2">
      <c r="AD1947" s="13">
        <v>44462</v>
      </c>
      <c r="AE1947" s="12">
        <v>30.1341</v>
      </c>
      <c r="AF1947" s="13">
        <v>44462</v>
      </c>
      <c r="AG1947" s="12">
        <v>172.78720000000001</v>
      </c>
    </row>
    <row r="1948" spans="30:33" x14ac:dyDescent="0.2">
      <c r="AD1948" s="13">
        <v>44463</v>
      </c>
      <c r="AE1948" s="12">
        <v>30.043800000000001</v>
      </c>
      <c r="AF1948" s="13">
        <v>44463</v>
      </c>
      <c r="AG1948" s="12">
        <v>172.41659999999999</v>
      </c>
    </row>
    <row r="1949" spans="30:33" x14ac:dyDescent="0.2">
      <c r="AD1949" s="13">
        <v>44466</v>
      </c>
      <c r="AE1949" s="12">
        <v>29.998699999999999</v>
      </c>
      <c r="AF1949" s="13">
        <v>44466</v>
      </c>
      <c r="AG1949" s="12">
        <v>172.3271</v>
      </c>
    </row>
    <row r="1950" spans="30:33" x14ac:dyDescent="0.2">
      <c r="AD1950" s="13">
        <v>44467</v>
      </c>
      <c r="AE1950" s="12">
        <v>29.880199999999999</v>
      </c>
      <c r="AF1950" s="13">
        <v>44467</v>
      </c>
      <c r="AG1950" s="12">
        <v>170.48689999999999</v>
      </c>
    </row>
    <row r="1951" spans="30:33" x14ac:dyDescent="0.2">
      <c r="AD1951" s="13">
        <v>44468</v>
      </c>
      <c r="AE1951" s="12">
        <v>29.9084</v>
      </c>
      <c r="AF1951" s="13">
        <v>44468</v>
      </c>
      <c r="AG1951" s="12">
        <v>170.4486</v>
      </c>
    </row>
    <row r="1952" spans="30:33" x14ac:dyDescent="0.2">
      <c r="AD1952" s="13">
        <v>44469</v>
      </c>
      <c r="AE1952" s="12">
        <v>29.9422</v>
      </c>
      <c r="AF1952" s="13">
        <v>44469</v>
      </c>
      <c r="AG1952" s="12">
        <v>170.00129999999999</v>
      </c>
    </row>
    <row r="1953" spans="30:33" x14ac:dyDescent="0.2">
      <c r="AD1953" s="13">
        <v>44470</v>
      </c>
      <c r="AE1953" s="12">
        <v>30.0167</v>
      </c>
      <c r="AF1953" s="13">
        <v>44470</v>
      </c>
      <c r="AG1953" s="12">
        <v>171.23509999999999</v>
      </c>
    </row>
    <row r="1954" spans="30:33" x14ac:dyDescent="0.2">
      <c r="AD1954" s="13">
        <v>44473</v>
      </c>
      <c r="AE1954" s="12">
        <v>29.9998</v>
      </c>
      <c r="AF1954" s="13">
        <v>44473</v>
      </c>
      <c r="AG1954" s="12">
        <v>170.95339999999999</v>
      </c>
    </row>
    <row r="1955" spans="30:33" x14ac:dyDescent="0.2">
      <c r="AD1955" s="13">
        <v>44474</v>
      </c>
      <c r="AE1955" s="12">
        <v>29.903700000000001</v>
      </c>
      <c r="AF1955" s="13">
        <v>44474</v>
      </c>
      <c r="AG1955" s="12">
        <v>170.2492</v>
      </c>
    </row>
    <row r="1956" spans="30:33" x14ac:dyDescent="0.2">
      <c r="AD1956" s="13">
        <v>44475</v>
      </c>
      <c r="AE1956" s="12">
        <v>29.931999999999999</v>
      </c>
      <c r="AF1956" s="13">
        <v>44475</v>
      </c>
      <c r="AG1956" s="12">
        <v>170.3004</v>
      </c>
    </row>
    <row r="1957" spans="30:33" x14ac:dyDescent="0.2">
      <c r="AD1957" s="13">
        <v>44476</v>
      </c>
      <c r="AE1957" s="12">
        <v>29.8416</v>
      </c>
      <c r="AF1957" s="13">
        <v>44476</v>
      </c>
      <c r="AG1957" s="12">
        <v>169.54499999999999</v>
      </c>
    </row>
    <row r="1958" spans="30:33" x14ac:dyDescent="0.2">
      <c r="AD1958" s="13">
        <v>44477</v>
      </c>
      <c r="AE1958" s="12">
        <v>29.7852</v>
      </c>
      <c r="AF1958" s="13">
        <v>44477</v>
      </c>
      <c r="AG1958" s="12">
        <v>168.76400000000001</v>
      </c>
    </row>
    <row r="1959" spans="30:33" x14ac:dyDescent="0.2">
      <c r="AD1959" s="13">
        <v>44480</v>
      </c>
      <c r="AE1959" s="12">
        <v>29.694800000000001</v>
      </c>
      <c r="AF1959" s="13">
        <v>44480</v>
      </c>
      <c r="AG1959" s="12">
        <v>168.44390000000001</v>
      </c>
    </row>
    <row r="1960" spans="30:33" x14ac:dyDescent="0.2">
      <c r="AD1960" s="13">
        <v>44481</v>
      </c>
      <c r="AE1960" s="12">
        <v>29.852900000000002</v>
      </c>
      <c r="AF1960" s="13">
        <v>44481</v>
      </c>
      <c r="AG1960" s="12">
        <v>169.51939999999999</v>
      </c>
    </row>
    <row r="1961" spans="30:33" x14ac:dyDescent="0.2">
      <c r="AD1961" s="13">
        <v>44482</v>
      </c>
      <c r="AE1961" s="12">
        <v>29.9207</v>
      </c>
      <c r="AF1961" s="13">
        <v>44482</v>
      </c>
      <c r="AG1961" s="12">
        <v>170.37719999999999</v>
      </c>
    </row>
    <row r="1962" spans="30:33" x14ac:dyDescent="0.2">
      <c r="AD1962" s="13">
        <v>44483</v>
      </c>
      <c r="AE1962" s="12">
        <v>29.943300000000001</v>
      </c>
      <c r="AF1962" s="13">
        <v>44483</v>
      </c>
      <c r="AG1962" s="12">
        <v>171.18379999999999</v>
      </c>
    </row>
    <row r="1963" spans="30:33" x14ac:dyDescent="0.2">
      <c r="AD1963" s="13">
        <v>44484</v>
      </c>
      <c r="AE1963" s="12">
        <v>29.8642</v>
      </c>
      <c r="AF1963" s="13">
        <v>44484</v>
      </c>
      <c r="AG1963" s="12">
        <v>170.5693</v>
      </c>
    </row>
    <row r="1964" spans="30:33" x14ac:dyDescent="0.2">
      <c r="AD1964" s="13">
        <v>44487</v>
      </c>
      <c r="AE1964" s="12">
        <v>29.858599999999999</v>
      </c>
      <c r="AF1964" s="13">
        <v>44487</v>
      </c>
      <c r="AG1964" s="12">
        <v>170.42840000000001</v>
      </c>
    </row>
    <row r="1965" spans="30:33" x14ac:dyDescent="0.2">
      <c r="AD1965" s="13">
        <v>44488</v>
      </c>
      <c r="AE1965" s="12">
        <v>29.7682</v>
      </c>
      <c r="AF1965" s="13">
        <v>44488</v>
      </c>
      <c r="AG1965" s="12">
        <v>169.49379999999999</v>
      </c>
    </row>
    <row r="1966" spans="30:33" x14ac:dyDescent="0.2">
      <c r="AD1966" s="13">
        <v>44489</v>
      </c>
      <c r="AE1966" s="12">
        <v>29.7287</v>
      </c>
      <c r="AF1966" s="13">
        <v>44489</v>
      </c>
      <c r="AG1966" s="12">
        <v>169.08410000000001</v>
      </c>
    </row>
    <row r="1967" spans="30:33" x14ac:dyDescent="0.2">
      <c r="AD1967" s="13">
        <v>44490</v>
      </c>
      <c r="AE1967" s="12">
        <v>29.677800000000001</v>
      </c>
      <c r="AF1967" s="13">
        <v>44490</v>
      </c>
      <c r="AG1967" s="12">
        <v>168.72559999999999</v>
      </c>
    </row>
    <row r="1968" spans="30:33" x14ac:dyDescent="0.2">
      <c r="AD1968" s="13">
        <v>44491</v>
      </c>
      <c r="AE1968" s="12">
        <v>29.7456</v>
      </c>
      <c r="AF1968" s="13">
        <v>44491</v>
      </c>
      <c r="AG1968" s="12">
        <v>169.4041</v>
      </c>
    </row>
    <row r="1969" spans="30:33" x14ac:dyDescent="0.2">
      <c r="AD1969" s="13">
        <v>44494</v>
      </c>
      <c r="AE1969" s="12">
        <v>29.762599999999999</v>
      </c>
      <c r="AF1969" s="13">
        <v>44494</v>
      </c>
      <c r="AG1969" s="12">
        <v>169.48099999999999</v>
      </c>
    </row>
    <row r="1970" spans="30:33" x14ac:dyDescent="0.2">
      <c r="AD1970" s="13">
        <v>44495</v>
      </c>
      <c r="AE1970" s="12">
        <v>29.807700000000001</v>
      </c>
      <c r="AF1970" s="13">
        <v>44495</v>
      </c>
      <c r="AG1970" s="12">
        <v>170.21080000000001</v>
      </c>
    </row>
    <row r="1971" spans="30:33" x14ac:dyDescent="0.2">
      <c r="AD1971" s="13">
        <v>44496</v>
      </c>
      <c r="AE1971" s="12">
        <v>29.954599999999999</v>
      </c>
      <c r="AF1971" s="13">
        <v>44496</v>
      </c>
      <c r="AG1971" s="12">
        <v>171.24789999999999</v>
      </c>
    </row>
    <row r="1972" spans="30:33" x14ac:dyDescent="0.2">
      <c r="AD1972" s="13">
        <v>44497</v>
      </c>
      <c r="AE1972" s="12">
        <v>29.875499999999999</v>
      </c>
      <c r="AF1972" s="13">
        <v>44497</v>
      </c>
      <c r="AG1972" s="12">
        <v>170.99180000000001</v>
      </c>
    </row>
    <row r="1973" spans="30:33" x14ac:dyDescent="0.2">
      <c r="AD1973" s="13">
        <v>44498</v>
      </c>
      <c r="AE1973" s="12">
        <v>29.9207</v>
      </c>
      <c r="AF1973" s="13">
        <v>44498</v>
      </c>
      <c r="AG1973" s="12">
        <v>170.90219999999999</v>
      </c>
    </row>
    <row r="1974" spans="30:33" x14ac:dyDescent="0.2">
      <c r="AD1974" s="13">
        <v>44501</v>
      </c>
      <c r="AE1974" s="12">
        <v>29.8597</v>
      </c>
      <c r="AF1974" s="13">
        <v>44501</v>
      </c>
      <c r="AG1974" s="12">
        <v>170.59790000000001</v>
      </c>
    </row>
    <row r="1975" spans="30:33" x14ac:dyDescent="0.2">
      <c r="AD1975" s="13">
        <v>44502</v>
      </c>
      <c r="AE1975" s="12">
        <v>29.933199999999999</v>
      </c>
      <c r="AF1975" s="13">
        <v>44502</v>
      </c>
      <c r="AG1975" s="12">
        <v>171.25210000000001</v>
      </c>
    </row>
    <row r="1976" spans="30:33" x14ac:dyDescent="0.2">
      <c r="AD1976" s="13">
        <v>44503</v>
      </c>
      <c r="AE1976" s="12">
        <v>29.854099999999999</v>
      </c>
      <c r="AF1976" s="13">
        <v>44503</v>
      </c>
      <c r="AG1976" s="12">
        <v>170.816</v>
      </c>
    </row>
    <row r="1977" spans="30:33" x14ac:dyDescent="0.2">
      <c r="AD1977" s="13">
        <v>44504</v>
      </c>
      <c r="AE1977" s="12">
        <v>29.967099999999999</v>
      </c>
      <c r="AF1977" s="13">
        <v>44504</v>
      </c>
      <c r="AG1977" s="12">
        <v>171.714</v>
      </c>
    </row>
    <row r="1978" spans="30:33" x14ac:dyDescent="0.2">
      <c r="AD1978" s="13">
        <v>44505</v>
      </c>
      <c r="AE1978" s="12">
        <v>30.0915</v>
      </c>
      <c r="AF1978" s="13">
        <v>44505</v>
      </c>
      <c r="AG1978" s="12">
        <v>172.97120000000001</v>
      </c>
    </row>
    <row r="1979" spans="30:33" x14ac:dyDescent="0.2">
      <c r="AD1979" s="13">
        <v>44508</v>
      </c>
      <c r="AE1979" s="12">
        <v>30.023599999999998</v>
      </c>
      <c r="AF1979" s="13">
        <v>44508</v>
      </c>
      <c r="AG1979" s="12">
        <v>172.5735</v>
      </c>
    </row>
    <row r="1980" spans="30:33" x14ac:dyDescent="0.2">
      <c r="AD1980" s="13">
        <v>44509</v>
      </c>
      <c r="AE1980" s="12">
        <v>30.142299999999999</v>
      </c>
      <c r="AF1980" s="13">
        <v>44509</v>
      </c>
      <c r="AG1980" s="12">
        <v>173.03540000000001</v>
      </c>
    </row>
    <row r="1981" spans="30:33" x14ac:dyDescent="0.2">
      <c r="AD1981" s="13">
        <v>44510</v>
      </c>
      <c r="AE1981" s="12">
        <v>29.933199999999999</v>
      </c>
      <c r="AF1981" s="13">
        <v>44510</v>
      </c>
      <c r="AG1981" s="12">
        <v>171.26499999999999</v>
      </c>
    </row>
    <row r="1982" spans="30:33" x14ac:dyDescent="0.2">
      <c r="AD1982" s="13">
        <v>44511</v>
      </c>
      <c r="AE1982" s="12">
        <v>29.8767</v>
      </c>
      <c r="AF1982" s="13">
        <v>44511</v>
      </c>
      <c r="AG1982" s="12">
        <v>170.7775</v>
      </c>
    </row>
    <row r="1983" spans="30:33" x14ac:dyDescent="0.2">
      <c r="AD1983" s="13">
        <v>44512</v>
      </c>
      <c r="AE1983" s="12">
        <v>29.870999999999999</v>
      </c>
      <c r="AF1983" s="13">
        <v>44512</v>
      </c>
      <c r="AG1983" s="12">
        <v>170.59790000000001</v>
      </c>
    </row>
    <row r="1984" spans="30:33" x14ac:dyDescent="0.2">
      <c r="AD1984" s="13">
        <v>44515</v>
      </c>
      <c r="AE1984" s="12">
        <v>29.769300000000001</v>
      </c>
      <c r="AF1984" s="13">
        <v>44515</v>
      </c>
      <c r="AG1984" s="12">
        <v>169.3022</v>
      </c>
    </row>
    <row r="1985" spans="30:33" x14ac:dyDescent="0.2">
      <c r="AD1985" s="13">
        <v>44516</v>
      </c>
      <c r="AE1985" s="12">
        <v>29.752300000000002</v>
      </c>
      <c r="AF1985" s="13">
        <v>44516</v>
      </c>
      <c r="AG1985" s="12">
        <v>169.01990000000001</v>
      </c>
    </row>
    <row r="1986" spans="30:33" x14ac:dyDescent="0.2">
      <c r="AD1986" s="13">
        <v>44517</v>
      </c>
      <c r="AE1986" s="12">
        <v>29.831499999999998</v>
      </c>
      <c r="AF1986" s="13">
        <v>44517</v>
      </c>
      <c r="AG1986" s="12">
        <v>169.69990000000001</v>
      </c>
    </row>
    <row r="1987" spans="30:33" x14ac:dyDescent="0.2">
      <c r="AD1987" s="13">
        <v>44518</v>
      </c>
      <c r="AE1987" s="12">
        <v>29.870999999999999</v>
      </c>
      <c r="AF1987" s="13">
        <v>44518</v>
      </c>
      <c r="AG1987" s="12">
        <v>170.0847</v>
      </c>
    </row>
    <row r="1988" spans="30:33" x14ac:dyDescent="0.2">
      <c r="AD1988" s="13">
        <v>44519</v>
      </c>
      <c r="AE1988" s="12">
        <v>29.927600000000002</v>
      </c>
      <c r="AF1988" s="13">
        <v>44519</v>
      </c>
      <c r="AG1988" s="12">
        <v>170.72620000000001</v>
      </c>
    </row>
    <row r="1989" spans="30:33" x14ac:dyDescent="0.2">
      <c r="AD1989" s="13">
        <v>44522</v>
      </c>
      <c r="AE1989" s="12">
        <v>29.774899999999999</v>
      </c>
      <c r="AF1989" s="13">
        <v>44522</v>
      </c>
      <c r="AG1989" s="12">
        <v>169.238</v>
      </c>
    </row>
    <row r="1990" spans="30:33" x14ac:dyDescent="0.2">
      <c r="AD1990" s="13">
        <v>44523</v>
      </c>
      <c r="AE1990" s="12">
        <v>29.661899999999999</v>
      </c>
      <c r="AF1990" s="13">
        <v>44523</v>
      </c>
      <c r="AG1990" s="12">
        <v>168.03210000000001</v>
      </c>
    </row>
    <row r="1991" spans="30:33" x14ac:dyDescent="0.2">
      <c r="AD1991" s="13">
        <v>44524</v>
      </c>
      <c r="AE1991" s="12">
        <v>29.752300000000002</v>
      </c>
      <c r="AF1991" s="13">
        <v>44524</v>
      </c>
      <c r="AG1991" s="12">
        <v>168.84030000000001</v>
      </c>
    </row>
    <row r="1992" spans="30:33" x14ac:dyDescent="0.2">
      <c r="AD1992" s="13">
        <v>44526</v>
      </c>
      <c r="AE1992" s="12">
        <v>30.046199999999999</v>
      </c>
      <c r="AF1992" s="13">
        <v>44526</v>
      </c>
      <c r="AG1992" s="12">
        <v>170.21299999999999</v>
      </c>
    </row>
    <row r="1993" spans="30:33" x14ac:dyDescent="0.2">
      <c r="AD1993" s="13">
        <v>44529</v>
      </c>
      <c r="AE1993" s="12">
        <v>30.006699999999999</v>
      </c>
      <c r="AF1993" s="13">
        <v>44529</v>
      </c>
      <c r="AG1993" s="12">
        <v>170.32849999999999</v>
      </c>
    </row>
    <row r="1994" spans="30:33" x14ac:dyDescent="0.2">
      <c r="AD1994" s="13">
        <v>44530</v>
      </c>
      <c r="AE1994" s="12">
        <v>30.102799999999998</v>
      </c>
      <c r="AF1994" s="13">
        <v>44530</v>
      </c>
      <c r="AG1994" s="12">
        <v>170.70050000000001</v>
      </c>
    </row>
    <row r="1995" spans="30:33" x14ac:dyDescent="0.2">
      <c r="AD1995" s="13">
        <v>44531</v>
      </c>
      <c r="AE1995" s="12">
        <v>30.172699999999999</v>
      </c>
      <c r="AF1995" s="13">
        <v>44531</v>
      </c>
      <c r="AG1995" s="12">
        <v>170.72479999999999</v>
      </c>
    </row>
    <row r="1996" spans="30:33" x14ac:dyDescent="0.2">
      <c r="AD1996" s="13">
        <v>44532</v>
      </c>
      <c r="AE1996" s="12">
        <v>30.127400000000002</v>
      </c>
      <c r="AF1996" s="13">
        <v>44532</v>
      </c>
      <c r="AG1996" s="12">
        <v>171.1232</v>
      </c>
    </row>
    <row r="1997" spans="30:33" x14ac:dyDescent="0.2">
      <c r="AD1997" s="13">
        <v>44533</v>
      </c>
      <c r="AE1997" s="12">
        <v>30.246200000000002</v>
      </c>
      <c r="AF1997" s="13">
        <v>44533</v>
      </c>
      <c r="AG1997" s="12">
        <v>172.5498</v>
      </c>
    </row>
    <row r="1998" spans="30:33" x14ac:dyDescent="0.2">
      <c r="AD1998" s="13">
        <v>44536</v>
      </c>
      <c r="AE1998" s="12">
        <v>30.116099999999999</v>
      </c>
      <c r="AF1998" s="13">
        <v>44536</v>
      </c>
      <c r="AG1998" s="12">
        <v>171.67590000000001</v>
      </c>
    </row>
    <row r="1999" spans="30:33" x14ac:dyDescent="0.2">
      <c r="AD1999" s="13">
        <v>44537</v>
      </c>
      <c r="AE1999" s="12">
        <v>30.025600000000001</v>
      </c>
      <c r="AF1999" s="13">
        <v>44537</v>
      </c>
      <c r="AG1999" s="12">
        <v>171.75299999999999</v>
      </c>
    </row>
    <row r="2000" spans="30:33" x14ac:dyDescent="0.2">
      <c r="AD2000" s="13">
        <v>44538</v>
      </c>
      <c r="AE2000" s="12">
        <v>29.9068</v>
      </c>
      <c r="AF2000" s="13">
        <v>44538</v>
      </c>
      <c r="AG2000" s="12">
        <v>170.60919999999999</v>
      </c>
    </row>
    <row r="2001" spans="30:33" x14ac:dyDescent="0.2">
      <c r="AD2001" s="13">
        <v>44539</v>
      </c>
      <c r="AE2001" s="12">
        <v>29.957699999999999</v>
      </c>
      <c r="AF2001" s="13">
        <v>44539</v>
      </c>
      <c r="AG2001" s="12">
        <v>170.46780000000001</v>
      </c>
    </row>
    <row r="2002" spans="30:33" x14ac:dyDescent="0.2">
      <c r="AD2002" s="13">
        <v>44540</v>
      </c>
      <c r="AE2002" s="12">
        <v>29.952100000000002</v>
      </c>
      <c r="AF2002" s="13">
        <v>44540</v>
      </c>
      <c r="AG2002" s="12">
        <v>170.66059999999999</v>
      </c>
    </row>
    <row r="2003" spans="30:33" x14ac:dyDescent="0.2">
      <c r="AD2003" s="13">
        <v>44543</v>
      </c>
      <c r="AE2003" s="12">
        <v>30.070900000000002</v>
      </c>
      <c r="AF2003" s="13">
        <v>44543</v>
      </c>
      <c r="AG2003" s="12">
        <v>171.43170000000001</v>
      </c>
    </row>
    <row r="2004" spans="30:33" x14ac:dyDescent="0.2">
      <c r="AD2004" s="13">
        <v>44544</v>
      </c>
      <c r="AE2004" s="12">
        <v>30.048200000000001</v>
      </c>
      <c r="AF2004" s="13">
        <v>44544</v>
      </c>
      <c r="AG2004" s="12">
        <v>170.66059999999999</v>
      </c>
    </row>
    <row r="2005" spans="30:33" x14ac:dyDescent="0.2">
      <c r="AD2005" s="13">
        <v>44545</v>
      </c>
      <c r="AE2005" s="12">
        <v>29.991700000000002</v>
      </c>
      <c r="AF2005" s="13">
        <v>44545</v>
      </c>
      <c r="AG2005" s="12">
        <v>170.87909999999999</v>
      </c>
    </row>
    <row r="2006" spans="30:33" x14ac:dyDescent="0.2">
      <c r="AD2006" s="13">
        <v>44546</v>
      </c>
      <c r="AE2006" s="12">
        <v>30.035399999999999</v>
      </c>
      <c r="AF2006" s="13">
        <v>44546</v>
      </c>
      <c r="AG2006" s="12">
        <v>170.87440000000001</v>
      </c>
    </row>
    <row r="2007" spans="30:33" x14ac:dyDescent="0.2">
      <c r="AD2007" s="13">
        <v>44547</v>
      </c>
      <c r="AE2007" s="12">
        <v>30.103400000000001</v>
      </c>
      <c r="AF2007" s="13">
        <v>44547</v>
      </c>
      <c r="AG2007" s="12">
        <v>171.27359999999999</v>
      </c>
    </row>
    <row r="2008" spans="30:33" x14ac:dyDescent="0.2">
      <c r="AD2008" s="13">
        <v>44550</v>
      </c>
      <c r="AE2008" s="12">
        <v>30.086400000000001</v>
      </c>
      <c r="AF2008" s="13">
        <v>44550</v>
      </c>
      <c r="AG2008" s="12">
        <v>170.52680000000001</v>
      </c>
    </row>
    <row r="2009" spans="30:33" x14ac:dyDescent="0.2">
      <c r="AD2009" s="13">
        <v>44551</v>
      </c>
      <c r="AE2009" s="12">
        <v>29.984500000000001</v>
      </c>
      <c r="AF2009" s="13">
        <v>44551</v>
      </c>
      <c r="AG2009" s="12">
        <v>170.86160000000001</v>
      </c>
    </row>
    <row r="2010" spans="30:33" x14ac:dyDescent="0.2">
      <c r="AD2010" s="13">
        <v>44552</v>
      </c>
      <c r="AE2010" s="12">
        <v>30.0184</v>
      </c>
      <c r="AF2010" s="13">
        <v>44552</v>
      </c>
      <c r="AG2010" s="12">
        <v>171.13200000000001</v>
      </c>
    </row>
    <row r="2011" spans="30:33" x14ac:dyDescent="0.2">
      <c r="AD2011" s="13">
        <v>44553</v>
      </c>
      <c r="AE2011" s="12">
        <v>30.154299999999999</v>
      </c>
      <c r="AF2011" s="13">
        <v>44553</v>
      </c>
      <c r="AG2011" s="12">
        <v>170.87440000000001</v>
      </c>
    </row>
    <row r="2012" spans="30:33" x14ac:dyDescent="0.2">
      <c r="AD2012" s="13">
        <v>44557</v>
      </c>
      <c r="AE2012" s="12">
        <v>29.9618</v>
      </c>
      <c r="AF2012" s="13">
        <v>44557</v>
      </c>
      <c r="AG2012" s="12">
        <v>171.3766</v>
      </c>
    </row>
    <row r="2013" spans="30:33" x14ac:dyDescent="0.2">
      <c r="AD2013" s="13">
        <v>44558</v>
      </c>
      <c r="AE2013" s="12">
        <v>29.9392</v>
      </c>
      <c r="AF2013" s="13">
        <v>44558</v>
      </c>
      <c r="AG2013" s="12">
        <v>171.15770000000001</v>
      </c>
    </row>
    <row r="2014" spans="30:33" x14ac:dyDescent="0.2">
      <c r="AD2014" s="13">
        <v>44559</v>
      </c>
      <c r="AE2014" s="12">
        <v>29.848600000000001</v>
      </c>
      <c r="AF2014" s="13">
        <v>44559</v>
      </c>
      <c r="AG2014" s="12">
        <v>170.21770000000001</v>
      </c>
    </row>
    <row r="2015" spans="30:33" x14ac:dyDescent="0.2">
      <c r="AD2015" s="13">
        <v>44560</v>
      </c>
      <c r="AE2015" s="12">
        <v>29.916499999999999</v>
      </c>
      <c r="AF2015" s="13">
        <v>44560</v>
      </c>
      <c r="AG2015" s="12">
        <v>170.90020000000001</v>
      </c>
    </row>
    <row r="2016" spans="30:33" x14ac:dyDescent="0.2">
      <c r="AD2016" s="13">
        <v>44561</v>
      </c>
      <c r="AE2016" s="12">
        <v>30.210899999999999</v>
      </c>
      <c r="AF2016" s="13">
        <v>44561</v>
      </c>
      <c r="AG2016" s="12">
        <v>170.64269999999999</v>
      </c>
    </row>
    <row r="2017" spans="30:33" x14ac:dyDescent="0.2">
      <c r="AD2017" s="13">
        <v>44564</v>
      </c>
      <c r="AE2017" s="12">
        <v>29.69</v>
      </c>
      <c r="AF2017" s="13">
        <v>44564</v>
      </c>
      <c r="AG2017" s="12">
        <v>168.827</v>
      </c>
    </row>
    <row r="2018" spans="30:33" x14ac:dyDescent="0.2">
      <c r="AD2018" s="13">
        <v>44565</v>
      </c>
      <c r="AE2018" s="12">
        <v>29.678699999999999</v>
      </c>
      <c r="AF2018" s="13">
        <v>44565</v>
      </c>
      <c r="AG2018" s="12">
        <v>168.96870000000001</v>
      </c>
    </row>
    <row r="2019" spans="30:33" x14ac:dyDescent="0.2">
      <c r="AD2019" s="13">
        <v>44566</v>
      </c>
      <c r="AE2019" s="12">
        <v>29.588100000000001</v>
      </c>
      <c r="AF2019" s="13">
        <v>44566</v>
      </c>
      <c r="AG2019" s="12">
        <v>167.97720000000001</v>
      </c>
    </row>
    <row r="2020" spans="30:33" x14ac:dyDescent="0.2">
      <c r="AD2020" s="13">
        <v>44567</v>
      </c>
      <c r="AE2020" s="12">
        <v>29.559799999999999</v>
      </c>
      <c r="AF2020" s="13">
        <v>44567</v>
      </c>
      <c r="AG2020" s="12">
        <v>167.75829999999999</v>
      </c>
    </row>
    <row r="2021" spans="30:33" x14ac:dyDescent="0.2">
      <c r="AD2021" s="13">
        <v>44568</v>
      </c>
      <c r="AE2021" s="12">
        <v>29.497599999999998</v>
      </c>
      <c r="AF2021" s="13">
        <v>44568</v>
      </c>
      <c r="AG2021" s="12">
        <v>167.03720000000001</v>
      </c>
    </row>
    <row r="2022" spans="30:33" x14ac:dyDescent="0.2">
      <c r="AD2022" s="13">
        <v>44571</v>
      </c>
      <c r="AE2022" s="12">
        <v>29.497599999999998</v>
      </c>
      <c r="AF2022" s="13">
        <v>44571</v>
      </c>
      <c r="AG2022" s="12">
        <v>166.8826</v>
      </c>
    </row>
    <row r="2023" spans="30:33" x14ac:dyDescent="0.2">
      <c r="AD2023" s="13">
        <v>44572</v>
      </c>
      <c r="AE2023" s="12">
        <v>29.548500000000001</v>
      </c>
      <c r="AF2023" s="13">
        <v>44572</v>
      </c>
      <c r="AG2023" s="12">
        <v>167.38480000000001</v>
      </c>
    </row>
    <row r="2024" spans="30:33" x14ac:dyDescent="0.2">
      <c r="AD2024" s="13">
        <v>44573</v>
      </c>
      <c r="AE2024" s="12">
        <v>29.520199999999999</v>
      </c>
      <c r="AF2024" s="13">
        <v>44573</v>
      </c>
      <c r="AG2024" s="12">
        <v>167.26900000000001</v>
      </c>
    </row>
    <row r="2025" spans="30:33" x14ac:dyDescent="0.2">
      <c r="AD2025" s="13">
        <v>44574</v>
      </c>
      <c r="AE2025" s="12">
        <v>29.599499999999999</v>
      </c>
      <c r="AF2025" s="13">
        <v>44574</v>
      </c>
      <c r="AG2025" s="12">
        <v>167.79689999999999</v>
      </c>
    </row>
    <row r="2026" spans="30:33" x14ac:dyDescent="0.2">
      <c r="AD2026" s="13">
        <v>44575</v>
      </c>
      <c r="AE2026" s="12">
        <v>29.440899999999999</v>
      </c>
      <c r="AF2026" s="13">
        <v>44575</v>
      </c>
      <c r="AG2026" s="12">
        <v>166.31610000000001</v>
      </c>
    </row>
    <row r="2027" spans="30:33" x14ac:dyDescent="0.2">
      <c r="AD2027" s="13">
        <v>44579</v>
      </c>
      <c r="AE2027" s="12">
        <v>29.2484</v>
      </c>
      <c r="AF2027" s="13">
        <v>44579</v>
      </c>
      <c r="AG2027" s="12">
        <v>164.73220000000001</v>
      </c>
    </row>
    <row r="2028" spans="30:33" x14ac:dyDescent="0.2">
      <c r="AD2028" s="13">
        <v>44580</v>
      </c>
      <c r="AE2028" s="12">
        <v>29.350300000000001</v>
      </c>
      <c r="AF2028" s="13">
        <v>44580</v>
      </c>
      <c r="AG2028" s="12">
        <v>164.9898</v>
      </c>
    </row>
    <row r="2029" spans="30:33" x14ac:dyDescent="0.2">
      <c r="AD2029" s="13">
        <v>44581</v>
      </c>
      <c r="AE2029" s="12">
        <v>29.3843</v>
      </c>
      <c r="AF2029" s="13">
        <v>44581</v>
      </c>
      <c r="AG2029" s="12">
        <v>164.89959999999999</v>
      </c>
    </row>
    <row r="2030" spans="30:33" x14ac:dyDescent="0.2">
      <c r="AD2030" s="13">
        <v>44582</v>
      </c>
      <c r="AE2030" s="12">
        <v>29.508900000000001</v>
      </c>
      <c r="AF2030" s="13">
        <v>44582</v>
      </c>
      <c r="AG2030" s="12">
        <v>165.9813</v>
      </c>
    </row>
    <row r="2031" spans="30:33" x14ac:dyDescent="0.2">
      <c r="AD2031" s="13">
        <v>44585</v>
      </c>
      <c r="AE2031" s="12">
        <v>29.4862</v>
      </c>
      <c r="AF2031" s="13">
        <v>44585</v>
      </c>
      <c r="AG2031" s="12">
        <v>165.46619999999999</v>
      </c>
    </row>
    <row r="2032" spans="30:33" x14ac:dyDescent="0.2">
      <c r="AD2032" s="13">
        <v>44586</v>
      </c>
      <c r="AE2032" s="12">
        <v>29.429600000000001</v>
      </c>
      <c r="AF2032" s="13">
        <v>44586</v>
      </c>
      <c r="AG2032" s="12">
        <v>165.0026</v>
      </c>
    </row>
    <row r="2033" spans="30:33" x14ac:dyDescent="0.2">
      <c r="AD2033" s="13">
        <v>44587</v>
      </c>
      <c r="AE2033" s="12">
        <v>29.282399999999999</v>
      </c>
      <c r="AF2033" s="13">
        <v>44587</v>
      </c>
      <c r="AG2033" s="12">
        <v>163.88239999999999</v>
      </c>
    </row>
    <row r="2034" spans="30:33" x14ac:dyDescent="0.2">
      <c r="AD2034" s="13">
        <v>44588</v>
      </c>
      <c r="AE2034" s="12">
        <v>29.395600000000002</v>
      </c>
      <c r="AF2034" s="13">
        <v>44588</v>
      </c>
      <c r="AG2034" s="12">
        <v>164.25579999999999</v>
      </c>
    </row>
    <row r="2035" spans="30:33" x14ac:dyDescent="0.2">
      <c r="AD2035" s="13">
        <v>44589</v>
      </c>
      <c r="AE2035" s="12">
        <v>29.4239</v>
      </c>
      <c r="AF2035" s="13">
        <v>44589</v>
      </c>
      <c r="AG2035" s="12">
        <v>164.43610000000001</v>
      </c>
    </row>
    <row r="2036" spans="30:33" x14ac:dyDescent="0.2">
      <c r="AD2036" s="13">
        <v>44592</v>
      </c>
      <c r="AE2036" s="12">
        <v>29.418299999999999</v>
      </c>
      <c r="AF2036" s="13">
        <v>44592</v>
      </c>
      <c r="AG2036" s="12">
        <v>164.51329999999999</v>
      </c>
    </row>
    <row r="2037" spans="30:33" x14ac:dyDescent="0.2">
      <c r="AD2037" s="13">
        <v>44593</v>
      </c>
      <c r="AE2037" s="12">
        <v>29.365600000000001</v>
      </c>
      <c r="AF2037" s="13">
        <v>44593</v>
      </c>
      <c r="AG2037" s="12">
        <v>164.78630000000001</v>
      </c>
    </row>
    <row r="2038" spans="30:33" x14ac:dyDescent="0.2">
      <c r="AD2038" s="13">
        <v>44594</v>
      </c>
      <c r="AE2038" s="12">
        <v>29.411000000000001</v>
      </c>
      <c r="AF2038" s="13">
        <v>44594</v>
      </c>
      <c r="AG2038" s="12">
        <v>164.79920000000001</v>
      </c>
    </row>
    <row r="2039" spans="30:33" x14ac:dyDescent="0.2">
      <c r="AD2039" s="13">
        <v>44595</v>
      </c>
      <c r="AE2039" s="12">
        <v>29.3203</v>
      </c>
      <c r="AF2039" s="13">
        <v>44595</v>
      </c>
      <c r="AG2039" s="12">
        <v>163.47030000000001</v>
      </c>
    </row>
    <row r="2040" spans="30:33" x14ac:dyDescent="0.2">
      <c r="AD2040" s="13">
        <v>44596</v>
      </c>
      <c r="AE2040" s="12">
        <v>29.138999999999999</v>
      </c>
      <c r="AF2040" s="13">
        <v>44596</v>
      </c>
      <c r="AG2040" s="12">
        <v>161.84479999999999</v>
      </c>
    </row>
    <row r="2041" spans="30:33" x14ac:dyDescent="0.2">
      <c r="AD2041" s="13">
        <v>44599</v>
      </c>
      <c r="AE2041" s="12">
        <v>29.138999999999999</v>
      </c>
      <c r="AF2041" s="13">
        <v>44599</v>
      </c>
      <c r="AG2041" s="12">
        <v>162.14150000000001</v>
      </c>
    </row>
    <row r="2042" spans="30:33" x14ac:dyDescent="0.2">
      <c r="AD2042" s="13">
        <v>44600</v>
      </c>
      <c r="AE2042" s="12">
        <v>29.0823</v>
      </c>
      <c r="AF2042" s="13">
        <v>44600</v>
      </c>
      <c r="AG2042" s="12">
        <v>161.5352</v>
      </c>
    </row>
    <row r="2043" spans="30:33" x14ac:dyDescent="0.2">
      <c r="AD2043" s="13">
        <v>44601</v>
      </c>
      <c r="AE2043" s="12">
        <v>29.076599999999999</v>
      </c>
      <c r="AF2043" s="13">
        <v>44601</v>
      </c>
      <c r="AG2043" s="12">
        <v>162.077</v>
      </c>
    </row>
    <row r="2044" spans="30:33" x14ac:dyDescent="0.2">
      <c r="AD2044" s="13">
        <v>44602</v>
      </c>
      <c r="AE2044" s="12">
        <v>28.832899999999999</v>
      </c>
      <c r="AF2044" s="13">
        <v>44602</v>
      </c>
      <c r="AG2044" s="12">
        <v>159.87090000000001</v>
      </c>
    </row>
    <row r="2045" spans="30:33" x14ac:dyDescent="0.2">
      <c r="AD2045" s="13">
        <v>44603</v>
      </c>
      <c r="AE2045" s="12">
        <v>29.036899999999999</v>
      </c>
      <c r="AF2045" s="13">
        <v>44603</v>
      </c>
      <c r="AG2045" s="12">
        <v>161.05779999999999</v>
      </c>
    </row>
    <row r="2046" spans="30:33" x14ac:dyDescent="0.2">
      <c r="AD2046" s="13">
        <v>44606</v>
      </c>
      <c r="AE2046" s="12">
        <v>28.895299999999999</v>
      </c>
      <c r="AF2046" s="13">
        <v>44606</v>
      </c>
      <c r="AG2046" s="12">
        <v>159.6258</v>
      </c>
    </row>
    <row r="2047" spans="30:33" x14ac:dyDescent="0.2">
      <c r="AD2047" s="13">
        <v>44607</v>
      </c>
      <c r="AE2047" s="12">
        <v>28.7989</v>
      </c>
      <c r="AF2047" s="13">
        <v>44607</v>
      </c>
      <c r="AG2047" s="12">
        <v>158.82589999999999</v>
      </c>
    </row>
    <row r="2048" spans="30:33" x14ac:dyDescent="0.2">
      <c r="AD2048" s="13">
        <v>44608</v>
      </c>
      <c r="AE2048" s="12">
        <v>28.878299999999999</v>
      </c>
      <c r="AF2048" s="13">
        <v>44608</v>
      </c>
      <c r="AG2048" s="12">
        <v>159.0581</v>
      </c>
    </row>
    <row r="2049" spans="30:33" x14ac:dyDescent="0.2">
      <c r="AD2049" s="13">
        <v>44609</v>
      </c>
      <c r="AE2049" s="12">
        <v>28.968900000000001</v>
      </c>
      <c r="AF2049" s="13">
        <v>44609</v>
      </c>
      <c r="AG2049" s="12">
        <v>159.17429999999999</v>
      </c>
    </row>
    <row r="2050" spans="30:33" x14ac:dyDescent="0.2">
      <c r="AD2050" s="13">
        <v>44610</v>
      </c>
      <c r="AE2050" s="12">
        <v>29.036899999999999</v>
      </c>
      <c r="AF2050" s="13">
        <v>44610</v>
      </c>
      <c r="AG2050" s="12">
        <v>159.56129999999999</v>
      </c>
    </row>
    <row r="2051" spans="30:33" x14ac:dyDescent="0.2">
      <c r="AD2051" s="13">
        <v>44614</v>
      </c>
      <c r="AE2051" s="12">
        <v>29.048300000000001</v>
      </c>
      <c r="AF2051" s="13">
        <v>44614</v>
      </c>
      <c r="AG2051" s="12">
        <v>159.35489999999999</v>
      </c>
    </row>
    <row r="2052" spans="30:33" x14ac:dyDescent="0.2">
      <c r="AD2052" s="13">
        <v>44615</v>
      </c>
      <c r="AE2052" s="12">
        <v>28.912299999999998</v>
      </c>
      <c r="AF2052" s="13">
        <v>44615</v>
      </c>
      <c r="AG2052" s="12">
        <v>157.90989999999999</v>
      </c>
    </row>
    <row r="2053" spans="30:33" x14ac:dyDescent="0.2">
      <c r="AD2053" s="13">
        <v>44616</v>
      </c>
      <c r="AE2053" s="12">
        <v>28.9236</v>
      </c>
      <c r="AF2053" s="13">
        <v>44616</v>
      </c>
      <c r="AG2053" s="12">
        <v>158.65819999999999</v>
      </c>
    </row>
    <row r="2054" spans="30:33" x14ac:dyDescent="0.2">
      <c r="AD2054" s="13">
        <v>44617</v>
      </c>
      <c r="AE2054" s="12">
        <v>28.9633</v>
      </c>
      <c r="AF2054" s="13">
        <v>44617</v>
      </c>
      <c r="AG2054" s="12">
        <v>159.30330000000001</v>
      </c>
    </row>
    <row r="2055" spans="30:33" x14ac:dyDescent="0.2">
      <c r="AD2055" s="13">
        <v>44620</v>
      </c>
      <c r="AE2055" s="12">
        <v>29.195599999999999</v>
      </c>
      <c r="AF2055" s="13">
        <v>44620</v>
      </c>
      <c r="AG2055" s="12">
        <v>161.00620000000001</v>
      </c>
    </row>
    <row r="2056" spans="30:33" x14ac:dyDescent="0.2">
      <c r="AD2056" s="13">
        <v>44621</v>
      </c>
      <c r="AE2056" s="12">
        <v>29.413499999999999</v>
      </c>
      <c r="AF2056" s="13">
        <v>44621</v>
      </c>
      <c r="AG2056" s="12">
        <v>161.55529999999999</v>
      </c>
    </row>
    <row r="2057" spans="30:33" x14ac:dyDescent="0.2">
      <c r="AD2057" s="13">
        <v>44622</v>
      </c>
      <c r="AE2057" s="12">
        <v>29.0108</v>
      </c>
      <c r="AF2057" s="13">
        <v>44622</v>
      </c>
      <c r="AG2057" s="12">
        <v>159.09909999999999</v>
      </c>
    </row>
    <row r="2058" spans="30:33" x14ac:dyDescent="0.2">
      <c r="AD2058" s="13">
        <v>44623</v>
      </c>
      <c r="AE2058" s="12">
        <v>29.118600000000001</v>
      </c>
      <c r="AF2058" s="13">
        <v>44623</v>
      </c>
      <c r="AG2058" s="12">
        <v>159.68090000000001</v>
      </c>
    </row>
    <row r="2059" spans="30:33" x14ac:dyDescent="0.2">
      <c r="AD2059" s="13">
        <v>44624</v>
      </c>
      <c r="AE2059" s="12">
        <v>29.3001</v>
      </c>
      <c r="AF2059" s="13">
        <v>44624</v>
      </c>
      <c r="AG2059" s="12">
        <v>159.83600000000001</v>
      </c>
    </row>
    <row r="2060" spans="30:33" x14ac:dyDescent="0.2">
      <c r="AD2060" s="13">
        <v>44627</v>
      </c>
      <c r="AE2060" s="12">
        <v>29.186699999999998</v>
      </c>
      <c r="AF2060" s="13">
        <v>44627</v>
      </c>
      <c r="AG2060" s="12">
        <v>157.89689999999999</v>
      </c>
    </row>
    <row r="2061" spans="30:33" x14ac:dyDescent="0.2">
      <c r="AD2061" s="13">
        <v>44628</v>
      </c>
      <c r="AE2061" s="12">
        <v>29.0505</v>
      </c>
      <c r="AF2061" s="13">
        <v>44628</v>
      </c>
      <c r="AG2061" s="12">
        <v>156.95310000000001</v>
      </c>
    </row>
    <row r="2062" spans="30:33" x14ac:dyDescent="0.2">
      <c r="AD2062" s="13">
        <v>44629</v>
      </c>
      <c r="AE2062" s="12">
        <v>28.937100000000001</v>
      </c>
      <c r="AF2062" s="13">
        <v>44629</v>
      </c>
      <c r="AG2062" s="12">
        <v>157.22460000000001</v>
      </c>
    </row>
    <row r="2063" spans="30:33" x14ac:dyDescent="0.2">
      <c r="AD2063" s="13">
        <v>44630</v>
      </c>
      <c r="AE2063" s="12">
        <v>28.8123</v>
      </c>
      <c r="AF2063" s="13">
        <v>44630</v>
      </c>
      <c r="AG2063" s="12">
        <v>155.42769999999999</v>
      </c>
    </row>
    <row r="2064" spans="30:33" x14ac:dyDescent="0.2">
      <c r="AD2064" s="13">
        <v>44631</v>
      </c>
      <c r="AE2064" s="12">
        <v>28.8123</v>
      </c>
      <c r="AF2064" s="13">
        <v>44631</v>
      </c>
      <c r="AG2064" s="12">
        <v>155.3631</v>
      </c>
    </row>
    <row r="2065" spans="30:33" x14ac:dyDescent="0.2">
      <c r="AD2065" s="13">
        <v>44634</v>
      </c>
      <c r="AE2065" s="12">
        <v>28.551400000000001</v>
      </c>
      <c r="AF2065" s="13">
        <v>44634</v>
      </c>
      <c r="AG2065" s="12">
        <v>153.11369999999999</v>
      </c>
    </row>
    <row r="2066" spans="30:33" x14ac:dyDescent="0.2">
      <c r="AD2066" s="13">
        <v>44635</v>
      </c>
      <c r="AE2066" s="12">
        <v>28.358599999999999</v>
      </c>
      <c r="AF2066" s="13">
        <v>44635</v>
      </c>
      <c r="AG2066" s="12">
        <v>154.3159</v>
      </c>
    </row>
    <row r="2067" spans="30:33" x14ac:dyDescent="0.2">
      <c r="AD2067" s="13">
        <v>44636</v>
      </c>
      <c r="AE2067" s="12">
        <v>28.551400000000001</v>
      </c>
      <c r="AF2067" s="13">
        <v>44636</v>
      </c>
      <c r="AG2067" s="12">
        <v>155.6345</v>
      </c>
    </row>
    <row r="2068" spans="30:33" x14ac:dyDescent="0.2">
      <c r="AD2068" s="13">
        <v>44637</v>
      </c>
      <c r="AE2068" s="12">
        <v>28.489000000000001</v>
      </c>
      <c r="AF2068" s="13">
        <v>44637</v>
      </c>
      <c r="AG2068" s="12">
        <v>157.16</v>
      </c>
    </row>
    <row r="2069" spans="30:33" x14ac:dyDescent="0.2">
      <c r="AD2069" s="13">
        <v>44638</v>
      </c>
      <c r="AE2069" s="12">
        <v>28.5684</v>
      </c>
      <c r="AF2069" s="13">
        <v>44638</v>
      </c>
      <c r="AG2069" s="12">
        <v>157.47020000000001</v>
      </c>
    </row>
    <row r="2070" spans="30:33" x14ac:dyDescent="0.2">
      <c r="AD2070" s="13">
        <v>44641</v>
      </c>
      <c r="AE2070" s="12">
        <v>28.279199999999999</v>
      </c>
      <c r="AF2070" s="13">
        <v>44641</v>
      </c>
      <c r="AG2070" s="12">
        <v>155.28550000000001</v>
      </c>
    </row>
    <row r="2071" spans="30:33" x14ac:dyDescent="0.2">
      <c r="AD2071" s="13">
        <v>44642</v>
      </c>
      <c r="AE2071" s="12">
        <v>28.177099999999999</v>
      </c>
      <c r="AF2071" s="13">
        <v>44642</v>
      </c>
      <c r="AG2071" s="12">
        <v>154.91059999999999</v>
      </c>
    </row>
    <row r="2072" spans="30:33" x14ac:dyDescent="0.2">
      <c r="AD2072" s="13">
        <v>44643</v>
      </c>
      <c r="AE2072" s="12">
        <v>28.313199999999998</v>
      </c>
      <c r="AF2072" s="13">
        <v>44643</v>
      </c>
      <c r="AG2072" s="12">
        <v>155.3501</v>
      </c>
    </row>
    <row r="2073" spans="30:33" x14ac:dyDescent="0.2">
      <c r="AD2073" s="13">
        <v>44644</v>
      </c>
      <c r="AE2073" s="12">
        <v>28.250800000000002</v>
      </c>
      <c r="AF2073" s="13">
        <v>44644</v>
      </c>
      <c r="AG2073" s="12">
        <v>155.41480000000001</v>
      </c>
    </row>
    <row r="2074" spans="30:33" x14ac:dyDescent="0.2">
      <c r="AD2074" s="13">
        <v>44645</v>
      </c>
      <c r="AE2074" s="12">
        <v>28.029599999999999</v>
      </c>
      <c r="AF2074" s="13">
        <v>44645</v>
      </c>
      <c r="AG2074" s="12">
        <v>154.1867</v>
      </c>
    </row>
    <row r="2075" spans="30:33" x14ac:dyDescent="0.2">
      <c r="AD2075" s="13">
        <v>44648</v>
      </c>
      <c r="AE2075" s="12">
        <v>28.0807</v>
      </c>
      <c r="AF2075" s="13">
        <v>44648</v>
      </c>
      <c r="AG2075" s="12">
        <v>155.03989999999999</v>
      </c>
    </row>
    <row r="2076" spans="30:33" x14ac:dyDescent="0.2">
      <c r="AD2076" s="13">
        <v>44649</v>
      </c>
      <c r="AE2076" s="12">
        <v>28.165800000000001</v>
      </c>
      <c r="AF2076" s="13">
        <v>44649</v>
      </c>
      <c r="AG2076" s="12">
        <v>156.34559999999999</v>
      </c>
    </row>
    <row r="2077" spans="30:33" x14ac:dyDescent="0.2">
      <c r="AD2077" s="13">
        <v>44650</v>
      </c>
      <c r="AE2077" s="12">
        <v>28.256499999999999</v>
      </c>
      <c r="AF2077" s="13">
        <v>44650</v>
      </c>
      <c r="AG2077" s="12">
        <v>156.70750000000001</v>
      </c>
    </row>
    <row r="2078" spans="30:33" x14ac:dyDescent="0.2">
      <c r="AD2078" s="13">
        <v>44651</v>
      </c>
      <c r="AE2078" s="12">
        <v>28.256499999999999</v>
      </c>
      <c r="AF2078" s="13">
        <v>44651</v>
      </c>
      <c r="AG2078" s="12">
        <v>156.34559999999999</v>
      </c>
    </row>
    <row r="2079" spans="30:33" x14ac:dyDescent="0.2">
      <c r="AD2079" s="13">
        <v>44652</v>
      </c>
      <c r="AE2079" s="12">
        <v>28.184100000000001</v>
      </c>
      <c r="AF2079" s="13">
        <v>44652</v>
      </c>
      <c r="AG2079" s="12">
        <v>156.86879999999999</v>
      </c>
    </row>
    <row r="2080" spans="30:33" x14ac:dyDescent="0.2">
      <c r="AD2080" s="13">
        <v>44655</v>
      </c>
      <c r="AE2080" s="12">
        <v>28.1614</v>
      </c>
      <c r="AF2080" s="13">
        <v>44655</v>
      </c>
      <c r="AG2080" s="12">
        <v>157.41290000000001</v>
      </c>
    </row>
    <row r="2081" spans="30:33" x14ac:dyDescent="0.2">
      <c r="AD2081" s="13">
        <v>44656</v>
      </c>
      <c r="AE2081" s="12">
        <v>27.9343</v>
      </c>
      <c r="AF2081" s="13">
        <v>44656</v>
      </c>
      <c r="AG2081" s="12">
        <v>154.65350000000001</v>
      </c>
    </row>
    <row r="2082" spans="30:33" x14ac:dyDescent="0.2">
      <c r="AD2082" s="13">
        <v>44657</v>
      </c>
      <c r="AE2082" s="12">
        <v>27.8889</v>
      </c>
      <c r="AF2082" s="13">
        <v>44657</v>
      </c>
      <c r="AG2082" s="12">
        <v>153.7467</v>
      </c>
    </row>
    <row r="2083" spans="30:33" x14ac:dyDescent="0.2">
      <c r="AD2083" s="13">
        <v>44658</v>
      </c>
      <c r="AE2083" s="12">
        <v>27.854800000000001</v>
      </c>
      <c r="AF2083" s="13">
        <v>44658</v>
      </c>
      <c r="AG2083" s="12">
        <v>153.0342</v>
      </c>
    </row>
    <row r="2084" spans="30:33" x14ac:dyDescent="0.2">
      <c r="AD2084" s="13">
        <v>44659</v>
      </c>
      <c r="AE2084" s="12">
        <v>27.741299999999999</v>
      </c>
      <c r="AF2084" s="13">
        <v>44659</v>
      </c>
      <c r="AG2084" s="12">
        <v>151.82939999999999</v>
      </c>
    </row>
    <row r="2085" spans="30:33" x14ac:dyDescent="0.2">
      <c r="AD2085" s="13">
        <v>44662</v>
      </c>
      <c r="AE2085" s="12">
        <v>27.650400000000001</v>
      </c>
      <c r="AF2085" s="13">
        <v>44662</v>
      </c>
      <c r="AG2085" s="12">
        <v>150.3526</v>
      </c>
    </row>
    <row r="2086" spans="30:33" x14ac:dyDescent="0.2">
      <c r="AD2086" s="13">
        <v>44663</v>
      </c>
      <c r="AE2086" s="12">
        <v>27.718499999999999</v>
      </c>
      <c r="AF2086" s="13">
        <v>44663</v>
      </c>
      <c r="AG2086" s="12">
        <v>150.4562</v>
      </c>
    </row>
    <row r="2087" spans="30:33" x14ac:dyDescent="0.2">
      <c r="AD2087" s="13">
        <v>44664</v>
      </c>
      <c r="AE2087" s="12">
        <v>27.763999999999999</v>
      </c>
      <c r="AF2087" s="13">
        <v>44664</v>
      </c>
      <c r="AG2087" s="12">
        <v>151.23349999999999</v>
      </c>
    </row>
    <row r="2088" spans="30:33" x14ac:dyDescent="0.2">
      <c r="AD2088" s="13">
        <v>44665</v>
      </c>
      <c r="AE2088" s="12">
        <v>27.548200000000001</v>
      </c>
      <c r="AF2088" s="13">
        <v>44665</v>
      </c>
      <c r="AG2088" s="12">
        <v>149.4717</v>
      </c>
    </row>
    <row r="2089" spans="30:33" x14ac:dyDescent="0.2">
      <c r="AD2089" s="13">
        <v>44669</v>
      </c>
      <c r="AE2089" s="12">
        <v>27.5198</v>
      </c>
      <c r="AF2089" s="13">
        <v>44669</v>
      </c>
      <c r="AG2089" s="12">
        <v>148.33160000000001</v>
      </c>
    </row>
    <row r="2090" spans="30:33" x14ac:dyDescent="0.2">
      <c r="AD2090" s="13">
        <v>44670</v>
      </c>
      <c r="AE2090" s="12">
        <v>27.389199999999999</v>
      </c>
      <c r="AF2090" s="13">
        <v>44670</v>
      </c>
      <c r="AG2090" s="12">
        <v>147.15280000000001</v>
      </c>
    </row>
    <row r="2091" spans="30:33" x14ac:dyDescent="0.2">
      <c r="AD2091" s="13">
        <v>44671</v>
      </c>
      <c r="AE2091" s="12">
        <v>27.536899999999999</v>
      </c>
      <c r="AF2091" s="13">
        <v>44671</v>
      </c>
      <c r="AG2091" s="12">
        <v>148.6814</v>
      </c>
    </row>
    <row r="2092" spans="30:33" x14ac:dyDescent="0.2">
      <c r="AD2092" s="13">
        <v>44672</v>
      </c>
      <c r="AE2092" s="12">
        <v>27.446000000000002</v>
      </c>
      <c r="AF2092" s="13">
        <v>44672</v>
      </c>
      <c r="AG2092" s="12">
        <v>147.1009</v>
      </c>
    </row>
    <row r="2093" spans="30:33" x14ac:dyDescent="0.2">
      <c r="AD2093" s="13">
        <v>44673</v>
      </c>
      <c r="AE2093" s="12">
        <v>27.400600000000001</v>
      </c>
      <c r="AF2093" s="13">
        <v>44673</v>
      </c>
      <c r="AG2093" s="12">
        <v>146.9325</v>
      </c>
    </row>
    <row r="2094" spans="30:33" x14ac:dyDescent="0.2">
      <c r="AD2094" s="13">
        <v>44676</v>
      </c>
      <c r="AE2094" s="12">
        <v>27.531199999999998</v>
      </c>
      <c r="AF2094" s="13">
        <v>44676</v>
      </c>
      <c r="AG2094" s="12">
        <v>148.56479999999999</v>
      </c>
    </row>
    <row r="2095" spans="30:33" x14ac:dyDescent="0.2">
      <c r="AD2095" s="13">
        <v>44677</v>
      </c>
      <c r="AE2095" s="12">
        <v>27.673100000000002</v>
      </c>
      <c r="AF2095" s="13">
        <v>44677</v>
      </c>
      <c r="AG2095" s="12">
        <v>148.4871</v>
      </c>
    </row>
    <row r="2096" spans="30:33" x14ac:dyDescent="0.2">
      <c r="AD2096" s="13">
        <v>44678</v>
      </c>
      <c r="AE2096" s="12">
        <v>27.5596</v>
      </c>
      <c r="AF2096" s="13">
        <v>44678</v>
      </c>
      <c r="AG2096" s="12">
        <v>147.06209999999999</v>
      </c>
    </row>
    <row r="2097" spans="30:33" x14ac:dyDescent="0.2">
      <c r="AD2097" s="13">
        <v>44679</v>
      </c>
      <c r="AE2097" s="12">
        <v>27.536899999999999</v>
      </c>
      <c r="AF2097" s="13">
        <v>44679</v>
      </c>
      <c r="AG2097" s="12">
        <v>147.5025</v>
      </c>
    </row>
    <row r="2098" spans="30:33" x14ac:dyDescent="0.2">
      <c r="AD2098" s="13">
        <v>44680</v>
      </c>
      <c r="AE2098" s="12">
        <v>27.423300000000001</v>
      </c>
      <c r="AF2098" s="13">
        <v>44680</v>
      </c>
      <c r="AG2098" s="12">
        <v>145.87020000000001</v>
      </c>
    </row>
    <row r="2099" spans="30:33" x14ac:dyDescent="0.2">
      <c r="AD2099" s="13">
        <v>44683</v>
      </c>
      <c r="AE2099" s="12">
        <v>27.2483</v>
      </c>
      <c r="AF2099" s="13">
        <v>44683</v>
      </c>
      <c r="AG2099" s="12">
        <v>145.0069</v>
      </c>
    </row>
    <row r="2100" spans="30:33" x14ac:dyDescent="0.2">
      <c r="AD2100" s="13">
        <v>44684</v>
      </c>
      <c r="AE2100" s="12">
        <v>27.293800000000001</v>
      </c>
      <c r="AF2100" s="13">
        <v>44684</v>
      </c>
      <c r="AG2100" s="12">
        <v>145.9418</v>
      </c>
    </row>
    <row r="2101" spans="30:33" x14ac:dyDescent="0.2">
      <c r="AD2101" s="13">
        <v>44685</v>
      </c>
      <c r="AE2101" s="12">
        <v>27.407399999999999</v>
      </c>
      <c r="AF2101" s="13">
        <v>44685</v>
      </c>
      <c r="AG2101" s="12">
        <v>147.37</v>
      </c>
    </row>
    <row r="2102" spans="30:33" x14ac:dyDescent="0.2">
      <c r="AD2102" s="13">
        <v>44686</v>
      </c>
      <c r="AE2102" s="12">
        <v>27.191500000000001</v>
      </c>
      <c r="AF2102" s="13">
        <v>44686</v>
      </c>
      <c r="AG2102" s="12">
        <v>145.11080000000001</v>
      </c>
    </row>
    <row r="2103" spans="30:33" x14ac:dyDescent="0.2">
      <c r="AD2103" s="13">
        <v>44687</v>
      </c>
      <c r="AE2103" s="12">
        <v>27.089200000000002</v>
      </c>
      <c r="AF2103" s="13">
        <v>44687</v>
      </c>
      <c r="AG2103" s="12">
        <v>143.87729999999999</v>
      </c>
    </row>
    <row r="2104" spans="30:33" x14ac:dyDescent="0.2">
      <c r="AD2104" s="13">
        <v>44690</v>
      </c>
      <c r="AE2104" s="12">
        <v>27.236899999999999</v>
      </c>
      <c r="AF2104" s="13">
        <v>44690</v>
      </c>
      <c r="AG2104" s="12">
        <v>144.3837</v>
      </c>
    </row>
    <row r="2105" spans="30:33" x14ac:dyDescent="0.2">
      <c r="AD2105" s="13">
        <v>44691</v>
      </c>
      <c r="AE2105" s="12">
        <v>27.282399999999999</v>
      </c>
      <c r="AF2105" s="13">
        <v>44691</v>
      </c>
      <c r="AG2105" s="12">
        <v>144.994</v>
      </c>
    </row>
    <row r="2106" spans="30:33" x14ac:dyDescent="0.2">
      <c r="AD2106" s="13">
        <v>44692</v>
      </c>
      <c r="AE2106" s="12">
        <v>27.396100000000001</v>
      </c>
      <c r="AF2106" s="13">
        <v>44692</v>
      </c>
      <c r="AG2106" s="12">
        <v>145.66909999999999</v>
      </c>
    </row>
    <row r="2107" spans="30:33" x14ac:dyDescent="0.2">
      <c r="AD2107" s="13">
        <v>44693</v>
      </c>
      <c r="AE2107" s="12">
        <v>27.4359</v>
      </c>
      <c r="AF2107" s="13">
        <v>44693</v>
      </c>
      <c r="AG2107" s="12">
        <v>145.73400000000001</v>
      </c>
    </row>
    <row r="2108" spans="30:33" x14ac:dyDescent="0.2">
      <c r="AD2108" s="13">
        <v>44694</v>
      </c>
      <c r="AE2108" s="12">
        <v>27.333600000000001</v>
      </c>
      <c r="AF2108" s="13">
        <v>44694</v>
      </c>
      <c r="AG2108" s="12">
        <v>144.96799999999999</v>
      </c>
    </row>
    <row r="2109" spans="30:33" x14ac:dyDescent="0.2">
      <c r="AD2109" s="13">
        <v>44697</v>
      </c>
      <c r="AE2109" s="12">
        <v>27.361999999999998</v>
      </c>
      <c r="AF2109" s="13">
        <v>44697</v>
      </c>
      <c r="AG2109" s="12">
        <v>145.1627</v>
      </c>
    </row>
    <row r="2110" spans="30:33" x14ac:dyDescent="0.2">
      <c r="AD2110" s="13">
        <v>44698</v>
      </c>
      <c r="AE2110" s="12">
        <v>27.2028</v>
      </c>
      <c r="AF2110" s="13">
        <v>44698</v>
      </c>
      <c r="AG2110" s="12">
        <v>144.33179999999999</v>
      </c>
    </row>
    <row r="2111" spans="30:33" x14ac:dyDescent="0.2">
      <c r="AD2111" s="13">
        <v>44699</v>
      </c>
      <c r="AE2111" s="12">
        <v>27.3506</v>
      </c>
      <c r="AF2111" s="13">
        <v>44699</v>
      </c>
      <c r="AG2111" s="12">
        <v>144.86410000000001</v>
      </c>
    </row>
    <row r="2112" spans="30:33" x14ac:dyDescent="0.2">
      <c r="AD2112" s="13">
        <v>44700</v>
      </c>
      <c r="AE2112" s="12">
        <v>27.418800000000001</v>
      </c>
      <c r="AF2112" s="13">
        <v>44700</v>
      </c>
      <c r="AG2112" s="12">
        <v>145.25360000000001</v>
      </c>
    </row>
    <row r="2113" spans="30:33" x14ac:dyDescent="0.2">
      <c r="AD2113" s="13">
        <v>44701</v>
      </c>
      <c r="AE2113" s="12">
        <v>27.526800000000001</v>
      </c>
      <c r="AF2113" s="13">
        <v>44701</v>
      </c>
      <c r="AG2113" s="12">
        <v>145.96780000000001</v>
      </c>
    </row>
    <row r="2114" spans="30:33" x14ac:dyDescent="0.2">
      <c r="AD2114" s="13">
        <v>44704</v>
      </c>
      <c r="AE2114" s="12">
        <v>27.3904</v>
      </c>
      <c r="AF2114" s="13">
        <v>44704</v>
      </c>
      <c r="AG2114" s="12">
        <v>145.44839999999999</v>
      </c>
    </row>
    <row r="2115" spans="30:33" x14ac:dyDescent="0.2">
      <c r="AD2115" s="13">
        <v>44705</v>
      </c>
      <c r="AE2115" s="12">
        <v>27.612100000000002</v>
      </c>
      <c r="AF2115" s="13">
        <v>44705</v>
      </c>
      <c r="AG2115" s="12">
        <v>147.3571</v>
      </c>
    </row>
    <row r="2116" spans="30:33" x14ac:dyDescent="0.2">
      <c r="AD2116" s="13">
        <v>44706</v>
      </c>
      <c r="AE2116" s="12">
        <v>27.680299999999999</v>
      </c>
      <c r="AF2116" s="13">
        <v>44706</v>
      </c>
      <c r="AG2116" s="12">
        <v>148.87620000000001</v>
      </c>
    </row>
    <row r="2117" spans="30:33" x14ac:dyDescent="0.2">
      <c r="AD2117" s="13">
        <v>44707</v>
      </c>
      <c r="AE2117" s="12">
        <v>27.6234</v>
      </c>
      <c r="AF2117" s="13">
        <v>44707</v>
      </c>
      <c r="AG2117" s="12">
        <v>148.9152</v>
      </c>
    </row>
    <row r="2118" spans="30:33" x14ac:dyDescent="0.2">
      <c r="AD2118" s="13">
        <v>44708</v>
      </c>
      <c r="AE2118" s="12">
        <v>27.532499999999999</v>
      </c>
      <c r="AF2118" s="13">
        <v>44708</v>
      </c>
      <c r="AG2118" s="12">
        <v>149.6942</v>
      </c>
    </row>
    <row r="2119" spans="30:33" x14ac:dyDescent="0.2">
      <c r="AD2119" s="13">
        <v>44712</v>
      </c>
      <c r="AE2119" s="12">
        <v>27.430199999999999</v>
      </c>
      <c r="AF2119" s="13">
        <v>44712</v>
      </c>
      <c r="AG2119" s="12">
        <v>148.59059999999999</v>
      </c>
    </row>
    <row r="2120" spans="30:33" x14ac:dyDescent="0.2">
      <c r="AD2120" s="13">
        <v>44713</v>
      </c>
      <c r="AE2120" s="12">
        <v>27.358499999999999</v>
      </c>
      <c r="AF2120" s="13">
        <v>44713</v>
      </c>
      <c r="AG2120" s="12">
        <v>147.72540000000001</v>
      </c>
    </row>
    <row r="2121" spans="30:33" x14ac:dyDescent="0.2">
      <c r="AD2121" s="13">
        <v>44714</v>
      </c>
      <c r="AE2121" s="12">
        <v>27.369800000000001</v>
      </c>
      <c r="AF2121" s="13">
        <v>44714</v>
      </c>
      <c r="AG2121" s="12">
        <v>147.79050000000001</v>
      </c>
    </row>
    <row r="2122" spans="30:33" x14ac:dyDescent="0.2">
      <c r="AD2122" s="13">
        <v>44715</v>
      </c>
      <c r="AE2122" s="12">
        <v>27.335699999999999</v>
      </c>
      <c r="AF2122" s="13">
        <v>44715</v>
      </c>
      <c r="AG2122" s="12">
        <v>147.3219</v>
      </c>
    </row>
    <row r="2123" spans="30:33" x14ac:dyDescent="0.2">
      <c r="AD2123" s="13">
        <v>44718</v>
      </c>
      <c r="AE2123" s="12">
        <v>27.153600000000001</v>
      </c>
      <c r="AF2123" s="13">
        <v>44718</v>
      </c>
      <c r="AG2123" s="12">
        <v>146.2807</v>
      </c>
    </row>
    <row r="2124" spans="30:33" x14ac:dyDescent="0.2">
      <c r="AD2124" s="13">
        <v>44719</v>
      </c>
      <c r="AE2124" s="12">
        <v>27.267399999999999</v>
      </c>
      <c r="AF2124" s="13">
        <v>44719</v>
      </c>
      <c r="AG2124" s="12">
        <v>147.0616</v>
      </c>
    </row>
    <row r="2125" spans="30:33" x14ac:dyDescent="0.2">
      <c r="AD2125" s="13">
        <v>44720</v>
      </c>
      <c r="AE2125" s="12">
        <v>27.182099999999998</v>
      </c>
      <c r="AF2125" s="13">
        <v>44720</v>
      </c>
      <c r="AG2125" s="12">
        <v>146.21559999999999</v>
      </c>
    </row>
    <row r="2126" spans="30:33" x14ac:dyDescent="0.2">
      <c r="AD2126" s="13">
        <v>44721</v>
      </c>
      <c r="AE2126" s="12">
        <v>27.1877</v>
      </c>
      <c r="AF2126" s="13">
        <v>44721</v>
      </c>
      <c r="AG2126" s="12">
        <v>145.25239999999999</v>
      </c>
    </row>
    <row r="2127" spans="30:33" x14ac:dyDescent="0.2">
      <c r="AD2127" s="13">
        <v>44722</v>
      </c>
      <c r="AE2127" s="12">
        <v>26.994299999999999</v>
      </c>
      <c r="AF2127" s="13">
        <v>44722</v>
      </c>
      <c r="AG2127" s="12">
        <v>143.8468</v>
      </c>
    </row>
    <row r="2128" spans="30:33" x14ac:dyDescent="0.2">
      <c r="AD2128" s="13">
        <v>44725</v>
      </c>
      <c r="AE2128" s="12">
        <v>26.630099999999999</v>
      </c>
      <c r="AF2128" s="13">
        <v>44725</v>
      </c>
      <c r="AG2128" s="12">
        <v>140.52780000000001</v>
      </c>
    </row>
    <row r="2129" spans="30:33" x14ac:dyDescent="0.2">
      <c r="AD2129" s="13">
        <v>44726</v>
      </c>
      <c r="AE2129" s="12">
        <v>26.493500000000001</v>
      </c>
      <c r="AF2129" s="13">
        <v>44726</v>
      </c>
      <c r="AG2129" s="12">
        <v>139.79900000000001</v>
      </c>
    </row>
    <row r="2130" spans="30:33" x14ac:dyDescent="0.2">
      <c r="AD2130" s="13">
        <v>44727</v>
      </c>
      <c r="AE2130" s="12">
        <v>26.732500000000002</v>
      </c>
      <c r="AF2130" s="13">
        <v>44727</v>
      </c>
      <c r="AG2130" s="12">
        <v>141.98560000000001</v>
      </c>
    </row>
    <row r="2131" spans="30:33" x14ac:dyDescent="0.2">
      <c r="AD2131" s="13">
        <v>44728</v>
      </c>
      <c r="AE2131" s="12">
        <v>26.846299999999999</v>
      </c>
      <c r="AF2131" s="13">
        <v>44728</v>
      </c>
      <c r="AG2131" s="12">
        <v>142.14179999999999</v>
      </c>
    </row>
    <row r="2132" spans="30:33" x14ac:dyDescent="0.2">
      <c r="AD2132" s="13">
        <v>44729</v>
      </c>
      <c r="AE2132" s="12">
        <v>26.857700000000001</v>
      </c>
      <c r="AF2132" s="13">
        <v>44729</v>
      </c>
      <c r="AG2132" s="12">
        <v>142.4281</v>
      </c>
    </row>
    <row r="2133" spans="30:33" x14ac:dyDescent="0.2">
      <c r="AD2133" s="13">
        <v>44733</v>
      </c>
      <c r="AE2133" s="12">
        <v>26.7439</v>
      </c>
      <c r="AF2133" s="13">
        <v>44733</v>
      </c>
      <c r="AG2133" s="12">
        <v>140.99639999999999</v>
      </c>
    </row>
    <row r="2134" spans="30:33" x14ac:dyDescent="0.2">
      <c r="AD2134" s="13">
        <v>44734</v>
      </c>
      <c r="AE2134" s="12">
        <v>26.982900000000001</v>
      </c>
      <c r="AF2134" s="13">
        <v>44734</v>
      </c>
      <c r="AG2134" s="12">
        <v>142.02459999999999</v>
      </c>
    </row>
    <row r="2135" spans="30:33" x14ac:dyDescent="0.2">
      <c r="AD2135" s="13">
        <v>44735</v>
      </c>
      <c r="AE2135" s="12">
        <v>27.0853</v>
      </c>
      <c r="AF2135" s="13">
        <v>44735</v>
      </c>
      <c r="AG2135" s="12">
        <v>143.11789999999999</v>
      </c>
    </row>
    <row r="2136" spans="30:33" x14ac:dyDescent="0.2">
      <c r="AD2136" s="13">
        <v>44736</v>
      </c>
      <c r="AE2136" s="12">
        <v>27.005700000000001</v>
      </c>
      <c r="AF2136" s="13">
        <v>44736</v>
      </c>
      <c r="AG2136" s="12">
        <v>143.28710000000001</v>
      </c>
    </row>
    <row r="2137" spans="30:33" x14ac:dyDescent="0.2">
      <c r="AD2137" s="13">
        <v>44739</v>
      </c>
      <c r="AE2137" s="12">
        <v>26.9146</v>
      </c>
      <c r="AF2137" s="13">
        <v>44739</v>
      </c>
      <c r="AG2137" s="12">
        <v>141.9726</v>
      </c>
    </row>
    <row r="2138" spans="30:33" x14ac:dyDescent="0.2">
      <c r="AD2138" s="13">
        <v>44740</v>
      </c>
      <c r="AE2138" s="12">
        <v>26.9374</v>
      </c>
      <c r="AF2138" s="13">
        <v>44740</v>
      </c>
      <c r="AG2138" s="12">
        <v>141.93350000000001</v>
      </c>
    </row>
    <row r="2139" spans="30:33" x14ac:dyDescent="0.2">
      <c r="AD2139" s="13">
        <v>44741</v>
      </c>
      <c r="AE2139" s="12">
        <v>27.0853</v>
      </c>
      <c r="AF2139" s="13">
        <v>44741</v>
      </c>
      <c r="AG2139" s="12">
        <v>142.77950000000001</v>
      </c>
    </row>
    <row r="2140" spans="30:33" x14ac:dyDescent="0.2">
      <c r="AD2140" s="13">
        <v>44742</v>
      </c>
      <c r="AE2140" s="12">
        <v>27.199100000000001</v>
      </c>
      <c r="AF2140" s="13">
        <v>44742</v>
      </c>
      <c r="AG2140" s="12">
        <v>143.209</v>
      </c>
    </row>
    <row r="2141" spans="30:33" x14ac:dyDescent="0.2">
      <c r="AD2141" s="13">
        <v>44743</v>
      </c>
      <c r="AE2141" s="12">
        <v>27.427800000000001</v>
      </c>
      <c r="AF2141" s="13">
        <v>44743</v>
      </c>
      <c r="AG2141" s="12">
        <v>145.01429999999999</v>
      </c>
    </row>
    <row r="2142" spans="30:33" x14ac:dyDescent="0.2">
      <c r="AD2142" s="13">
        <v>44747</v>
      </c>
      <c r="AE2142" s="12">
        <v>27.473400000000002</v>
      </c>
      <c r="AF2142" s="13">
        <v>44747</v>
      </c>
      <c r="AG2142" s="12">
        <v>144.9751</v>
      </c>
    </row>
    <row r="2143" spans="30:33" x14ac:dyDescent="0.2">
      <c r="AD2143" s="13">
        <v>44748</v>
      </c>
      <c r="AE2143" s="12">
        <v>27.256900000000002</v>
      </c>
      <c r="AF2143" s="13">
        <v>44748</v>
      </c>
      <c r="AG2143" s="12">
        <v>144.25739999999999</v>
      </c>
    </row>
    <row r="2144" spans="30:33" x14ac:dyDescent="0.2">
      <c r="AD2144" s="13">
        <v>44749</v>
      </c>
      <c r="AE2144" s="12">
        <v>27.177199999999999</v>
      </c>
      <c r="AF2144" s="13">
        <v>44749</v>
      </c>
      <c r="AG2144" s="12">
        <v>144.24430000000001</v>
      </c>
    </row>
    <row r="2145" spans="30:33" x14ac:dyDescent="0.2">
      <c r="AD2145" s="13">
        <v>44750</v>
      </c>
      <c r="AE2145" s="12">
        <v>27.063199999999998</v>
      </c>
      <c r="AF2145" s="13">
        <v>44750</v>
      </c>
      <c r="AG2145" s="12">
        <v>144.0094</v>
      </c>
    </row>
    <row r="2146" spans="30:33" x14ac:dyDescent="0.2">
      <c r="AD2146" s="13">
        <v>44753</v>
      </c>
      <c r="AE2146" s="12">
        <v>27.1999</v>
      </c>
      <c r="AF2146" s="13">
        <v>44753</v>
      </c>
      <c r="AG2146" s="12">
        <v>144.41399999999999</v>
      </c>
    </row>
    <row r="2147" spans="30:33" x14ac:dyDescent="0.2">
      <c r="AD2147" s="13">
        <v>44754</v>
      </c>
      <c r="AE2147" s="12">
        <v>27.262599999999999</v>
      </c>
      <c r="AF2147" s="13">
        <v>44754</v>
      </c>
      <c r="AG2147" s="12">
        <v>144.62280000000001</v>
      </c>
    </row>
    <row r="2148" spans="30:33" x14ac:dyDescent="0.2">
      <c r="AD2148" s="13">
        <v>44755</v>
      </c>
      <c r="AE2148" s="12">
        <v>27.3139</v>
      </c>
      <c r="AF2148" s="13">
        <v>44755</v>
      </c>
      <c r="AG2148" s="12">
        <v>145.70599999999999</v>
      </c>
    </row>
    <row r="2149" spans="30:33" x14ac:dyDescent="0.2">
      <c r="AD2149" s="13">
        <v>44756</v>
      </c>
      <c r="AE2149" s="12">
        <v>27.234100000000002</v>
      </c>
      <c r="AF2149" s="13">
        <v>44756</v>
      </c>
      <c r="AG2149" s="12">
        <v>144.77940000000001</v>
      </c>
    </row>
    <row r="2150" spans="30:33" x14ac:dyDescent="0.2">
      <c r="AD2150" s="13">
        <v>44757</v>
      </c>
      <c r="AE2150" s="12">
        <v>27.2911</v>
      </c>
      <c r="AF2150" s="13">
        <v>44757</v>
      </c>
      <c r="AG2150" s="12">
        <v>145.9409</v>
      </c>
    </row>
    <row r="2151" spans="30:33" x14ac:dyDescent="0.2">
      <c r="AD2151" s="13">
        <v>44760</v>
      </c>
      <c r="AE2151" s="12">
        <v>27.211300000000001</v>
      </c>
      <c r="AF2151" s="13">
        <v>44760</v>
      </c>
      <c r="AG2151" s="12">
        <v>144.9229</v>
      </c>
    </row>
    <row r="2152" spans="30:33" x14ac:dyDescent="0.2">
      <c r="AD2152" s="13">
        <v>44761</v>
      </c>
      <c r="AE2152" s="12">
        <v>27.120200000000001</v>
      </c>
      <c r="AF2152" s="13">
        <v>44761</v>
      </c>
      <c r="AG2152" s="12">
        <v>145.32749999999999</v>
      </c>
    </row>
    <row r="2153" spans="30:33" x14ac:dyDescent="0.2">
      <c r="AD2153" s="13">
        <v>44762</v>
      </c>
      <c r="AE2153" s="12">
        <v>27.0974</v>
      </c>
      <c r="AF2153" s="13">
        <v>44762</v>
      </c>
      <c r="AG2153" s="12">
        <v>145.17089999999999</v>
      </c>
    </row>
    <row r="2154" spans="30:33" x14ac:dyDescent="0.2">
      <c r="AD2154" s="13">
        <v>44763</v>
      </c>
      <c r="AE2154" s="12">
        <v>27.3538</v>
      </c>
      <c r="AF2154" s="13">
        <v>44763</v>
      </c>
      <c r="AG2154" s="12">
        <v>147.15450000000001</v>
      </c>
    </row>
    <row r="2155" spans="30:33" x14ac:dyDescent="0.2">
      <c r="AD2155" s="13">
        <v>44764</v>
      </c>
      <c r="AE2155" s="12">
        <v>27.576000000000001</v>
      </c>
      <c r="AF2155" s="13">
        <v>44764</v>
      </c>
      <c r="AG2155" s="12">
        <v>148.28989999999999</v>
      </c>
    </row>
    <row r="2156" spans="30:33" x14ac:dyDescent="0.2">
      <c r="AD2156" s="13">
        <v>44767</v>
      </c>
      <c r="AE2156" s="12">
        <v>27.4848</v>
      </c>
      <c r="AF2156" s="13">
        <v>44767</v>
      </c>
      <c r="AG2156" s="12">
        <v>147.03710000000001</v>
      </c>
    </row>
    <row r="2157" spans="30:33" x14ac:dyDescent="0.2">
      <c r="AD2157" s="13">
        <v>44768</v>
      </c>
      <c r="AE2157" s="12">
        <v>27.4848</v>
      </c>
      <c r="AF2157" s="13">
        <v>44768</v>
      </c>
      <c r="AG2157" s="12">
        <v>147.011</v>
      </c>
    </row>
    <row r="2158" spans="30:33" x14ac:dyDescent="0.2">
      <c r="AD2158" s="13">
        <v>44769</v>
      </c>
      <c r="AE2158" s="12">
        <v>27.501899999999999</v>
      </c>
      <c r="AF2158" s="13">
        <v>44769</v>
      </c>
      <c r="AG2158" s="12">
        <v>147.9898</v>
      </c>
    </row>
    <row r="2159" spans="30:33" x14ac:dyDescent="0.2">
      <c r="AD2159" s="13">
        <v>44770</v>
      </c>
      <c r="AE2159" s="12">
        <v>27.632999999999999</v>
      </c>
      <c r="AF2159" s="13">
        <v>44770</v>
      </c>
      <c r="AG2159" s="12">
        <v>149.2165</v>
      </c>
    </row>
    <row r="2160" spans="30:33" x14ac:dyDescent="0.2">
      <c r="AD2160" s="13">
        <v>44771</v>
      </c>
      <c r="AE2160" s="12">
        <v>27.644400000000001</v>
      </c>
      <c r="AF2160" s="13">
        <v>44771</v>
      </c>
      <c r="AG2160" s="12">
        <v>149.56880000000001</v>
      </c>
    </row>
    <row r="2161" spans="30:33" x14ac:dyDescent="0.2">
      <c r="AD2161" s="13">
        <v>44774</v>
      </c>
      <c r="AE2161" s="12">
        <v>27.800799999999999</v>
      </c>
      <c r="AF2161" s="13">
        <v>44774</v>
      </c>
      <c r="AG2161" s="12">
        <v>149.86359999999999</v>
      </c>
    </row>
    <row r="2162" spans="30:33" x14ac:dyDescent="0.2">
      <c r="AD2162" s="13">
        <v>44775</v>
      </c>
      <c r="AE2162" s="12">
        <v>27.526900000000001</v>
      </c>
      <c r="AF2162" s="13">
        <v>44775</v>
      </c>
      <c r="AG2162" s="12">
        <v>148.03219999999999</v>
      </c>
    </row>
    <row r="2163" spans="30:33" x14ac:dyDescent="0.2">
      <c r="AD2163" s="13">
        <v>44776</v>
      </c>
      <c r="AE2163" s="12">
        <v>27.6296</v>
      </c>
      <c r="AF2163" s="13">
        <v>44776</v>
      </c>
      <c r="AG2163" s="12">
        <v>149.6412</v>
      </c>
    </row>
    <row r="2164" spans="30:33" x14ac:dyDescent="0.2">
      <c r="AD2164" s="13">
        <v>44777</v>
      </c>
      <c r="AE2164" s="12">
        <v>27.6753</v>
      </c>
      <c r="AF2164" s="13">
        <v>44777</v>
      </c>
      <c r="AG2164" s="12">
        <v>149.8767</v>
      </c>
    </row>
    <row r="2165" spans="30:33" x14ac:dyDescent="0.2">
      <c r="AD2165" s="13">
        <v>44778</v>
      </c>
      <c r="AE2165" s="12">
        <v>27.395700000000001</v>
      </c>
      <c r="AF2165" s="13">
        <v>44778</v>
      </c>
      <c r="AG2165" s="12">
        <v>147.84899999999999</v>
      </c>
    </row>
    <row r="2166" spans="30:33" x14ac:dyDescent="0.2">
      <c r="AD2166" s="13">
        <v>44781</v>
      </c>
      <c r="AE2166" s="12">
        <v>27.492699999999999</v>
      </c>
      <c r="AF2166" s="13">
        <v>44781</v>
      </c>
      <c r="AG2166" s="12">
        <v>148.43770000000001</v>
      </c>
    </row>
    <row r="2167" spans="30:33" x14ac:dyDescent="0.2">
      <c r="AD2167" s="13">
        <v>44782</v>
      </c>
      <c r="AE2167" s="12">
        <v>27.435600000000001</v>
      </c>
      <c r="AF2167" s="13">
        <v>44782</v>
      </c>
      <c r="AG2167" s="12">
        <v>147.7705</v>
      </c>
    </row>
    <row r="2168" spans="30:33" x14ac:dyDescent="0.2">
      <c r="AD2168" s="13">
        <v>44783</v>
      </c>
      <c r="AE2168" s="12">
        <v>27.435600000000001</v>
      </c>
      <c r="AF2168" s="13">
        <v>44783</v>
      </c>
      <c r="AG2168" s="12">
        <v>149.1703</v>
      </c>
    </row>
    <row r="2169" spans="30:33" x14ac:dyDescent="0.2">
      <c r="AD2169" s="13">
        <v>44784</v>
      </c>
      <c r="AE2169" s="12">
        <v>27.287299999999998</v>
      </c>
      <c r="AF2169" s="13">
        <v>44784</v>
      </c>
      <c r="AG2169" s="12">
        <v>147.7313</v>
      </c>
    </row>
    <row r="2170" spans="30:33" x14ac:dyDescent="0.2">
      <c r="AD2170" s="13">
        <v>44785</v>
      </c>
      <c r="AE2170" s="12">
        <v>27.355699999999999</v>
      </c>
      <c r="AF2170" s="13">
        <v>44785</v>
      </c>
      <c r="AG2170" s="12">
        <v>149.44499999999999</v>
      </c>
    </row>
    <row r="2171" spans="30:33" x14ac:dyDescent="0.2">
      <c r="AD2171" s="13">
        <v>44788</v>
      </c>
      <c r="AE2171" s="12">
        <v>27.378599999999999</v>
      </c>
      <c r="AF2171" s="13">
        <v>44788</v>
      </c>
      <c r="AG2171" s="12">
        <v>149.34030000000001</v>
      </c>
    </row>
    <row r="2172" spans="30:33" x14ac:dyDescent="0.2">
      <c r="AD2172" s="13">
        <v>44789</v>
      </c>
      <c r="AE2172" s="12">
        <v>27.39</v>
      </c>
      <c r="AF2172" s="13">
        <v>44789</v>
      </c>
      <c r="AG2172" s="12">
        <v>148.7647</v>
      </c>
    </row>
    <row r="2173" spans="30:33" x14ac:dyDescent="0.2">
      <c r="AD2173" s="13">
        <v>44790</v>
      </c>
      <c r="AE2173" s="12">
        <v>27.2759</v>
      </c>
      <c r="AF2173" s="13">
        <v>44790</v>
      </c>
      <c r="AG2173" s="12">
        <v>147.36500000000001</v>
      </c>
    </row>
    <row r="2174" spans="30:33" x14ac:dyDescent="0.2">
      <c r="AD2174" s="13">
        <v>44791</v>
      </c>
      <c r="AE2174" s="12">
        <v>27.2987</v>
      </c>
      <c r="AF2174" s="13">
        <v>44791</v>
      </c>
      <c r="AG2174" s="12">
        <v>147.74440000000001</v>
      </c>
    </row>
    <row r="2175" spans="30:33" x14ac:dyDescent="0.2">
      <c r="AD2175" s="13">
        <v>44792</v>
      </c>
      <c r="AE2175" s="12">
        <v>27.173100000000002</v>
      </c>
      <c r="AF2175" s="13">
        <v>44792</v>
      </c>
      <c r="AG2175" s="12">
        <v>145.9914</v>
      </c>
    </row>
    <row r="2176" spans="30:33" x14ac:dyDescent="0.2">
      <c r="AD2176" s="13">
        <v>44795</v>
      </c>
      <c r="AE2176" s="12">
        <v>27.099</v>
      </c>
      <c r="AF2176" s="13">
        <v>44795</v>
      </c>
      <c r="AG2176" s="12">
        <v>145.0103</v>
      </c>
    </row>
    <row r="2177" spans="30:33" x14ac:dyDescent="0.2">
      <c r="AD2177" s="13">
        <v>44796</v>
      </c>
      <c r="AE2177" s="12">
        <v>27.064699999999998</v>
      </c>
      <c r="AF2177" s="13">
        <v>44796</v>
      </c>
      <c r="AG2177" s="12">
        <v>145.16730000000001</v>
      </c>
    </row>
    <row r="2178" spans="30:33" x14ac:dyDescent="0.2">
      <c r="AD2178" s="13">
        <v>44797</v>
      </c>
      <c r="AE2178" s="12">
        <v>26.990500000000001</v>
      </c>
      <c r="AF2178" s="13">
        <v>44797</v>
      </c>
      <c r="AG2178" s="12">
        <v>144.73560000000001</v>
      </c>
    </row>
    <row r="2179" spans="30:33" x14ac:dyDescent="0.2">
      <c r="AD2179" s="13">
        <v>44798</v>
      </c>
      <c r="AE2179" s="12">
        <v>27.110399999999998</v>
      </c>
      <c r="AF2179" s="13">
        <v>44798</v>
      </c>
      <c r="AG2179" s="12">
        <v>146.2269</v>
      </c>
    </row>
    <row r="2180" spans="30:33" x14ac:dyDescent="0.2">
      <c r="AD2180" s="13">
        <v>44799</v>
      </c>
      <c r="AE2180" s="12">
        <v>27.127500000000001</v>
      </c>
      <c r="AF2180" s="13">
        <v>44799</v>
      </c>
      <c r="AG2180" s="12">
        <v>145.35040000000001</v>
      </c>
    </row>
    <row r="2181" spans="30:33" x14ac:dyDescent="0.2">
      <c r="AD2181" s="13">
        <v>44802</v>
      </c>
      <c r="AE2181" s="12">
        <v>27.024799999999999</v>
      </c>
      <c r="AF2181" s="13">
        <v>44802</v>
      </c>
      <c r="AG2181" s="12">
        <v>144.27770000000001</v>
      </c>
    </row>
    <row r="2182" spans="30:33" x14ac:dyDescent="0.2">
      <c r="AD2182" s="13">
        <v>44803</v>
      </c>
      <c r="AE2182" s="12">
        <v>27.036200000000001</v>
      </c>
      <c r="AF2182" s="13">
        <v>44803</v>
      </c>
      <c r="AG2182" s="12">
        <v>144.46090000000001</v>
      </c>
    </row>
    <row r="2183" spans="30:33" x14ac:dyDescent="0.2">
      <c r="AD2183" s="13">
        <v>44804</v>
      </c>
      <c r="AE2183" s="12">
        <v>26.933499999999999</v>
      </c>
      <c r="AF2183" s="13">
        <v>44804</v>
      </c>
      <c r="AG2183" s="12">
        <v>142.9434</v>
      </c>
    </row>
    <row r="2184" spans="30:33" x14ac:dyDescent="0.2">
      <c r="AD2184" s="13">
        <v>44805</v>
      </c>
      <c r="AE2184" s="12">
        <v>26.791499999999999</v>
      </c>
      <c r="AF2184" s="13">
        <v>44805</v>
      </c>
      <c r="AG2184" s="12">
        <v>142.0856</v>
      </c>
    </row>
    <row r="2185" spans="30:33" x14ac:dyDescent="0.2">
      <c r="AD2185" s="13">
        <v>44806</v>
      </c>
      <c r="AE2185" s="12">
        <v>26.894400000000001</v>
      </c>
      <c r="AF2185" s="13">
        <v>44806</v>
      </c>
      <c r="AG2185" s="12">
        <v>142.19049999999999</v>
      </c>
    </row>
    <row r="2186" spans="30:33" x14ac:dyDescent="0.2">
      <c r="AD2186" s="13">
        <v>44810</v>
      </c>
      <c r="AE2186" s="12">
        <v>26.683</v>
      </c>
      <c r="AF2186" s="13">
        <v>44810</v>
      </c>
      <c r="AG2186" s="12">
        <v>140.2621</v>
      </c>
    </row>
    <row r="2187" spans="30:33" x14ac:dyDescent="0.2">
      <c r="AD2187" s="13">
        <v>44811</v>
      </c>
      <c r="AE2187" s="12">
        <v>26.814399999999999</v>
      </c>
      <c r="AF2187" s="13">
        <v>44811</v>
      </c>
      <c r="AG2187" s="12">
        <v>142.17740000000001</v>
      </c>
    </row>
    <row r="2188" spans="30:33" x14ac:dyDescent="0.2">
      <c r="AD2188" s="13">
        <v>44812</v>
      </c>
      <c r="AE2188" s="12">
        <v>26.745799999999999</v>
      </c>
      <c r="AF2188" s="13">
        <v>44812</v>
      </c>
      <c r="AG2188" s="12">
        <v>141.84950000000001</v>
      </c>
    </row>
    <row r="2189" spans="30:33" x14ac:dyDescent="0.2">
      <c r="AD2189" s="13">
        <v>44813</v>
      </c>
      <c r="AE2189" s="12">
        <v>26.717300000000002</v>
      </c>
      <c r="AF2189" s="13">
        <v>44813</v>
      </c>
      <c r="AG2189" s="12">
        <v>142.17740000000001</v>
      </c>
    </row>
    <row r="2190" spans="30:33" x14ac:dyDescent="0.2">
      <c r="AD2190" s="13">
        <v>44816</v>
      </c>
      <c r="AE2190" s="12">
        <v>26.665800000000001</v>
      </c>
      <c r="AF2190" s="13">
        <v>44816</v>
      </c>
      <c r="AG2190" s="12">
        <v>141.86259999999999</v>
      </c>
    </row>
    <row r="2191" spans="30:33" x14ac:dyDescent="0.2">
      <c r="AD2191" s="13">
        <v>44817</v>
      </c>
      <c r="AE2191" s="12">
        <v>26.585799999999999</v>
      </c>
      <c r="AF2191" s="13">
        <v>44817</v>
      </c>
      <c r="AG2191" s="12">
        <v>140.83930000000001</v>
      </c>
    </row>
    <row r="2192" spans="30:33" x14ac:dyDescent="0.2">
      <c r="AD2192" s="13">
        <v>44818</v>
      </c>
      <c r="AE2192" s="12">
        <v>26.580100000000002</v>
      </c>
      <c r="AF2192" s="13">
        <v>44818</v>
      </c>
      <c r="AG2192" s="12">
        <v>141.50839999999999</v>
      </c>
    </row>
    <row r="2193" spans="30:33" x14ac:dyDescent="0.2">
      <c r="AD2193" s="13">
        <v>44819</v>
      </c>
      <c r="AE2193" s="12">
        <v>26.534400000000002</v>
      </c>
      <c r="AF2193" s="13">
        <v>44819</v>
      </c>
      <c r="AG2193" s="12">
        <v>140.8262</v>
      </c>
    </row>
    <row r="2194" spans="30:33" x14ac:dyDescent="0.2">
      <c r="AD2194" s="13">
        <v>44820</v>
      </c>
      <c r="AE2194" s="12">
        <v>26.528700000000001</v>
      </c>
      <c r="AF2194" s="13">
        <v>44820</v>
      </c>
      <c r="AG2194" s="12">
        <v>140.4983</v>
      </c>
    </row>
    <row r="2195" spans="30:33" x14ac:dyDescent="0.2">
      <c r="AD2195" s="13">
        <v>44823</v>
      </c>
      <c r="AE2195" s="12">
        <v>26.494399999999999</v>
      </c>
      <c r="AF2195" s="13">
        <v>44823</v>
      </c>
      <c r="AG2195" s="12">
        <v>140.73439999999999</v>
      </c>
    </row>
    <row r="2196" spans="30:33" x14ac:dyDescent="0.2">
      <c r="AD2196" s="13">
        <v>44824</v>
      </c>
      <c r="AE2196" s="12">
        <v>26.3858</v>
      </c>
      <c r="AF2196" s="13">
        <v>44824</v>
      </c>
      <c r="AG2196" s="12">
        <v>139.33070000000001</v>
      </c>
    </row>
    <row r="2197" spans="30:33" x14ac:dyDescent="0.2">
      <c r="AD2197" s="13">
        <v>44825</v>
      </c>
      <c r="AE2197" s="12">
        <v>26.482900000000001</v>
      </c>
      <c r="AF2197" s="13">
        <v>44825</v>
      </c>
      <c r="AG2197" s="12">
        <v>139.85550000000001</v>
      </c>
    </row>
    <row r="2198" spans="30:33" x14ac:dyDescent="0.2">
      <c r="AD2198" s="13">
        <v>44826</v>
      </c>
      <c r="AE2198" s="12">
        <v>26.220099999999999</v>
      </c>
      <c r="AF2198" s="13">
        <v>44826</v>
      </c>
      <c r="AG2198" s="12">
        <v>137.8877</v>
      </c>
    </row>
    <row r="2199" spans="30:33" x14ac:dyDescent="0.2">
      <c r="AD2199" s="13">
        <v>44827</v>
      </c>
      <c r="AE2199" s="12">
        <v>26.214300000000001</v>
      </c>
      <c r="AF2199" s="13">
        <v>44827</v>
      </c>
      <c r="AG2199" s="12">
        <v>137.4941</v>
      </c>
    </row>
    <row r="2200" spans="30:33" x14ac:dyDescent="0.2">
      <c r="AD2200" s="13">
        <v>44830</v>
      </c>
      <c r="AE2200" s="12">
        <v>25.98</v>
      </c>
      <c r="AF2200" s="13">
        <v>44830</v>
      </c>
      <c r="AG2200" s="12">
        <v>135.10659999999999</v>
      </c>
    </row>
    <row r="2201" spans="30:33" x14ac:dyDescent="0.2">
      <c r="AD2201" s="13">
        <v>44831</v>
      </c>
      <c r="AE2201" s="12">
        <v>25.808599999999998</v>
      </c>
      <c r="AF2201" s="13">
        <v>44831</v>
      </c>
      <c r="AG2201" s="12">
        <v>133.07320000000001</v>
      </c>
    </row>
    <row r="2202" spans="30:33" x14ac:dyDescent="0.2">
      <c r="AD2202" s="13">
        <v>44832</v>
      </c>
      <c r="AE2202" s="12">
        <v>26.174299999999999</v>
      </c>
      <c r="AF2202" s="13">
        <v>44832</v>
      </c>
      <c r="AG2202" s="12">
        <v>135.74940000000001</v>
      </c>
    </row>
    <row r="2203" spans="30:33" x14ac:dyDescent="0.2">
      <c r="AD2203" s="13">
        <v>44833</v>
      </c>
      <c r="AE2203" s="12">
        <v>26.1172</v>
      </c>
      <c r="AF2203" s="13">
        <v>44833</v>
      </c>
      <c r="AG2203" s="12">
        <v>134.73929999999999</v>
      </c>
    </row>
    <row r="2204" spans="30:33" x14ac:dyDescent="0.2">
      <c r="AD2204" s="13">
        <v>44834</v>
      </c>
      <c r="AE2204" s="12">
        <v>26.014299999999999</v>
      </c>
      <c r="AF2204" s="13">
        <v>44834</v>
      </c>
      <c r="AG2204" s="12">
        <v>134.3982</v>
      </c>
    </row>
    <row r="2205" spans="30:33" x14ac:dyDescent="0.2">
      <c r="AD2205" s="13">
        <v>44837</v>
      </c>
      <c r="AE2205" s="12">
        <v>26.207100000000001</v>
      </c>
      <c r="AF2205" s="13">
        <v>44837</v>
      </c>
      <c r="AG2205" s="12">
        <v>136.87649999999999</v>
      </c>
    </row>
    <row r="2206" spans="30:33" x14ac:dyDescent="0.2">
      <c r="AD2206" s="13">
        <v>44838</v>
      </c>
      <c r="AE2206" s="12">
        <v>26.224299999999999</v>
      </c>
      <c r="AF2206" s="13">
        <v>44838</v>
      </c>
      <c r="AG2206" s="12">
        <v>137.50829999999999</v>
      </c>
    </row>
    <row r="2207" spans="30:33" x14ac:dyDescent="0.2">
      <c r="AD2207" s="13">
        <v>44839</v>
      </c>
      <c r="AE2207" s="12">
        <v>26.104099999999999</v>
      </c>
      <c r="AF2207" s="13">
        <v>44839</v>
      </c>
      <c r="AG2207" s="12">
        <v>136.46850000000001</v>
      </c>
    </row>
    <row r="2208" spans="30:33" x14ac:dyDescent="0.2">
      <c r="AD2208" s="13">
        <v>44840</v>
      </c>
      <c r="AE2208" s="12">
        <v>26.012499999999999</v>
      </c>
      <c r="AF2208" s="13">
        <v>44840</v>
      </c>
      <c r="AG2208" s="12">
        <v>136.15270000000001</v>
      </c>
    </row>
    <row r="2209" spans="30:33" x14ac:dyDescent="0.2">
      <c r="AD2209" s="13">
        <v>44841</v>
      </c>
      <c r="AE2209" s="12">
        <v>25.909400000000002</v>
      </c>
      <c r="AF2209" s="13">
        <v>44841</v>
      </c>
      <c r="AG2209" s="12">
        <v>134.7971</v>
      </c>
    </row>
    <row r="2210" spans="30:33" x14ac:dyDescent="0.2">
      <c r="AD2210" s="13">
        <v>44844</v>
      </c>
      <c r="AE2210" s="12">
        <v>25.817799999999998</v>
      </c>
      <c r="AF2210" s="13">
        <v>44844</v>
      </c>
      <c r="AG2210" s="12">
        <v>133.58619999999999</v>
      </c>
    </row>
    <row r="2211" spans="30:33" x14ac:dyDescent="0.2">
      <c r="AD2211" s="13">
        <v>44845</v>
      </c>
      <c r="AE2211" s="12">
        <v>25.846499999999999</v>
      </c>
      <c r="AF2211" s="13">
        <v>44845</v>
      </c>
      <c r="AG2211" s="12">
        <v>133.3099</v>
      </c>
    </row>
    <row r="2212" spans="30:33" x14ac:dyDescent="0.2">
      <c r="AD2212" s="13">
        <v>44846</v>
      </c>
      <c r="AE2212" s="12">
        <v>25.9209</v>
      </c>
      <c r="AF2212" s="13">
        <v>44846</v>
      </c>
      <c r="AG2212" s="12">
        <v>133.15190000000001</v>
      </c>
    </row>
    <row r="2213" spans="30:33" x14ac:dyDescent="0.2">
      <c r="AD2213" s="13">
        <v>44847</v>
      </c>
      <c r="AE2213" s="12">
        <v>25.777799999999999</v>
      </c>
      <c r="AF2213" s="13">
        <v>44847</v>
      </c>
      <c r="AG2213" s="12">
        <v>133.3888</v>
      </c>
    </row>
    <row r="2214" spans="30:33" x14ac:dyDescent="0.2">
      <c r="AD2214" s="13">
        <v>44848</v>
      </c>
      <c r="AE2214" s="12">
        <v>25.703399999999998</v>
      </c>
      <c r="AF2214" s="13">
        <v>44848</v>
      </c>
      <c r="AG2214" s="12">
        <v>132.1122</v>
      </c>
    </row>
    <row r="2215" spans="30:33" x14ac:dyDescent="0.2">
      <c r="AD2215" s="13">
        <v>44851</v>
      </c>
      <c r="AE2215" s="12">
        <v>25.703399999999998</v>
      </c>
      <c r="AF2215" s="13">
        <v>44851</v>
      </c>
      <c r="AG2215" s="12">
        <v>132.7439</v>
      </c>
    </row>
    <row r="2216" spans="30:33" x14ac:dyDescent="0.2">
      <c r="AD2216" s="13">
        <v>44852</v>
      </c>
      <c r="AE2216" s="12">
        <v>25.7606</v>
      </c>
      <c r="AF2216" s="13">
        <v>44852</v>
      </c>
      <c r="AG2216" s="12">
        <v>133.53360000000001</v>
      </c>
    </row>
    <row r="2217" spans="30:33" x14ac:dyDescent="0.2">
      <c r="AD2217" s="13">
        <v>44853</v>
      </c>
      <c r="AE2217" s="12">
        <v>25.577400000000001</v>
      </c>
      <c r="AF2217" s="13">
        <v>44853</v>
      </c>
      <c r="AG2217" s="12">
        <v>131.70419999999999</v>
      </c>
    </row>
    <row r="2218" spans="30:33" x14ac:dyDescent="0.2">
      <c r="AD2218" s="13">
        <v>44854</v>
      </c>
      <c r="AE2218" s="12">
        <v>25.417100000000001</v>
      </c>
      <c r="AF2218" s="13">
        <v>44854</v>
      </c>
      <c r="AG2218" s="12">
        <v>130.5592</v>
      </c>
    </row>
    <row r="2219" spans="30:33" x14ac:dyDescent="0.2">
      <c r="AD2219" s="13">
        <v>44855</v>
      </c>
      <c r="AE2219" s="12">
        <v>25.44</v>
      </c>
      <c r="AF2219" s="13">
        <v>44855</v>
      </c>
      <c r="AG2219" s="12">
        <v>130.92769999999999</v>
      </c>
    </row>
    <row r="2220" spans="30:33" x14ac:dyDescent="0.2">
      <c r="AD2220" s="13">
        <v>44858</v>
      </c>
      <c r="AE2220" s="12">
        <v>25.388500000000001</v>
      </c>
      <c r="AF2220" s="13">
        <v>44858</v>
      </c>
      <c r="AG2220" s="12">
        <v>130.86189999999999</v>
      </c>
    </row>
    <row r="2221" spans="30:33" x14ac:dyDescent="0.2">
      <c r="AD2221" s="13">
        <v>44859</v>
      </c>
      <c r="AE2221" s="12">
        <v>25.606000000000002</v>
      </c>
      <c r="AF2221" s="13">
        <v>44859</v>
      </c>
      <c r="AG2221" s="12">
        <v>132.6123</v>
      </c>
    </row>
    <row r="2222" spans="30:33" x14ac:dyDescent="0.2">
      <c r="AD2222" s="13">
        <v>44860</v>
      </c>
      <c r="AE2222" s="12">
        <v>25.703399999999998</v>
      </c>
      <c r="AF2222" s="13">
        <v>44860</v>
      </c>
      <c r="AG2222" s="12">
        <v>133.21770000000001</v>
      </c>
    </row>
    <row r="2223" spans="30:33" x14ac:dyDescent="0.2">
      <c r="AD2223" s="13">
        <v>44861</v>
      </c>
      <c r="AE2223" s="12">
        <v>25.840699999999998</v>
      </c>
      <c r="AF2223" s="13">
        <v>44861</v>
      </c>
      <c r="AG2223" s="12">
        <v>133.83629999999999</v>
      </c>
    </row>
    <row r="2224" spans="30:33" x14ac:dyDescent="0.2">
      <c r="AD2224" s="13">
        <v>44862</v>
      </c>
      <c r="AE2224" s="12">
        <v>25.7377</v>
      </c>
      <c r="AF2224" s="13">
        <v>44862</v>
      </c>
      <c r="AG2224" s="12">
        <v>134.11269999999999</v>
      </c>
    </row>
    <row r="2225" spans="30:33" x14ac:dyDescent="0.2">
      <c r="AD2225" s="13">
        <v>44865</v>
      </c>
      <c r="AE2225" s="12">
        <v>25.669</v>
      </c>
      <c r="AF2225" s="13">
        <v>44865</v>
      </c>
      <c r="AG2225" s="12">
        <v>133.3888</v>
      </c>
    </row>
    <row r="2226" spans="30:33" x14ac:dyDescent="0.2">
      <c r="AD2226" s="13">
        <v>44866</v>
      </c>
      <c r="AE2226" s="12">
        <v>25.680499999999999</v>
      </c>
      <c r="AF2226" s="13">
        <v>44866</v>
      </c>
      <c r="AG2226" s="12">
        <v>134.34569999999999</v>
      </c>
    </row>
    <row r="2227" spans="30:33" x14ac:dyDescent="0.2">
      <c r="AD2227" s="13">
        <v>44867</v>
      </c>
      <c r="AE2227" s="12">
        <v>25.6403</v>
      </c>
      <c r="AF2227" s="13">
        <v>44867</v>
      </c>
      <c r="AG2227" s="12">
        <v>133.69890000000001</v>
      </c>
    </row>
    <row r="2228" spans="30:33" x14ac:dyDescent="0.2">
      <c r="AD2228" s="13">
        <v>44868</v>
      </c>
      <c r="AE2228" s="12">
        <v>25.5657</v>
      </c>
      <c r="AF2228" s="13">
        <v>44868</v>
      </c>
      <c r="AG2228" s="12">
        <v>133.22370000000001</v>
      </c>
    </row>
    <row r="2229" spans="30:33" x14ac:dyDescent="0.2">
      <c r="AD2229" s="13">
        <v>44869</v>
      </c>
      <c r="AE2229" s="12">
        <v>25.508299999999998</v>
      </c>
      <c r="AF2229" s="13">
        <v>44869</v>
      </c>
      <c r="AG2229" s="12">
        <v>133.48769999999999</v>
      </c>
    </row>
    <row r="2230" spans="30:33" x14ac:dyDescent="0.2">
      <c r="AD2230" s="13">
        <v>44872</v>
      </c>
      <c r="AE2230" s="12">
        <v>25.428000000000001</v>
      </c>
      <c r="AF2230" s="13">
        <v>44872</v>
      </c>
      <c r="AG2230" s="12">
        <v>132.9992</v>
      </c>
    </row>
    <row r="2231" spans="30:33" x14ac:dyDescent="0.2">
      <c r="AD2231" s="13">
        <v>44873</v>
      </c>
      <c r="AE2231" s="12">
        <v>25.536999999999999</v>
      </c>
      <c r="AF2231" s="13">
        <v>44873</v>
      </c>
      <c r="AG2231" s="12">
        <v>133.55369999999999</v>
      </c>
    </row>
    <row r="2232" spans="30:33" x14ac:dyDescent="0.2">
      <c r="AD2232" s="13">
        <v>44874</v>
      </c>
      <c r="AE2232" s="12">
        <v>25.600100000000001</v>
      </c>
      <c r="AF2232" s="13">
        <v>44874</v>
      </c>
      <c r="AG2232" s="12">
        <v>133.2105</v>
      </c>
    </row>
    <row r="2233" spans="30:33" x14ac:dyDescent="0.2">
      <c r="AD2233" s="13">
        <v>44875</v>
      </c>
      <c r="AE2233" s="12">
        <v>26.013200000000001</v>
      </c>
      <c r="AF2233" s="13">
        <v>44875</v>
      </c>
      <c r="AG2233" s="12">
        <v>137.67240000000001</v>
      </c>
    </row>
    <row r="2234" spans="30:33" x14ac:dyDescent="0.2">
      <c r="AD2234" s="13">
        <v>44876</v>
      </c>
      <c r="AE2234" s="12">
        <v>25.967300000000002</v>
      </c>
      <c r="AF2234" s="13">
        <v>44876</v>
      </c>
      <c r="AG2234" s="12">
        <v>138.042</v>
      </c>
    </row>
    <row r="2235" spans="30:33" x14ac:dyDescent="0.2">
      <c r="AD2235" s="13">
        <v>44879</v>
      </c>
      <c r="AE2235" s="12">
        <v>25.921399999999998</v>
      </c>
      <c r="AF2235" s="13">
        <v>44879</v>
      </c>
      <c r="AG2235" s="12">
        <v>137.34229999999999</v>
      </c>
    </row>
    <row r="2236" spans="30:33" x14ac:dyDescent="0.2">
      <c r="AD2236" s="13">
        <v>44880</v>
      </c>
      <c r="AE2236" s="12">
        <v>26.070599999999999</v>
      </c>
      <c r="AF2236" s="13">
        <v>44880</v>
      </c>
      <c r="AG2236" s="12">
        <v>139.25649999999999</v>
      </c>
    </row>
    <row r="2237" spans="30:33" x14ac:dyDescent="0.2">
      <c r="AD2237" s="13">
        <v>44881</v>
      </c>
      <c r="AE2237" s="12">
        <v>26.219799999999999</v>
      </c>
      <c r="AF2237" s="13">
        <v>44881</v>
      </c>
      <c r="AG2237" s="12">
        <v>140.44460000000001</v>
      </c>
    </row>
    <row r="2238" spans="30:33" x14ac:dyDescent="0.2">
      <c r="AD2238" s="13">
        <v>44882</v>
      </c>
      <c r="AE2238" s="12">
        <v>26.116499999999998</v>
      </c>
      <c r="AF2238" s="13">
        <v>44882</v>
      </c>
      <c r="AG2238" s="12">
        <v>139.69210000000001</v>
      </c>
    </row>
    <row r="2239" spans="30:33" x14ac:dyDescent="0.2">
      <c r="AD2239" s="13">
        <v>44883</v>
      </c>
      <c r="AE2239" s="12">
        <v>26.036200000000001</v>
      </c>
      <c r="AF2239" s="13">
        <v>44883</v>
      </c>
      <c r="AG2239" s="12">
        <v>139.6789</v>
      </c>
    </row>
    <row r="2240" spans="30:33" x14ac:dyDescent="0.2">
      <c r="AD2240" s="13">
        <v>44886</v>
      </c>
      <c r="AE2240" s="12">
        <v>26.047599999999999</v>
      </c>
      <c r="AF2240" s="13">
        <v>44886</v>
      </c>
      <c r="AG2240" s="12">
        <v>139.46770000000001</v>
      </c>
    </row>
    <row r="2241" spans="30:33" x14ac:dyDescent="0.2">
      <c r="AD2241" s="13">
        <v>44887</v>
      </c>
      <c r="AE2241" s="12">
        <v>26.1509</v>
      </c>
      <c r="AF2241" s="13">
        <v>44887</v>
      </c>
      <c r="AG2241" s="12">
        <v>140.70859999999999</v>
      </c>
    </row>
    <row r="2242" spans="30:33" x14ac:dyDescent="0.2">
      <c r="AD2242" s="13">
        <v>44888</v>
      </c>
      <c r="AE2242" s="12">
        <v>26.265699999999999</v>
      </c>
      <c r="AF2242" s="13">
        <v>44888</v>
      </c>
      <c r="AG2242" s="12">
        <v>142.12110000000001</v>
      </c>
    </row>
    <row r="2243" spans="30:33" x14ac:dyDescent="0.2">
      <c r="AD2243" s="13">
        <v>44890</v>
      </c>
      <c r="AE2243" s="12">
        <v>26.254200000000001</v>
      </c>
      <c r="AF2243" s="13">
        <v>44890</v>
      </c>
      <c r="AG2243" s="12">
        <v>142.2663</v>
      </c>
    </row>
    <row r="2244" spans="30:33" x14ac:dyDescent="0.2">
      <c r="AD2244" s="13">
        <v>44893</v>
      </c>
      <c r="AE2244" s="12">
        <v>26.3001</v>
      </c>
      <c r="AF2244" s="13">
        <v>44893</v>
      </c>
      <c r="AG2244" s="12">
        <v>141.23660000000001</v>
      </c>
    </row>
    <row r="2245" spans="30:33" x14ac:dyDescent="0.2">
      <c r="AD2245" s="13">
        <v>44894</v>
      </c>
      <c r="AE2245" s="12">
        <v>26.1968</v>
      </c>
      <c r="AF2245" s="13">
        <v>44894</v>
      </c>
      <c r="AG2245" s="12">
        <v>140.53700000000001</v>
      </c>
    </row>
    <row r="2246" spans="30:33" x14ac:dyDescent="0.2">
      <c r="AD2246" s="13">
        <v>44895</v>
      </c>
      <c r="AE2246" s="12">
        <v>26.357500000000002</v>
      </c>
      <c r="AF2246" s="13">
        <v>44895</v>
      </c>
      <c r="AG2246" s="12">
        <v>142.25309999999999</v>
      </c>
    </row>
    <row r="2247" spans="30:33" x14ac:dyDescent="0.2">
      <c r="AD2247" s="13">
        <v>44896</v>
      </c>
      <c r="AE2247" s="12">
        <v>26.606100000000001</v>
      </c>
      <c r="AF2247" s="13">
        <v>44896</v>
      </c>
      <c r="AG2247" s="12">
        <v>144.0273</v>
      </c>
    </row>
    <row r="2248" spans="30:33" x14ac:dyDescent="0.2">
      <c r="AD2248" s="13">
        <v>44897</v>
      </c>
      <c r="AE2248" s="12">
        <v>26.663599999999999</v>
      </c>
      <c r="AF2248" s="13">
        <v>44897</v>
      </c>
      <c r="AG2248" s="12">
        <v>144.90129999999999</v>
      </c>
    </row>
    <row r="2249" spans="30:33" x14ac:dyDescent="0.2">
      <c r="AD2249" s="13">
        <v>44900</v>
      </c>
      <c r="AE2249" s="12">
        <v>26.485299999999999</v>
      </c>
      <c r="AF2249" s="13">
        <v>44900</v>
      </c>
      <c r="AG2249" s="12">
        <v>143.66970000000001</v>
      </c>
    </row>
    <row r="2250" spans="30:33" x14ac:dyDescent="0.2">
      <c r="AD2250" s="13">
        <v>44901</v>
      </c>
      <c r="AE2250" s="12">
        <v>26.5946</v>
      </c>
      <c r="AF2250" s="13">
        <v>44901</v>
      </c>
      <c r="AG2250" s="12">
        <v>144.10679999999999</v>
      </c>
    </row>
    <row r="2251" spans="30:33" x14ac:dyDescent="0.2">
      <c r="AD2251" s="13">
        <v>44902</v>
      </c>
      <c r="AE2251" s="12">
        <v>26.79</v>
      </c>
      <c r="AF2251" s="13">
        <v>44902</v>
      </c>
      <c r="AG2251" s="12">
        <v>145.70910000000001</v>
      </c>
    </row>
    <row r="2252" spans="30:33" x14ac:dyDescent="0.2">
      <c r="AD2252" s="13">
        <v>44903</v>
      </c>
      <c r="AE2252" s="12">
        <v>26.721</v>
      </c>
      <c r="AF2252" s="13">
        <v>44903</v>
      </c>
      <c r="AG2252" s="12">
        <v>145.2456</v>
      </c>
    </row>
    <row r="2253" spans="30:33" x14ac:dyDescent="0.2">
      <c r="AD2253" s="13">
        <v>44904</v>
      </c>
      <c r="AE2253" s="12">
        <v>26.554300000000001</v>
      </c>
      <c r="AF2253" s="13">
        <v>44904</v>
      </c>
      <c r="AG2253" s="12">
        <v>144.15969999999999</v>
      </c>
    </row>
    <row r="2254" spans="30:33" x14ac:dyDescent="0.2">
      <c r="AD2254" s="13">
        <v>44907</v>
      </c>
      <c r="AE2254" s="12">
        <v>26.537099999999999</v>
      </c>
      <c r="AF2254" s="13">
        <v>44907</v>
      </c>
      <c r="AG2254" s="12">
        <v>143.9743</v>
      </c>
    </row>
    <row r="2255" spans="30:33" x14ac:dyDescent="0.2">
      <c r="AD2255" s="13">
        <v>44908</v>
      </c>
      <c r="AE2255" s="12">
        <v>26.709499999999998</v>
      </c>
      <c r="AF2255" s="13">
        <v>44908</v>
      </c>
      <c r="AG2255" s="12">
        <v>145.23240000000001</v>
      </c>
    </row>
    <row r="2256" spans="30:33" x14ac:dyDescent="0.2">
      <c r="AD2256" s="13">
        <v>44909</v>
      </c>
      <c r="AE2256" s="12">
        <v>26.744</v>
      </c>
      <c r="AF2256" s="13">
        <v>44909</v>
      </c>
      <c r="AG2256" s="12">
        <v>145.3648</v>
      </c>
    </row>
    <row r="2257" spans="30:33" x14ac:dyDescent="0.2">
      <c r="AD2257" s="13">
        <v>44910</v>
      </c>
      <c r="AE2257" s="12">
        <v>26.7928</v>
      </c>
      <c r="AF2257" s="13">
        <v>44910</v>
      </c>
      <c r="AG2257" s="12">
        <v>145.48609999999999</v>
      </c>
    </row>
    <row r="2258" spans="30:33" x14ac:dyDescent="0.2">
      <c r="AD2258" s="13">
        <v>44911</v>
      </c>
      <c r="AE2258" s="12">
        <v>26.735199999999999</v>
      </c>
      <c r="AF2258" s="13">
        <v>44911</v>
      </c>
      <c r="AG2258" s="12">
        <v>144.86179999999999</v>
      </c>
    </row>
    <row r="2259" spans="30:33" x14ac:dyDescent="0.2">
      <c r="AD2259" s="13">
        <v>44914</v>
      </c>
      <c r="AE2259" s="12">
        <v>26.5913</v>
      </c>
      <c r="AF2259" s="13">
        <v>44914</v>
      </c>
      <c r="AG2259" s="12">
        <v>143.4007</v>
      </c>
    </row>
    <row r="2260" spans="30:33" x14ac:dyDescent="0.2">
      <c r="AD2260" s="13">
        <v>44915</v>
      </c>
      <c r="AE2260" s="12">
        <v>26.447299999999998</v>
      </c>
      <c r="AF2260" s="13">
        <v>44915</v>
      </c>
      <c r="AG2260" s="12">
        <v>141.71379999999999</v>
      </c>
    </row>
    <row r="2261" spans="30:33" x14ac:dyDescent="0.2">
      <c r="AD2261" s="13">
        <v>44916</v>
      </c>
      <c r="AE2261" s="12">
        <v>26.4876</v>
      </c>
      <c r="AF2261" s="13">
        <v>44916</v>
      </c>
      <c r="AG2261" s="12">
        <v>142.68340000000001</v>
      </c>
    </row>
    <row r="2262" spans="30:33" x14ac:dyDescent="0.2">
      <c r="AD2262" s="13">
        <v>44917</v>
      </c>
      <c r="AE2262" s="12">
        <v>26.470400000000001</v>
      </c>
      <c r="AF2262" s="13">
        <v>44917</v>
      </c>
      <c r="AG2262" s="12">
        <v>142.64359999999999</v>
      </c>
    </row>
    <row r="2263" spans="30:33" x14ac:dyDescent="0.2">
      <c r="AD2263" s="13">
        <v>44918</v>
      </c>
      <c r="AE2263" s="12">
        <v>26.360900000000001</v>
      </c>
      <c r="AF2263" s="13">
        <v>44918</v>
      </c>
      <c r="AG2263" s="12">
        <v>142.20519999999999</v>
      </c>
    </row>
    <row r="2264" spans="30:33" x14ac:dyDescent="0.2">
      <c r="AD2264" s="13">
        <v>44922</v>
      </c>
      <c r="AE2264" s="12">
        <v>26.205500000000001</v>
      </c>
      <c r="AF2264" s="13">
        <v>44922</v>
      </c>
      <c r="AG2264" s="12">
        <v>140.37219999999999</v>
      </c>
    </row>
    <row r="2265" spans="30:33" x14ac:dyDescent="0.2">
      <c r="AD2265" s="13">
        <v>44923</v>
      </c>
      <c r="AE2265" s="12">
        <v>26.1709</v>
      </c>
      <c r="AF2265" s="13">
        <v>44923</v>
      </c>
      <c r="AG2265" s="12">
        <v>139.93389999999999</v>
      </c>
    </row>
    <row r="2266" spans="30:33" x14ac:dyDescent="0.2">
      <c r="AD2266" s="13">
        <v>44924</v>
      </c>
      <c r="AE2266" s="12">
        <v>26.2515</v>
      </c>
      <c r="AF2266" s="13">
        <v>44924</v>
      </c>
      <c r="AG2266" s="12">
        <v>140.93010000000001</v>
      </c>
    </row>
    <row r="2267" spans="30:33" x14ac:dyDescent="0.2">
      <c r="AD2267" s="13">
        <v>44925</v>
      </c>
      <c r="AE2267" s="12">
        <v>26.165199999999999</v>
      </c>
      <c r="AF2267" s="13">
        <v>44925</v>
      </c>
      <c r="AG2267" s="12">
        <v>140.0401</v>
      </c>
    </row>
    <row r="2268" spans="30:33" x14ac:dyDescent="0.2">
      <c r="AD2268" s="13">
        <v>44929</v>
      </c>
      <c r="AE2268" s="12">
        <v>26.3034</v>
      </c>
      <c r="AF2268" s="13">
        <v>44929</v>
      </c>
      <c r="AG2268" s="12">
        <v>141.00980000000001</v>
      </c>
    </row>
    <row r="2269" spans="30:33" x14ac:dyDescent="0.2">
      <c r="AD2269" s="13">
        <v>44930</v>
      </c>
      <c r="AE2269" s="12">
        <v>26.43</v>
      </c>
      <c r="AF2269" s="13">
        <v>44930</v>
      </c>
      <c r="AG2269" s="12">
        <v>142.0325</v>
      </c>
    </row>
    <row r="2270" spans="30:33" x14ac:dyDescent="0.2">
      <c r="AD2270" s="13">
        <v>44931</v>
      </c>
      <c r="AE2270" s="12">
        <v>26.418500000000002</v>
      </c>
      <c r="AF2270" s="13">
        <v>44931</v>
      </c>
      <c r="AG2270" s="12">
        <v>141.9263</v>
      </c>
    </row>
    <row r="2271" spans="30:33" x14ac:dyDescent="0.2">
      <c r="AD2271" s="13">
        <v>44932</v>
      </c>
      <c r="AE2271" s="12">
        <v>26.648900000000001</v>
      </c>
      <c r="AF2271" s="13">
        <v>44932</v>
      </c>
      <c r="AG2271" s="12">
        <v>144.2508</v>
      </c>
    </row>
    <row r="2272" spans="30:33" x14ac:dyDescent="0.2">
      <c r="AD2272" s="13">
        <v>44935</v>
      </c>
      <c r="AE2272" s="12">
        <v>26.718</v>
      </c>
      <c r="AF2272" s="13">
        <v>44935</v>
      </c>
      <c r="AG2272" s="12">
        <v>144.8219</v>
      </c>
    </row>
    <row r="2273" spans="30:33" x14ac:dyDescent="0.2">
      <c r="AD2273" s="13">
        <v>44936</v>
      </c>
      <c r="AE2273" s="12">
        <v>26.602799999999998</v>
      </c>
      <c r="AF2273" s="13">
        <v>44936</v>
      </c>
      <c r="AG2273" s="12">
        <v>144.3305</v>
      </c>
    </row>
    <row r="2274" spans="30:33" x14ac:dyDescent="0.2">
      <c r="AD2274" s="13">
        <v>44937</v>
      </c>
      <c r="AE2274" s="12">
        <v>26.706399999999999</v>
      </c>
      <c r="AF2274" s="13">
        <v>44937</v>
      </c>
      <c r="AG2274" s="12">
        <v>145.5658</v>
      </c>
    </row>
    <row r="2275" spans="30:33" x14ac:dyDescent="0.2">
      <c r="AD2275" s="13">
        <v>44938</v>
      </c>
      <c r="AE2275" s="12">
        <v>26.9252</v>
      </c>
      <c r="AF2275" s="13">
        <v>44938</v>
      </c>
      <c r="AG2275" s="12">
        <v>147.21279999999999</v>
      </c>
    </row>
    <row r="2276" spans="30:33" x14ac:dyDescent="0.2">
      <c r="AD2276" s="13">
        <v>44939</v>
      </c>
      <c r="AE2276" s="12">
        <v>26.815799999999999</v>
      </c>
      <c r="AF2276" s="13">
        <v>44939</v>
      </c>
      <c r="AG2276" s="12">
        <v>146.7346</v>
      </c>
    </row>
    <row r="2277" spans="30:33" x14ac:dyDescent="0.2">
      <c r="AD2277" s="13">
        <v>44943</v>
      </c>
      <c r="AE2277" s="12">
        <v>26.775500000000001</v>
      </c>
      <c r="AF2277" s="13">
        <v>44943</v>
      </c>
      <c r="AG2277" s="12">
        <v>146.20330000000001</v>
      </c>
    </row>
    <row r="2278" spans="30:33" x14ac:dyDescent="0.2">
      <c r="AD2278" s="13">
        <v>44944</v>
      </c>
      <c r="AE2278" s="12">
        <v>27.017399999999999</v>
      </c>
      <c r="AF2278" s="13">
        <v>44944</v>
      </c>
      <c r="AG2278" s="12">
        <v>147.91679999999999</v>
      </c>
    </row>
    <row r="2279" spans="30:33" x14ac:dyDescent="0.2">
      <c r="AD2279" s="13">
        <v>44945</v>
      </c>
      <c r="AE2279" s="12">
        <v>26.9771</v>
      </c>
      <c r="AF2279" s="13">
        <v>44945</v>
      </c>
      <c r="AG2279" s="12">
        <v>147.6113</v>
      </c>
    </row>
    <row r="2280" spans="30:33" x14ac:dyDescent="0.2">
      <c r="AD2280" s="13">
        <v>44946</v>
      </c>
      <c r="AE2280" s="12">
        <v>26.827400000000001</v>
      </c>
      <c r="AF2280" s="13">
        <v>44946</v>
      </c>
      <c r="AG2280" s="12">
        <v>146.8409</v>
      </c>
    </row>
    <row r="2281" spans="30:33" x14ac:dyDescent="0.2">
      <c r="AD2281" s="13">
        <v>44949</v>
      </c>
      <c r="AE2281" s="12">
        <v>26.763999999999999</v>
      </c>
      <c r="AF2281" s="13">
        <v>44949</v>
      </c>
      <c r="AG2281" s="12">
        <v>146.41589999999999</v>
      </c>
    </row>
    <row r="2282" spans="30:33" x14ac:dyDescent="0.2">
      <c r="AD2282" s="13">
        <v>44950</v>
      </c>
      <c r="AE2282" s="12">
        <v>26.884899999999998</v>
      </c>
      <c r="AF2282" s="13">
        <v>44950</v>
      </c>
      <c r="AG2282" s="12">
        <v>147.18629999999999</v>
      </c>
    </row>
    <row r="2283" spans="30:33" x14ac:dyDescent="0.2">
      <c r="AD2283" s="13">
        <v>44951</v>
      </c>
      <c r="AE2283" s="12">
        <v>26.913699999999999</v>
      </c>
      <c r="AF2283" s="13">
        <v>44951</v>
      </c>
      <c r="AG2283" s="12">
        <v>147.2527</v>
      </c>
    </row>
    <row r="2284" spans="30:33" x14ac:dyDescent="0.2">
      <c r="AD2284" s="13">
        <v>44952</v>
      </c>
      <c r="AE2284" s="12">
        <v>26.856100000000001</v>
      </c>
      <c r="AF2284" s="13">
        <v>44952</v>
      </c>
      <c r="AG2284" s="12">
        <v>147.1995</v>
      </c>
    </row>
    <row r="2285" spans="30:33" x14ac:dyDescent="0.2">
      <c r="AD2285" s="13">
        <v>44953</v>
      </c>
      <c r="AE2285" s="12">
        <v>26.810099999999998</v>
      </c>
      <c r="AF2285" s="13">
        <v>44953</v>
      </c>
      <c r="AG2285" s="12">
        <v>146.77449999999999</v>
      </c>
    </row>
    <row r="2286" spans="30:33" x14ac:dyDescent="0.2">
      <c r="AD2286" s="13">
        <v>44956</v>
      </c>
      <c r="AE2286" s="12">
        <v>26.763999999999999</v>
      </c>
      <c r="AF2286" s="13">
        <v>44956</v>
      </c>
      <c r="AG2286" s="12">
        <v>146.2166</v>
      </c>
    </row>
    <row r="2287" spans="30:33" x14ac:dyDescent="0.2">
      <c r="AD2287" s="13">
        <v>44957</v>
      </c>
      <c r="AE2287" s="12">
        <v>26.867699999999999</v>
      </c>
      <c r="AF2287" s="13">
        <v>44957</v>
      </c>
      <c r="AG2287" s="12">
        <v>147.26599999999999</v>
      </c>
    </row>
    <row r="2288" spans="30:33" x14ac:dyDescent="0.2">
      <c r="AD2288" s="13">
        <v>44958</v>
      </c>
      <c r="AE2288" s="12">
        <v>27.021899999999999</v>
      </c>
      <c r="AF2288" s="13">
        <v>44958</v>
      </c>
      <c r="AG2288" s="12">
        <v>148.75640000000001</v>
      </c>
    </row>
    <row r="2289" spans="30:33" x14ac:dyDescent="0.2">
      <c r="AD2289" s="13">
        <v>44959</v>
      </c>
      <c r="AE2289" s="12">
        <v>27.016100000000002</v>
      </c>
      <c r="AF2289" s="13">
        <v>44959</v>
      </c>
      <c r="AG2289" s="12">
        <v>148.96950000000001</v>
      </c>
    </row>
    <row r="2290" spans="30:33" x14ac:dyDescent="0.2">
      <c r="AD2290" s="13">
        <v>44960</v>
      </c>
      <c r="AE2290" s="12">
        <v>26.808399999999999</v>
      </c>
      <c r="AF2290" s="13">
        <v>44960</v>
      </c>
      <c r="AG2290" s="12">
        <v>147.2775</v>
      </c>
    </row>
    <row r="2291" spans="30:33" x14ac:dyDescent="0.2">
      <c r="AD2291" s="13">
        <v>44963</v>
      </c>
      <c r="AE2291" s="12">
        <v>26.664200000000001</v>
      </c>
      <c r="AF2291" s="13">
        <v>44963</v>
      </c>
      <c r="AG2291" s="12">
        <v>146.14500000000001</v>
      </c>
    </row>
    <row r="2292" spans="30:33" x14ac:dyDescent="0.2">
      <c r="AD2292" s="13">
        <v>44964</v>
      </c>
      <c r="AE2292" s="12">
        <v>26.6065</v>
      </c>
      <c r="AF2292" s="13">
        <v>44964</v>
      </c>
      <c r="AG2292" s="12">
        <v>145.6653</v>
      </c>
    </row>
    <row r="2293" spans="30:33" x14ac:dyDescent="0.2">
      <c r="AD2293" s="13">
        <v>44965</v>
      </c>
      <c r="AE2293" s="12">
        <v>26.675699999999999</v>
      </c>
      <c r="AF2293" s="13">
        <v>44965</v>
      </c>
      <c r="AG2293" s="12">
        <v>145.81190000000001</v>
      </c>
    </row>
    <row r="2294" spans="30:33" x14ac:dyDescent="0.2">
      <c r="AD2294" s="13">
        <v>44966</v>
      </c>
      <c r="AE2294" s="12">
        <v>26.583400000000001</v>
      </c>
      <c r="AF2294" s="13">
        <v>44966</v>
      </c>
      <c r="AG2294" s="12">
        <v>144.58609999999999</v>
      </c>
    </row>
    <row r="2295" spans="30:33" x14ac:dyDescent="0.2">
      <c r="AD2295" s="13">
        <v>44967</v>
      </c>
      <c r="AE2295" s="12">
        <v>26.479600000000001</v>
      </c>
      <c r="AF2295" s="13">
        <v>44967</v>
      </c>
      <c r="AG2295" s="12">
        <v>143.5735</v>
      </c>
    </row>
    <row r="2296" spans="30:33" x14ac:dyDescent="0.2">
      <c r="AD2296" s="13">
        <v>44970</v>
      </c>
      <c r="AE2296" s="12">
        <v>26.531500000000001</v>
      </c>
      <c r="AF2296" s="13">
        <v>44970</v>
      </c>
      <c r="AG2296" s="12">
        <v>144.10650000000001</v>
      </c>
    </row>
    <row r="2297" spans="30:33" x14ac:dyDescent="0.2">
      <c r="AD2297" s="13">
        <v>44971</v>
      </c>
      <c r="AE2297" s="12">
        <v>26.456499999999998</v>
      </c>
      <c r="AF2297" s="13">
        <v>44971</v>
      </c>
      <c r="AG2297" s="12">
        <v>143.7467</v>
      </c>
    </row>
    <row r="2298" spans="30:33" x14ac:dyDescent="0.2">
      <c r="AD2298" s="13">
        <v>44972</v>
      </c>
      <c r="AE2298" s="12">
        <v>26.3873</v>
      </c>
      <c r="AF2298" s="13">
        <v>44972</v>
      </c>
      <c r="AG2298" s="12">
        <v>143.20050000000001</v>
      </c>
    </row>
    <row r="2299" spans="30:33" x14ac:dyDescent="0.2">
      <c r="AD2299" s="13">
        <v>44973</v>
      </c>
      <c r="AE2299" s="12">
        <v>26.3065</v>
      </c>
      <c r="AF2299" s="13">
        <v>44973</v>
      </c>
      <c r="AG2299" s="12">
        <v>142.0547</v>
      </c>
    </row>
    <row r="2300" spans="30:33" x14ac:dyDescent="0.2">
      <c r="AD2300" s="13">
        <v>44974</v>
      </c>
      <c r="AE2300" s="12">
        <v>26.3873</v>
      </c>
      <c r="AF2300" s="13">
        <v>44974</v>
      </c>
      <c r="AG2300" s="12">
        <v>142.61429999999999</v>
      </c>
    </row>
    <row r="2301" spans="30:33" x14ac:dyDescent="0.2">
      <c r="AD2301" s="13">
        <v>44978</v>
      </c>
      <c r="AE2301" s="12">
        <v>26.179600000000001</v>
      </c>
      <c r="AF2301" s="13">
        <v>44978</v>
      </c>
      <c r="AG2301" s="12">
        <v>140.5891</v>
      </c>
    </row>
    <row r="2302" spans="30:33" x14ac:dyDescent="0.2">
      <c r="AD2302" s="13">
        <v>44979</v>
      </c>
      <c r="AE2302" s="12">
        <v>26.248799999999999</v>
      </c>
      <c r="AF2302" s="13">
        <v>44979</v>
      </c>
      <c r="AG2302" s="12">
        <v>140.9888</v>
      </c>
    </row>
    <row r="2303" spans="30:33" x14ac:dyDescent="0.2">
      <c r="AD2303" s="13">
        <v>44980</v>
      </c>
      <c r="AE2303" s="12">
        <v>26.318000000000001</v>
      </c>
      <c r="AF2303" s="13">
        <v>44980</v>
      </c>
      <c r="AG2303" s="12">
        <v>142.09460000000001</v>
      </c>
    </row>
    <row r="2304" spans="30:33" x14ac:dyDescent="0.2">
      <c r="AD2304" s="13">
        <v>44981</v>
      </c>
      <c r="AE2304" s="12">
        <v>26.179600000000001</v>
      </c>
      <c r="AF2304" s="13">
        <v>44981</v>
      </c>
      <c r="AG2304" s="12">
        <v>141.02879999999999</v>
      </c>
    </row>
    <row r="2305" spans="30:33" x14ac:dyDescent="0.2">
      <c r="AD2305" s="13">
        <v>44984</v>
      </c>
      <c r="AE2305" s="12">
        <v>26.2257</v>
      </c>
      <c r="AF2305" s="13">
        <v>44984</v>
      </c>
      <c r="AG2305" s="12">
        <v>141.06870000000001</v>
      </c>
    </row>
    <row r="2306" spans="30:33" x14ac:dyDescent="0.2">
      <c r="AD2306" s="13">
        <v>44985</v>
      </c>
      <c r="AE2306" s="12">
        <v>26.2546</v>
      </c>
      <c r="AF2306" s="13">
        <v>44985</v>
      </c>
      <c r="AG2306" s="12">
        <v>141.12200000000001</v>
      </c>
    </row>
    <row r="2307" spans="30:33" x14ac:dyDescent="0.2">
      <c r="AD2307" s="13">
        <v>44986</v>
      </c>
      <c r="AE2307" s="12">
        <v>26.116700000000002</v>
      </c>
      <c r="AF2307" s="13">
        <v>44986</v>
      </c>
      <c r="AG2307" s="12">
        <v>140.24510000000001</v>
      </c>
    </row>
    <row r="2308" spans="30:33" x14ac:dyDescent="0.2">
      <c r="AD2308" s="13">
        <v>44987</v>
      </c>
      <c r="AE2308" s="12">
        <v>26.0473</v>
      </c>
      <c r="AF2308" s="13">
        <v>44987</v>
      </c>
      <c r="AG2308" s="12">
        <v>140.36539999999999</v>
      </c>
    </row>
    <row r="2309" spans="30:33" x14ac:dyDescent="0.2">
      <c r="AD2309" s="13">
        <v>44988</v>
      </c>
      <c r="AE2309" s="12">
        <v>26.209199999999999</v>
      </c>
      <c r="AF2309" s="13">
        <v>44988</v>
      </c>
      <c r="AG2309" s="12">
        <v>141.95650000000001</v>
      </c>
    </row>
    <row r="2310" spans="30:33" x14ac:dyDescent="0.2">
      <c r="AD2310" s="13">
        <v>44991</v>
      </c>
      <c r="AE2310" s="12">
        <v>26.1629</v>
      </c>
      <c r="AF2310" s="13">
        <v>44991</v>
      </c>
      <c r="AG2310" s="12">
        <v>141.56870000000001</v>
      </c>
    </row>
    <row r="2311" spans="30:33" x14ac:dyDescent="0.2">
      <c r="AD2311" s="13">
        <v>44992</v>
      </c>
      <c r="AE2311" s="12">
        <v>26.151399999999999</v>
      </c>
      <c r="AF2311" s="13">
        <v>44992</v>
      </c>
      <c r="AG2311" s="12">
        <v>141.16759999999999</v>
      </c>
    </row>
    <row r="2312" spans="30:33" x14ac:dyDescent="0.2">
      <c r="AD2312" s="13">
        <v>44993</v>
      </c>
      <c r="AE2312" s="12">
        <v>26.139800000000001</v>
      </c>
      <c r="AF2312" s="13">
        <v>44993</v>
      </c>
      <c r="AG2312" s="12">
        <v>140.94030000000001</v>
      </c>
    </row>
    <row r="2313" spans="30:33" x14ac:dyDescent="0.2">
      <c r="AD2313" s="13">
        <v>44994</v>
      </c>
      <c r="AE2313" s="12">
        <v>26.2727</v>
      </c>
      <c r="AF2313" s="13">
        <v>44994</v>
      </c>
      <c r="AG2313" s="12">
        <v>140.8066</v>
      </c>
    </row>
    <row r="2314" spans="30:33" x14ac:dyDescent="0.2">
      <c r="AD2314" s="13">
        <v>44995</v>
      </c>
      <c r="AE2314" s="12">
        <v>26.642600000000002</v>
      </c>
      <c r="AF2314" s="13">
        <v>44995</v>
      </c>
      <c r="AG2314" s="12">
        <v>142.82560000000001</v>
      </c>
    </row>
    <row r="2315" spans="30:33" x14ac:dyDescent="0.2">
      <c r="AD2315" s="13">
        <v>44998</v>
      </c>
      <c r="AE2315" s="12">
        <v>26.891100000000002</v>
      </c>
      <c r="AF2315" s="13">
        <v>44998</v>
      </c>
      <c r="AG2315" s="12">
        <v>142.94589999999999</v>
      </c>
    </row>
    <row r="2316" spans="30:33" x14ac:dyDescent="0.2">
      <c r="AD2316" s="13">
        <v>44999</v>
      </c>
      <c r="AE2316" s="12">
        <v>26.688800000000001</v>
      </c>
      <c r="AF2316" s="13">
        <v>44999</v>
      </c>
      <c r="AG2316" s="12">
        <v>142.5181</v>
      </c>
    </row>
    <row r="2317" spans="30:33" x14ac:dyDescent="0.2">
      <c r="AD2317" s="13">
        <v>45000</v>
      </c>
      <c r="AE2317" s="12">
        <v>27.000900000000001</v>
      </c>
      <c r="AF2317" s="13">
        <v>45000</v>
      </c>
      <c r="AG2317" s="12">
        <v>143.8819</v>
      </c>
    </row>
    <row r="2318" spans="30:33" x14ac:dyDescent="0.2">
      <c r="AD2318" s="13">
        <v>45001</v>
      </c>
      <c r="AE2318" s="12">
        <v>26.815999999999999</v>
      </c>
      <c r="AF2318" s="13">
        <v>45001</v>
      </c>
      <c r="AG2318" s="12">
        <v>143.6679</v>
      </c>
    </row>
    <row r="2319" spans="30:33" x14ac:dyDescent="0.2">
      <c r="AD2319" s="13">
        <v>45002</v>
      </c>
      <c r="AE2319" s="12">
        <v>27.0703</v>
      </c>
      <c r="AF2319" s="13">
        <v>45002</v>
      </c>
      <c r="AG2319" s="12">
        <v>144.38999999999999</v>
      </c>
    </row>
    <row r="2320" spans="30:33" x14ac:dyDescent="0.2">
      <c r="AD2320" s="13">
        <v>45005</v>
      </c>
      <c r="AE2320" s="12">
        <v>26.977799999999998</v>
      </c>
      <c r="AF2320" s="13">
        <v>45005</v>
      </c>
      <c r="AG2320" s="12">
        <v>143.96209999999999</v>
      </c>
    </row>
    <row r="2321" spans="30:33" x14ac:dyDescent="0.2">
      <c r="AD2321" s="13">
        <v>45006</v>
      </c>
      <c r="AE2321" s="12">
        <v>26.781300000000002</v>
      </c>
      <c r="AF2321" s="13">
        <v>45006</v>
      </c>
      <c r="AG2321" s="12">
        <v>144.6574</v>
      </c>
    </row>
    <row r="2322" spans="30:33" x14ac:dyDescent="0.2">
      <c r="AD2322" s="13">
        <v>45007</v>
      </c>
      <c r="AE2322" s="12">
        <v>27.024000000000001</v>
      </c>
      <c r="AF2322" s="13">
        <v>45007</v>
      </c>
      <c r="AG2322" s="12">
        <v>145.49969999999999</v>
      </c>
    </row>
    <row r="2323" spans="30:33" x14ac:dyDescent="0.2">
      <c r="AD2323" s="13">
        <v>45008</v>
      </c>
      <c r="AE2323" s="12">
        <v>27.133800000000001</v>
      </c>
      <c r="AF2323" s="13">
        <v>45008</v>
      </c>
      <c r="AG2323" s="12">
        <v>145.91419999999999</v>
      </c>
    </row>
    <row r="2324" spans="30:33" x14ac:dyDescent="0.2">
      <c r="AD2324" s="13">
        <v>45009</v>
      </c>
      <c r="AE2324" s="12">
        <v>27.162700000000001</v>
      </c>
      <c r="AF2324" s="13">
        <v>45009</v>
      </c>
      <c r="AG2324" s="12">
        <v>146.36879999999999</v>
      </c>
    </row>
    <row r="2325" spans="30:33" x14ac:dyDescent="0.2">
      <c r="AD2325" s="13">
        <v>45012</v>
      </c>
      <c r="AE2325" s="12">
        <v>26.896899999999999</v>
      </c>
      <c r="AF2325" s="13">
        <v>45012</v>
      </c>
      <c r="AG2325" s="12">
        <v>144.6173</v>
      </c>
    </row>
    <row r="2326" spans="30:33" x14ac:dyDescent="0.2">
      <c r="AD2326" s="13">
        <v>45013</v>
      </c>
      <c r="AE2326" s="12">
        <v>26.885300000000001</v>
      </c>
      <c r="AF2326" s="13">
        <v>45013</v>
      </c>
      <c r="AG2326" s="12">
        <v>144.3766</v>
      </c>
    </row>
    <row r="2327" spans="30:33" x14ac:dyDescent="0.2">
      <c r="AD2327" s="13">
        <v>45014</v>
      </c>
      <c r="AE2327" s="12">
        <v>26.8507</v>
      </c>
      <c r="AF2327" s="13">
        <v>45014</v>
      </c>
      <c r="AG2327" s="12">
        <v>145.04509999999999</v>
      </c>
    </row>
    <row r="2328" spans="30:33" x14ac:dyDescent="0.2">
      <c r="AD2328" s="13">
        <v>45015</v>
      </c>
      <c r="AE2328" s="12">
        <v>26.896899999999999</v>
      </c>
      <c r="AF2328" s="13">
        <v>45015</v>
      </c>
      <c r="AG2328" s="12">
        <v>145.2457</v>
      </c>
    </row>
    <row r="2329" spans="30:33" x14ac:dyDescent="0.2">
      <c r="AD2329" s="13">
        <v>45016</v>
      </c>
      <c r="AE2329" s="12">
        <v>27.024000000000001</v>
      </c>
      <c r="AF2329" s="13">
        <v>45016</v>
      </c>
      <c r="AG2329" s="12">
        <v>146.55600000000001</v>
      </c>
    </row>
    <row r="2330" spans="30:33" x14ac:dyDescent="0.2">
      <c r="AD2330" s="13">
        <v>45019</v>
      </c>
      <c r="AE2330" s="12">
        <v>27.103200000000001</v>
      </c>
      <c r="AF2330" s="13">
        <v>45019</v>
      </c>
      <c r="AG2330" s="12">
        <v>147.4391</v>
      </c>
    </row>
    <row r="2331" spans="30:33" x14ac:dyDescent="0.2">
      <c r="AD2331" s="13">
        <v>45020</v>
      </c>
      <c r="AE2331" s="12">
        <v>27.224799999999998</v>
      </c>
      <c r="AF2331" s="13">
        <v>45020</v>
      </c>
      <c r="AG2331" s="12">
        <v>147.62690000000001</v>
      </c>
    </row>
    <row r="2332" spans="30:33" x14ac:dyDescent="0.2">
      <c r="AD2332" s="13">
        <v>45021</v>
      </c>
      <c r="AE2332" s="12">
        <v>27.317399999999999</v>
      </c>
      <c r="AF2332" s="13">
        <v>45021</v>
      </c>
      <c r="AG2332" s="12">
        <v>148.1097</v>
      </c>
    </row>
    <row r="2333" spans="30:33" x14ac:dyDescent="0.2">
      <c r="AD2333" s="13">
        <v>45022</v>
      </c>
      <c r="AE2333" s="12">
        <v>27.317399999999999</v>
      </c>
      <c r="AF2333" s="13">
        <v>45022</v>
      </c>
      <c r="AG2333" s="12">
        <v>147.97559999999999</v>
      </c>
    </row>
    <row r="2334" spans="30:33" x14ac:dyDescent="0.2">
      <c r="AD2334" s="13">
        <v>45026</v>
      </c>
      <c r="AE2334" s="12">
        <v>27.1206</v>
      </c>
      <c r="AF2334" s="13">
        <v>45026</v>
      </c>
      <c r="AG2334" s="12">
        <v>147.29159999999999</v>
      </c>
    </row>
    <row r="2335" spans="30:33" x14ac:dyDescent="0.2">
      <c r="AD2335" s="13">
        <v>45027</v>
      </c>
      <c r="AE2335" s="12">
        <v>27.1264</v>
      </c>
      <c r="AF2335" s="13">
        <v>45027</v>
      </c>
      <c r="AG2335" s="12">
        <v>147.25129999999999</v>
      </c>
    </row>
    <row r="2336" spans="30:33" x14ac:dyDescent="0.2">
      <c r="AD2336" s="13">
        <v>45028</v>
      </c>
      <c r="AE2336" s="12">
        <v>27.166899999999998</v>
      </c>
      <c r="AF2336" s="13">
        <v>45028</v>
      </c>
      <c r="AG2336" s="12">
        <v>146.94290000000001</v>
      </c>
    </row>
    <row r="2337" spans="30:33" x14ac:dyDescent="0.2">
      <c r="AD2337" s="13">
        <v>45029</v>
      </c>
      <c r="AE2337" s="12">
        <v>27.1206</v>
      </c>
      <c r="AF2337" s="13">
        <v>45029</v>
      </c>
      <c r="AG2337" s="12">
        <v>147.1977</v>
      </c>
    </row>
    <row r="2338" spans="30:33" x14ac:dyDescent="0.2">
      <c r="AD2338" s="13">
        <v>45030</v>
      </c>
      <c r="AE2338" s="12">
        <v>26.993200000000002</v>
      </c>
      <c r="AF2338" s="13">
        <v>45030</v>
      </c>
      <c r="AG2338" s="12">
        <v>146.7149</v>
      </c>
    </row>
    <row r="2339" spans="30:33" x14ac:dyDescent="0.2">
      <c r="AD2339" s="13">
        <v>45033</v>
      </c>
      <c r="AE2339" s="12">
        <v>26.871600000000001</v>
      </c>
      <c r="AF2339" s="13">
        <v>45033</v>
      </c>
      <c r="AG2339" s="12">
        <v>145.7894</v>
      </c>
    </row>
    <row r="2340" spans="30:33" x14ac:dyDescent="0.2">
      <c r="AD2340" s="13">
        <v>45034</v>
      </c>
      <c r="AE2340" s="12">
        <v>26.8948</v>
      </c>
      <c r="AF2340" s="13">
        <v>45034</v>
      </c>
      <c r="AG2340" s="12">
        <v>146.2723</v>
      </c>
    </row>
    <row r="2341" spans="30:33" x14ac:dyDescent="0.2">
      <c r="AD2341" s="13">
        <v>45035</v>
      </c>
      <c r="AE2341" s="12">
        <v>26.854199999999999</v>
      </c>
      <c r="AF2341" s="13">
        <v>45035</v>
      </c>
      <c r="AG2341" s="12">
        <v>145.548</v>
      </c>
    </row>
    <row r="2342" spans="30:33" x14ac:dyDescent="0.2">
      <c r="AD2342" s="13">
        <v>45036</v>
      </c>
      <c r="AE2342" s="12">
        <v>26.9816</v>
      </c>
      <c r="AF2342" s="13">
        <v>45036</v>
      </c>
      <c r="AG2342" s="12">
        <v>146.09790000000001</v>
      </c>
    </row>
    <row r="2343" spans="30:33" x14ac:dyDescent="0.2">
      <c r="AD2343" s="13">
        <v>45037</v>
      </c>
      <c r="AE2343" s="12">
        <v>26.9237</v>
      </c>
      <c r="AF2343" s="13">
        <v>45037</v>
      </c>
      <c r="AG2343" s="12">
        <v>146.1918</v>
      </c>
    </row>
    <row r="2344" spans="30:33" x14ac:dyDescent="0.2">
      <c r="AD2344" s="13">
        <v>45040</v>
      </c>
      <c r="AE2344" s="12">
        <v>27.022099999999998</v>
      </c>
      <c r="AF2344" s="13">
        <v>45040</v>
      </c>
      <c r="AG2344" s="12">
        <v>146.8356</v>
      </c>
    </row>
    <row r="2345" spans="30:33" x14ac:dyDescent="0.2">
      <c r="AD2345" s="13">
        <v>45041</v>
      </c>
      <c r="AE2345" s="12">
        <v>27.259499999999999</v>
      </c>
      <c r="AF2345" s="13">
        <v>45041</v>
      </c>
      <c r="AG2345" s="12">
        <v>147.4794</v>
      </c>
    </row>
    <row r="2346" spans="30:33" x14ac:dyDescent="0.2">
      <c r="AD2346" s="13">
        <v>45042</v>
      </c>
      <c r="AE2346" s="12">
        <v>27.1495</v>
      </c>
      <c r="AF2346" s="13">
        <v>45042</v>
      </c>
      <c r="AG2346" s="12">
        <v>146.8356</v>
      </c>
    </row>
    <row r="2347" spans="30:33" x14ac:dyDescent="0.2">
      <c r="AD2347" s="13">
        <v>45043</v>
      </c>
      <c r="AE2347" s="12">
        <v>26.998999999999999</v>
      </c>
      <c r="AF2347" s="13">
        <v>45043</v>
      </c>
      <c r="AG2347" s="12">
        <v>146.29910000000001</v>
      </c>
    </row>
    <row r="2348" spans="30:33" x14ac:dyDescent="0.2">
      <c r="AD2348" s="13">
        <v>45044</v>
      </c>
      <c r="AE2348" s="12">
        <v>27.143699999999999</v>
      </c>
      <c r="AF2348" s="13">
        <v>45044</v>
      </c>
      <c r="AG2348" s="12">
        <v>147.4391</v>
      </c>
    </row>
    <row r="2349" spans="30:33" x14ac:dyDescent="0.2">
      <c r="AD2349" s="13">
        <v>45047</v>
      </c>
      <c r="AE2349" s="12">
        <v>26.905100000000001</v>
      </c>
      <c r="AF2349" s="13">
        <v>45047</v>
      </c>
      <c r="AG2349" s="12">
        <v>145.06720000000001</v>
      </c>
    </row>
    <row r="2350" spans="30:33" x14ac:dyDescent="0.2">
      <c r="AD2350" s="13">
        <v>45048</v>
      </c>
      <c r="AE2350" s="12">
        <v>27.177800000000001</v>
      </c>
      <c r="AF2350" s="13">
        <v>45048</v>
      </c>
      <c r="AG2350" s="12">
        <v>146.8168</v>
      </c>
    </row>
    <row r="2351" spans="30:33" x14ac:dyDescent="0.2">
      <c r="AD2351" s="13">
        <v>45049</v>
      </c>
      <c r="AE2351" s="12">
        <v>27.299600000000002</v>
      </c>
      <c r="AF2351" s="13">
        <v>45049</v>
      </c>
      <c r="AG2351" s="12">
        <v>147.0591</v>
      </c>
    </row>
    <row r="2352" spans="30:33" x14ac:dyDescent="0.2">
      <c r="AD2352" s="13">
        <v>45050</v>
      </c>
      <c r="AE2352" s="12">
        <v>27.288</v>
      </c>
      <c r="AF2352" s="13">
        <v>45050</v>
      </c>
      <c r="AG2352" s="12">
        <v>146.65530000000001</v>
      </c>
    </row>
    <row r="2353" spans="30:33" x14ac:dyDescent="0.2">
      <c r="AD2353" s="13">
        <v>45051</v>
      </c>
      <c r="AE2353" s="12">
        <v>27.177800000000001</v>
      </c>
      <c r="AF2353" s="13">
        <v>45051</v>
      </c>
      <c r="AG2353" s="12">
        <v>146.07660000000001</v>
      </c>
    </row>
    <row r="2354" spans="30:33" x14ac:dyDescent="0.2">
      <c r="AD2354" s="13">
        <v>45054</v>
      </c>
      <c r="AE2354" s="12">
        <v>27.038499999999999</v>
      </c>
      <c r="AF2354" s="13">
        <v>45054</v>
      </c>
      <c r="AG2354" s="12">
        <v>145.02690000000001</v>
      </c>
    </row>
    <row r="2355" spans="30:33" x14ac:dyDescent="0.2">
      <c r="AD2355" s="13">
        <v>45055</v>
      </c>
      <c r="AE2355" s="12">
        <v>27.0153</v>
      </c>
      <c r="AF2355" s="13">
        <v>45055</v>
      </c>
      <c r="AG2355" s="12">
        <v>144.97300000000001</v>
      </c>
    </row>
    <row r="2356" spans="30:33" x14ac:dyDescent="0.2">
      <c r="AD2356" s="13">
        <v>45056</v>
      </c>
      <c r="AE2356" s="12">
        <v>27.1662</v>
      </c>
      <c r="AF2356" s="13">
        <v>45056</v>
      </c>
      <c r="AG2356" s="12">
        <v>146.11699999999999</v>
      </c>
    </row>
    <row r="2357" spans="30:33" x14ac:dyDescent="0.2">
      <c r="AD2357" s="13">
        <v>45057</v>
      </c>
      <c r="AE2357" s="12">
        <v>27.241599999999998</v>
      </c>
      <c r="AF2357" s="13">
        <v>45057</v>
      </c>
      <c r="AG2357" s="12">
        <v>146.68219999999999</v>
      </c>
    </row>
    <row r="2358" spans="30:33" x14ac:dyDescent="0.2">
      <c r="AD2358" s="13">
        <v>45058</v>
      </c>
      <c r="AE2358" s="12">
        <v>27.119700000000002</v>
      </c>
      <c r="AF2358" s="13">
        <v>45058</v>
      </c>
      <c r="AG2358" s="12">
        <v>145.78049999999999</v>
      </c>
    </row>
    <row r="2359" spans="30:33" x14ac:dyDescent="0.2">
      <c r="AD2359" s="13">
        <v>45061</v>
      </c>
      <c r="AE2359" s="12">
        <v>27.061699999999998</v>
      </c>
      <c r="AF2359" s="13">
        <v>45061</v>
      </c>
      <c r="AG2359" s="12">
        <v>145</v>
      </c>
    </row>
    <row r="2360" spans="30:33" x14ac:dyDescent="0.2">
      <c r="AD2360" s="13">
        <v>45062</v>
      </c>
      <c r="AE2360" s="12">
        <v>27.009499999999999</v>
      </c>
      <c r="AF2360" s="13">
        <v>45062</v>
      </c>
      <c r="AG2360" s="12">
        <v>144.2732</v>
      </c>
    </row>
    <row r="2361" spans="30:33" x14ac:dyDescent="0.2">
      <c r="AD2361" s="13">
        <v>45063</v>
      </c>
      <c r="AE2361" s="12">
        <v>26.951499999999999</v>
      </c>
      <c r="AF2361" s="13">
        <v>45063</v>
      </c>
      <c r="AG2361" s="12">
        <v>144.25970000000001</v>
      </c>
    </row>
    <row r="2362" spans="30:33" x14ac:dyDescent="0.2">
      <c r="AD2362" s="13">
        <v>45064</v>
      </c>
      <c r="AE2362" s="12">
        <v>26.8354</v>
      </c>
      <c r="AF2362" s="13">
        <v>45064</v>
      </c>
      <c r="AG2362" s="12">
        <v>143.6541</v>
      </c>
    </row>
    <row r="2363" spans="30:33" x14ac:dyDescent="0.2">
      <c r="AD2363" s="13">
        <v>45065</v>
      </c>
      <c r="AE2363" s="12">
        <v>26.7484</v>
      </c>
      <c r="AF2363" s="13">
        <v>45065</v>
      </c>
      <c r="AG2363" s="12">
        <v>143.47919999999999</v>
      </c>
    </row>
    <row r="2364" spans="30:33" x14ac:dyDescent="0.2">
      <c r="AD2364" s="13">
        <v>45068</v>
      </c>
      <c r="AE2364" s="12">
        <v>26.725200000000001</v>
      </c>
      <c r="AF2364" s="13">
        <v>45068</v>
      </c>
      <c r="AG2364" s="12">
        <v>143.42529999999999</v>
      </c>
    </row>
    <row r="2365" spans="30:33" x14ac:dyDescent="0.2">
      <c r="AD2365" s="13">
        <v>45069</v>
      </c>
      <c r="AE2365" s="12">
        <v>26.742599999999999</v>
      </c>
      <c r="AF2365" s="13">
        <v>45069</v>
      </c>
      <c r="AG2365" s="12">
        <v>143.72139999999999</v>
      </c>
    </row>
    <row r="2366" spans="30:33" x14ac:dyDescent="0.2">
      <c r="AD2366" s="13">
        <v>45070</v>
      </c>
      <c r="AE2366" s="12">
        <v>26.678799999999999</v>
      </c>
      <c r="AF2366" s="13">
        <v>45070</v>
      </c>
      <c r="AG2366" s="12">
        <v>143.15620000000001</v>
      </c>
    </row>
    <row r="2367" spans="30:33" x14ac:dyDescent="0.2">
      <c r="AD2367" s="13">
        <v>45071</v>
      </c>
      <c r="AE2367" s="12">
        <v>26.580100000000002</v>
      </c>
      <c r="AF2367" s="13">
        <v>45071</v>
      </c>
      <c r="AG2367" s="12">
        <v>142.68510000000001</v>
      </c>
    </row>
    <row r="2368" spans="30:33" x14ac:dyDescent="0.2">
      <c r="AD2368" s="13">
        <v>45072</v>
      </c>
      <c r="AE2368" s="12">
        <v>26.5975</v>
      </c>
      <c r="AF2368" s="13">
        <v>45072</v>
      </c>
      <c r="AG2368" s="12">
        <v>143.29069999999999</v>
      </c>
    </row>
    <row r="2369" spans="30:33" x14ac:dyDescent="0.2">
      <c r="AD2369" s="13">
        <v>45076</v>
      </c>
      <c r="AE2369" s="12">
        <v>26.754200000000001</v>
      </c>
      <c r="AF2369" s="13">
        <v>45076</v>
      </c>
      <c r="AG2369" s="12">
        <v>144.3674</v>
      </c>
    </row>
    <row r="2370" spans="30:33" x14ac:dyDescent="0.2">
      <c r="AD2370" s="13">
        <v>45077</v>
      </c>
      <c r="AE2370" s="12">
        <v>26.847000000000001</v>
      </c>
      <c r="AF2370" s="13">
        <v>45077</v>
      </c>
      <c r="AG2370" s="12">
        <v>144.83850000000001</v>
      </c>
    </row>
    <row r="2371" spans="30:33" x14ac:dyDescent="0.2">
      <c r="AD2371" s="13">
        <v>45078</v>
      </c>
      <c r="AE2371" s="12">
        <v>26.911300000000001</v>
      </c>
      <c r="AF2371" s="13">
        <v>45078</v>
      </c>
      <c r="AG2371" s="12">
        <v>145.2809</v>
      </c>
    </row>
    <row r="2372" spans="30:33" x14ac:dyDescent="0.2">
      <c r="AD2372" s="13">
        <v>45079</v>
      </c>
      <c r="AE2372" s="12">
        <v>26.7484</v>
      </c>
      <c r="AF2372" s="13">
        <v>45079</v>
      </c>
      <c r="AG2372" s="12">
        <v>144.88929999999999</v>
      </c>
    </row>
    <row r="2373" spans="30:33" x14ac:dyDescent="0.2">
      <c r="AD2373" s="13">
        <v>45082</v>
      </c>
      <c r="AE2373" s="12">
        <v>26.7484</v>
      </c>
      <c r="AF2373" s="13">
        <v>45082</v>
      </c>
      <c r="AG2373" s="12">
        <v>144.5788</v>
      </c>
    </row>
    <row r="2374" spans="30:33" x14ac:dyDescent="0.2">
      <c r="AD2374" s="13">
        <v>45083</v>
      </c>
      <c r="AE2374" s="12">
        <v>26.771699999999999</v>
      </c>
      <c r="AF2374" s="13">
        <v>45083</v>
      </c>
      <c r="AG2374" s="12">
        <v>144.8623</v>
      </c>
    </row>
    <row r="2375" spans="30:33" x14ac:dyDescent="0.2">
      <c r="AD2375" s="13">
        <v>45084</v>
      </c>
      <c r="AE2375" s="12">
        <v>26.643799999999999</v>
      </c>
      <c r="AF2375" s="13">
        <v>45084</v>
      </c>
      <c r="AG2375" s="12">
        <v>143.56610000000001</v>
      </c>
    </row>
    <row r="2376" spans="30:33" x14ac:dyDescent="0.2">
      <c r="AD2376" s="13">
        <v>45085</v>
      </c>
      <c r="AE2376" s="12">
        <v>26.760100000000001</v>
      </c>
      <c r="AF2376" s="13">
        <v>45085</v>
      </c>
      <c r="AG2376" s="12">
        <v>144.5248</v>
      </c>
    </row>
    <row r="2377" spans="30:33" x14ac:dyDescent="0.2">
      <c r="AD2377" s="13">
        <v>45086</v>
      </c>
      <c r="AE2377" s="12">
        <v>26.707699999999999</v>
      </c>
      <c r="AF2377" s="13">
        <v>45086</v>
      </c>
      <c r="AG2377" s="12">
        <v>144.14670000000001</v>
      </c>
    </row>
    <row r="2378" spans="30:33" x14ac:dyDescent="0.2">
      <c r="AD2378" s="13">
        <v>45089</v>
      </c>
      <c r="AE2378" s="12">
        <v>26.731000000000002</v>
      </c>
      <c r="AF2378" s="13">
        <v>45089</v>
      </c>
      <c r="AG2378" s="12">
        <v>144.60579999999999</v>
      </c>
    </row>
    <row r="2379" spans="30:33" x14ac:dyDescent="0.2">
      <c r="AD2379" s="13">
        <v>45090</v>
      </c>
      <c r="AE2379" s="12">
        <v>26.603100000000001</v>
      </c>
      <c r="AF2379" s="13">
        <v>45090</v>
      </c>
      <c r="AG2379" s="12">
        <v>143.95769999999999</v>
      </c>
    </row>
    <row r="2380" spans="30:33" x14ac:dyDescent="0.2">
      <c r="AD2380" s="13">
        <v>45091</v>
      </c>
      <c r="AE2380" s="12">
        <v>26.632100000000001</v>
      </c>
      <c r="AF2380" s="13">
        <v>45091</v>
      </c>
      <c r="AG2380" s="12">
        <v>144.4033</v>
      </c>
    </row>
    <row r="2381" spans="30:33" x14ac:dyDescent="0.2">
      <c r="AD2381" s="13">
        <v>45092</v>
      </c>
      <c r="AE2381" s="12">
        <v>26.771699999999999</v>
      </c>
      <c r="AF2381" s="13">
        <v>45092</v>
      </c>
      <c r="AG2381" s="12">
        <v>145.65889999999999</v>
      </c>
    </row>
    <row r="2382" spans="30:33" x14ac:dyDescent="0.2">
      <c r="AD2382" s="13">
        <v>45093</v>
      </c>
      <c r="AE2382" s="12">
        <v>26.701899999999998</v>
      </c>
      <c r="AF2382" s="13">
        <v>45093</v>
      </c>
      <c r="AG2382" s="12">
        <v>145.4024</v>
      </c>
    </row>
    <row r="2383" spans="30:33" x14ac:dyDescent="0.2">
      <c r="AD2383" s="13">
        <v>45097</v>
      </c>
      <c r="AE2383" s="12">
        <v>26.765899999999998</v>
      </c>
      <c r="AF2383" s="13">
        <v>45097</v>
      </c>
      <c r="AG2383" s="12">
        <v>145.929</v>
      </c>
    </row>
    <row r="2384" spans="30:33" x14ac:dyDescent="0.2">
      <c r="AD2384" s="13">
        <v>45098</v>
      </c>
      <c r="AE2384" s="12">
        <v>26.783300000000001</v>
      </c>
      <c r="AF2384" s="13">
        <v>45098</v>
      </c>
      <c r="AG2384" s="12">
        <v>145.767</v>
      </c>
    </row>
    <row r="2385" spans="30:33" x14ac:dyDescent="0.2">
      <c r="AD2385" s="13">
        <v>45099</v>
      </c>
      <c r="AE2385" s="12">
        <v>26.672799999999999</v>
      </c>
      <c r="AF2385" s="13">
        <v>45099</v>
      </c>
      <c r="AG2385" s="12">
        <v>145.01089999999999</v>
      </c>
    </row>
    <row r="2386" spans="30:33" x14ac:dyDescent="0.2">
      <c r="AD2386" s="13">
        <v>45100</v>
      </c>
      <c r="AE2386" s="12">
        <v>26.736799999999999</v>
      </c>
      <c r="AF2386" s="13">
        <v>45100</v>
      </c>
      <c r="AG2386" s="12">
        <v>145.41589999999999</v>
      </c>
    </row>
    <row r="2387" spans="30:33" x14ac:dyDescent="0.2">
      <c r="AD2387" s="13">
        <v>45103</v>
      </c>
      <c r="AE2387" s="12">
        <v>26.789100000000001</v>
      </c>
      <c r="AF2387" s="13">
        <v>45103</v>
      </c>
      <c r="AG2387" s="12">
        <v>145.5779</v>
      </c>
    </row>
    <row r="2388" spans="30:33" x14ac:dyDescent="0.2">
      <c r="AD2388" s="13">
        <v>45104</v>
      </c>
      <c r="AE2388" s="12">
        <v>26.725200000000001</v>
      </c>
      <c r="AF2388" s="13">
        <v>45104</v>
      </c>
      <c r="AG2388" s="12">
        <v>145.41589999999999</v>
      </c>
    </row>
    <row r="2389" spans="30:33" x14ac:dyDescent="0.2">
      <c r="AD2389" s="13">
        <v>45105</v>
      </c>
      <c r="AE2389" s="12">
        <v>26.795000000000002</v>
      </c>
      <c r="AF2389" s="13">
        <v>45105</v>
      </c>
      <c r="AG2389" s="12">
        <v>146.0505</v>
      </c>
    </row>
    <row r="2390" spans="30:33" x14ac:dyDescent="0.2">
      <c r="AD2390" s="13">
        <v>45106</v>
      </c>
      <c r="AE2390" s="12">
        <v>26.597200000000001</v>
      </c>
      <c r="AF2390" s="13">
        <v>45106</v>
      </c>
      <c r="AG2390" s="12">
        <v>144.94329999999999</v>
      </c>
    </row>
    <row r="2391" spans="30:33" x14ac:dyDescent="0.2">
      <c r="AD2391" s="13">
        <v>45107</v>
      </c>
      <c r="AE2391" s="12">
        <v>26.632100000000001</v>
      </c>
      <c r="AF2391" s="13">
        <v>45107</v>
      </c>
      <c r="AG2391" s="12">
        <v>146.01</v>
      </c>
    </row>
    <row r="2392" spans="30:33" x14ac:dyDescent="0.2">
      <c r="AD2392" s="13">
        <v>45110</v>
      </c>
      <c r="AE2392" s="12">
        <v>26.586300000000001</v>
      </c>
      <c r="AF2392" s="13">
        <v>45110</v>
      </c>
      <c r="AG2392" s="12">
        <v>145.60249999999999</v>
      </c>
    </row>
    <row r="2393" spans="30:33" x14ac:dyDescent="0.2">
      <c r="AD2393" s="13">
        <v>45112</v>
      </c>
      <c r="AE2393" s="12">
        <v>26.493099999999998</v>
      </c>
      <c r="AF2393" s="13">
        <v>45112</v>
      </c>
      <c r="AG2393" s="12">
        <v>144.55950000000001</v>
      </c>
    </row>
    <row r="2394" spans="30:33" x14ac:dyDescent="0.2">
      <c r="AD2394" s="13">
        <v>45113</v>
      </c>
      <c r="AE2394" s="12">
        <v>26.353200000000001</v>
      </c>
      <c r="AF2394" s="13">
        <v>45113</v>
      </c>
      <c r="AG2394" s="12">
        <v>143.0966</v>
      </c>
    </row>
    <row r="2395" spans="30:33" x14ac:dyDescent="0.2">
      <c r="AD2395" s="13">
        <v>45114</v>
      </c>
      <c r="AE2395" s="12">
        <v>26.329899999999999</v>
      </c>
      <c r="AF2395" s="13">
        <v>45114</v>
      </c>
      <c r="AG2395" s="12">
        <v>142.96109999999999</v>
      </c>
    </row>
    <row r="2396" spans="30:33" x14ac:dyDescent="0.2">
      <c r="AD2396" s="13">
        <v>45117</v>
      </c>
      <c r="AE2396" s="12">
        <v>26.4057</v>
      </c>
      <c r="AF2396" s="13">
        <v>45117</v>
      </c>
      <c r="AG2396" s="12">
        <v>143.70609999999999</v>
      </c>
    </row>
    <row r="2397" spans="30:33" x14ac:dyDescent="0.2">
      <c r="AD2397" s="13">
        <v>45118</v>
      </c>
      <c r="AE2397" s="12">
        <v>26.434799999999999</v>
      </c>
      <c r="AF2397" s="13">
        <v>45118</v>
      </c>
      <c r="AG2397" s="12">
        <v>144.38339999999999</v>
      </c>
    </row>
    <row r="2398" spans="30:33" x14ac:dyDescent="0.2">
      <c r="AD2398" s="13">
        <v>45119</v>
      </c>
      <c r="AE2398" s="12">
        <v>26.6097</v>
      </c>
      <c r="AF2398" s="13">
        <v>45119</v>
      </c>
      <c r="AG2398" s="12">
        <v>145.6567</v>
      </c>
    </row>
    <row r="2399" spans="30:33" x14ac:dyDescent="0.2">
      <c r="AD2399" s="13">
        <v>45120</v>
      </c>
      <c r="AE2399" s="12">
        <v>26.784500000000001</v>
      </c>
      <c r="AF2399" s="13">
        <v>45120</v>
      </c>
      <c r="AG2399" s="12">
        <v>146.68620000000001</v>
      </c>
    </row>
    <row r="2400" spans="30:33" x14ac:dyDescent="0.2">
      <c r="AD2400" s="13">
        <v>45121</v>
      </c>
      <c r="AE2400" s="12">
        <v>26.656300000000002</v>
      </c>
      <c r="AF2400" s="13">
        <v>45121</v>
      </c>
      <c r="AG2400" s="12">
        <v>145.54830000000001</v>
      </c>
    </row>
    <row r="2401" spans="30:33" x14ac:dyDescent="0.2">
      <c r="AD2401" s="13">
        <v>45124</v>
      </c>
      <c r="AE2401" s="12">
        <v>26.697099999999999</v>
      </c>
      <c r="AF2401" s="13">
        <v>45124</v>
      </c>
      <c r="AG2401" s="12">
        <v>145.79220000000001</v>
      </c>
    </row>
    <row r="2402" spans="30:33" x14ac:dyDescent="0.2">
      <c r="AD2402" s="13">
        <v>45125</v>
      </c>
      <c r="AE2402" s="12">
        <v>26.726199999999999</v>
      </c>
      <c r="AF2402" s="13">
        <v>45125</v>
      </c>
      <c r="AG2402" s="12">
        <v>146.15790000000001</v>
      </c>
    </row>
    <row r="2403" spans="30:33" x14ac:dyDescent="0.2">
      <c r="AD2403" s="13">
        <v>45126</v>
      </c>
      <c r="AE2403" s="12">
        <v>26.813600000000001</v>
      </c>
      <c r="AF2403" s="13">
        <v>45126</v>
      </c>
      <c r="AG2403" s="12">
        <v>146.98419999999999</v>
      </c>
    </row>
    <row r="2404" spans="30:33" x14ac:dyDescent="0.2">
      <c r="AD2404" s="13">
        <v>45127</v>
      </c>
      <c r="AE2404" s="12">
        <v>26.667899999999999</v>
      </c>
      <c r="AF2404" s="13">
        <v>45127</v>
      </c>
      <c r="AG2404" s="12">
        <v>145.99539999999999</v>
      </c>
    </row>
    <row r="2405" spans="30:33" x14ac:dyDescent="0.2">
      <c r="AD2405" s="13">
        <v>45128</v>
      </c>
      <c r="AE2405" s="12">
        <v>26.6738</v>
      </c>
      <c r="AF2405" s="13">
        <v>45128</v>
      </c>
      <c r="AG2405" s="12">
        <v>146.2527</v>
      </c>
    </row>
    <row r="2406" spans="30:33" x14ac:dyDescent="0.2">
      <c r="AD2406" s="13">
        <v>45131</v>
      </c>
      <c r="AE2406" s="12">
        <v>26.621300000000002</v>
      </c>
      <c r="AF2406" s="13">
        <v>45131</v>
      </c>
      <c r="AG2406" s="12">
        <v>146.07660000000001</v>
      </c>
    </row>
    <row r="2407" spans="30:33" x14ac:dyDescent="0.2">
      <c r="AD2407" s="13">
        <v>45132</v>
      </c>
      <c r="AE2407" s="12">
        <v>26.597999999999999</v>
      </c>
      <c r="AF2407" s="13">
        <v>45132</v>
      </c>
      <c r="AG2407" s="12">
        <v>145.84639999999999</v>
      </c>
    </row>
    <row r="2408" spans="30:33" x14ac:dyDescent="0.2">
      <c r="AD2408" s="13">
        <v>45133</v>
      </c>
      <c r="AE2408" s="12">
        <v>26.656300000000002</v>
      </c>
      <c r="AF2408" s="13">
        <v>45133</v>
      </c>
      <c r="AG2408" s="12">
        <v>146.52359999999999</v>
      </c>
    </row>
    <row r="2409" spans="30:33" x14ac:dyDescent="0.2">
      <c r="AD2409" s="13">
        <v>45134</v>
      </c>
      <c r="AE2409" s="12">
        <v>26.452300000000001</v>
      </c>
      <c r="AF2409" s="13">
        <v>45134</v>
      </c>
      <c r="AG2409" s="12">
        <v>144.73560000000001</v>
      </c>
    </row>
    <row r="2410" spans="30:33" x14ac:dyDescent="0.2">
      <c r="AD2410" s="13">
        <v>45135</v>
      </c>
      <c r="AE2410" s="12">
        <v>26.528099999999998</v>
      </c>
      <c r="AF2410" s="13">
        <v>45135</v>
      </c>
      <c r="AG2410" s="12">
        <v>145.68379999999999</v>
      </c>
    </row>
    <row r="2411" spans="30:33" x14ac:dyDescent="0.2">
      <c r="AD2411" s="13">
        <v>45138</v>
      </c>
      <c r="AE2411" s="12">
        <v>26.551400000000001</v>
      </c>
      <c r="AF2411" s="13">
        <v>45138</v>
      </c>
      <c r="AG2411" s="12">
        <v>146.09020000000001</v>
      </c>
    </row>
    <row r="2412" spans="30:33" x14ac:dyDescent="0.2">
      <c r="AD2412" s="13">
        <v>45139</v>
      </c>
      <c r="AE2412" s="12">
        <v>26.417100000000001</v>
      </c>
      <c r="AF2412" s="13">
        <v>45139</v>
      </c>
      <c r="AG2412" s="12">
        <v>144.63999999999999</v>
      </c>
    </row>
    <row r="2413" spans="30:33" x14ac:dyDescent="0.2">
      <c r="AD2413" s="13">
        <v>45140</v>
      </c>
      <c r="AE2413" s="12">
        <v>26.3645</v>
      </c>
      <c r="AF2413" s="13">
        <v>45140</v>
      </c>
      <c r="AG2413" s="12">
        <v>143.75649999999999</v>
      </c>
    </row>
    <row r="2414" spans="30:33" x14ac:dyDescent="0.2">
      <c r="AD2414" s="13">
        <v>45141</v>
      </c>
      <c r="AE2414" s="12">
        <v>26.218399999999999</v>
      </c>
      <c r="AF2414" s="13">
        <v>45141</v>
      </c>
      <c r="AG2414" s="12">
        <v>142.46520000000001</v>
      </c>
    </row>
    <row r="2415" spans="30:33" x14ac:dyDescent="0.2">
      <c r="AD2415" s="13">
        <v>45142</v>
      </c>
      <c r="AE2415" s="12">
        <v>26.411200000000001</v>
      </c>
      <c r="AF2415" s="13">
        <v>45142</v>
      </c>
      <c r="AG2415" s="12">
        <v>143.9468</v>
      </c>
    </row>
    <row r="2416" spans="30:33" x14ac:dyDescent="0.2">
      <c r="AD2416" s="13">
        <v>45145</v>
      </c>
      <c r="AE2416" s="12">
        <v>26.3645</v>
      </c>
      <c r="AF2416" s="13">
        <v>45145</v>
      </c>
      <c r="AG2416" s="12">
        <v>143.5934</v>
      </c>
    </row>
    <row r="2417" spans="30:33" x14ac:dyDescent="0.2">
      <c r="AD2417" s="13">
        <v>45146</v>
      </c>
      <c r="AE2417" s="12">
        <v>26.457999999999998</v>
      </c>
      <c r="AF2417" s="13">
        <v>45146</v>
      </c>
      <c r="AG2417" s="12">
        <v>144.1643</v>
      </c>
    </row>
    <row r="2418" spans="30:33" x14ac:dyDescent="0.2">
      <c r="AD2418" s="13">
        <v>45147</v>
      </c>
      <c r="AE2418" s="12">
        <v>26.4755</v>
      </c>
      <c r="AF2418" s="13">
        <v>45147</v>
      </c>
      <c r="AG2418" s="12">
        <v>144.30019999999999</v>
      </c>
    </row>
    <row r="2419" spans="30:33" x14ac:dyDescent="0.2">
      <c r="AD2419" s="13">
        <v>45148</v>
      </c>
      <c r="AE2419" s="12">
        <v>26.3294</v>
      </c>
      <c r="AF2419" s="13">
        <v>45148</v>
      </c>
      <c r="AG2419" s="12">
        <v>143.2808</v>
      </c>
    </row>
    <row r="2420" spans="30:33" x14ac:dyDescent="0.2">
      <c r="AD2420" s="13">
        <v>45149</v>
      </c>
      <c r="AE2420" s="12">
        <v>26.2593</v>
      </c>
      <c r="AF2420" s="13">
        <v>45149</v>
      </c>
      <c r="AG2420" s="12">
        <v>142.79140000000001</v>
      </c>
    </row>
    <row r="2421" spans="30:33" x14ac:dyDescent="0.2">
      <c r="AD2421" s="13">
        <v>45152</v>
      </c>
      <c r="AE2421" s="12">
        <v>26.218399999999999</v>
      </c>
      <c r="AF2421" s="13">
        <v>45152</v>
      </c>
      <c r="AG2421" s="12">
        <v>142.7371</v>
      </c>
    </row>
    <row r="2422" spans="30:33" x14ac:dyDescent="0.2">
      <c r="AD2422" s="13">
        <v>45153</v>
      </c>
      <c r="AE2422" s="12">
        <v>26.183299999999999</v>
      </c>
      <c r="AF2422" s="13">
        <v>45153</v>
      </c>
      <c r="AG2422" s="12">
        <v>141.98949999999999</v>
      </c>
    </row>
    <row r="2423" spans="30:33" x14ac:dyDescent="0.2">
      <c r="AD2423" s="13">
        <v>45154</v>
      </c>
      <c r="AE2423" s="12">
        <v>26.1191</v>
      </c>
      <c r="AF2423" s="13">
        <v>45154</v>
      </c>
      <c r="AG2423" s="12">
        <v>141.35059999999999</v>
      </c>
    </row>
    <row r="2424" spans="30:33" x14ac:dyDescent="0.2">
      <c r="AD2424" s="13">
        <v>45155</v>
      </c>
      <c r="AE2424" s="12">
        <v>26.1191</v>
      </c>
      <c r="AF2424" s="13">
        <v>45155</v>
      </c>
      <c r="AG2424" s="12">
        <v>140.97</v>
      </c>
    </row>
    <row r="2425" spans="30:33" x14ac:dyDescent="0.2">
      <c r="AD2425" s="13">
        <v>45156</v>
      </c>
      <c r="AE2425" s="12">
        <v>26.148299999999999</v>
      </c>
      <c r="AF2425" s="13">
        <v>45156</v>
      </c>
      <c r="AG2425" s="12">
        <v>141.5001</v>
      </c>
    </row>
    <row r="2426" spans="30:33" x14ac:dyDescent="0.2">
      <c r="AD2426" s="13">
        <v>45159</v>
      </c>
      <c r="AE2426" s="12">
        <v>26.0197</v>
      </c>
      <c r="AF2426" s="13">
        <v>45159</v>
      </c>
      <c r="AG2426" s="12">
        <v>140.6574</v>
      </c>
    </row>
    <row r="2427" spans="30:33" x14ac:dyDescent="0.2">
      <c r="AD2427" s="13">
        <v>45160</v>
      </c>
      <c r="AE2427" s="12">
        <v>26.043099999999999</v>
      </c>
      <c r="AF2427" s="13">
        <v>45160</v>
      </c>
      <c r="AG2427" s="12">
        <v>141.09229999999999</v>
      </c>
    </row>
    <row r="2428" spans="30:33" x14ac:dyDescent="0.2">
      <c r="AD2428" s="13">
        <v>45161</v>
      </c>
      <c r="AE2428" s="12">
        <v>26.2593</v>
      </c>
      <c r="AF2428" s="13">
        <v>45161</v>
      </c>
      <c r="AG2428" s="12">
        <v>143.07689999999999</v>
      </c>
    </row>
    <row r="2429" spans="30:33" x14ac:dyDescent="0.2">
      <c r="AD2429" s="13">
        <v>45162</v>
      </c>
      <c r="AE2429" s="12">
        <v>26.200900000000001</v>
      </c>
      <c r="AF2429" s="13">
        <v>45162</v>
      </c>
      <c r="AG2429" s="12">
        <v>142.58750000000001</v>
      </c>
    </row>
    <row r="2430" spans="30:33" x14ac:dyDescent="0.2">
      <c r="AD2430" s="13">
        <v>45163</v>
      </c>
      <c r="AE2430" s="12">
        <v>26.183299999999999</v>
      </c>
      <c r="AF2430" s="13">
        <v>45163</v>
      </c>
      <c r="AG2430" s="12">
        <v>142.66909999999999</v>
      </c>
    </row>
    <row r="2431" spans="30:33" x14ac:dyDescent="0.2">
      <c r="AD2431" s="13">
        <v>45166</v>
      </c>
      <c r="AE2431" s="12">
        <v>26.2242</v>
      </c>
      <c r="AF2431" s="13">
        <v>45166</v>
      </c>
      <c r="AG2431" s="12">
        <v>143.11760000000001</v>
      </c>
    </row>
    <row r="2432" spans="30:33" x14ac:dyDescent="0.2">
      <c r="AD2432" s="13">
        <v>45167</v>
      </c>
      <c r="AE2432" s="12">
        <v>26.3645</v>
      </c>
      <c r="AF2432" s="13">
        <v>45167</v>
      </c>
      <c r="AG2432" s="12">
        <v>144.2594</v>
      </c>
    </row>
    <row r="2433" spans="30:33" x14ac:dyDescent="0.2">
      <c r="AD2433" s="13">
        <v>45168</v>
      </c>
      <c r="AE2433" s="12">
        <v>26.358599999999999</v>
      </c>
      <c r="AF2433" s="13">
        <v>45168</v>
      </c>
      <c r="AG2433" s="12">
        <v>144.05549999999999</v>
      </c>
    </row>
    <row r="2434" spans="30:33" x14ac:dyDescent="0.2">
      <c r="AD2434" s="13">
        <v>45169</v>
      </c>
      <c r="AE2434" s="12">
        <v>26.417100000000001</v>
      </c>
      <c r="AF2434" s="13">
        <v>45169</v>
      </c>
      <c r="AG2434" s="12">
        <v>144.30019999999999</v>
      </c>
    </row>
    <row r="2435" spans="30:33" x14ac:dyDescent="0.2">
      <c r="AD2435" s="13">
        <v>45170</v>
      </c>
      <c r="AE2435" s="12">
        <v>26.297799999999999</v>
      </c>
      <c r="AF2435" s="13">
        <v>45170</v>
      </c>
      <c r="AG2435" s="12">
        <v>143.27719999999999</v>
      </c>
    </row>
    <row r="2436" spans="30:33" x14ac:dyDescent="0.2">
      <c r="AD2436" s="13">
        <v>45174</v>
      </c>
      <c r="AE2436" s="12">
        <v>26.169</v>
      </c>
      <c r="AF2436" s="13">
        <v>45174</v>
      </c>
      <c r="AG2436" s="12">
        <v>142.25409999999999</v>
      </c>
    </row>
    <row r="2437" spans="30:33" x14ac:dyDescent="0.2">
      <c r="AD2437" s="13">
        <v>45175</v>
      </c>
      <c r="AE2437" s="12">
        <v>26.145600000000002</v>
      </c>
      <c r="AF2437" s="13">
        <v>45175</v>
      </c>
      <c r="AG2437" s="12">
        <v>142.11770000000001</v>
      </c>
    </row>
    <row r="2438" spans="30:33" x14ac:dyDescent="0.2">
      <c r="AD2438" s="13">
        <v>45176</v>
      </c>
      <c r="AE2438" s="12">
        <v>26.215800000000002</v>
      </c>
      <c r="AF2438" s="13">
        <v>45176</v>
      </c>
      <c r="AG2438" s="12">
        <v>142.74520000000001</v>
      </c>
    </row>
    <row r="2439" spans="30:33" x14ac:dyDescent="0.2">
      <c r="AD2439" s="13">
        <v>45177</v>
      </c>
      <c r="AE2439" s="12">
        <v>26.215800000000002</v>
      </c>
      <c r="AF2439" s="13">
        <v>45177</v>
      </c>
      <c r="AG2439" s="12">
        <v>142.85429999999999</v>
      </c>
    </row>
    <row r="2440" spans="30:33" x14ac:dyDescent="0.2">
      <c r="AD2440" s="13">
        <v>45180</v>
      </c>
      <c r="AE2440" s="12">
        <v>26.180700000000002</v>
      </c>
      <c r="AF2440" s="13">
        <v>45180</v>
      </c>
      <c r="AG2440" s="12">
        <v>142.58150000000001</v>
      </c>
    </row>
    <row r="2441" spans="30:33" x14ac:dyDescent="0.2">
      <c r="AD2441" s="13">
        <v>45181</v>
      </c>
      <c r="AE2441" s="12">
        <v>26.2041</v>
      </c>
      <c r="AF2441" s="13">
        <v>45181</v>
      </c>
      <c r="AG2441" s="12">
        <v>142.54060000000001</v>
      </c>
    </row>
    <row r="2442" spans="30:33" x14ac:dyDescent="0.2">
      <c r="AD2442" s="13">
        <v>45182</v>
      </c>
      <c r="AE2442" s="12">
        <v>26.227599999999999</v>
      </c>
      <c r="AF2442" s="13">
        <v>45182</v>
      </c>
      <c r="AG2442" s="12">
        <v>142.85429999999999</v>
      </c>
    </row>
    <row r="2443" spans="30:33" x14ac:dyDescent="0.2">
      <c r="AD2443" s="13">
        <v>45183</v>
      </c>
      <c r="AE2443" s="12">
        <v>26.180700000000002</v>
      </c>
      <c r="AF2443" s="13">
        <v>45183</v>
      </c>
      <c r="AG2443" s="12">
        <v>142.59520000000001</v>
      </c>
    </row>
    <row r="2444" spans="30:33" x14ac:dyDescent="0.2">
      <c r="AD2444" s="13">
        <v>45184</v>
      </c>
      <c r="AE2444" s="12">
        <v>26.128</v>
      </c>
      <c r="AF2444" s="13">
        <v>45184</v>
      </c>
      <c r="AG2444" s="12">
        <v>142.37690000000001</v>
      </c>
    </row>
    <row r="2445" spans="30:33" x14ac:dyDescent="0.2">
      <c r="AD2445" s="13">
        <v>45187</v>
      </c>
      <c r="AE2445" s="12">
        <v>26.151399999999999</v>
      </c>
      <c r="AF2445" s="13">
        <v>45187</v>
      </c>
      <c r="AG2445" s="12">
        <v>142.6497</v>
      </c>
    </row>
    <row r="2446" spans="30:33" x14ac:dyDescent="0.2">
      <c r="AD2446" s="13">
        <v>45188</v>
      </c>
      <c r="AE2446" s="12">
        <v>26.087</v>
      </c>
      <c r="AF2446" s="13">
        <v>45188</v>
      </c>
      <c r="AG2446" s="12">
        <v>142.17230000000001</v>
      </c>
    </row>
    <row r="2447" spans="30:33" x14ac:dyDescent="0.2">
      <c r="AD2447" s="13">
        <v>45189</v>
      </c>
      <c r="AE2447" s="12">
        <v>26.075299999999999</v>
      </c>
      <c r="AF2447" s="13">
        <v>45189</v>
      </c>
      <c r="AG2447" s="12">
        <v>142.2268</v>
      </c>
    </row>
    <row r="2448" spans="30:33" x14ac:dyDescent="0.2">
      <c r="AD2448" s="13">
        <v>45190</v>
      </c>
      <c r="AE2448" s="12">
        <v>25.911300000000001</v>
      </c>
      <c r="AF2448" s="13">
        <v>45190</v>
      </c>
      <c r="AG2448" s="12">
        <v>140.7945</v>
      </c>
    </row>
    <row r="2449" spans="30:33" x14ac:dyDescent="0.2">
      <c r="AD2449" s="13">
        <v>45191</v>
      </c>
      <c r="AE2449" s="12">
        <v>25.993300000000001</v>
      </c>
      <c r="AF2449" s="13">
        <v>45191</v>
      </c>
      <c r="AG2449" s="12">
        <v>141.65389999999999</v>
      </c>
    </row>
    <row r="2450" spans="30:33" x14ac:dyDescent="0.2">
      <c r="AD2450" s="13">
        <v>45194</v>
      </c>
      <c r="AE2450" s="12">
        <v>25.841000000000001</v>
      </c>
      <c r="AF2450" s="13">
        <v>45194</v>
      </c>
      <c r="AG2450" s="12">
        <v>140.27610000000001</v>
      </c>
    </row>
    <row r="2451" spans="30:33" x14ac:dyDescent="0.2">
      <c r="AD2451" s="13">
        <v>45195</v>
      </c>
      <c r="AE2451" s="12">
        <v>25.8293</v>
      </c>
      <c r="AF2451" s="13">
        <v>45195</v>
      </c>
      <c r="AG2451" s="12">
        <v>139.88050000000001</v>
      </c>
    </row>
    <row r="2452" spans="30:33" x14ac:dyDescent="0.2">
      <c r="AD2452" s="13">
        <v>45196</v>
      </c>
      <c r="AE2452" s="12">
        <v>25.7531</v>
      </c>
      <c r="AF2452" s="13">
        <v>45196</v>
      </c>
      <c r="AG2452" s="12">
        <v>139.22569999999999</v>
      </c>
    </row>
    <row r="2453" spans="30:33" x14ac:dyDescent="0.2">
      <c r="AD2453" s="13">
        <v>45197</v>
      </c>
      <c r="AE2453" s="12">
        <v>25.817599999999999</v>
      </c>
      <c r="AF2453" s="13">
        <v>45197</v>
      </c>
      <c r="AG2453" s="12">
        <v>139.47120000000001</v>
      </c>
    </row>
    <row r="2454" spans="30:33" x14ac:dyDescent="0.2">
      <c r="AD2454" s="13">
        <v>45198</v>
      </c>
      <c r="AE2454" s="12">
        <v>25.817599999999999</v>
      </c>
      <c r="AF2454" s="13">
        <v>45198</v>
      </c>
      <c r="AG2454" s="12">
        <v>139.1711</v>
      </c>
    </row>
    <row r="2455" spans="30:33" x14ac:dyDescent="0.2">
      <c r="AD2455" s="13">
        <v>45201</v>
      </c>
      <c r="AE2455" s="12">
        <v>25.6812</v>
      </c>
      <c r="AF2455" s="13">
        <v>45201</v>
      </c>
      <c r="AG2455" s="12">
        <v>137.90110000000001</v>
      </c>
    </row>
    <row r="2456" spans="30:33" x14ac:dyDescent="0.2">
      <c r="AD2456" s="13">
        <v>45202</v>
      </c>
      <c r="AE2456" s="12">
        <v>25.5228</v>
      </c>
      <c r="AF2456" s="13">
        <v>45202</v>
      </c>
      <c r="AG2456" s="12">
        <v>136.3124</v>
      </c>
    </row>
    <row r="2457" spans="30:33" x14ac:dyDescent="0.2">
      <c r="AD2457" s="13">
        <v>45203</v>
      </c>
      <c r="AE2457" s="12">
        <v>25.663599999999999</v>
      </c>
      <c r="AF2457" s="13">
        <v>45203</v>
      </c>
      <c r="AG2457" s="12">
        <v>137.50389999999999</v>
      </c>
    </row>
    <row r="2458" spans="30:33" x14ac:dyDescent="0.2">
      <c r="AD2458" s="13">
        <v>45204</v>
      </c>
      <c r="AE2458" s="12">
        <v>25.6754</v>
      </c>
      <c r="AF2458" s="13">
        <v>45204</v>
      </c>
      <c r="AG2458" s="12">
        <v>137.33959999999999</v>
      </c>
    </row>
    <row r="2459" spans="30:33" x14ac:dyDescent="0.2">
      <c r="AD2459" s="13">
        <v>45205</v>
      </c>
      <c r="AE2459" s="12">
        <v>25.558</v>
      </c>
      <c r="AF2459" s="13">
        <v>45205</v>
      </c>
      <c r="AG2459" s="12">
        <v>136.92869999999999</v>
      </c>
    </row>
    <row r="2460" spans="30:33" x14ac:dyDescent="0.2">
      <c r="AD2460" s="13">
        <v>45208</v>
      </c>
      <c r="AE2460" s="12">
        <v>25.786899999999999</v>
      </c>
      <c r="AF2460" s="13">
        <v>45208</v>
      </c>
      <c r="AG2460" s="12">
        <v>138.62700000000001</v>
      </c>
    </row>
    <row r="2461" spans="30:33" x14ac:dyDescent="0.2">
      <c r="AD2461" s="13">
        <v>45209</v>
      </c>
      <c r="AE2461" s="12">
        <v>25.769300000000001</v>
      </c>
      <c r="AF2461" s="13">
        <v>45209</v>
      </c>
      <c r="AG2461" s="12">
        <v>138.68170000000001</v>
      </c>
    </row>
    <row r="2462" spans="30:33" x14ac:dyDescent="0.2">
      <c r="AD2462" s="13">
        <v>45210</v>
      </c>
      <c r="AE2462" s="12">
        <v>25.880800000000001</v>
      </c>
      <c r="AF2462" s="13">
        <v>45210</v>
      </c>
      <c r="AG2462" s="12">
        <v>139.5309</v>
      </c>
    </row>
    <row r="2463" spans="30:33" x14ac:dyDescent="0.2">
      <c r="AD2463" s="13">
        <v>45211</v>
      </c>
      <c r="AE2463" s="12">
        <v>25.6812</v>
      </c>
      <c r="AF2463" s="13">
        <v>45211</v>
      </c>
      <c r="AG2463" s="12">
        <v>138.07910000000001</v>
      </c>
    </row>
    <row r="2464" spans="30:33" x14ac:dyDescent="0.2">
      <c r="AD2464" s="13">
        <v>45212</v>
      </c>
      <c r="AE2464" s="12">
        <v>25.816299999999998</v>
      </c>
      <c r="AF2464" s="13">
        <v>45212</v>
      </c>
      <c r="AG2464" s="12">
        <v>138.84610000000001</v>
      </c>
    </row>
    <row r="2465" spans="30:33" x14ac:dyDescent="0.2">
      <c r="AD2465" s="13">
        <v>45215</v>
      </c>
      <c r="AE2465" s="12">
        <v>25.687100000000001</v>
      </c>
      <c r="AF2465" s="13">
        <v>45215</v>
      </c>
      <c r="AG2465" s="12">
        <v>137.88740000000001</v>
      </c>
    </row>
    <row r="2466" spans="30:33" x14ac:dyDescent="0.2">
      <c r="AD2466" s="13">
        <v>45216</v>
      </c>
      <c r="AE2466" s="12">
        <v>25.534500000000001</v>
      </c>
      <c r="AF2466" s="13">
        <v>45216</v>
      </c>
      <c r="AG2466" s="12">
        <v>136.79169999999999</v>
      </c>
    </row>
    <row r="2467" spans="30:33" x14ac:dyDescent="0.2">
      <c r="AD2467" s="13">
        <v>45217</v>
      </c>
      <c r="AE2467" s="12">
        <v>25.452300000000001</v>
      </c>
      <c r="AF2467" s="13">
        <v>45217</v>
      </c>
      <c r="AG2467" s="12">
        <v>135.6961</v>
      </c>
    </row>
    <row r="2468" spans="30:33" x14ac:dyDescent="0.2">
      <c r="AD2468" s="13">
        <v>45218</v>
      </c>
      <c r="AE2468" s="12">
        <v>25.3584</v>
      </c>
      <c r="AF2468" s="13">
        <v>45218</v>
      </c>
      <c r="AG2468" s="12">
        <v>134.60040000000001</v>
      </c>
    </row>
    <row r="2469" spans="30:33" x14ac:dyDescent="0.2">
      <c r="AD2469" s="13">
        <v>45219</v>
      </c>
      <c r="AE2469" s="12">
        <v>25.452300000000001</v>
      </c>
      <c r="AF2469" s="13">
        <v>45219</v>
      </c>
      <c r="AG2469" s="12">
        <v>135.13460000000001</v>
      </c>
    </row>
    <row r="2470" spans="30:33" x14ac:dyDescent="0.2">
      <c r="AD2470" s="13">
        <v>45222</v>
      </c>
      <c r="AE2470" s="12">
        <v>25.546199999999999</v>
      </c>
      <c r="AF2470" s="13">
        <v>45222</v>
      </c>
      <c r="AG2470" s="12">
        <v>136.1891</v>
      </c>
    </row>
    <row r="2471" spans="30:33" x14ac:dyDescent="0.2">
      <c r="AD2471" s="13">
        <v>45223</v>
      </c>
      <c r="AE2471" s="12">
        <v>25.5991</v>
      </c>
      <c r="AF2471" s="13">
        <v>45223</v>
      </c>
      <c r="AG2471" s="12">
        <v>136.95609999999999</v>
      </c>
    </row>
    <row r="2472" spans="30:33" x14ac:dyDescent="0.2">
      <c r="AD2472" s="13">
        <v>45224</v>
      </c>
      <c r="AE2472" s="12">
        <v>25.4406</v>
      </c>
      <c r="AF2472" s="13">
        <v>45224</v>
      </c>
      <c r="AG2472" s="12">
        <v>135.7098</v>
      </c>
    </row>
    <row r="2473" spans="30:33" x14ac:dyDescent="0.2">
      <c r="AD2473" s="13">
        <v>45225</v>
      </c>
      <c r="AE2473" s="12">
        <v>25.5932</v>
      </c>
      <c r="AF2473" s="13">
        <v>45225</v>
      </c>
      <c r="AG2473" s="12">
        <v>136.69589999999999</v>
      </c>
    </row>
    <row r="2474" spans="30:33" x14ac:dyDescent="0.2">
      <c r="AD2474" s="13">
        <v>45226</v>
      </c>
      <c r="AE2474" s="12">
        <v>25.5932</v>
      </c>
      <c r="AF2474" s="13">
        <v>45226</v>
      </c>
      <c r="AG2474" s="12">
        <v>136.422</v>
      </c>
    </row>
    <row r="2475" spans="30:33" x14ac:dyDescent="0.2">
      <c r="AD2475" s="13">
        <v>45229</v>
      </c>
      <c r="AE2475" s="12">
        <v>25.558</v>
      </c>
      <c r="AF2475" s="13">
        <v>45229</v>
      </c>
      <c r="AG2475" s="12">
        <v>136.0111</v>
      </c>
    </row>
    <row r="2476" spans="30:33" x14ac:dyDescent="0.2">
      <c r="AD2476" s="13">
        <v>45230</v>
      </c>
      <c r="AE2476" s="12">
        <v>25.510999999999999</v>
      </c>
      <c r="AF2476" s="13">
        <v>45230</v>
      </c>
      <c r="AG2476" s="12">
        <v>135.8194</v>
      </c>
    </row>
    <row r="2477" spans="30:33" x14ac:dyDescent="0.2">
      <c r="AD2477" s="13">
        <v>45231</v>
      </c>
      <c r="AE2477" s="12">
        <v>25.718299999999999</v>
      </c>
      <c r="AF2477" s="13">
        <v>45231</v>
      </c>
      <c r="AG2477" s="12">
        <v>137.75640000000001</v>
      </c>
    </row>
    <row r="2478" spans="30:33" x14ac:dyDescent="0.2">
      <c r="AD2478" s="13">
        <v>45232</v>
      </c>
      <c r="AE2478" s="12">
        <v>25.847799999999999</v>
      </c>
      <c r="AF2478" s="13">
        <v>45232</v>
      </c>
      <c r="AG2478" s="12">
        <v>139.3921</v>
      </c>
    </row>
    <row r="2479" spans="30:33" x14ac:dyDescent="0.2">
      <c r="AD2479" s="13">
        <v>45233</v>
      </c>
      <c r="AE2479" s="12">
        <v>25.9832</v>
      </c>
      <c r="AF2479" s="13">
        <v>45233</v>
      </c>
      <c r="AG2479" s="12">
        <v>140.07939999999999</v>
      </c>
    </row>
    <row r="2480" spans="30:33" x14ac:dyDescent="0.2">
      <c r="AD2480" s="13">
        <v>45236</v>
      </c>
      <c r="AE2480" s="12">
        <v>25.888999999999999</v>
      </c>
      <c r="AF2480" s="13">
        <v>45236</v>
      </c>
      <c r="AG2480" s="12">
        <v>139.3372</v>
      </c>
    </row>
    <row r="2481" spans="30:33" x14ac:dyDescent="0.2">
      <c r="AD2481" s="13">
        <v>45237</v>
      </c>
      <c r="AE2481" s="12">
        <v>25.994900000000001</v>
      </c>
      <c r="AF2481" s="13">
        <v>45237</v>
      </c>
      <c r="AG2481" s="12">
        <v>140.45050000000001</v>
      </c>
    </row>
    <row r="2482" spans="30:33" x14ac:dyDescent="0.2">
      <c r="AD2482" s="13">
        <v>45238</v>
      </c>
      <c r="AE2482" s="12">
        <v>26.083200000000001</v>
      </c>
      <c r="AF2482" s="13">
        <v>45238</v>
      </c>
      <c r="AG2482" s="12">
        <v>141.1653</v>
      </c>
    </row>
    <row r="2483" spans="30:33" x14ac:dyDescent="0.2">
      <c r="AD2483" s="13">
        <v>45239</v>
      </c>
      <c r="AE2483" s="12">
        <v>25.8949</v>
      </c>
      <c r="AF2483" s="13">
        <v>45239</v>
      </c>
      <c r="AG2483" s="12">
        <v>139.73580000000001</v>
      </c>
    </row>
    <row r="2484" spans="30:33" x14ac:dyDescent="0.2">
      <c r="AD2484" s="13">
        <v>45240</v>
      </c>
      <c r="AE2484" s="12">
        <v>25.918399999999998</v>
      </c>
      <c r="AF2484" s="13">
        <v>45240</v>
      </c>
      <c r="AG2484" s="12">
        <v>140.43680000000001</v>
      </c>
    </row>
    <row r="2485" spans="30:33" x14ac:dyDescent="0.2">
      <c r="AD2485" s="13">
        <v>45243</v>
      </c>
      <c r="AE2485" s="12">
        <v>25.918399999999998</v>
      </c>
      <c r="AF2485" s="13">
        <v>45243</v>
      </c>
      <c r="AG2485" s="12">
        <v>140.45050000000001</v>
      </c>
    </row>
    <row r="2486" spans="30:33" x14ac:dyDescent="0.2">
      <c r="AD2486" s="13">
        <v>45244</v>
      </c>
      <c r="AE2486" s="12">
        <v>26.177399999999999</v>
      </c>
      <c r="AF2486" s="13">
        <v>45244</v>
      </c>
      <c r="AG2486" s="12">
        <v>142.6498</v>
      </c>
    </row>
    <row r="2487" spans="30:33" x14ac:dyDescent="0.2">
      <c r="AD2487" s="13">
        <v>45245</v>
      </c>
      <c r="AE2487" s="12">
        <v>26.042000000000002</v>
      </c>
      <c r="AF2487" s="13">
        <v>45245</v>
      </c>
      <c r="AG2487" s="12">
        <v>141.9075</v>
      </c>
    </row>
    <row r="2488" spans="30:33" x14ac:dyDescent="0.2">
      <c r="AD2488" s="13">
        <v>45246</v>
      </c>
      <c r="AE2488" s="12">
        <v>26.165600000000001</v>
      </c>
      <c r="AF2488" s="13">
        <v>45246</v>
      </c>
      <c r="AG2488" s="12">
        <v>143.07589999999999</v>
      </c>
    </row>
    <row r="2489" spans="30:33" x14ac:dyDescent="0.2">
      <c r="AD2489" s="13">
        <v>45247</v>
      </c>
      <c r="AE2489" s="12">
        <v>26.1892</v>
      </c>
      <c r="AF2489" s="13">
        <v>45247</v>
      </c>
      <c r="AG2489" s="12">
        <v>143.48830000000001</v>
      </c>
    </row>
    <row r="2490" spans="30:33" x14ac:dyDescent="0.2">
      <c r="AD2490" s="13">
        <v>45250</v>
      </c>
      <c r="AE2490" s="12">
        <v>26.224499999999999</v>
      </c>
      <c r="AF2490" s="13">
        <v>45250</v>
      </c>
      <c r="AG2490" s="12">
        <v>144.06559999999999</v>
      </c>
    </row>
    <row r="2491" spans="30:33" x14ac:dyDescent="0.2">
      <c r="AD2491" s="13">
        <v>45251</v>
      </c>
      <c r="AE2491" s="12">
        <v>26.248000000000001</v>
      </c>
      <c r="AF2491" s="13">
        <v>45251</v>
      </c>
      <c r="AG2491" s="12">
        <v>144.10679999999999</v>
      </c>
    </row>
    <row r="2492" spans="30:33" x14ac:dyDescent="0.2">
      <c r="AD2492" s="13">
        <v>45252</v>
      </c>
      <c r="AE2492" s="12">
        <v>26.248000000000001</v>
      </c>
      <c r="AF2492" s="13">
        <v>45252</v>
      </c>
      <c r="AG2492" s="12">
        <v>144.6841</v>
      </c>
    </row>
    <row r="2493" spans="30:33" x14ac:dyDescent="0.2">
      <c r="AD2493" s="13">
        <v>45254</v>
      </c>
      <c r="AE2493" s="12">
        <v>26.1538</v>
      </c>
      <c r="AF2493" s="13">
        <v>45254</v>
      </c>
      <c r="AG2493" s="12">
        <v>143.9419</v>
      </c>
    </row>
    <row r="2494" spans="30:33" x14ac:dyDescent="0.2">
      <c r="AD2494" s="13">
        <v>45257</v>
      </c>
      <c r="AE2494" s="12">
        <v>26.289200000000001</v>
      </c>
      <c r="AF2494" s="13">
        <v>45257</v>
      </c>
      <c r="AG2494" s="12">
        <v>145.11019999999999</v>
      </c>
    </row>
    <row r="2495" spans="30:33" x14ac:dyDescent="0.2">
      <c r="AD2495" s="13">
        <v>45258</v>
      </c>
      <c r="AE2495" s="12">
        <v>26.377500000000001</v>
      </c>
      <c r="AF2495" s="13">
        <v>45258</v>
      </c>
      <c r="AG2495" s="12">
        <v>145.6875</v>
      </c>
    </row>
    <row r="2496" spans="30:33" x14ac:dyDescent="0.2">
      <c r="AD2496" s="13">
        <v>45259</v>
      </c>
      <c r="AE2496" s="12">
        <v>26.501100000000001</v>
      </c>
      <c r="AF2496" s="13">
        <v>45259</v>
      </c>
      <c r="AG2496" s="12">
        <v>146.86959999999999</v>
      </c>
    </row>
    <row r="2497" spans="30:33" x14ac:dyDescent="0.2">
      <c r="AD2497" s="13">
        <v>45260</v>
      </c>
      <c r="AE2497" s="12">
        <v>26.401</v>
      </c>
      <c r="AF2497" s="13">
        <v>45260</v>
      </c>
      <c r="AG2497" s="12">
        <v>146.09989999999999</v>
      </c>
    </row>
    <row r="2498" spans="30:33" x14ac:dyDescent="0.2">
      <c r="AD2498" s="13">
        <v>45261</v>
      </c>
      <c r="AE2498" s="12">
        <v>26.6067</v>
      </c>
      <c r="AF2498" s="13">
        <v>45261</v>
      </c>
      <c r="AG2498" s="12">
        <v>147.8519</v>
      </c>
    </row>
    <row r="2499" spans="30:33" x14ac:dyDescent="0.2">
      <c r="AD2499" s="13">
        <v>45264</v>
      </c>
      <c r="AE2499" s="12">
        <v>26.535900000000002</v>
      </c>
      <c r="AF2499" s="13">
        <v>45264</v>
      </c>
      <c r="AG2499" s="12">
        <v>147.17590000000001</v>
      </c>
    </row>
    <row r="2500" spans="30:33" x14ac:dyDescent="0.2">
      <c r="AD2500" s="13">
        <v>45265</v>
      </c>
      <c r="AE2500" s="12">
        <v>26.689299999999999</v>
      </c>
      <c r="AF2500" s="13">
        <v>45265</v>
      </c>
      <c r="AG2500" s="12">
        <v>148.3485</v>
      </c>
    </row>
    <row r="2501" spans="30:33" x14ac:dyDescent="0.2">
      <c r="AD2501" s="13">
        <v>45266</v>
      </c>
      <c r="AE2501" s="12">
        <v>26.771899999999999</v>
      </c>
      <c r="AF2501" s="13">
        <v>45266</v>
      </c>
      <c r="AG2501" s="12">
        <v>148.90039999999999</v>
      </c>
    </row>
    <row r="2502" spans="30:33" x14ac:dyDescent="0.2">
      <c r="AD2502" s="13">
        <v>45267</v>
      </c>
      <c r="AE2502" s="12">
        <v>26.754200000000001</v>
      </c>
      <c r="AF2502" s="13">
        <v>45267</v>
      </c>
      <c r="AG2502" s="12">
        <v>148.91419999999999</v>
      </c>
    </row>
    <row r="2503" spans="30:33" x14ac:dyDescent="0.2">
      <c r="AD2503" s="13">
        <v>45268</v>
      </c>
      <c r="AE2503" s="12">
        <v>26.624400000000001</v>
      </c>
      <c r="AF2503" s="13">
        <v>45268</v>
      </c>
      <c r="AG2503" s="12">
        <v>148.114</v>
      </c>
    </row>
    <row r="2504" spans="30:33" x14ac:dyDescent="0.2">
      <c r="AD2504" s="13">
        <v>45271</v>
      </c>
      <c r="AE2504" s="12">
        <v>26.624400000000001</v>
      </c>
      <c r="AF2504" s="13">
        <v>45271</v>
      </c>
      <c r="AG2504" s="12">
        <v>148.07259999999999</v>
      </c>
    </row>
    <row r="2505" spans="30:33" x14ac:dyDescent="0.2">
      <c r="AD2505" s="13">
        <v>45272</v>
      </c>
      <c r="AE2505" s="12">
        <v>26.6539</v>
      </c>
      <c r="AF2505" s="13">
        <v>45272</v>
      </c>
      <c r="AG2505" s="12">
        <v>148.91419999999999</v>
      </c>
    </row>
    <row r="2506" spans="30:33" x14ac:dyDescent="0.2">
      <c r="AD2506" s="13">
        <v>45273</v>
      </c>
      <c r="AE2506" s="12">
        <v>26.9666</v>
      </c>
      <c r="AF2506" s="13">
        <v>45273</v>
      </c>
      <c r="AG2506" s="12">
        <v>151.41130000000001</v>
      </c>
    </row>
    <row r="2507" spans="30:33" x14ac:dyDescent="0.2">
      <c r="AD2507" s="13">
        <v>45274</v>
      </c>
      <c r="AE2507" s="12">
        <v>27.1739</v>
      </c>
      <c r="AF2507" s="13">
        <v>45274</v>
      </c>
      <c r="AG2507" s="12">
        <v>153.0153</v>
      </c>
    </row>
    <row r="2508" spans="30:33" x14ac:dyDescent="0.2">
      <c r="AD2508" s="13">
        <v>45275</v>
      </c>
      <c r="AE2508" s="12">
        <v>27.161999999999999</v>
      </c>
      <c r="AF2508" s="13">
        <v>45275</v>
      </c>
      <c r="AG2508" s="12">
        <v>152.7938</v>
      </c>
    </row>
    <row r="2509" spans="30:33" x14ac:dyDescent="0.2">
      <c r="AD2509" s="13">
        <v>45278</v>
      </c>
      <c r="AE2509" s="12">
        <v>27.097000000000001</v>
      </c>
      <c r="AF2509" s="13">
        <v>45278</v>
      </c>
      <c r="AG2509" s="12">
        <v>152.15690000000001</v>
      </c>
    </row>
    <row r="2510" spans="30:33" x14ac:dyDescent="0.2">
      <c r="AD2510" s="13">
        <v>45279</v>
      </c>
      <c r="AE2510" s="12">
        <v>27.132400000000001</v>
      </c>
      <c r="AF2510" s="13">
        <v>45279</v>
      </c>
      <c r="AG2510" s="12">
        <v>152.35079999999999</v>
      </c>
    </row>
    <row r="2511" spans="30:33" x14ac:dyDescent="0.2">
      <c r="AD2511" s="13">
        <v>45280</v>
      </c>
      <c r="AE2511" s="12">
        <v>27.209299999999999</v>
      </c>
      <c r="AF2511" s="13">
        <v>45280</v>
      </c>
      <c r="AG2511" s="12">
        <v>152.75229999999999</v>
      </c>
    </row>
    <row r="2512" spans="30:33" x14ac:dyDescent="0.2">
      <c r="AD2512" s="13">
        <v>45281</v>
      </c>
      <c r="AE2512" s="12">
        <v>27.209299999999999</v>
      </c>
      <c r="AF2512" s="13">
        <v>45281</v>
      </c>
      <c r="AG2512" s="12">
        <v>152.6969</v>
      </c>
    </row>
    <row r="2513" spans="30:33" x14ac:dyDescent="0.2">
      <c r="AD2513" s="13">
        <v>45282</v>
      </c>
      <c r="AE2513" s="12">
        <v>27.185700000000001</v>
      </c>
      <c r="AF2513" s="13">
        <v>45282</v>
      </c>
      <c r="AG2513" s="12">
        <v>152.43379999999999</v>
      </c>
    </row>
    <row r="2514" spans="30:33" x14ac:dyDescent="0.2">
      <c r="AD2514" s="13">
        <v>45286</v>
      </c>
      <c r="AE2514" s="12">
        <v>27.203399999999998</v>
      </c>
      <c r="AF2514" s="13">
        <v>45286</v>
      </c>
      <c r="AG2514" s="12">
        <v>152.75229999999999</v>
      </c>
    </row>
    <row r="2515" spans="30:33" x14ac:dyDescent="0.2">
      <c r="AD2515" s="13">
        <v>45287</v>
      </c>
      <c r="AE2515" s="12">
        <v>27.363099999999999</v>
      </c>
      <c r="AF2515" s="13">
        <v>45287</v>
      </c>
      <c r="AG2515" s="12">
        <v>154.17830000000001</v>
      </c>
    </row>
    <row r="2516" spans="30:33" x14ac:dyDescent="0.2">
      <c r="AD2516" s="13">
        <v>45288</v>
      </c>
      <c r="AE2516" s="12">
        <v>27.303999999999998</v>
      </c>
      <c r="AF2516" s="13">
        <v>45288</v>
      </c>
      <c r="AG2516" s="12">
        <v>153.77680000000001</v>
      </c>
    </row>
    <row r="2517" spans="30:33" x14ac:dyDescent="0.2">
      <c r="AD2517" s="13">
        <v>45289</v>
      </c>
      <c r="AE2517" s="12">
        <v>27.256699999999999</v>
      </c>
      <c r="AF2517" s="13">
        <v>45289</v>
      </c>
      <c r="AG2517" s="12">
        <v>153.20920000000001</v>
      </c>
    </row>
    <row r="2518" spans="30:33" x14ac:dyDescent="0.2">
      <c r="AD2518" s="13">
        <v>45293</v>
      </c>
      <c r="AE2518" s="12">
        <v>27.1739</v>
      </c>
      <c r="AF2518" s="13">
        <v>45293</v>
      </c>
      <c r="AG2518" s="12">
        <v>152.17080000000001</v>
      </c>
    </row>
    <row r="2519" spans="30:33" x14ac:dyDescent="0.2">
      <c r="AD2519" s="13">
        <v>45294</v>
      </c>
      <c r="AE2519" s="12">
        <v>27.215299999999999</v>
      </c>
      <c r="AF2519" s="13">
        <v>45294</v>
      </c>
      <c r="AG2519" s="12">
        <v>151.82470000000001</v>
      </c>
    </row>
    <row r="2520" spans="30:33" x14ac:dyDescent="0.2">
      <c r="AD2520" s="13">
        <v>45295</v>
      </c>
      <c r="AE2520" s="12">
        <v>27.085100000000001</v>
      </c>
      <c r="AF2520" s="13">
        <v>45295</v>
      </c>
      <c r="AG2520" s="12">
        <v>150.98009999999999</v>
      </c>
    </row>
    <row r="2521" spans="30:33" x14ac:dyDescent="0.2">
      <c r="AD2521" s="13">
        <v>45296</v>
      </c>
      <c r="AE2521" s="12">
        <v>27.008199999999999</v>
      </c>
      <c r="AF2521" s="13">
        <v>45296</v>
      </c>
      <c r="AG2521" s="12">
        <v>150.4402</v>
      </c>
    </row>
    <row r="2522" spans="30:33" x14ac:dyDescent="0.2">
      <c r="AD2522" s="13">
        <v>45299</v>
      </c>
      <c r="AE2522" s="12">
        <v>27.085100000000001</v>
      </c>
      <c r="AF2522" s="13">
        <v>45299</v>
      </c>
      <c r="AG2522" s="12">
        <v>151.58930000000001</v>
      </c>
    </row>
    <row r="2523" spans="30:33" x14ac:dyDescent="0.2">
      <c r="AD2523" s="13">
        <v>45300</v>
      </c>
      <c r="AE2523" s="12">
        <v>27.067399999999999</v>
      </c>
      <c r="AF2523" s="13">
        <v>45300</v>
      </c>
      <c r="AG2523" s="12">
        <v>151.85239999999999</v>
      </c>
    </row>
    <row r="2524" spans="30:33" x14ac:dyDescent="0.2">
      <c r="AD2524" s="13">
        <v>45301</v>
      </c>
      <c r="AE2524" s="12">
        <v>27.0319</v>
      </c>
      <c r="AF2524" s="13">
        <v>45301</v>
      </c>
      <c r="AG2524" s="12">
        <v>151.6585</v>
      </c>
    </row>
    <row r="2525" spans="30:33" x14ac:dyDescent="0.2">
      <c r="AD2525" s="13">
        <v>45302</v>
      </c>
      <c r="AE2525" s="12">
        <v>27.144300000000001</v>
      </c>
      <c r="AF2525" s="13">
        <v>45302</v>
      </c>
      <c r="AG2525" s="12">
        <v>152.57230000000001</v>
      </c>
    </row>
    <row r="2526" spans="30:33" x14ac:dyDescent="0.2">
      <c r="AD2526" s="13">
        <v>45303</v>
      </c>
      <c r="AE2526" s="12">
        <v>27.197500000000002</v>
      </c>
      <c r="AF2526" s="13">
        <v>45303</v>
      </c>
      <c r="AG2526" s="12">
        <v>152.90459999999999</v>
      </c>
    </row>
    <row r="2527" spans="30:33" x14ac:dyDescent="0.2">
      <c r="AD2527" s="13">
        <v>45307</v>
      </c>
      <c r="AE2527" s="12">
        <v>27.020099999999999</v>
      </c>
      <c r="AF2527" s="13">
        <v>45307</v>
      </c>
      <c r="AG2527" s="12">
        <v>151.35390000000001</v>
      </c>
    </row>
    <row r="2528" spans="30:33" x14ac:dyDescent="0.2">
      <c r="AD2528" s="13">
        <v>45308</v>
      </c>
      <c r="AE2528" s="12">
        <v>26.960899999999999</v>
      </c>
      <c r="AF2528" s="13">
        <v>45308</v>
      </c>
      <c r="AG2528" s="12">
        <v>151.03550000000001</v>
      </c>
    </row>
    <row r="2529" spans="30:33" x14ac:dyDescent="0.2">
      <c r="AD2529" s="13">
        <v>45309</v>
      </c>
      <c r="AE2529" s="12">
        <v>26.901800000000001</v>
      </c>
      <c r="AF2529" s="13">
        <v>45309</v>
      </c>
      <c r="AG2529" s="12">
        <v>150.7448</v>
      </c>
    </row>
    <row r="2530" spans="30:33" x14ac:dyDescent="0.2">
      <c r="AD2530" s="13">
        <v>45310</v>
      </c>
      <c r="AE2530" s="12">
        <v>26.901800000000001</v>
      </c>
      <c r="AF2530" s="13">
        <v>45310</v>
      </c>
      <c r="AG2530" s="12">
        <v>150.89709999999999</v>
      </c>
    </row>
    <row r="2531" spans="30:33" x14ac:dyDescent="0.2">
      <c r="AD2531" s="13">
        <v>45313</v>
      </c>
      <c r="AE2531" s="12">
        <v>26.960899999999999</v>
      </c>
      <c r="AF2531" s="13">
        <v>45313</v>
      </c>
      <c r="AG2531" s="12">
        <v>151.3124</v>
      </c>
    </row>
    <row r="2532" spans="30:33" x14ac:dyDescent="0.2">
      <c r="AD2532" s="13">
        <v>45314</v>
      </c>
      <c r="AE2532" s="12">
        <v>26.913599999999999</v>
      </c>
      <c r="AF2532" s="13">
        <v>45314</v>
      </c>
      <c r="AG2532" s="12">
        <v>150.7586</v>
      </c>
    </row>
    <row r="2533" spans="30:33" x14ac:dyDescent="0.2">
      <c r="AD2533" s="13">
        <v>45315</v>
      </c>
      <c r="AE2533" s="12">
        <v>26.854399999999998</v>
      </c>
      <c r="AF2533" s="13">
        <v>45315</v>
      </c>
      <c r="AG2533" s="12">
        <v>150.46789999999999</v>
      </c>
    </row>
    <row r="2534" spans="30:33" x14ac:dyDescent="0.2">
      <c r="AD2534" s="13">
        <v>45316</v>
      </c>
      <c r="AE2534" s="12">
        <v>26.943200000000001</v>
      </c>
      <c r="AF2534" s="13">
        <v>45316</v>
      </c>
      <c r="AG2534" s="12">
        <v>151.46469999999999</v>
      </c>
    </row>
    <row r="2535" spans="30:33" x14ac:dyDescent="0.2">
      <c r="AD2535" s="13">
        <v>45317</v>
      </c>
      <c r="AE2535" s="12">
        <v>26.919499999999999</v>
      </c>
      <c r="AF2535" s="13">
        <v>45317</v>
      </c>
      <c r="AG2535" s="12">
        <v>151.03550000000001</v>
      </c>
    </row>
    <row r="2536" spans="30:33" x14ac:dyDescent="0.2">
      <c r="AD2536" s="13">
        <v>45320</v>
      </c>
      <c r="AE2536" s="12">
        <v>27.026</v>
      </c>
      <c r="AF2536" s="13">
        <v>45320</v>
      </c>
      <c r="AG2536" s="12">
        <v>151.6585</v>
      </c>
    </row>
    <row r="2537" spans="30:33" x14ac:dyDescent="0.2">
      <c r="AD2537" s="13">
        <v>45321</v>
      </c>
      <c r="AE2537" s="12">
        <v>27.055599999999998</v>
      </c>
      <c r="AF2537" s="13">
        <v>45321</v>
      </c>
      <c r="AG2537" s="12">
        <v>152.1431</v>
      </c>
    </row>
    <row r="2538" spans="30:33" x14ac:dyDescent="0.2">
      <c r="AD2538" s="13">
        <v>45322</v>
      </c>
      <c r="AE2538" s="12">
        <v>27.209299999999999</v>
      </c>
      <c r="AF2538" s="13">
        <v>45322</v>
      </c>
      <c r="AG2538" s="12">
        <v>152.5308</v>
      </c>
    </row>
    <row r="2539" spans="30:33" x14ac:dyDescent="0.2">
      <c r="AD2539" s="13">
        <v>45323</v>
      </c>
      <c r="AE2539" s="12">
        <v>27.366900000000001</v>
      </c>
      <c r="AF2539" s="13">
        <v>45323</v>
      </c>
      <c r="AG2539" s="12">
        <v>153.70570000000001</v>
      </c>
    </row>
    <row r="2540" spans="30:33" x14ac:dyDescent="0.2">
      <c r="AD2540" s="13">
        <v>45324</v>
      </c>
      <c r="AE2540" s="12">
        <v>27.106100000000001</v>
      </c>
      <c r="AF2540" s="13">
        <v>45324</v>
      </c>
      <c r="AG2540" s="12">
        <v>152.30240000000001</v>
      </c>
    </row>
    <row r="2541" spans="30:33" x14ac:dyDescent="0.2">
      <c r="AD2541" s="13">
        <v>45327</v>
      </c>
      <c r="AE2541" s="12">
        <v>26.904499999999999</v>
      </c>
      <c r="AF2541" s="13">
        <v>45327</v>
      </c>
      <c r="AG2541" s="12">
        <v>150.84360000000001</v>
      </c>
    </row>
    <row r="2542" spans="30:33" x14ac:dyDescent="0.2">
      <c r="AD2542" s="13">
        <v>45328</v>
      </c>
      <c r="AE2542" s="12">
        <v>27.017099999999999</v>
      </c>
      <c r="AF2542" s="13">
        <v>45328</v>
      </c>
      <c r="AG2542" s="12">
        <v>151.69110000000001</v>
      </c>
    </row>
    <row r="2543" spans="30:33" x14ac:dyDescent="0.2">
      <c r="AD2543" s="13">
        <v>45329</v>
      </c>
      <c r="AE2543" s="12">
        <v>26.9756</v>
      </c>
      <c r="AF2543" s="13">
        <v>45329</v>
      </c>
      <c r="AG2543" s="12">
        <v>151.2465</v>
      </c>
    </row>
    <row r="2544" spans="30:33" x14ac:dyDescent="0.2">
      <c r="AD2544" s="13">
        <v>45330</v>
      </c>
      <c r="AE2544" s="12">
        <v>26.916399999999999</v>
      </c>
      <c r="AF2544" s="13">
        <v>45330</v>
      </c>
      <c r="AG2544" s="12">
        <v>150.4684</v>
      </c>
    </row>
    <row r="2545" spans="30:33" x14ac:dyDescent="0.2">
      <c r="AD2545" s="13">
        <v>45331</v>
      </c>
      <c r="AE2545" s="12">
        <v>26.886700000000001</v>
      </c>
      <c r="AF2545" s="13">
        <v>45331</v>
      </c>
      <c r="AG2545" s="12">
        <v>150.2739</v>
      </c>
    </row>
    <row r="2546" spans="30:33" x14ac:dyDescent="0.2">
      <c r="AD2546" s="13">
        <v>45334</v>
      </c>
      <c r="AE2546" s="12">
        <v>26.910399999999999</v>
      </c>
      <c r="AF2546" s="13">
        <v>45334</v>
      </c>
      <c r="AG2546" s="12">
        <v>150.2878</v>
      </c>
    </row>
    <row r="2547" spans="30:33" x14ac:dyDescent="0.2">
      <c r="AD2547" s="13">
        <v>45335</v>
      </c>
      <c r="AE2547" s="12">
        <v>26.685099999999998</v>
      </c>
      <c r="AF2547" s="13">
        <v>45335</v>
      </c>
      <c r="AG2547" s="12">
        <v>148.6345</v>
      </c>
    </row>
    <row r="2548" spans="30:33" x14ac:dyDescent="0.2">
      <c r="AD2548" s="13">
        <v>45336</v>
      </c>
      <c r="AE2548" s="12">
        <v>26.7563</v>
      </c>
      <c r="AF2548" s="13">
        <v>45336</v>
      </c>
      <c r="AG2548" s="12">
        <v>149.32910000000001</v>
      </c>
    </row>
    <row r="2549" spans="30:33" x14ac:dyDescent="0.2">
      <c r="AD2549" s="13">
        <v>45337</v>
      </c>
      <c r="AE2549" s="12">
        <v>26.8156</v>
      </c>
      <c r="AF2549" s="13">
        <v>45337</v>
      </c>
      <c r="AG2549" s="12">
        <v>149.87100000000001</v>
      </c>
    </row>
    <row r="2550" spans="30:33" x14ac:dyDescent="0.2">
      <c r="AD2550" s="13">
        <v>45338</v>
      </c>
      <c r="AE2550" s="12">
        <v>26.732600000000001</v>
      </c>
      <c r="AF2550" s="13">
        <v>45338</v>
      </c>
      <c r="AG2550" s="12">
        <v>149.32910000000001</v>
      </c>
    </row>
    <row r="2551" spans="30:33" x14ac:dyDescent="0.2">
      <c r="AD2551" s="13">
        <v>45342</v>
      </c>
      <c r="AE2551" s="12">
        <v>26.774100000000001</v>
      </c>
      <c r="AF2551" s="13">
        <v>45342</v>
      </c>
      <c r="AG2551" s="12">
        <v>149.82929999999999</v>
      </c>
    </row>
    <row r="2552" spans="30:33" x14ac:dyDescent="0.2">
      <c r="AD2552" s="13">
        <v>45343</v>
      </c>
      <c r="AE2552" s="12">
        <v>26.7089</v>
      </c>
      <c r="AF2552" s="13">
        <v>45343</v>
      </c>
      <c r="AG2552" s="12">
        <v>149.45419999999999</v>
      </c>
    </row>
    <row r="2553" spans="30:33" x14ac:dyDescent="0.2">
      <c r="AD2553" s="13">
        <v>45344</v>
      </c>
      <c r="AE2553" s="12">
        <v>26.7089</v>
      </c>
      <c r="AF2553" s="13">
        <v>45344</v>
      </c>
      <c r="AG2553" s="12">
        <v>149.69040000000001</v>
      </c>
    </row>
    <row r="2554" spans="30:33" x14ac:dyDescent="0.2">
      <c r="AD2554" s="13">
        <v>45345</v>
      </c>
      <c r="AE2554" s="12">
        <v>26.8096</v>
      </c>
      <c r="AF2554" s="13">
        <v>45345</v>
      </c>
      <c r="AG2554" s="12">
        <v>150.13499999999999</v>
      </c>
    </row>
    <row r="2555" spans="30:33" x14ac:dyDescent="0.2">
      <c r="AD2555" s="13">
        <v>45348</v>
      </c>
      <c r="AE2555" s="12">
        <v>26.774100000000001</v>
      </c>
      <c r="AF2555" s="13">
        <v>45348</v>
      </c>
      <c r="AG2555" s="12">
        <v>149.6626</v>
      </c>
    </row>
    <row r="2556" spans="30:33" x14ac:dyDescent="0.2">
      <c r="AD2556" s="13">
        <v>45349</v>
      </c>
      <c r="AE2556" s="12">
        <v>26.726600000000001</v>
      </c>
      <c r="AF2556" s="13">
        <v>45349</v>
      </c>
      <c r="AG2556" s="12">
        <v>149.45419999999999</v>
      </c>
    </row>
    <row r="2557" spans="30:33" x14ac:dyDescent="0.2">
      <c r="AD2557" s="13">
        <v>45350</v>
      </c>
      <c r="AE2557" s="12">
        <v>26.797799999999999</v>
      </c>
      <c r="AF2557" s="13">
        <v>45350</v>
      </c>
      <c r="AG2557" s="12">
        <v>149.44030000000001</v>
      </c>
    </row>
    <row r="2558" spans="30:33" x14ac:dyDescent="0.2">
      <c r="AD2558" s="13">
        <v>45351</v>
      </c>
      <c r="AE2558" s="12">
        <v>26.857099999999999</v>
      </c>
      <c r="AF2558" s="13">
        <v>45351</v>
      </c>
      <c r="AG2558" s="12">
        <v>149.57919999999999</v>
      </c>
    </row>
    <row r="2559" spans="30:33" x14ac:dyDescent="0.2">
      <c r="AD2559" s="13">
        <v>45352</v>
      </c>
      <c r="AE2559" s="12">
        <v>26.956</v>
      </c>
      <c r="AF2559" s="13">
        <v>45352</v>
      </c>
      <c r="AG2559" s="12">
        <v>150.48679999999999</v>
      </c>
    </row>
    <row r="2560" spans="30:33" x14ac:dyDescent="0.2">
      <c r="AD2560" s="13">
        <v>45355</v>
      </c>
      <c r="AE2560" s="12">
        <v>26.9025</v>
      </c>
      <c r="AF2560" s="13">
        <v>45355</v>
      </c>
      <c r="AG2560" s="12">
        <v>150.2079</v>
      </c>
    </row>
    <row r="2561" spans="30:33" x14ac:dyDescent="0.2">
      <c r="AD2561" s="13">
        <v>45356</v>
      </c>
      <c r="AE2561" s="12">
        <v>27.033200000000001</v>
      </c>
      <c r="AF2561" s="13">
        <v>45356</v>
      </c>
      <c r="AG2561" s="12">
        <v>151.03059999999999</v>
      </c>
    </row>
    <row r="2562" spans="30:33" x14ac:dyDescent="0.2">
      <c r="AD2562" s="13">
        <v>45357</v>
      </c>
      <c r="AE2562" s="12">
        <v>27.0808</v>
      </c>
      <c r="AF2562" s="13">
        <v>45357</v>
      </c>
      <c r="AG2562" s="12">
        <v>151.435</v>
      </c>
    </row>
    <row r="2563" spans="30:33" x14ac:dyDescent="0.2">
      <c r="AD2563" s="13">
        <v>45358</v>
      </c>
      <c r="AE2563" s="12">
        <v>27.122399999999999</v>
      </c>
      <c r="AF2563" s="13">
        <v>45358</v>
      </c>
      <c r="AG2563" s="12">
        <v>151.8115</v>
      </c>
    </row>
    <row r="2564" spans="30:33" x14ac:dyDescent="0.2">
      <c r="AD2564" s="13">
        <v>45359</v>
      </c>
      <c r="AE2564" s="12">
        <v>27.122399999999999</v>
      </c>
      <c r="AF2564" s="13">
        <v>45359</v>
      </c>
      <c r="AG2564" s="12">
        <v>152.02070000000001</v>
      </c>
    </row>
    <row r="2565" spans="30:33" x14ac:dyDescent="0.2">
      <c r="AD2565" s="13">
        <v>45362</v>
      </c>
      <c r="AE2565" s="12">
        <v>27.098600000000001</v>
      </c>
      <c r="AF2565" s="13">
        <v>45362</v>
      </c>
      <c r="AG2565" s="12">
        <v>152.04859999999999</v>
      </c>
    </row>
    <row r="2566" spans="30:33" x14ac:dyDescent="0.2">
      <c r="AD2566" s="13">
        <v>45363</v>
      </c>
      <c r="AE2566" s="12">
        <v>27.003499999999999</v>
      </c>
      <c r="AF2566" s="13">
        <v>45363</v>
      </c>
      <c r="AG2566" s="12">
        <v>151.56049999999999</v>
      </c>
    </row>
    <row r="2567" spans="30:33" x14ac:dyDescent="0.2">
      <c r="AD2567" s="13">
        <v>45364</v>
      </c>
      <c r="AE2567" s="12">
        <v>26.9679</v>
      </c>
      <c r="AF2567" s="13">
        <v>45364</v>
      </c>
      <c r="AG2567" s="12">
        <v>151.40710000000001</v>
      </c>
    </row>
    <row r="2568" spans="30:33" x14ac:dyDescent="0.2">
      <c r="AD2568" s="13">
        <v>45365</v>
      </c>
      <c r="AE2568" s="12">
        <v>26.825199999999999</v>
      </c>
      <c r="AF2568" s="13">
        <v>45365</v>
      </c>
      <c r="AG2568" s="12">
        <v>150.29159999999999</v>
      </c>
    </row>
    <row r="2569" spans="30:33" x14ac:dyDescent="0.2">
      <c r="AD2569" s="13">
        <v>45366</v>
      </c>
      <c r="AE2569" s="12">
        <v>26.7896</v>
      </c>
      <c r="AF2569" s="13">
        <v>45366</v>
      </c>
      <c r="AG2569" s="12">
        <v>150.33340000000001</v>
      </c>
    </row>
    <row r="2570" spans="30:33" x14ac:dyDescent="0.2">
      <c r="AD2570" s="13">
        <v>45369</v>
      </c>
      <c r="AE2570" s="12">
        <v>26.765799999999999</v>
      </c>
      <c r="AF2570" s="13">
        <v>45369</v>
      </c>
      <c r="AG2570" s="12">
        <v>150.08240000000001</v>
      </c>
    </row>
    <row r="2571" spans="30:33" x14ac:dyDescent="0.2">
      <c r="AD2571" s="13">
        <v>45370</v>
      </c>
      <c r="AE2571" s="12">
        <v>26.813400000000001</v>
      </c>
      <c r="AF2571" s="13">
        <v>45370</v>
      </c>
      <c r="AG2571" s="12">
        <v>150.5147</v>
      </c>
    </row>
    <row r="2572" spans="30:33" x14ac:dyDescent="0.2">
      <c r="AD2572" s="13">
        <v>45371</v>
      </c>
      <c r="AE2572" s="12">
        <v>26.866800000000001</v>
      </c>
      <c r="AF2572" s="13">
        <v>45371</v>
      </c>
      <c r="AG2572" s="12">
        <v>150.7936</v>
      </c>
    </row>
    <row r="2573" spans="30:33" x14ac:dyDescent="0.2">
      <c r="AD2573" s="13">
        <v>45372</v>
      </c>
      <c r="AE2573" s="12">
        <v>26.872800000000002</v>
      </c>
      <c r="AF2573" s="13">
        <v>45372</v>
      </c>
      <c r="AG2573" s="12">
        <v>151.01669999999999</v>
      </c>
    </row>
    <row r="2574" spans="30:33" x14ac:dyDescent="0.2">
      <c r="AD2574" s="13">
        <v>45373</v>
      </c>
      <c r="AE2574" s="12">
        <v>26.979800000000001</v>
      </c>
      <c r="AF2574" s="13">
        <v>45373</v>
      </c>
      <c r="AG2574" s="12">
        <v>151.5326</v>
      </c>
    </row>
    <row r="2575" spans="30:33" x14ac:dyDescent="0.2">
      <c r="AD2575" s="13">
        <v>45376</v>
      </c>
      <c r="AE2575" s="12">
        <v>26.920300000000001</v>
      </c>
      <c r="AF2575" s="13">
        <v>45376</v>
      </c>
      <c r="AG2575" s="12">
        <v>151.01669999999999</v>
      </c>
    </row>
    <row r="2576" spans="30:33" x14ac:dyDescent="0.2">
      <c r="AD2576" s="13">
        <v>45377</v>
      </c>
      <c r="AE2576" s="12">
        <v>26.95</v>
      </c>
      <c r="AF2576" s="13">
        <v>45377</v>
      </c>
      <c r="AG2576" s="12">
        <v>150.97479999999999</v>
      </c>
    </row>
    <row r="2577" spans="30:33" x14ac:dyDescent="0.2">
      <c r="AD2577" s="13">
        <v>45378</v>
      </c>
      <c r="AE2577" s="12">
        <v>27.0273</v>
      </c>
      <c r="AF2577" s="13">
        <v>45378</v>
      </c>
      <c r="AG2577" s="12">
        <v>152.02070000000001</v>
      </c>
    </row>
    <row r="2578" spans="30:33" x14ac:dyDescent="0.2">
      <c r="AD2578" s="13">
        <v>45379</v>
      </c>
      <c r="AE2578" s="12">
        <v>27.062999999999999</v>
      </c>
      <c r="AF2578" s="13">
        <v>45379</v>
      </c>
      <c r="AG2578" s="12">
        <v>151.88120000000001</v>
      </c>
    </row>
    <row r="2579" spans="30:33" x14ac:dyDescent="0.2">
      <c r="AD2579" s="13">
        <v>45383</v>
      </c>
      <c r="AE2579" s="12">
        <v>26.8232</v>
      </c>
      <c r="AF2579" s="13">
        <v>45383</v>
      </c>
      <c r="AG2579" s="12">
        <v>150.43199999999999</v>
      </c>
    </row>
    <row r="2580" spans="30:33" x14ac:dyDescent="0.2">
      <c r="AD2580" s="13">
        <v>45384</v>
      </c>
      <c r="AE2580" s="12">
        <v>26.787400000000002</v>
      </c>
      <c r="AF2580" s="13">
        <v>45384</v>
      </c>
      <c r="AG2580" s="12">
        <v>150.2081</v>
      </c>
    </row>
    <row r="2581" spans="30:33" x14ac:dyDescent="0.2">
      <c r="AD2581" s="13">
        <v>45385</v>
      </c>
      <c r="AE2581" s="12">
        <v>26.799299999999999</v>
      </c>
      <c r="AF2581" s="13">
        <v>45385</v>
      </c>
      <c r="AG2581" s="12">
        <v>150.30600000000001</v>
      </c>
    </row>
    <row r="2582" spans="30:33" x14ac:dyDescent="0.2">
      <c r="AD2582" s="13">
        <v>45386</v>
      </c>
      <c r="AE2582" s="12">
        <v>26.8828</v>
      </c>
      <c r="AF2582" s="13">
        <v>45386</v>
      </c>
      <c r="AG2582" s="12">
        <v>150.47399999999999</v>
      </c>
    </row>
    <row r="2583" spans="30:33" x14ac:dyDescent="0.2">
      <c r="AD2583" s="13">
        <v>45387</v>
      </c>
      <c r="AE2583" s="12">
        <v>26.745699999999999</v>
      </c>
      <c r="AF2583" s="13">
        <v>45387</v>
      </c>
      <c r="AG2583" s="12">
        <v>149.81610000000001</v>
      </c>
    </row>
    <row r="2584" spans="30:33" x14ac:dyDescent="0.2">
      <c r="AD2584" s="13">
        <v>45390</v>
      </c>
      <c r="AE2584" s="12">
        <v>26.71</v>
      </c>
      <c r="AF2584" s="13">
        <v>45390</v>
      </c>
      <c r="AG2584" s="12">
        <v>149.8021</v>
      </c>
    </row>
    <row r="2585" spans="30:33" x14ac:dyDescent="0.2">
      <c r="AD2585" s="13">
        <v>45391</v>
      </c>
      <c r="AE2585" s="12">
        <v>26.799299999999999</v>
      </c>
      <c r="AF2585" s="13">
        <v>45391</v>
      </c>
      <c r="AG2585" s="12">
        <v>150.572</v>
      </c>
    </row>
    <row r="2586" spans="30:33" x14ac:dyDescent="0.2">
      <c r="AD2586" s="13">
        <v>45392</v>
      </c>
      <c r="AE2586" s="12">
        <v>26.513400000000001</v>
      </c>
      <c r="AF2586" s="13">
        <v>45392</v>
      </c>
      <c r="AG2586" s="12">
        <v>148.43039999999999</v>
      </c>
    </row>
    <row r="2587" spans="30:33" x14ac:dyDescent="0.2">
      <c r="AD2587" s="13">
        <v>45393</v>
      </c>
      <c r="AE2587" s="12">
        <v>26.5014</v>
      </c>
      <c r="AF2587" s="13">
        <v>45393</v>
      </c>
      <c r="AG2587" s="12">
        <v>148.1224</v>
      </c>
    </row>
    <row r="2588" spans="30:33" x14ac:dyDescent="0.2">
      <c r="AD2588" s="13">
        <v>45394</v>
      </c>
      <c r="AE2588" s="12">
        <v>26.572900000000001</v>
      </c>
      <c r="AF2588" s="13">
        <v>45394</v>
      </c>
      <c r="AG2588" s="12">
        <v>148.45840000000001</v>
      </c>
    </row>
    <row r="2589" spans="30:33" x14ac:dyDescent="0.2">
      <c r="AD2589" s="13">
        <v>45397</v>
      </c>
      <c r="AE2589" s="12">
        <v>26.4419</v>
      </c>
      <c r="AF2589" s="13">
        <v>45397</v>
      </c>
      <c r="AG2589" s="12">
        <v>146.82060000000001</v>
      </c>
    </row>
    <row r="2590" spans="30:33" x14ac:dyDescent="0.2">
      <c r="AD2590" s="13">
        <v>45398</v>
      </c>
      <c r="AE2590" s="12">
        <v>26.3704</v>
      </c>
      <c r="AF2590" s="13">
        <v>45398</v>
      </c>
      <c r="AG2590" s="12">
        <v>146.33070000000001</v>
      </c>
    </row>
    <row r="2591" spans="30:33" x14ac:dyDescent="0.2">
      <c r="AD2591" s="13">
        <v>45399</v>
      </c>
      <c r="AE2591" s="12">
        <v>26.483599999999999</v>
      </c>
      <c r="AF2591" s="13">
        <v>45399</v>
      </c>
      <c r="AG2591" s="12">
        <v>147.12860000000001</v>
      </c>
    </row>
    <row r="2592" spans="30:33" x14ac:dyDescent="0.2">
      <c r="AD2592" s="13">
        <v>45400</v>
      </c>
      <c r="AE2592" s="12">
        <v>26.423999999999999</v>
      </c>
      <c r="AF2592" s="13">
        <v>45400</v>
      </c>
      <c r="AG2592" s="12">
        <v>146.83459999999999</v>
      </c>
    </row>
    <row r="2593" spans="30:33" x14ac:dyDescent="0.2">
      <c r="AD2593" s="13">
        <v>45401</v>
      </c>
      <c r="AE2593" s="12">
        <v>26.465699999999998</v>
      </c>
      <c r="AF2593" s="13">
        <v>45401</v>
      </c>
      <c r="AG2593" s="12">
        <v>146.98859999999999</v>
      </c>
    </row>
    <row r="2594" spans="30:33" x14ac:dyDescent="0.2">
      <c r="AD2594" s="13">
        <v>45404</v>
      </c>
      <c r="AE2594" s="12">
        <v>26.465699999999998</v>
      </c>
      <c r="AF2594" s="13">
        <v>45404</v>
      </c>
      <c r="AG2594" s="12">
        <v>147.3526</v>
      </c>
    </row>
    <row r="2595" spans="30:33" x14ac:dyDescent="0.2">
      <c r="AD2595" s="13">
        <v>45405</v>
      </c>
      <c r="AE2595" s="12">
        <v>26.4895</v>
      </c>
      <c r="AF2595" s="13">
        <v>45405</v>
      </c>
      <c r="AG2595" s="12">
        <v>147.6045</v>
      </c>
    </row>
    <row r="2596" spans="30:33" x14ac:dyDescent="0.2">
      <c r="AD2596" s="13">
        <v>45406</v>
      </c>
      <c r="AE2596" s="12">
        <v>26.417999999999999</v>
      </c>
      <c r="AF2596" s="13">
        <v>45406</v>
      </c>
      <c r="AG2596" s="12">
        <v>147.03059999999999</v>
      </c>
    </row>
    <row r="2597" spans="30:33" x14ac:dyDescent="0.2">
      <c r="AD2597" s="13">
        <v>45407</v>
      </c>
      <c r="AE2597" s="12">
        <v>26.3584</v>
      </c>
      <c r="AF2597" s="13">
        <v>45407</v>
      </c>
      <c r="AG2597" s="12">
        <v>146.5967</v>
      </c>
    </row>
    <row r="2598" spans="30:33" x14ac:dyDescent="0.2">
      <c r="AD2598" s="13">
        <v>45408</v>
      </c>
      <c r="AE2598" s="12">
        <v>26.400200000000002</v>
      </c>
      <c r="AF2598" s="13">
        <v>45408</v>
      </c>
      <c r="AG2598" s="12">
        <v>147.1566</v>
      </c>
    </row>
    <row r="2599" spans="30:33" x14ac:dyDescent="0.2">
      <c r="AD2599" s="13">
        <v>45411</v>
      </c>
      <c r="AE2599" s="12">
        <v>26.471699999999998</v>
      </c>
      <c r="AF2599" s="13">
        <v>45411</v>
      </c>
      <c r="AG2599" s="12">
        <v>147.77250000000001</v>
      </c>
    </row>
    <row r="2600" spans="30:33" x14ac:dyDescent="0.2">
      <c r="AD2600" s="13">
        <v>45412</v>
      </c>
      <c r="AE2600" s="12">
        <v>26.400200000000002</v>
      </c>
      <c r="AF2600" s="13">
        <v>45412</v>
      </c>
      <c r="AG2600" s="12">
        <v>146.9606</v>
      </c>
    </row>
    <row r="2601" spans="30:33" x14ac:dyDescent="0.2">
      <c r="AD2601" s="13">
        <v>45413</v>
      </c>
      <c r="AE2601" s="12">
        <v>26.4712</v>
      </c>
      <c r="AF2601" s="13">
        <v>45413</v>
      </c>
      <c r="AG2601" s="12">
        <v>147.56950000000001</v>
      </c>
    </row>
    <row r="2602" spans="30:33" x14ac:dyDescent="0.2">
      <c r="AD2602" s="13">
        <v>45414</v>
      </c>
      <c r="AE2602" s="12">
        <v>26.5608</v>
      </c>
      <c r="AF2602" s="13">
        <v>45414</v>
      </c>
      <c r="AG2602" s="12">
        <v>148.4829</v>
      </c>
    </row>
    <row r="2603" spans="30:33" x14ac:dyDescent="0.2">
      <c r="AD2603" s="13">
        <v>45415</v>
      </c>
      <c r="AE2603" s="12">
        <v>26.680299999999999</v>
      </c>
      <c r="AF2603" s="13">
        <v>45415</v>
      </c>
      <c r="AG2603" s="12">
        <v>149.52289999999999</v>
      </c>
    </row>
    <row r="2604" spans="30:33" x14ac:dyDescent="0.2">
      <c r="AD2604" s="13">
        <v>45418</v>
      </c>
      <c r="AE2604" s="12">
        <v>26.692299999999999</v>
      </c>
      <c r="AF2604" s="13">
        <v>45418</v>
      </c>
      <c r="AG2604" s="12">
        <v>149.9444</v>
      </c>
    </row>
    <row r="2605" spans="30:33" x14ac:dyDescent="0.2">
      <c r="AD2605" s="13">
        <v>45419</v>
      </c>
      <c r="AE2605" s="12">
        <v>26.745999999999999</v>
      </c>
      <c r="AF2605" s="13">
        <v>45419</v>
      </c>
      <c r="AG2605" s="12">
        <v>150.0147</v>
      </c>
    </row>
    <row r="2606" spans="30:33" x14ac:dyDescent="0.2">
      <c r="AD2606" s="13">
        <v>45420</v>
      </c>
      <c r="AE2606" s="12">
        <v>26.7042</v>
      </c>
      <c r="AF2606" s="13">
        <v>45420</v>
      </c>
      <c r="AG2606" s="12">
        <v>149.6353</v>
      </c>
    </row>
    <row r="2607" spans="30:33" x14ac:dyDescent="0.2">
      <c r="AD2607" s="13">
        <v>45421</v>
      </c>
      <c r="AE2607" s="12">
        <v>26.751999999999999</v>
      </c>
      <c r="AF2607" s="13">
        <v>45421</v>
      </c>
      <c r="AG2607" s="12">
        <v>149.8742</v>
      </c>
    </row>
    <row r="2608" spans="30:33" x14ac:dyDescent="0.2">
      <c r="AD2608" s="13">
        <v>45422</v>
      </c>
      <c r="AE2608" s="12">
        <v>26.692299999999999</v>
      </c>
      <c r="AF2608" s="13">
        <v>45422</v>
      </c>
      <c r="AG2608" s="12">
        <v>149.3964</v>
      </c>
    </row>
    <row r="2609" spans="30:33" x14ac:dyDescent="0.2">
      <c r="AD2609" s="13">
        <v>45425</v>
      </c>
      <c r="AE2609" s="12">
        <v>26.722100000000001</v>
      </c>
      <c r="AF2609" s="13">
        <v>45425</v>
      </c>
      <c r="AG2609" s="12">
        <v>149.45259999999999</v>
      </c>
    </row>
    <row r="2610" spans="30:33" x14ac:dyDescent="0.2">
      <c r="AD2610" s="13">
        <v>45426</v>
      </c>
      <c r="AE2610" s="12">
        <v>26.7819</v>
      </c>
      <c r="AF2610" s="13">
        <v>45426</v>
      </c>
      <c r="AG2610" s="12">
        <v>149.88820000000001</v>
      </c>
    </row>
    <row r="2611" spans="30:33" x14ac:dyDescent="0.2">
      <c r="AD2611" s="13">
        <v>45427</v>
      </c>
      <c r="AE2611" s="12">
        <v>26.9253</v>
      </c>
      <c r="AF2611" s="13">
        <v>45427</v>
      </c>
      <c r="AG2611" s="12">
        <v>151.22329999999999</v>
      </c>
    </row>
    <row r="2612" spans="30:33" x14ac:dyDescent="0.2">
      <c r="AD2612" s="13">
        <v>45428</v>
      </c>
      <c r="AE2612" s="12">
        <v>26.895399999999999</v>
      </c>
      <c r="AF2612" s="13">
        <v>45428</v>
      </c>
      <c r="AG2612" s="12">
        <v>150.98439999999999</v>
      </c>
    </row>
    <row r="2613" spans="30:33" x14ac:dyDescent="0.2">
      <c r="AD2613" s="13">
        <v>45429</v>
      </c>
      <c r="AE2613" s="12">
        <v>26.8416</v>
      </c>
      <c r="AF2613" s="13">
        <v>45429</v>
      </c>
      <c r="AG2613" s="12">
        <v>150.63300000000001</v>
      </c>
    </row>
    <row r="2614" spans="30:33" x14ac:dyDescent="0.2">
      <c r="AD2614" s="13">
        <v>45432</v>
      </c>
      <c r="AE2614" s="12">
        <v>26.811699999999998</v>
      </c>
      <c r="AF2614" s="13">
        <v>45432</v>
      </c>
      <c r="AG2614" s="12">
        <v>150.56280000000001</v>
      </c>
    </row>
    <row r="2615" spans="30:33" x14ac:dyDescent="0.2">
      <c r="AD2615" s="13">
        <v>45433</v>
      </c>
      <c r="AE2615" s="12">
        <v>26.8536</v>
      </c>
      <c r="AF2615" s="13">
        <v>45433</v>
      </c>
      <c r="AG2615" s="12">
        <v>150.81569999999999</v>
      </c>
    </row>
    <row r="2616" spans="30:33" x14ac:dyDescent="0.2">
      <c r="AD2616" s="13">
        <v>45434</v>
      </c>
      <c r="AE2616" s="12">
        <v>26.8416</v>
      </c>
      <c r="AF2616" s="13">
        <v>45434</v>
      </c>
      <c r="AG2616" s="12">
        <v>150.5909</v>
      </c>
    </row>
    <row r="2617" spans="30:33" x14ac:dyDescent="0.2">
      <c r="AD2617" s="13">
        <v>45435</v>
      </c>
      <c r="AE2617" s="12">
        <v>26.7759</v>
      </c>
      <c r="AF2617" s="13">
        <v>45435</v>
      </c>
      <c r="AG2617" s="12">
        <v>149.93039999999999</v>
      </c>
    </row>
    <row r="2618" spans="30:33" x14ac:dyDescent="0.2">
      <c r="AD2618" s="13">
        <v>45436</v>
      </c>
      <c r="AE2618" s="12">
        <v>26.799800000000001</v>
      </c>
      <c r="AF2618" s="13">
        <v>45436</v>
      </c>
      <c r="AG2618" s="12">
        <v>150.33789999999999</v>
      </c>
    </row>
    <row r="2619" spans="30:33" x14ac:dyDescent="0.2">
      <c r="AD2619" s="13">
        <v>45440</v>
      </c>
      <c r="AE2619" s="12">
        <v>26.680299999999999</v>
      </c>
      <c r="AF2619" s="13">
        <v>45440</v>
      </c>
      <c r="AG2619" s="12">
        <v>149.4385</v>
      </c>
    </row>
    <row r="2620" spans="30:33" x14ac:dyDescent="0.2">
      <c r="AD2620" s="13">
        <v>45441</v>
      </c>
      <c r="AE2620" s="12">
        <v>26.578800000000001</v>
      </c>
      <c r="AF2620" s="13">
        <v>45441</v>
      </c>
      <c r="AG2620" s="12">
        <v>148.63749999999999</v>
      </c>
    </row>
    <row r="2621" spans="30:33" x14ac:dyDescent="0.2">
      <c r="AD2621" s="13">
        <v>45442</v>
      </c>
      <c r="AE2621" s="12">
        <v>26.674299999999999</v>
      </c>
      <c r="AF2621" s="13">
        <v>45442</v>
      </c>
      <c r="AG2621" s="12">
        <v>149.55099999999999</v>
      </c>
    </row>
    <row r="2622" spans="30:33" x14ac:dyDescent="0.2">
      <c r="AD2622" s="13">
        <v>45443</v>
      </c>
      <c r="AE2622" s="12">
        <v>26.7759</v>
      </c>
      <c r="AF2622" s="13">
        <v>45443</v>
      </c>
      <c r="AG2622" s="12">
        <v>150.2115</v>
      </c>
    </row>
    <row r="2623" spans="30:33" x14ac:dyDescent="0.2">
      <c r="AD2623" s="13">
        <v>45446</v>
      </c>
      <c r="AE2623" s="12">
        <v>26.912600000000001</v>
      </c>
      <c r="AF2623" s="13">
        <v>45446</v>
      </c>
      <c r="AG2623" s="12">
        <v>151.24359999999999</v>
      </c>
    </row>
    <row r="2624" spans="30:33" x14ac:dyDescent="0.2">
      <c r="AD2624" s="13">
        <v>45447</v>
      </c>
      <c r="AE2624" s="12">
        <v>27.020399999999999</v>
      </c>
      <c r="AF2624" s="13">
        <v>45447</v>
      </c>
      <c r="AG2624" s="12">
        <v>151.83609999999999</v>
      </c>
    </row>
    <row r="2625" spans="30:33" x14ac:dyDescent="0.2">
      <c r="AD2625" s="13">
        <v>45448</v>
      </c>
      <c r="AE2625" s="12">
        <v>27.104299999999999</v>
      </c>
      <c r="AF2625" s="13">
        <v>45448</v>
      </c>
      <c r="AG2625" s="12">
        <v>152.34389999999999</v>
      </c>
    </row>
    <row r="2626" spans="30:33" x14ac:dyDescent="0.2">
      <c r="AD2626" s="13">
        <v>45449</v>
      </c>
      <c r="AE2626" s="12">
        <v>27.104299999999999</v>
      </c>
      <c r="AF2626" s="13">
        <v>45449</v>
      </c>
      <c r="AG2626" s="12">
        <v>152.24520000000001</v>
      </c>
    </row>
    <row r="2627" spans="30:33" x14ac:dyDescent="0.2">
      <c r="AD2627" s="13">
        <v>45450</v>
      </c>
      <c r="AE2627" s="12">
        <v>26.8827</v>
      </c>
      <c r="AF2627" s="13">
        <v>45450</v>
      </c>
      <c r="AG2627" s="12">
        <v>150.87690000000001</v>
      </c>
    </row>
    <row r="2628" spans="30:33" x14ac:dyDescent="0.2">
      <c r="AD2628" s="13">
        <v>45453</v>
      </c>
      <c r="AE2628" s="12">
        <v>26.846699999999998</v>
      </c>
      <c r="AF2628" s="13">
        <v>45453</v>
      </c>
      <c r="AG2628" s="12">
        <v>150.56659999999999</v>
      </c>
    </row>
    <row r="2629" spans="30:33" x14ac:dyDescent="0.2">
      <c r="AD2629" s="13">
        <v>45454</v>
      </c>
      <c r="AE2629" s="12">
        <v>26.942599999999999</v>
      </c>
      <c r="AF2629" s="13">
        <v>45454</v>
      </c>
      <c r="AG2629" s="12">
        <v>151.21539999999999</v>
      </c>
    </row>
    <row r="2630" spans="30:33" x14ac:dyDescent="0.2">
      <c r="AD2630" s="13">
        <v>45455</v>
      </c>
      <c r="AE2630" s="12">
        <v>27.0504</v>
      </c>
      <c r="AF2630" s="13">
        <v>45455</v>
      </c>
      <c r="AG2630" s="12">
        <v>152.1464</v>
      </c>
    </row>
    <row r="2631" spans="30:33" x14ac:dyDescent="0.2">
      <c r="AD2631" s="13">
        <v>45456</v>
      </c>
      <c r="AE2631" s="12">
        <v>27.182099999999998</v>
      </c>
      <c r="AF2631" s="13">
        <v>45456</v>
      </c>
      <c r="AG2631" s="12">
        <v>152.86580000000001</v>
      </c>
    </row>
    <row r="2632" spans="30:33" x14ac:dyDescent="0.2">
      <c r="AD2632" s="13">
        <v>45457</v>
      </c>
      <c r="AE2632" s="12">
        <v>27.248000000000001</v>
      </c>
      <c r="AF2632" s="13">
        <v>45457</v>
      </c>
      <c r="AG2632" s="12">
        <v>152.99279999999999</v>
      </c>
    </row>
    <row r="2633" spans="30:33" x14ac:dyDescent="0.2">
      <c r="AD2633" s="13">
        <v>45460</v>
      </c>
      <c r="AE2633" s="12">
        <v>27.1462</v>
      </c>
      <c r="AF2633" s="13">
        <v>45460</v>
      </c>
      <c r="AG2633" s="12">
        <v>152.27340000000001</v>
      </c>
    </row>
    <row r="2634" spans="30:33" x14ac:dyDescent="0.2">
      <c r="AD2634" s="13">
        <v>45461</v>
      </c>
      <c r="AE2634" s="12">
        <v>27.254000000000001</v>
      </c>
      <c r="AF2634" s="13">
        <v>45461</v>
      </c>
      <c r="AG2634" s="12">
        <v>152.9787</v>
      </c>
    </row>
    <row r="2635" spans="30:33" x14ac:dyDescent="0.2">
      <c r="AD2635" s="13">
        <v>45463</v>
      </c>
      <c r="AE2635" s="12">
        <v>27.194099999999999</v>
      </c>
      <c r="AF2635" s="13">
        <v>45463</v>
      </c>
      <c r="AG2635" s="12">
        <v>152.4709</v>
      </c>
    </row>
    <row r="2636" spans="30:33" x14ac:dyDescent="0.2">
      <c r="AD2636" s="13">
        <v>45464</v>
      </c>
      <c r="AE2636" s="12">
        <v>27.188099999999999</v>
      </c>
      <c r="AF2636" s="13">
        <v>45464</v>
      </c>
      <c r="AG2636" s="12">
        <v>152.51320000000001</v>
      </c>
    </row>
    <row r="2637" spans="30:33" x14ac:dyDescent="0.2">
      <c r="AD2637" s="13">
        <v>45467</v>
      </c>
      <c r="AE2637" s="12">
        <v>27.2121</v>
      </c>
      <c r="AF2637" s="13">
        <v>45467</v>
      </c>
      <c r="AG2637" s="12">
        <v>152.66829999999999</v>
      </c>
    </row>
    <row r="2638" spans="30:33" x14ac:dyDescent="0.2">
      <c r="AD2638" s="13">
        <v>45468</v>
      </c>
      <c r="AE2638" s="12">
        <v>27.2361</v>
      </c>
      <c r="AF2638" s="13">
        <v>45468</v>
      </c>
      <c r="AG2638" s="12">
        <v>152.61189999999999</v>
      </c>
    </row>
    <row r="2639" spans="30:33" x14ac:dyDescent="0.2">
      <c r="AD2639" s="13">
        <v>45469</v>
      </c>
      <c r="AE2639" s="12">
        <v>27.104299999999999</v>
      </c>
      <c r="AF2639" s="13">
        <v>45469</v>
      </c>
      <c r="AG2639" s="12">
        <v>151.77969999999999</v>
      </c>
    </row>
    <row r="2640" spans="30:33" x14ac:dyDescent="0.2">
      <c r="AD2640" s="13">
        <v>45470</v>
      </c>
      <c r="AE2640" s="12">
        <v>27.158200000000001</v>
      </c>
      <c r="AF2640" s="13">
        <v>45470</v>
      </c>
      <c r="AG2640" s="12">
        <v>152.07589999999999</v>
      </c>
    </row>
    <row r="2641" spans="30:33" x14ac:dyDescent="0.2">
      <c r="AD2641" s="13">
        <v>45471</v>
      </c>
      <c r="AE2641" s="12">
        <v>27.038399999999999</v>
      </c>
      <c r="AF2641" s="13">
        <v>45471</v>
      </c>
      <c r="AG2641" s="12">
        <v>151.1026</v>
      </c>
    </row>
    <row r="2642" spans="30:33" x14ac:dyDescent="0.2">
      <c r="AD2642" s="13">
        <v>45474</v>
      </c>
      <c r="AE2642" s="12">
        <v>26.883400000000002</v>
      </c>
      <c r="AF2642" s="13">
        <v>45474</v>
      </c>
      <c r="AG2642" s="12">
        <v>150.2079</v>
      </c>
    </row>
    <row r="2643" spans="30:33" x14ac:dyDescent="0.2">
      <c r="AD2643" s="13">
        <v>45475</v>
      </c>
      <c r="AE2643" s="12">
        <v>26.955400000000001</v>
      </c>
      <c r="AF2643" s="13">
        <v>45475</v>
      </c>
      <c r="AG2643" s="12">
        <v>151.1705</v>
      </c>
    </row>
    <row r="2644" spans="30:33" x14ac:dyDescent="0.2">
      <c r="AD2644" s="13">
        <v>45476</v>
      </c>
      <c r="AE2644" s="12">
        <v>27.099599999999999</v>
      </c>
      <c r="AF2644" s="13">
        <v>45476</v>
      </c>
      <c r="AG2644" s="12">
        <v>152.28880000000001</v>
      </c>
    </row>
    <row r="2645" spans="30:33" x14ac:dyDescent="0.2">
      <c r="AD2645" s="13">
        <v>45478</v>
      </c>
      <c r="AE2645" s="12">
        <v>27.213699999999999</v>
      </c>
      <c r="AF2645" s="13">
        <v>45478</v>
      </c>
      <c r="AG2645" s="12">
        <v>153.08160000000001</v>
      </c>
    </row>
    <row r="2646" spans="30:33" x14ac:dyDescent="0.2">
      <c r="AD2646" s="13">
        <v>45481</v>
      </c>
      <c r="AE2646" s="12">
        <v>27.207699999999999</v>
      </c>
      <c r="AF2646" s="13">
        <v>45481</v>
      </c>
      <c r="AG2646" s="12">
        <v>153.06739999999999</v>
      </c>
    </row>
    <row r="2647" spans="30:33" x14ac:dyDescent="0.2">
      <c r="AD2647" s="13">
        <v>45482</v>
      </c>
      <c r="AE2647" s="12">
        <v>27.195699999999999</v>
      </c>
      <c r="AF2647" s="13">
        <v>45482</v>
      </c>
      <c r="AG2647" s="12">
        <v>152.7843</v>
      </c>
    </row>
    <row r="2648" spans="30:33" x14ac:dyDescent="0.2">
      <c r="AD2648" s="13">
        <v>45483</v>
      </c>
      <c r="AE2648" s="12">
        <v>27.207699999999999</v>
      </c>
      <c r="AF2648" s="13">
        <v>45483</v>
      </c>
      <c r="AG2648" s="12">
        <v>153.1523</v>
      </c>
    </row>
    <row r="2649" spans="30:33" x14ac:dyDescent="0.2">
      <c r="AD2649" s="13">
        <v>45484</v>
      </c>
      <c r="AE2649" s="12">
        <v>27.351800000000001</v>
      </c>
      <c r="AF2649" s="13">
        <v>45484</v>
      </c>
      <c r="AG2649" s="12">
        <v>153.9734</v>
      </c>
    </row>
    <row r="2650" spans="30:33" x14ac:dyDescent="0.2">
      <c r="AD2650" s="13">
        <v>45485</v>
      </c>
      <c r="AE2650" s="12">
        <v>27.405899999999999</v>
      </c>
      <c r="AF2650" s="13">
        <v>45485</v>
      </c>
      <c r="AG2650" s="12">
        <v>154.53960000000001</v>
      </c>
    </row>
    <row r="2651" spans="30:33" x14ac:dyDescent="0.2">
      <c r="AD2651" s="13">
        <v>45488</v>
      </c>
      <c r="AE2651" s="12">
        <v>27.3398</v>
      </c>
      <c r="AF2651" s="13">
        <v>45488</v>
      </c>
      <c r="AG2651" s="12">
        <v>153.69030000000001</v>
      </c>
    </row>
    <row r="2652" spans="30:33" x14ac:dyDescent="0.2">
      <c r="AD2652" s="13">
        <v>45489</v>
      </c>
      <c r="AE2652" s="12">
        <v>27.4419</v>
      </c>
      <c r="AF2652" s="13">
        <v>45489</v>
      </c>
      <c r="AG2652" s="12">
        <v>154.5821</v>
      </c>
    </row>
    <row r="2653" spans="30:33" x14ac:dyDescent="0.2">
      <c r="AD2653" s="13">
        <v>45490</v>
      </c>
      <c r="AE2653" s="12">
        <v>27.447900000000001</v>
      </c>
      <c r="AF2653" s="13">
        <v>45490</v>
      </c>
      <c r="AG2653" s="12">
        <v>154.65289999999999</v>
      </c>
    </row>
    <row r="2654" spans="30:33" x14ac:dyDescent="0.2">
      <c r="AD2654" s="13">
        <v>45491</v>
      </c>
      <c r="AE2654" s="12">
        <v>27.375900000000001</v>
      </c>
      <c r="AF2654" s="13">
        <v>45491</v>
      </c>
      <c r="AG2654" s="12">
        <v>153.98750000000001</v>
      </c>
    </row>
    <row r="2655" spans="30:33" x14ac:dyDescent="0.2">
      <c r="AD2655" s="13">
        <v>45492</v>
      </c>
      <c r="AE2655" s="12">
        <v>27.3278</v>
      </c>
      <c r="AF2655" s="13">
        <v>45492</v>
      </c>
      <c r="AG2655" s="12">
        <v>153.4213</v>
      </c>
    </row>
    <row r="2656" spans="30:33" x14ac:dyDescent="0.2">
      <c r="AD2656" s="13">
        <v>45495</v>
      </c>
      <c r="AE2656" s="12">
        <v>27.303799999999999</v>
      </c>
      <c r="AF2656" s="13">
        <v>45495</v>
      </c>
      <c r="AG2656" s="12">
        <v>153.3364</v>
      </c>
    </row>
    <row r="2657" spans="30:33" x14ac:dyDescent="0.2">
      <c r="AD2657" s="13">
        <v>45496</v>
      </c>
      <c r="AE2657" s="12">
        <v>27.315799999999999</v>
      </c>
      <c r="AF2657" s="13">
        <v>45496</v>
      </c>
      <c r="AG2657" s="12">
        <v>153.22309999999999</v>
      </c>
    </row>
    <row r="2658" spans="30:33" x14ac:dyDescent="0.2">
      <c r="AD2658" s="13">
        <v>45497</v>
      </c>
      <c r="AE2658" s="12">
        <v>27.267800000000001</v>
      </c>
      <c r="AF2658" s="13">
        <v>45497</v>
      </c>
      <c r="AG2658" s="12">
        <v>152.28880000000001</v>
      </c>
    </row>
    <row r="2659" spans="30:33" x14ac:dyDescent="0.2">
      <c r="AD2659" s="13">
        <v>45498</v>
      </c>
      <c r="AE2659" s="12">
        <v>27.315799999999999</v>
      </c>
      <c r="AF2659" s="13">
        <v>45498</v>
      </c>
      <c r="AG2659" s="12">
        <v>152.89750000000001</v>
      </c>
    </row>
    <row r="2660" spans="30:33" x14ac:dyDescent="0.2">
      <c r="AD2660" s="13">
        <v>45499</v>
      </c>
      <c r="AE2660" s="12">
        <v>27.405899999999999</v>
      </c>
      <c r="AF2660" s="13">
        <v>45499</v>
      </c>
      <c r="AG2660" s="12">
        <v>153.74690000000001</v>
      </c>
    </row>
    <row r="2661" spans="30:33" x14ac:dyDescent="0.2">
      <c r="AD2661" s="13">
        <v>45502</v>
      </c>
      <c r="AE2661" s="12">
        <v>27.4419</v>
      </c>
      <c r="AF2661" s="13">
        <v>45502</v>
      </c>
      <c r="AG2661" s="12">
        <v>154.07249999999999</v>
      </c>
    </row>
    <row r="2662" spans="30:33" x14ac:dyDescent="0.2">
      <c r="AD2662" s="13">
        <v>45503</v>
      </c>
      <c r="AE2662" s="12">
        <v>27.484000000000002</v>
      </c>
      <c r="AF2662" s="13">
        <v>45503</v>
      </c>
      <c r="AG2662" s="12">
        <v>154.19990000000001</v>
      </c>
    </row>
    <row r="2663" spans="30:33" x14ac:dyDescent="0.2">
      <c r="AD2663" s="13">
        <v>45504</v>
      </c>
      <c r="AE2663" s="12">
        <v>27.6401</v>
      </c>
      <c r="AF2663" s="13">
        <v>45504</v>
      </c>
      <c r="AG2663" s="12">
        <v>155.0917</v>
      </c>
    </row>
    <row r="2664" spans="30:33" x14ac:dyDescent="0.2">
      <c r="AD2664" s="13">
        <v>45505</v>
      </c>
      <c r="AE2664" s="12">
        <v>27.751100000000001</v>
      </c>
      <c r="AF2664" s="13">
        <v>45505</v>
      </c>
      <c r="AG2664" s="12">
        <v>155.60480000000001</v>
      </c>
    </row>
    <row r="2665" spans="30:33" x14ac:dyDescent="0.2">
      <c r="AD2665" s="13">
        <v>45506</v>
      </c>
      <c r="AE2665" s="12">
        <v>28.118500000000001</v>
      </c>
      <c r="AF2665" s="13">
        <v>45506</v>
      </c>
      <c r="AG2665" s="12">
        <v>157.1249</v>
      </c>
    </row>
    <row r="2666" spans="30:33" x14ac:dyDescent="0.2">
      <c r="AD2666" s="13">
        <v>45509</v>
      </c>
      <c r="AE2666" s="12">
        <v>28.136500000000002</v>
      </c>
      <c r="AF2666" s="13">
        <v>45509</v>
      </c>
      <c r="AG2666" s="12">
        <v>156.72710000000001</v>
      </c>
    </row>
    <row r="2667" spans="30:33" x14ac:dyDescent="0.2">
      <c r="AD2667" s="13">
        <v>45510</v>
      </c>
      <c r="AE2667" s="12">
        <v>27.919699999999999</v>
      </c>
      <c r="AF2667" s="13">
        <v>45510</v>
      </c>
      <c r="AG2667" s="12">
        <v>155.70419999999999</v>
      </c>
    </row>
    <row r="2668" spans="30:33" x14ac:dyDescent="0.2">
      <c r="AD2668" s="13">
        <v>45511</v>
      </c>
      <c r="AE2668" s="12">
        <v>27.859500000000001</v>
      </c>
      <c r="AF2668" s="13">
        <v>45511</v>
      </c>
      <c r="AG2668" s="12">
        <v>154.9939</v>
      </c>
    </row>
    <row r="2669" spans="30:33" x14ac:dyDescent="0.2">
      <c r="AD2669" s="13">
        <v>45512</v>
      </c>
      <c r="AE2669" s="12">
        <v>27.793299999999999</v>
      </c>
      <c r="AF2669" s="13">
        <v>45512</v>
      </c>
      <c r="AG2669" s="12">
        <v>155.06489999999999</v>
      </c>
    </row>
    <row r="2670" spans="30:33" x14ac:dyDescent="0.2">
      <c r="AD2670" s="13">
        <v>45513</v>
      </c>
      <c r="AE2670" s="12">
        <v>27.859500000000001</v>
      </c>
      <c r="AF2670" s="13">
        <v>45513</v>
      </c>
      <c r="AG2670" s="12">
        <v>155.8605</v>
      </c>
    </row>
    <row r="2671" spans="30:33" x14ac:dyDescent="0.2">
      <c r="AD2671" s="13">
        <v>45516</v>
      </c>
      <c r="AE2671" s="12">
        <v>27.931799999999999</v>
      </c>
      <c r="AF2671" s="13">
        <v>45516</v>
      </c>
      <c r="AG2671" s="12">
        <v>156.18719999999999</v>
      </c>
    </row>
    <row r="2672" spans="30:33" x14ac:dyDescent="0.2">
      <c r="AD2672" s="13">
        <v>45517</v>
      </c>
      <c r="AE2672" s="12">
        <v>28.028099999999998</v>
      </c>
      <c r="AF2672" s="13">
        <v>45517</v>
      </c>
      <c r="AG2672" s="12">
        <v>157.28110000000001</v>
      </c>
    </row>
    <row r="2673" spans="30:33" x14ac:dyDescent="0.2">
      <c r="AD2673" s="13">
        <v>45518</v>
      </c>
      <c r="AE2673" s="12">
        <v>28.058299999999999</v>
      </c>
      <c r="AF2673" s="13">
        <v>45518</v>
      </c>
      <c r="AG2673" s="12">
        <v>157.97730000000001</v>
      </c>
    </row>
    <row r="2674" spans="30:33" x14ac:dyDescent="0.2">
      <c r="AD2674" s="13">
        <v>45519</v>
      </c>
      <c r="AE2674" s="12">
        <v>27.913699999999999</v>
      </c>
      <c r="AF2674" s="13">
        <v>45519</v>
      </c>
      <c r="AG2674" s="12">
        <v>157.49420000000001</v>
      </c>
    </row>
    <row r="2675" spans="30:33" x14ac:dyDescent="0.2">
      <c r="AD2675" s="13">
        <v>45520</v>
      </c>
      <c r="AE2675" s="12">
        <v>27.9739</v>
      </c>
      <c r="AF2675" s="13">
        <v>45520</v>
      </c>
      <c r="AG2675" s="12">
        <v>157.9631</v>
      </c>
    </row>
    <row r="2676" spans="30:33" x14ac:dyDescent="0.2">
      <c r="AD2676" s="13">
        <v>45523</v>
      </c>
      <c r="AE2676" s="12">
        <v>28.004100000000001</v>
      </c>
      <c r="AF2676" s="13">
        <v>45523</v>
      </c>
      <c r="AG2676" s="12">
        <v>158.33240000000001</v>
      </c>
    </row>
    <row r="2677" spans="30:33" x14ac:dyDescent="0.2">
      <c r="AD2677" s="13">
        <v>45524</v>
      </c>
      <c r="AE2677" s="12">
        <v>28.1004</v>
      </c>
      <c r="AF2677" s="13">
        <v>45524</v>
      </c>
      <c r="AG2677" s="12">
        <v>158.74440000000001</v>
      </c>
    </row>
    <row r="2678" spans="30:33" x14ac:dyDescent="0.2">
      <c r="AD2678" s="13">
        <v>45525</v>
      </c>
      <c r="AE2678" s="12">
        <v>28.142600000000002</v>
      </c>
      <c r="AF2678" s="13">
        <v>45525</v>
      </c>
      <c r="AG2678" s="12">
        <v>159.09960000000001</v>
      </c>
    </row>
    <row r="2679" spans="30:33" x14ac:dyDescent="0.2">
      <c r="AD2679" s="13">
        <v>45526</v>
      </c>
      <c r="AE2679" s="12">
        <v>28.040199999999999</v>
      </c>
      <c r="AF2679" s="13">
        <v>45526</v>
      </c>
      <c r="AG2679" s="12">
        <v>158.4461</v>
      </c>
    </row>
    <row r="2680" spans="30:33" x14ac:dyDescent="0.2">
      <c r="AD2680" s="13">
        <v>45527</v>
      </c>
      <c r="AE2680" s="12">
        <v>28.136500000000002</v>
      </c>
      <c r="AF2680" s="13">
        <v>45527</v>
      </c>
      <c r="AG2680" s="12">
        <v>159.3553</v>
      </c>
    </row>
    <row r="2681" spans="30:33" x14ac:dyDescent="0.2">
      <c r="AD2681" s="13">
        <v>45530</v>
      </c>
      <c r="AE2681" s="12">
        <v>28.118500000000001</v>
      </c>
      <c r="AF2681" s="13">
        <v>45530</v>
      </c>
      <c r="AG2681" s="12">
        <v>159.15639999999999</v>
      </c>
    </row>
    <row r="2682" spans="30:33" x14ac:dyDescent="0.2">
      <c r="AD2682" s="13">
        <v>45531</v>
      </c>
      <c r="AE2682" s="12">
        <v>28.106400000000001</v>
      </c>
      <c r="AF2682" s="13">
        <v>45531</v>
      </c>
      <c r="AG2682" s="12">
        <v>159.02860000000001</v>
      </c>
    </row>
    <row r="2683" spans="30:33" x14ac:dyDescent="0.2">
      <c r="AD2683" s="13">
        <v>45532</v>
      </c>
      <c r="AE2683" s="12">
        <v>28.1004</v>
      </c>
      <c r="AF2683" s="13">
        <v>45532</v>
      </c>
      <c r="AG2683" s="12">
        <v>158.70179999999999</v>
      </c>
    </row>
    <row r="2684" spans="30:33" x14ac:dyDescent="0.2">
      <c r="AD2684" s="13">
        <v>45533</v>
      </c>
      <c r="AE2684" s="12">
        <v>28.058299999999999</v>
      </c>
      <c r="AF2684" s="13">
        <v>45533</v>
      </c>
      <c r="AG2684" s="12">
        <v>158.43190000000001</v>
      </c>
    </row>
    <row r="2685" spans="30:33" x14ac:dyDescent="0.2">
      <c r="AD2685" s="13">
        <v>45534</v>
      </c>
      <c r="AE2685" s="12">
        <v>27.992000000000001</v>
      </c>
      <c r="AF2685" s="13">
        <v>45534</v>
      </c>
      <c r="AG2685" s="12">
        <v>157.9915</v>
      </c>
    </row>
    <row r="2686" spans="30:33" x14ac:dyDescent="0.2">
      <c r="AD2686" s="13">
        <v>45538</v>
      </c>
      <c r="AE2686" s="12">
        <v>28.128</v>
      </c>
      <c r="AF2686" s="13">
        <v>45538</v>
      </c>
      <c r="AG2686" s="12">
        <v>158.46770000000001</v>
      </c>
    </row>
    <row r="2687" spans="30:33" x14ac:dyDescent="0.2">
      <c r="AD2687" s="13">
        <v>45539</v>
      </c>
      <c r="AE2687" s="12">
        <v>28.2789</v>
      </c>
      <c r="AF2687" s="13">
        <v>45539</v>
      </c>
      <c r="AG2687" s="12">
        <v>159.45160000000001</v>
      </c>
    </row>
    <row r="2688" spans="30:33" x14ac:dyDescent="0.2">
      <c r="AD2688" s="13">
        <v>45540</v>
      </c>
      <c r="AE2688" s="12">
        <v>28.327200000000001</v>
      </c>
      <c r="AF2688" s="13">
        <v>45540</v>
      </c>
      <c r="AG2688" s="12">
        <v>160.23580000000001</v>
      </c>
    </row>
    <row r="2689" spans="30:33" x14ac:dyDescent="0.2">
      <c r="AD2689" s="13">
        <v>45541</v>
      </c>
      <c r="AE2689" s="12">
        <v>28.369499999999999</v>
      </c>
      <c r="AF2689" s="13">
        <v>45541</v>
      </c>
      <c r="AG2689" s="12">
        <v>160.1645</v>
      </c>
    </row>
    <row r="2690" spans="30:33" x14ac:dyDescent="0.2">
      <c r="AD2690" s="13">
        <v>45544</v>
      </c>
      <c r="AE2690" s="12">
        <v>28.4057</v>
      </c>
      <c r="AF2690" s="13">
        <v>45544</v>
      </c>
      <c r="AG2690" s="12">
        <v>160.52099999999999</v>
      </c>
    </row>
    <row r="2691" spans="30:33" x14ac:dyDescent="0.2">
      <c r="AD2691" s="13">
        <v>45545</v>
      </c>
      <c r="AE2691" s="12">
        <v>28.508400000000002</v>
      </c>
      <c r="AF2691" s="13">
        <v>45545</v>
      </c>
      <c r="AG2691" s="12">
        <v>160.96299999999999</v>
      </c>
    </row>
    <row r="2692" spans="30:33" x14ac:dyDescent="0.2">
      <c r="AD2692" s="13">
        <v>45546</v>
      </c>
      <c r="AE2692" s="12">
        <v>28.484200000000001</v>
      </c>
      <c r="AF2692" s="13">
        <v>45546</v>
      </c>
      <c r="AG2692" s="12">
        <v>161.0343</v>
      </c>
    </row>
    <row r="2693" spans="30:33" x14ac:dyDescent="0.2">
      <c r="AD2693" s="13">
        <v>45547</v>
      </c>
      <c r="AE2693" s="12">
        <v>28.4359</v>
      </c>
      <c r="AF2693" s="13">
        <v>45547</v>
      </c>
      <c r="AG2693" s="12">
        <v>160.92019999999999</v>
      </c>
    </row>
    <row r="2694" spans="30:33" x14ac:dyDescent="0.2">
      <c r="AD2694" s="13">
        <v>45548</v>
      </c>
      <c r="AE2694" s="12">
        <v>28.496300000000002</v>
      </c>
      <c r="AF2694" s="13">
        <v>45548</v>
      </c>
      <c r="AG2694" s="12">
        <v>161.41919999999999</v>
      </c>
    </row>
    <row r="2695" spans="30:33" x14ac:dyDescent="0.2">
      <c r="AD2695" s="13">
        <v>45551</v>
      </c>
      <c r="AE2695" s="12">
        <v>28.5688</v>
      </c>
      <c r="AF2695" s="13">
        <v>45551</v>
      </c>
      <c r="AG2695" s="12">
        <v>162.13220000000001</v>
      </c>
    </row>
    <row r="2696" spans="30:33" x14ac:dyDescent="0.2">
      <c r="AD2696" s="13">
        <v>45552</v>
      </c>
      <c r="AE2696" s="12">
        <v>28.520499999999998</v>
      </c>
      <c r="AF2696" s="13">
        <v>45552</v>
      </c>
      <c r="AG2696" s="12">
        <v>162.1464</v>
      </c>
    </row>
    <row r="2697" spans="30:33" x14ac:dyDescent="0.2">
      <c r="AD2697" s="13">
        <v>45553</v>
      </c>
      <c r="AE2697" s="12">
        <v>28.4178</v>
      </c>
      <c r="AF2697" s="13">
        <v>45553</v>
      </c>
      <c r="AG2697" s="12">
        <v>161.47630000000001</v>
      </c>
    </row>
    <row r="2698" spans="30:33" x14ac:dyDescent="0.2">
      <c r="AD2698" s="13">
        <v>45554</v>
      </c>
      <c r="AE2698" s="12">
        <v>28.399699999999999</v>
      </c>
      <c r="AF2698" s="13">
        <v>45554</v>
      </c>
      <c r="AG2698" s="12">
        <v>161.6189</v>
      </c>
    </row>
    <row r="2699" spans="30:33" x14ac:dyDescent="0.2">
      <c r="AD2699" s="13">
        <v>45555</v>
      </c>
      <c r="AE2699" s="12">
        <v>28.393699999999999</v>
      </c>
      <c r="AF2699" s="13">
        <v>45555</v>
      </c>
      <c r="AG2699" s="12">
        <v>161.76140000000001</v>
      </c>
    </row>
    <row r="2700" spans="30:33" x14ac:dyDescent="0.2">
      <c r="AD2700" s="13">
        <v>45558</v>
      </c>
      <c r="AE2700" s="12">
        <v>28.381599999999999</v>
      </c>
      <c r="AF2700" s="13">
        <v>45558</v>
      </c>
      <c r="AG2700" s="12">
        <v>161.5333</v>
      </c>
    </row>
    <row r="2701" spans="30:33" x14ac:dyDescent="0.2">
      <c r="AD2701" s="13">
        <v>45559</v>
      </c>
      <c r="AE2701" s="12">
        <v>28.4057</v>
      </c>
      <c r="AF2701" s="13">
        <v>45559</v>
      </c>
      <c r="AG2701" s="12">
        <v>161.80420000000001</v>
      </c>
    </row>
    <row r="2702" spans="30:33" x14ac:dyDescent="0.2">
      <c r="AD2702" s="13">
        <v>45560</v>
      </c>
      <c r="AE2702" s="12">
        <v>28.315200000000001</v>
      </c>
      <c r="AF2702" s="13">
        <v>45560</v>
      </c>
      <c r="AG2702" s="12">
        <v>160.84889999999999</v>
      </c>
    </row>
    <row r="2703" spans="30:33" x14ac:dyDescent="0.2">
      <c r="AD2703" s="13">
        <v>45561</v>
      </c>
      <c r="AE2703" s="12">
        <v>28.303100000000001</v>
      </c>
      <c r="AF2703" s="13">
        <v>45561</v>
      </c>
      <c r="AG2703" s="12">
        <v>160.84889999999999</v>
      </c>
    </row>
    <row r="2704" spans="30:33" x14ac:dyDescent="0.2">
      <c r="AD2704" s="13">
        <v>45562</v>
      </c>
      <c r="AE2704" s="12">
        <v>28.393699999999999</v>
      </c>
      <c r="AF2704" s="13">
        <v>45562</v>
      </c>
      <c r="AG2704" s="12">
        <v>161.4905</v>
      </c>
    </row>
    <row r="2705" spans="30:33" x14ac:dyDescent="0.2">
      <c r="AD2705" s="13">
        <v>45565</v>
      </c>
      <c r="AE2705" s="12">
        <v>28.321200000000001</v>
      </c>
      <c r="AF2705" s="13">
        <v>45565</v>
      </c>
      <c r="AG2705" s="12">
        <v>161.09129999999999</v>
      </c>
    </row>
    <row r="2706" spans="30:33" x14ac:dyDescent="0.2">
      <c r="AD2706" s="13">
        <v>45566</v>
      </c>
      <c r="AE2706" s="12">
        <v>28.3902</v>
      </c>
      <c r="AF2706" s="13">
        <v>45566</v>
      </c>
      <c r="AG2706" s="12">
        <v>161.863</v>
      </c>
    </row>
    <row r="2707" spans="30:33" x14ac:dyDescent="0.2">
      <c r="AD2707" s="13">
        <v>45567</v>
      </c>
      <c r="AE2707" s="12">
        <v>28.317599999999999</v>
      </c>
      <c r="AF2707" s="13">
        <v>45567</v>
      </c>
      <c r="AG2707" s="12">
        <v>161.50530000000001</v>
      </c>
    </row>
    <row r="2708" spans="30:33" x14ac:dyDescent="0.2">
      <c r="AD2708" s="13">
        <v>45568</v>
      </c>
      <c r="AE2708" s="12">
        <v>28.214600000000001</v>
      </c>
      <c r="AF2708" s="13">
        <v>45568</v>
      </c>
      <c r="AG2708" s="12">
        <v>160.4606</v>
      </c>
    </row>
    <row r="2709" spans="30:33" x14ac:dyDescent="0.2">
      <c r="AD2709" s="13">
        <v>45569</v>
      </c>
      <c r="AE2709" s="12">
        <v>28.008800000000001</v>
      </c>
      <c r="AF2709" s="13">
        <v>45569</v>
      </c>
      <c r="AG2709" s="12">
        <v>159.58770000000001</v>
      </c>
    </row>
    <row r="2710" spans="30:33" x14ac:dyDescent="0.2">
      <c r="AD2710" s="13">
        <v>45572</v>
      </c>
      <c r="AE2710" s="12">
        <v>27.923999999999999</v>
      </c>
      <c r="AF2710" s="13">
        <v>45572</v>
      </c>
      <c r="AG2710" s="12">
        <v>158.77199999999999</v>
      </c>
    </row>
    <row r="2711" spans="30:33" x14ac:dyDescent="0.2">
      <c r="AD2711" s="13">
        <v>45573</v>
      </c>
      <c r="AE2711" s="12">
        <v>27.9603</v>
      </c>
      <c r="AF2711" s="13">
        <v>45573</v>
      </c>
      <c r="AG2711" s="12">
        <v>159.08680000000001</v>
      </c>
    </row>
    <row r="2712" spans="30:33" x14ac:dyDescent="0.2">
      <c r="AD2712" s="13">
        <v>45574</v>
      </c>
      <c r="AE2712" s="12">
        <v>27.875599999999999</v>
      </c>
      <c r="AF2712" s="13">
        <v>45574</v>
      </c>
      <c r="AG2712" s="12">
        <v>158.77199999999999</v>
      </c>
    </row>
    <row r="2713" spans="30:33" x14ac:dyDescent="0.2">
      <c r="AD2713" s="13">
        <v>45575</v>
      </c>
      <c r="AE2713" s="12">
        <v>27.863499999999998</v>
      </c>
      <c r="AF2713" s="13">
        <v>45575</v>
      </c>
      <c r="AG2713" s="12">
        <v>158.6003</v>
      </c>
    </row>
    <row r="2714" spans="30:33" x14ac:dyDescent="0.2">
      <c r="AD2714" s="13">
        <v>45576</v>
      </c>
      <c r="AE2714" s="12">
        <v>27.875599999999999</v>
      </c>
      <c r="AF2714" s="13">
        <v>45576</v>
      </c>
      <c r="AG2714" s="12">
        <v>158.57169999999999</v>
      </c>
    </row>
    <row r="2715" spans="30:33" x14ac:dyDescent="0.2">
      <c r="AD2715" s="13">
        <v>45579</v>
      </c>
      <c r="AE2715" s="12">
        <v>27.851400000000002</v>
      </c>
      <c r="AF2715" s="13">
        <v>45579</v>
      </c>
      <c r="AG2715" s="12">
        <v>158.58600000000001</v>
      </c>
    </row>
    <row r="2716" spans="30:33" x14ac:dyDescent="0.2">
      <c r="AD2716" s="13">
        <v>45580</v>
      </c>
      <c r="AE2716" s="12">
        <v>27.9664</v>
      </c>
      <c r="AF2716" s="13">
        <v>45580</v>
      </c>
      <c r="AG2716" s="12">
        <v>159.3587</v>
      </c>
    </row>
    <row r="2717" spans="30:33" x14ac:dyDescent="0.2">
      <c r="AD2717" s="13">
        <v>45581</v>
      </c>
      <c r="AE2717" s="12">
        <v>27.996700000000001</v>
      </c>
      <c r="AF2717" s="13">
        <v>45581</v>
      </c>
      <c r="AG2717" s="12">
        <v>159.8596</v>
      </c>
    </row>
    <row r="2718" spans="30:33" x14ac:dyDescent="0.2">
      <c r="AD2718" s="13">
        <v>45582</v>
      </c>
      <c r="AE2718" s="12">
        <v>27.869499999999999</v>
      </c>
      <c r="AF2718" s="13">
        <v>45582</v>
      </c>
      <c r="AG2718" s="12">
        <v>158.67179999999999</v>
      </c>
    </row>
    <row r="2719" spans="30:33" x14ac:dyDescent="0.2">
      <c r="AD2719" s="13">
        <v>45583</v>
      </c>
      <c r="AE2719" s="12">
        <v>27.893699999999999</v>
      </c>
      <c r="AF2719" s="13">
        <v>45583</v>
      </c>
      <c r="AG2719" s="12">
        <v>158.48580000000001</v>
      </c>
    </row>
    <row r="2720" spans="30:33" x14ac:dyDescent="0.2">
      <c r="AD2720" s="13">
        <v>45586</v>
      </c>
      <c r="AE2720" s="12">
        <v>27.7424</v>
      </c>
      <c r="AF2720" s="13">
        <v>45586</v>
      </c>
      <c r="AG2720" s="12">
        <v>156.86869999999999</v>
      </c>
    </row>
    <row r="2721" spans="30:33" x14ac:dyDescent="0.2">
      <c r="AD2721" s="13">
        <v>45587</v>
      </c>
      <c r="AE2721" s="12">
        <v>27.7303</v>
      </c>
      <c r="AF2721" s="13">
        <v>45587</v>
      </c>
      <c r="AG2721" s="12">
        <v>156.8544</v>
      </c>
    </row>
    <row r="2722" spans="30:33" x14ac:dyDescent="0.2">
      <c r="AD2722" s="13">
        <v>45588</v>
      </c>
      <c r="AE2722" s="12">
        <v>27.681799999999999</v>
      </c>
      <c r="AF2722" s="13">
        <v>45588</v>
      </c>
      <c r="AG2722" s="12">
        <v>156.32499999999999</v>
      </c>
    </row>
    <row r="2723" spans="30:33" x14ac:dyDescent="0.2">
      <c r="AD2723" s="13">
        <v>45589</v>
      </c>
      <c r="AE2723" s="12">
        <v>27.7242</v>
      </c>
      <c r="AF2723" s="13">
        <v>45589</v>
      </c>
      <c r="AG2723" s="12">
        <v>156.7972</v>
      </c>
    </row>
    <row r="2724" spans="30:33" x14ac:dyDescent="0.2">
      <c r="AD2724" s="13">
        <v>45590</v>
      </c>
      <c r="AE2724" s="12">
        <v>27.681799999999999</v>
      </c>
      <c r="AF2724" s="13">
        <v>45590</v>
      </c>
      <c r="AG2724" s="12">
        <v>156.42509999999999</v>
      </c>
    </row>
    <row r="2725" spans="30:33" x14ac:dyDescent="0.2">
      <c r="AD2725" s="13">
        <v>45593</v>
      </c>
      <c r="AE2725" s="12">
        <v>27.645499999999998</v>
      </c>
      <c r="AF2725" s="13">
        <v>45593</v>
      </c>
      <c r="AG2725" s="12">
        <v>156.2963</v>
      </c>
    </row>
    <row r="2726" spans="30:33" x14ac:dyDescent="0.2">
      <c r="AD2726" s="13">
        <v>45594</v>
      </c>
      <c r="AE2726" s="12">
        <v>27.651599999999998</v>
      </c>
      <c r="AF2726" s="13">
        <v>45594</v>
      </c>
      <c r="AG2726" s="12">
        <v>156.48240000000001</v>
      </c>
    </row>
    <row r="2727" spans="30:33" x14ac:dyDescent="0.2">
      <c r="AD2727" s="13">
        <v>45595</v>
      </c>
      <c r="AE2727" s="12">
        <v>27.627300000000002</v>
      </c>
      <c r="AF2727" s="13">
        <v>45595</v>
      </c>
      <c r="AG2727" s="12">
        <v>156.28200000000001</v>
      </c>
    </row>
    <row r="2728" spans="30:33" x14ac:dyDescent="0.2">
      <c r="AD2728" s="13">
        <v>45596</v>
      </c>
      <c r="AE2728" s="12">
        <v>27.633400000000002</v>
      </c>
      <c r="AF2728" s="13">
        <v>45596</v>
      </c>
      <c r="AG2728" s="12">
        <v>155.96719999999999</v>
      </c>
    </row>
    <row r="2729" spans="30:33" x14ac:dyDescent="0.2">
      <c r="AD2729" s="13">
        <v>45597</v>
      </c>
      <c r="AE2729" s="12">
        <v>27.521899999999999</v>
      </c>
      <c r="AF2729" s="13">
        <v>45597</v>
      </c>
      <c r="AG2729" s="12">
        <v>155.11609999999999</v>
      </c>
    </row>
    <row r="2730" spans="30:33" x14ac:dyDescent="0.2">
      <c r="AD2730" s="13">
        <v>45600</v>
      </c>
      <c r="AE2730" s="12">
        <v>27.6494</v>
      </c>
      <c r="AF2730" s="13">
        <v>45600</v>
      </c>
      <c r="AG2730" s="12">
        <v>156.26499999999999</v>
      </c>
    </row>
    <row r="2731" spans="30:33" x14ac:dyDescent="0.2">
      <c r="AD2731" s="13">
        <v>45601</v>
      </c>
      <c r="AE2731" s="12">
        <v>27.6676</v>
      </c>
      <c r="AF2731" s="13">
        <v>45601</v>
      </c>
      <c r="AG2731" s="12">
        <v>157.01179999999999</v>
      </c>
    </row>
    <row r="2732" spans="30:33" x14ac:dyDescent="0.2">
      <c r="AD2732" s="13">
        <v>45602</v>
      </c>
      <c r="AE2732" s="12">
        <v>27.443000000000001</v>
      </c>
      <c r="AF2732" s="13">
        <v>45602</v>
      </c>
      <c r="AG2732" s="12">
        <v>155.37459999999999</v>
      </c>
    </row>
    <row r="2733" spans="30:33" x14ac:dyDescent="0.2">
      <c r="AD2733" s="13">
        <v>45603</v>
      </c>
      <c r="AE2733" s="12">
        <v>27.588699999999999</v>
      </c>
      <c r="AF2733" s="13">
        <v>45603</v>
      </c>
      <c r="AG2733" s="12">
        <v>157.21279999999999</v>
      </c>
    </row>
    <row r="2734" spans="30:33" x14ac:dyDescent="0.2">
      <c r="AD2734" s="13">
        <v>45604</v>
      </c>
      <c r="AE2734" s="12">
        <v>27.6494</v>
      </c>
      <c r="AF2734" s="13">
        <v>45604</v>
      </c>
      <c r="AG2734" s="12">
        <v>157.7586</v>
      </c>
    </row>
    <row r="2735" spans="30:33" x14ac:dyDescent="0.2">
      <c r="AD2735" s="13">
        <v>45607</v>
      </c>
      <c r="AE2735" s="12">
        <v>27.594799999999999</v>
      </c>
      <c r="AF2735" s="13">
        <v>45607</v>
      </c>
      <c r="AG2735" s="12">
        <v>157.45699999999999</v>
      </c>
    </row>
    <row r="2736" spans="30:33" x14ac:dyDescent="0.2">
      <c r="AD2736" s="13">
        <v>45608</v>
      </c>
      <c r="AE2736" s="12">
        <v>27.455100000000002</v>
      </c>
      <c r="AF2736" s="13">
        <v>45608</v>
      </c>
      <c r="AG2736" s="12">
        <v>156.0352</v>
      </c>
    </row>
    <row r="2737" spans="30:33" x14ac:dyDescent="0.2">
      <c r="AD2737" s="13">
        <v>45609</v>
      </c>
      <c r="AE2737" s="12">
        <v>27.443000000000001</v>
      </c>
      <c r="AF2737" s="13">
        <v>45609</v>
      </c>
      <c r="AG2737" s="12">
        <v>155.44640000000001</v>
      </c>
    </row>
    <row r="2738" spans="30:33" x14ac:dyDescent="0.2">
      <c r="AD2738" s="13">
        <v>45610</v>
      </c>
      <c r="AE2738" s="12">
        <v>27.455100000000002</v>
      </c>
      <c r="AF2738" s="13">
        <v>45610</v>
      </c>
      <c r="AG2738" s="12">
        <v>155.4033</v>
      </c>
    </row>
    <row r="2739" spans="30:33" x14ac:dyDescent="0.2">
      <c r="AD2739" s="13">
        <v>45611</v>
      </c>
      <c r="AE2739" s="12">
        <v>27.461200000000002</v>
      </c>
      <c r="AF2739" s="13">
        <v>45611</v>
      </c>
      <c r="AG2739" s="12">
        <v>155.4751</v>
      </c>
    </row>
    <row r="2740" spans="30:33" x14ac:dyDescent="0.2">
      <c r="AD2740" s="13">
        <v>45614</v>
      </c>
      <c r="AE2740" s="12">
        <v>27.491599999999998</v>
      </c>
      <c r="AF2740" s="13">
        <v>45614</v>
      </c>
      <c r="AG2740" s="12">
        <v>155.76230000000001</v>
      </c>
    </row>
    <row r="2741" spans="30:33" x14ac:dyDescent="0.2">
      <c r="AD2741" s="13">
        <v>45615</v>
      </c>
      <c r="AE2741" s="12">
        <v>27.540099999999999</v>
      </c>
      <c r="AF2741" s="13">
        <v>45615</v>
      </c>
      <c r="AG2741" s="12">
        <v>156.09270000000001</v>
      </c>
    </row>
    <row r="2742" spans="30:33" x14ac:dyDescent="0.2">
      <c r="AD2742" s="13">
        <v>45616</v>
      </c>
      <c r="AE2742" s="12">
        <v>27.497599999999998</v>
      </c>
      <c r="AF2742" s="13">
        <v>45616</v>
      </c>
      <c r="AG2742" s="12">
        <v>155.7193</v>
      </c>
    </row>
    <row r="2743" spans="30:33" x14ac:dyDescent="0.2">
      <c r="AD2743" s="13">
        <v>45617</v>
      </c>
      <c r="AE2743" s="12">
        <v>27.479399999999998</v>
      </c>
      <c r="AF2743" s="13">
        <v>45617</v>
      </c>
      <c r="AG2743" s="12">
        <v>155.5326</v>
      </c>
    </row>
    <row r="2744" spans="30:33" x14ac:dyDescent="0.2">
      <c r="AD2744" s="13">
        <v>45618</v>
      </c>
      <c r="AE2744" s="12">
        <v>27.491599999999998</v>
      </c>
      <c r="AF2744" s="13">
        <v>45618</v>
      </c>
      <c r="AG2744" s="12">
        <v>155.67619999999999</v>
      </c>
    </row>
    <row r="2745" spans="30:33" x14ac:dyDescent="0.2">
      <c r="AD2745" s="13">
        <v>45621</v>
      </c>
      <c r="AE2745" s="12">
        <v>27.734400000000001</v>
      </c>
      <c r="AF2745" s="13">
        <v>45621</v>
      </c>
      <c r="AG2745" s="12">
        <v>157.61500000000001</v>
      </c>
    </row>
    <row r="2746" spans="30:33" x14ac:dyDescent="0.2">
      <c r="AD2746" s="13">
        <v>45622</v>
      </c>
      <c r="AE2746" s="12">
        <v>27.6919</v>
      </c>
      <c r="AF2746" s="13">
        <v>45622</v>
      </c>
      <c r="AG2746" s="12">
        <v>157.21279999999999</v>
      </c>
    </row>
    <row r="2747" spans="30:33" x14ac:dyDescent="0.2">
      <c r="AD2747" s="13">
        <v>45623</v>
      </c>
      <c r="AE2747" s="12">
        <v>27.770800000000001</v>
      </c>
      <c r="AF2747" s="13">
        <v>45623</v>
      </c>
      <c r="AG2747" s="12">
        <v>157.78729999999999</v>
      </c>
    </row>
    <row r="2748" spans="30:33" x14ac:dyDescent="0.2">
      <c r="AD2748" s="13">
        <v>45625</v>
      </c>
      <c r="AE2748" s="12">
        <v>27.861899999999999</v>
      </c>
      <c r="AF2748" s="13">
        <v>45625</v>
      </c>
      <c r="AG2748" s="12">
        <v>158.76390000000001</v>
      </c>
    </row>
    <row r="2749" spans="30:33" x14ac:dyDescent="0.2">
      <c r="AD2749" s="13">
        <v>45628</v>
      </c>
      <c r="AE2749" s="12">
        <v>27.883500000000002</v>
      </c>
      <c r="AF2749" s="13">
        <v>45628</v>
      </c>
      <c r="AG2749" s="12">
        <v>159.0127</v>
      </c>
    </row>
    <row r="2750" spans="30:33" x14ac:dyDescent="0.2">
      <c r="AD2750" s="13">
        <v>45629</v>
      </c>
      <c r="AE2750" s="12">
        <v>27.822600000000001</v>
      </c>
      <c r="AF2750" s="13">
        <v>45629</v>
      </c>
      <c r="AG2750" s="12">
        <v>158.45070000000001</v>
      </c>
    </row>
    <row r="2751" spans="30:33" x14ac:dyDescent="0.2">
      <c r="AD2751" s="13">
        <v>45630</v>
      </c>
      <c r="AE2751" s="12">
        <v>27.913900000000002</v>
      </c>
      <c r="AF2751" s="13">
        <v>45630</v>
      </c>
      <c r="AG2751" s="12">
        <v>159.21449999999999</v>
      </c>
    </row>
    <row r="2752" spans="30:33" x14ac:dyDescent="0.2">
      <c r="AD2752" s="13">
        <v>45631</v>
      </c>
      <c r="AE2752" s="12">
        <v>27.92</v>
      </c>
      <c r="AF2752" s="13">
        <v>45631</v>
      </c>
      <c r="AG2752" s="12">
        <v>159.1713</v>
      </c>
    </row>
    <row r="2753" spans="30:33" x14ac:dyDescent="0.2">
      <c r="AD2753" s="13">
        <v>45632</v>
      </c>
      <c r="AE2753" s="12">
        <v>27.974799999999998</v>
      </c>
      <c r="AF2753" s="13">
        <v>45632</v>
      </c>
      <c r="AG2753" s="12">
        <v>159.53149999999999</v>
      </c>
    </row>
    <row r="2754" spans="30:33" x14ac:dyDescent="0.2">
      <c r="AD2754" s="13">
        <v>45635</v>
      </c>
      <c r="AE2754" s="12">
        <v>27.907800000000002</v>
      </c>
      <c r="AF2754" s="13">
        <v>45635</v>
      </c>
      <c r="AG2754" s="12">
        <v>159.12799999999999</v>
      </c>
    </row>
    <row r="2755" spans="30:33" x14ac:dyDescent="0.2">
      <c r="AD2755" s="13">
        <v>45636</v>
      </c>
      <c r="AE2755" s="12">
        <v>27.846900000000002</v>
      </c>
      <c r="AF2755" s="13">
        <v>45636</v>
      </c>
      <c r="AG2755" s="12">
        <v>158.88300000000001</v>
      </c>
    </row>
    <row r="2756" spans="30:33" x14ac:dyDescent="0.2">
      <c r="AD2756" s="13">
        <v>45637</v>
      </c>
      <c r="AE2756" s="12">
        <v>27.786000000000001</v>
      </c>
      <c r="AF2756" s="13">
        <v>45637</v>
      </c>
      <c r="AG2756" s="12">
        <v>158.45070000000001</v>
      </c>
    </row>
    <row r="2757" spans="30:33" x14ac:dyDescent="0.2">
      <c r="AD2757" s="13">
        <v>45638</v>
      </c>
      <c r="AE2757" s="12">
        <v>27.682500000000001</v>
      </c>
      <c r="AF2757" s="13">
        <v>45638</v>
      </c>
      <c r="AG2757" s="12">
        <v>157.55719999999999</v>
      </c>
    </row>
    <row r="2758" spans="30:33" x14ac:dyDescent="0.2">
      <c r="AD2758" s="13">
        <v>45639</v>
      </c>
      <c r="AE2758" s="12">
        <v>27.603400000000001</v>
      </c>
      <c r="AF2758" s="13">
        <v>45639</v>
      </c>
      <c r="AG2758" s="12">
        <v>156.6781</v>
      </c>
    </row>
    <row r="2759" spans="30:33" x14ac:dyDescent="0.2">
      <c r="AD2759" s="13">
        <v>45642</v>
      </c>
      <c r="AE2759" s="12">
        <v>27.609500000000001</v>
      </c>
      <c r="AF2759" s="13">
        <v>45642</v>
      </c>
      <c r="AG2759" s="12">
        <v>156.87989999999999</v>
      </c>
    </row>
    <row r="2760" spans="30:33" x14ac:dyDescent="0.2">
      <c r="AD2760" s="13">
        <v>45643</v>
      </c>
      <c r="AE2760" s="12">
        <v>27.621700000000001</v>
      </c>
      <c r="AF2760" s="13">
        <v>45643</v>
      </c>
      <c r="AG2760" s="12">
        <v>156.89429999999999</v>
      </c>
    </row>
    <row r="2761" spans="30:33" x14ac:dyDescent="0.2">
      <c r="AD2761" s="13">
        <v>45644</v>
      </c>
      <c r="AE2761" s="12">
        <v>27.457100000000001</v>
      </c>
      <c r="AF2761" s="13">
        <v>45644</v>
      </c>
      <c r="AG2761" s="12">
        <v>154.95670000000001</v>
      </c>
    </row>
    <row r="2762" spans="30:33" x14ac:dyDescent="0.2">
      <c r="AD2762" s="13">
        <v>45645</v>
      </c>
      <c r="AE2762" s="12">
        <v>27.389900000000001</v>
      </c>
      <c r="AF2762" s="13">
        <v>45645</v>
      </c>
      <c r="AG2762" s="12">
        <v>154.11789999999999</v>
      </c>
    </row>
    <row r="2763" spans="30:33" x14ac:dyDescent="0.2">
      <c r="AD2763" s="13">
        <v>45646</v>
      </c>
      <c r="AE2763" s="12">
        <v>27.432600000000001</v>
      </c>
      <c r="AF2763" s="13">
        <v>45646</v>
      </c>
      <c r="AG2763" s="12">
        <v>154.7253</v>
      </c>
    </row>
    <row r="2764" spans="30:33" x14ac:dyDescent="0.2">
      <c r="AD2764" s="13">
        <v>45649</v>
      </c>
      <c r="AE2764" s="12">
        <v>27.359400000000001</v>
      </c>
      <c r="AF2764" s="13">
        <v>45649</v>
      </c>
      <c r="AG2764" s="12">
        <v>154.27690000000001</v>
      </c>
    </row>
    <row r="2765" spans="30:33" x14ac:dyDescent="0.2">
      <c r="AD2765" s="13">
        <v>45650</v>
      </c>
      <c r="AE2765" s="12">
        <v>27.377700000000001</v>
      </c>
      <c r="AF2765" s="13">
        <v>45650</v>
      </c>
      <c r="AG2765" s="12">
        <v>154.7542</v>
      </c>
    </row>
    <row r="2766" spans="30:33" x14ac:dyDescent="0.2">
      <c r="AD2766" s="13">
        <v>45652</v>
      </c>
      <c r="AE2766" s="12">
        <v>27.396000000000001</v>
      </c>
      <c r="AF2766" s="13">
        <v>45652</v>
      </c>
      <c r="AG2766" s="12">
        <v>154.8989</v>
      </c>
    </row>
    <row r="2767" spans="30:33" x14ac:dyDescent="0.2">
      <c r="AD2767" s="13">
        <v>45653</v>
      </c>
      <c r="AE2767" s="12">
        <v>27.341100000000001</v>
      </c>
      <c r="AF2767" s="13">
        <v>45653</v>
      </c>
      <c r="AG2767" s="12">
        <v>154.24799999999999</v>
      </c>
    </row>
    <row r="2768" spans="30:33" x14ac:dyDescent="0.2">
      <c r="AD2768" s="13">
        <v>45656</v>
      </c>
      <c r="AE2768" s="12">
        <v>27.444900000000001</v>
      </c>
      <c r="AF2768" s="13">
        <v>45656</v>
      </c>
      <c r="AG2768" s="12">
        <v>154.91329999999999</v>
      </c>
    </row>
    <row r="2769" spans="30:33" x14ac:dyDescent="0.2">
      <c r="AD2769" s="13">
        <v>45657</v>
      </c>
      <c r="AE2769" s="12">
        <v>28.061499999999999</v>
      </c>
      <c r="AF2769" s="13">
        <v>45657</v>
      </c>
      <c r="AG2769" s="12">
        <v>154.52279999999999</v>
      </c>
    </row>
    <row r="2770" spans="30:33" x14ac:dyDescent="0.2">
      <c r="AD2770" s="13">
        <v>45659</v>
      </c>
      <c r="AE2770" s="12">
        <v>27.432600000000001</v>
      </c>
      <c r="AF2770" s="13">
        <v>45659</v>
      </c>
      <c r="AG2770" s="12">
        <v>154.53729999999999</v>
      </c>
    </row>
    <row r="2771" spans="30:33" x14ac:dyDescent="0.2">
      <c r="AD2771" s="13">
        <v>45660</v>
      </c>
      <c r="AE2771" s="12">
        <v>27.402100000000001</v>
      </c>
      <c r="AF2771" s="13">
        <v>45660</v>
      </c>
      <c r="AG2771" s="12">
        <v>154.17570000000001</v>
      </c>
    </row>
    <row r="2772" spans="30:33" x14ac:dyDescent="0.2">
      <c r="AD2772" s="13">
        <v>45663</v>
      </c>
      <c r="AE2772" s="12">
        <v>27.389900000000001</v>
      </c>
      <c r="AF2772" s="13">
        <v>45663</v>
      </c>
      <c r="AG2772" s="12">
        <v>153.7852</v>
      </c>
    </row>
    <row r="2773" spans="30:33" x14ac:dyDescent="0.2">
      <c r="AD2773" s="13">
        <v>45664</v>
      </c>
      <c r="AE2773" s="12">
        <v>27.292200000000001</v>
      </c>
      <c r="AF2773" s="13">
        <v>45664</v>
      </c>
      <c r="AG2773" s="12">
        <v>153.07650000000001</v>
      </c>
    </row>
    <row r="2774" spans="30:33" x14ac:dyDescent="0.2">
      <c r="AD2774" s="13">
        <v>45665</v>
      </c>
      <c r="AE2774" s="12">
        <v>27.322700000000001</v>
      </c>
      <c r="AF2774" s="13">
        <v>45665</v>
      </c>
      <c r="AG2774" s="12">
        <v>153.32239999999999</v>
      </c>
    </row>
    <row r="2775" spans="30:33" x14ac:dyDescent="0.2">
      <c r="AD2775" s="13">
        <v>45667</v>
      </c>
      <c r="AE2775" s="12">
        <v>27.194500000000001</v>
      </c>
      <c r="AF2775" s="13">
        <v>45667</v>
      </c>
      <c r="AG2775" s="12">
        <v>152.4401</v>
      </c>
    </row>
    <row r="2776" spans="30:33" x14ac:dyDescent="0.2">
      <c r="AD2776" s="13">
        <v>45670</v>
      </c>
      <c r="AE2776" s="12">
        <v>27.176200000000001</v>
      </c>
      <c r="AF2776" s="13">
        <v>45670</v>
      </c>
      <c r="AG2776" s="12">
        <v>152.00630000000001</v>
      </c>
    </row>
    <row r="2777" spans="30:33" x14ac:dyDescent="0.2">
      <c r="AD2777" s="13">
        <v>45671</v>
      </c>
      <c r="AE2777" s="12">
        <v>27.170100000000001</v>
      </c>
      <c r="AF2777" s="13">
        <v>45671</v>
      </c>
      <c r="AG2777" s="12">
        <v>152.1798</v>
      </c>
    </row>
    <row r="2778" spans="30:33" x14ac:dyDescent="0.2">
      <c r="AD2778" s="13">
        <v>45672</v>
      </c>
      <c r="AE2778" s="12">
        <v>27.365500000000001</v>
      </c>
      <c r="AF2778" s="13">
        <v>45672</v>
      </c>
      <c r="AG2778" s="12">
        <v>154.00219999999999</v>
      </c>
    </row>
    <row r="2779" spans="30:33" x14ac:dyDescent="0.2">
      <c r="AD2779" s="13">
        <v>45673</v>
      </c>
      <c r="AE2779" s="12">
        <v>27.420400000000001</v>
      </c>
      <c r="AF2779" s="13">
        <v>45673</v>
      </c>
      <c r="AG2779" s="12">
        <v>154.30590000000001</v>
      </c>
    </row>
    <row r="2780" spans="30:33" x14ac:dyDescent="0.2">
      <c r="AD2780" s="13">
        <v>45674</v>
      </c>
      <c r="AE2780" s="12">
        <v>27.420400000000001</v>
      </c>
      <c r="AF2780" s="13">
        <v>45674</v>
      </c>
      <c r="AG2780" s="12">
        <v>154.43600000000001</v>
      </c>
    </row>
    <row r="2781" spans="30:33" x14ac:dyDescent="0.2">
      <c r="AD2781" s="13">
        <v>45678</v>
      </c>
      <c r="AE2781" s="12">
        <v>27.4937</v>
      </c>
      <c r="AF2781" s="13">
        <v>45678</v>
      </c>
      <c r="AG2781" s="12">
        <v>155.33269999999999</v>
      </c>
    </row>
    <row r="2782" spans="30:33" x14ac:dyDescent="0.2">
      <c r="AD2782" s="13">
        <v>45679</v>
      </c>
      <c r="AE2782" s="12">
        <v>27.451000000000001</v>
      </c>
      <c r="AF2782" s="13">
        <v>45679</v>
      </c>
      <c r="AG2782" s="12">
        <v>154.84100000000001</v>
      </c>
    </row>
    <row r="2783" spans="30:33" x14ac:dyDescent="0.2">
      <c r="AD2783" s="13">
        <v>45680</v>
      </c>
      <c r="AE2783" s="12">
        <v>27.389900000000001</v>
      </c>
      <c r="AF2783" s="13">
        <v>45680</v>
      </c>
      <c r="AG2783" s="12">
        <v>154.6241</v>
      </c>
    </row>
    <row r="2784" spans="30:33" x14ac:dyDescent="0.2">
      <c r="AD2784" s="13">
        <v>45681</v>
      </c>
      <c r="AE2784" s="12">
        <v>27.451000000000001</v>
      </c>
      <c r="AF2784" s="13">
        <v>45681</v>
      </c>
      <c r="AG2784" s="12">
        <v>154.92779999999999</v>
      </c>
    </row>
    <row r="2785" spans="30:33" x14ac:dyDescent="0.2">
      <c r="AD2785" s="13">
        <v>45684</v>
      </c>
      <c r="AE2785" s="12">
        <v>27.5853</v>
      </c>
      <c r="AF2785" s="13">
        <v>45684</v>
      </c>
      <c r="AG2785" s="12">
        <v>155.99799999999999</v>
      </c>
    </row>
    <row r="2786" spans="30:33" x14ac:dyDescent="0.2">
      <c r="AD2786" s="13">
        <v>45685</v>
      </c>
      <c r="AE2786" s="12">
        <v>27.5792</v>
      </c>
      <c r="AF2786" s="13">
        <v>45685</v>
      </c>
      <c r="AG2786" s="12">
        <v>155.78110000000001</v>
      </c>
    </row>
    <row r="2787" spans="30:33" x14ac:dyDescent="0.2">
      <c r="AD2787" s="13">
        <v>45686</v>
      </c>
      <c r="AE2787" s="12">
        <v>27.5487</v>
      </c>
      <c r="AF2787" s="13">
        <v>45686</v>
      </c>
      <c r="AG2787" s="12">
        <v>155.57859999999999</v>
      </c>
    </row>
    <row r="2788" spans="30:33" x14ac:dyDescent="0.2">
      <c r="AD2788" s="13">
        <v>45687</v>
      </c>
      <c r="AE2788" s="12">
        <v>27.5975</v>
      </c>
      <c r="AF2788" s="13">
        <v>45687</v>
      </c>
      <c r="AG2788" s="12">
        <v>155.92570000000001</v>
      </c>
    </row>
    <row r="2789" spans="30:33" x14ac:dyDescent="0.2">
      <c r="AD2789" s="13">
        <v>45688</v>
      </c>
      <c r="AE2789" s="12">
        <v>27.5731</v>
      </c>
      <c r="AF2789" s="13">
        <v>45688</v>
      </c>
      <c r="AG2789" s="12">
        <v>155.4195</v>
      </c>
    </row>
    <row r="2790" spans="30:33" x14ac:dyDescent="0.2">
      <c r="AD2790" s="13">
        <v>45691</v>
      </c>
      <c r="AE2790" s="12">
        <v>27.5943</v>
      </c>
      <c r="AF2790" s="13">
        <v>45691</v>
      </c>
      <c r="AG2790" s="12">
        <v>155.66390000000001</v>
      </c>
    </row>
    <row r="2791" spans="30:33" x14ac:dyDescent="0.2">
      <c r="AD2791" s="13">
        <v>45692</v>
      </c>
      <c r="AE2791" s="12">
        <v>27.6372</v>
      </c>
      <c r="AF2791" s="13">
        <v>45692</v>
      </c>
      <c r="AG2791" s="12">
        <v>155.96870000000001</v>
      </c>
    </row>
    <row r="2792" spans="30:33" x14ac:dyDescent="0.2">
      <c r="AD2792" s="13">
        <v>45693</v>
      </c>
      <c r="AE2792" s="12">
        <v>27.765799999999999</v>
      </c>
      <c r="AF2792" s="13">
        <v>45693</v>
      </c>
      <c r="AG2792" s="12">
        <v>157.0574</v>
      </c>
    </row>
    <row r="2793" spans="30:33" x14ac:dyDescent="0.2">
      <c r="AD2793" s="13">
        <v>45694</v>
      </c>
      <c r="AE2793" s="12">
        <v>27.753499999999999</v>
      </c>
      <c r="AF2793" s="13">
        <v>45694</v>
      </c>
      <c r="AG2793" s="12">
        <v>156.7671</v>
      </c>
    </row>
    <row r="2794" spans="30:33" x14ac:dyDescent="0.2">
      <c r="AD2794" s="13">
        <v>45695</v>
      </c>
      <c r="AE2794" s="12">
        <v>27.6678</v>
      </c>
      <c r="AF2794" s="13">
        <v>45695</v>
      </c>
      <c r="AG2794" s="12">
        <v>156.0849</v>
      </c>
    </row>
    <row r="2795" spans="30:33" x14ac:dyDescent="0.2">
      <c r="AD2795" s="13">
        <v>45698</v>
      </c>
      <c r="AE2795" s="12">
        <v>27.6617</v>
      </c>
      <c r="AF2795" s="13">
        <v>45698</v>
      </c>
      <c r="AG2795" s="12">
        <v>156.1284</v>
      </c>
    </row>
    <row r="2796" spans="30:33" x14ac:dyDescent="0.2">
      <c r="AD2796" s="13">
        <v>45699</v>
      </c>
      <c r="AE2796" s="12">
        <v>27.6188</v>
      </c>
      <c r="AF2796" s="13">
        <v>45699</v>
      </c>
      <c r="AG2796" s="12">
        <v>155.78</v>
      </c>
    </row>
    <row r="2797" spans="30:33" x14ac:dyDescent="0.2">
      <c r="AD2797" s="13">
        <v>45700</v>
      </c>
      <c r="AE2797" s="12">
        <v>27.471800000000002</v>
      </c>
      <c r="AF2797" s="13">
        <v>45700</v>
      </c>
      <c r="AG2797" s="12">
        <v>154.93809999999999</v>
      </c>
    </row>
    <row r="2798" spans="30:33" x14ac:dyDescent="0.2">
      <c r="AD2798" s="13">
        <v>45701</v>
      </c>
      <c r="AE2798" s="12">
        <v>27.6249</v>
      </c>
      <c r="AF2798" s="13">
        <v>45701</v>
      </c>
      <c r="AG2798" s="12">
        <v>156.1429</v>
      </c>
    </row>
    <row r="2799" spans="30:33" x14ac:dyDescent="0.2">
      <c r="AD2799" s="13">
        <v>45702</v>
      </c>
      <c r="AE2799" s="12">
        <v>27.710699999999999</v>
      </c>
      <c r="AF2799" s="13">
        <v>45702</v>
      </c>
      <c r="AG2799" s="12">
        <v>156.7526</v>
      </c>
    </row>
    <row r="2800" spans="30:33" x14ac:dyDescent="0.2">
      <c r="AD2800" s="13">
        <v>45706</v>
      </c>
      <c r="AE2800" s="12">
        <v>27.6005</v>
      </c>
      <c r="AF2800" s="13">
        <v>45706</v>
      </c>
      <c r="AG2800" s="12">
        <v>156.1139</v>
      </c>
    </row>
    <row r="2801" spans="30:33" x14ac:dyDescent="0.2">
      <c r="AD2801" s="13">
        <v>45707</v>
      </c>
      <c r="AE2801" s="12">
        <v>27.6372</v>
      </c>
      <c r="AF2801" s="13">
        <v>45707</v>
      </c>
      <c r="AG2801" s="12">
        <v>156.20099999999999</v>
      </c>
    </row>
    <row r="2802" spans="30:33" x14ac:dyDescent="0.2">
      <c r="AD2802" s="13">
        <v>45708</v>
      </c>
      <c r="AE2802" s="12">
        <v>27.6739</v>
      </c>
      <c r="AF2802" s="13">
        <v>45708</v>
      </c>
      <c r="AG2802" s="12">
        <v>156.57839999999999</v>
      </c>
    </row>
    <row r="2803" spans="30:33" x14ac:dyDescent="0.2">
      <c r="AD2803" s="13">
        <v>45709</v>
      </c>
      <c r="AE2803" s="12">
        <v>27.796399999999998</v>
      </c>
      <c r="AF2803" s="13">
        <v>45709</v>
      </c>
      <c r="AG2803" s="12">
        <v>157.13</v>
      </c>
    </row>
    <row r="2804" spans="30:33" x14ac:dyDescent="0.2">
      <c r="AD2804" s="13">
        <v>45712</v>
      </c>
      <c r="AE2804" s="12">
        <v>27.845400000000001</v>
      </c>
      <c r="AF2804" s="13">
        <v>45712</v>
      </c>
      <c r="AG2804" s="12">
        <v>157.53639999999999</v>
      </c>
    </row>
    <row r="2805" spans="30:33" x14ac:dyDescent="0.2">
      <c r="AD2805" s="13">
        <v>45713</v>
      </c>
      <c r="AE2805" s="12">
        <v>28.0046</v>
      </c>
      <c r="AF2805" s="13">
        <v>45713</v>
      </c>
      <c r="AG2805" s="12">
        <v>158.74119999999999</v>
      </c>
    </row>
    <row r="2806" spans="30:33" x14ac:dyDescent="0.2">
      <c r="AD2806" s="13">
        <v>45714</v>
      </c>
      <c r="AE2806" s="12">
        <v>28.071999999999999</v>
      </c>
      <c r="AF2806" s="13">
        <v>45714</v>
      </c>
      <c r="AG2806" s="12">
        <v>159.07509999999999</v>
      </c>
    </row>
    <row r="2807" spans="30:33" x14ac:dyDescent="0.2">
      <c r="AD2807" s="13">
        <v>45715</v>
      </c>
      <c r="AE2807" s="12">
        <v>28.041399999999999</v>
      </c>
      <c r="AF2807" s="13">
        <v>45715</v>
      </c>
      <c r="AG2807" s="12">
        <v>158.40729999999999</v>
      </c>
    </row>
    <row r="2808" spans="30:33" x14ac:dyDescent="0.2">
      <c r="AD2808" s="13">
        <v>45716</v>
      </c>
      <c r="AE2808" s="12">
        <v>28.17</v>
      </c>
      <c r="AF2808" s="13">
        <v>45716</v>
      </c>
      <c r="AG2808" s="12">
        <v>159.10409999999999</v>
      </c>
    </row>
    <row r="2809" spans="30:33" x14ac:dyDescent="0.2">
      <c r="AD2809" s="13">
        <v>45719</v>
      </c>
      <c r="AE2809" s="12">
        <v>28.226700000000001</v>
      </c>
      <c r="AF2809" s="13">
        <v>45719</v>
      </c>
      <c r="AG2809" s="12">
        <v>159.6045</v>
      </c>
    </row>
    <row r="2810" spans="30:33" x14ac:dyDescent="0.2">
      <c r="AD2810" s="13">
        <v>45720</v>
      </c>
      <c r="AE2810" s="12">
        <v>28.159199999999998</v>
      </c>
      <c r="AF2810" s="13">
        <v>45720</v>
      </c>
      <c r="AG2810" s="12">
        <v>159.08000000000001</v>
      </c>
    </row>
    <row r="2811" spans="30:33" x14ac:dyDescent="0.2">
      <c r="AD2811" s="13">
        <v>45721</v>
      </c>
      <c r="AE2811" s="12">
        <v>28.0486</v>
      </c>
      <c r="AF2811" s="13">
        <v>45721</v>
      </c>
      <c r="AG2811" s="12">
        <v>158.57</v>
      </c>
    </row>
    <row r="2812" spans="30:33" x14ac:dyDescent="0.2">
      <c r="AD2812" s="13">
        <v>45722</v>
      </c>
      <c r="AE2812" s="12">
        <v>28.0425</v>
      </c>
      <c r="AF2812" s="13">
        <v>45722</v>
      </c>
      <c r="AG2812" s="12">
        <v>158.0746</v>
      </c>
    </row>
    <row r="2813" spans="30:33" x14ac:dyDescent="0.2">
      <c r="AD2813" s="13">
        <v>45723</v>
      </c>
      <c r="AE2813" s="12">
        <v>28.005600000000001</v>
      </c>
      <c r="AF2813" s="13">
        <v>45723</v>
      </c>
      <c r="AG2813" s="12">
        <v>157.82689999999999</v>
      </c>
    </row>
    <row r="2814" spans="30:33" x14ac:dyDescent="0.2">
      <c r="AD2814" s="13">
        <v>45726</v>
      </c>
      <c r="AE2814" s="12">
        <v>28.152999999999999</v>
      </c>
      <c r="AF2814" s="13">
        <v>45726</v>
      </c>
      <c r="AG2814" s="12">
        <v>158.36600000000001</v>
      </c>
    </row>
    <row r="2815" spans="30:33" x14ac:dyDescent="0.2">
      <c r="AD2815" s="13">
        <v>45727</v>
      </c>
      <c r="AE2815" s="12">
        <v>28.0793</v>
      </c>
      <c r="AF2815" s="13">
        <v>45727</v>
      </c>
      <c r="AG2815" s="12">
        <v>157.33150000000001</v>
      </c>
    </row>
    <row r="2816" spans="30:33" x14ac:dyDescent="0.2">
      <c r="AD2816" s="13">
        <v>45728</v>
      </c>
      <c r="AE2816" s="12">
        <v>28.005600000000001</v>
      </c>
      <c r="AF2816" s="13">
        <v>45728</v>
      </c>
      <c r="AG2816" s="12">
        <v>156.86529999999999</v>
      </c>
    </row>
    <row r="2817" spans="30:33" x14ac:dyDescent="0.2">
      <c r="AD2817" s="13">
        <v>45729</v>
      </c>
      <c r="AE2817" s="12">
        <v>28.0977</v>
      </c>
      <c r="AF2817" s="13">
        <v>45729</v>
      </c>
      <c r="AG2817" s="12">
        <v>157.36060000000001</v>
      </c>
    </row>
    <row r="2818" spans="30:33" x14ac:dyDescent="0.2">
      <c r="AD2818" s="13">
        <v>45730</v>
      </c>
      <c r="AE2818" s="12">
        <v>28.024100000000001</v>
      </c>
      <c r="AF2818" s="13">
        <v>45730</v>
      </c>
      <c r="AG2818" s="12">
        <v>157.2878</v>
      </c>
    </row>
    <row r="2819" spans="30:33" x14ac:dyDescent="0.2">
      <c r="AD2819" s="13">
        <v>45733</v>
      </c>
      <c r="AE2819" s="12">
        <v>28.0425</v>
      </c>
      <c r="AF2819" s="13">
        <v>45733</v>
      </c>
      <c r="AG2819" s="12">
        <v>157.60830000000001</v>
      </c>
    </row>
    <row r="2820" spans="30:33" x14ac:dyDescent="0.2">
      <c r="AD2820" s="13">
        <v>45734</v>
      </c>
      <c r="AE2820" s="12">
        <v>28.0793</v>
      </c>
      <c r="AF2820" s="13">
        <v>45734</v>
      </c>
      <c r="AG2820" s="12">
        <v>157.9872</v>
      </c>
    </row>
    <row r="2821" spans="30:33" x14ac:dyDescent="0.2">
      <c r="AD2821" s="13">
        <v>45735</v>
      </c>
      <c r="AE2821" s="12">
        <v>28.140699999999999</v>
      </c>
      <c r="AF2821" s="13">
        <v>45735</v>
      </c>
      <c r="AG2821" s="12">
        <v>158.91970000000001</v>
      </c>
    </row>
    <row r="2822" spans="30:33" x14ac:dyDescent="0.2">
      <c r="AD2822" s="13">
        <v>45736</v>
      </c>
      <c r="AE2822" s="12">
        <v>28.165299999999998</v>
      </c>
      <c r="AF2822" s="13">
        <v>45736</v>
      </c>
      <c r="AG2822" s="12">
        <v>158.6866</v>
      </c>
    </row>
    <row r="2823" spans="30:33" x14ac:dyDescent="0.2">
      <c r="AD2823" s="13">
        <v>45737</v>
      </c>
      <c r="AE2823" s="12">
        <v>28.146899999999999</v>
      </c>
      <c r="AF2823" s="13">
        <v>45737</v>
      </c>
      <c r="AG2823" s="12">
        <v>158.46799999999999</v>
      </c>
    </row>
    <row r="2824" spans="30:33" x14ac:dyDescent="0.2">
      <c r="AD2824" s="13">
        <v>45740</v>
      </c>
      <c r="AE2824" s="12">
        <v>28.024100000000001</v>
      </c>
      <c r="AF2824" s="13">
        <v>45740</v>
      </c>
      <c r="AG2824" s="12">
        <v>157.78319999999999</v>
      </c>
    </row>
    <row r="2825" spans="30:33" x14ac:dyDescent="0.2">
      <c r="AD2825" s="13">
        <v>45741</v>
      </c>
      <c r="AE2825" s="12">
        <v>28.0486</v>
      </c>
      <c r="AF2825" s="13">
        <v>45741</v>
      </c>
      <c r="AG2825" s="12">
        <v>157.9435</v>
      </c>
    </row>
    <row r="2826" spans="30:33" x14ac:dyDescent="0.2">
      <c r="AD2826" s="13">
        <v>45742</v>
      </c>
      <c r="AE2826" s="12">
        <v>27.993400000000001</v>
      </c>
      <c r="AF2826" s="13">
        <v>45742</v>
      </c>
      <c r="AG2826" s="12">
        <v>157.30240000000001</v>
      </c>
    </row>
    <row r="2827" spans="30:33" x14ac:dyDescent="0.2">
      <c r="AD2827" s="13">
        <v>45743</v>
      </c>
      <c r="AE2827" s="12">
        <v>27.987200000000001</v>
      </c>
      <c r="AF2827" s="13">
        <v>45743</v>
      </c>
      <c r="AG2827" s="12">
        <v>157.1129</v>
      </c>
    </row>
    <row r="2828" spans="30:33" x14ac:dyDescent="0.2">
      <c r="AD2828" s="13">
        <v>45744</v>
      </c>
      <c r="AE2828" s="12">
        <v>28.159199999999998</v>
      </c>
      <c r="AF2828" s="13">
        <v>45744</v>
      </c>
      <c r="AG2828" s="12">
        <v>158.06</v>
      </c>
    </row>
    <row r="2829" spans="30:33" x14ac:dyDescent="0.2">
      <c r="AD2829" s="13">
        <v>45747</v>
      </c>
      <c r="AE2829" s="12">
        <v>28.226700000000001</v>
      </c>
      <c r="AF2829" s="13">
        <v>45747</v>
      </c>
      <c r="AG2829" s="12">
        <v>158.36600000000001</v>
      </c>
    </row>
    <row r="2830" spans="30:33" x14ac:dyDescent="0.2">
      <c r="AD2830" s="13">
        <v>45748</v>
      </c>
      <c r="AE2830" s="12">
        <v>28.296099999999999</v>
      </c>
      <c r="AF2830" s="13">
        <v>45748</v>
      </c>
      <c r="AG2830" s="12">
        <v>158.92959999999999</v>
      </c>
    </row>
    <row r="2831" spans="30:33" x14ac:dyDescent="0.2">
      <c r="AD2831" s="13">
        <v>45749</v>
      </c>
      <c r="AE2831" s="12">
        <v>28.2714</v>
      </c>
      <c r="AF2831" s="13">
        <v>45749</v>
      </c>
      <c r="AG2831" s="12">
        <v>159.29519999999999</v>
      </c>
    </row>
    <row r="2832" spans="30:33" x14ac:dyDescent="0.2">
      <c r="AD2832" s="13">
        <v>45750</v>
      </c>
      <c r="AE2832" s="12">
        <v>28.480799999999999</v>
      </c>
      <c r="AF2832" s="13">
        <v>45750</v>
      </c>
      <c r="AG2832" s="12">
        <v>159.28059999999999</v>
      </c>
    </row>
    <row r="2833" spans="30:33" x14ac:dyDescent="0.2">
      <c r="AD2833" s="13">
        <v>45751</v>
      </c>
      <c r="AE2833" s="12">
        <v>28.542400000000001</v>
      </c>
      <c r="AF2833" s="13">
        <v>45751</v>
      </c>
      <c r="AG2833" s="12">
        <v>159.10509999999999</v>
      </c>
    </row>
    <row r="2834" spans="30:33" x14ac:dyDescent="0.2">
      <c r="AD2834" s="13">
        <v>45754</v>
      </c>
      <c r="AE2834" s="12">
        <v>28.2714</v>
      </c>
      <c r="AF2834" s="13">
        <v>45754</v>
      </c>
      <c r="AG2834" s="12">
        <v>156.0043</v>
      </c>
    </row>
    <row r="2835" spans="30:33" x14ac:dyDescent="0.2">
      <c r="AD2835" s="13">
        <v>45755</v>
      </c>
      <c r="AE2835" s="12">
        <v>28.148199999999999</v>
      </c>
      <c r="AF2835" s="13">
        <v>45755</v>
      </c>
      <c r="AG2835" s="12">
        <v>154.02969999999999</v>
      </c>
    </row>
    <row r="2836" spans="30:33" x14ac:dyDescent="0.2">
      <c r="AD2836" s="13">
        <v>45756</v>
      </c>
      <c r="AE2836" s="12">
        <v>28.1113</v>
      </c>
      <c r="AF2836" s="13">
        <v>45756</v>
      </c>
      <c r="AG2836" s="12">
        <v>156.60400000000001</v>
      </c>
    </row>
    <row r="2837" spans="30:33" x14ac:dyDescent="0.2">
      <c r="AD2837" s="13">
        <v>45757</v>
      </c>
      <c r="AE2837" s="12">
        <v>27.9511</v>
      </c>
      <c r="AF2837" s="13">
        <v>45757</v>
      </c>
      <c r="AG2837" s="12">
        <v>153.94200000000001</v>
      </c>
    </row>
    <row r="2838" spans="30:33" x14ac:dyDescent="0.2">
      <c r="AD2838" s="13">
        <v>45758</v>
      </c>
      <c r="AE2838" s="12">
        <v>27.889500000000002</v>
      </c>
      <c r="AF2838" s="13">
        <v>45758</v>
      </c>
      <c r="AG2838" s="12">
        <v>153.9127</v>
      </c>
    </row>
    <row r="2839" spans="30:33" x14ac:dyDescent="0.2">
      <c r="AD2839" s="13">
        <v>45761</v>
      </c>
      <c r="AE2839" s="12">
        <v>28.024999999999999</v>
      </c>
      <c r="AF2839" s="13">
        <v>45761</v>
      </c>
      <c r="AG2839" s="12">
        <v>154.86340000000001</v>
      </c>
    </row>
    <row r="2840" spans="30:33" x14ac:dyDescent="0.2">
      <c r="AD2840" s="13">
        <v>45762</v>
      </c>
      <c r="AE2840" s="12">
        <v>28.074300000000001</v>
      </c>
      <c r="AF2840" s="13">
        <v>45762</v>
      </c>
      <c r="AG2840" s="12">
        <v>155.69710000000001</v>
      </c>
    </row>
    <row r="2841" spans="30:33" x14ac:dyDescent="0.2">
      <c r="AD2841" s="13">
        <v>45763</v>
      </c>
      <c r="AE2841" s="12">
        <v>28.160599999999999</v>
      </c>
      <c r="AF2841" s="13">
        <v>45763</v>
      </c>
      <c r="AG2841" s="12">
        <v>156.3553</v>
      </c>
    </row>
    <row r="2842" spans="30:33" x14ac:dyDescent="0.2">
      <c r="AD2842" s="13">
        <v>45764</v>
      </c>
      <c r="AE2842" s="12">
        <v>28.099</v>
      </c>
      <c r="AF2842" s="13">
        <v>45764</v>
      </c>
      <c r="AG2842" s="12">
        <v>156.13589999999999</v>
      </c>
    </row>
    <row r="2843" spans="30:33" x14ac:dyDescent="0.2">
      <c r="AD2843" s="13">
        <v>45768</v>
      </c>
      <c r="AE2843" s="12">
        <v>27.9819</v>
      </c>
      <c r="AF2843" s="13">
        <v>45768</v>
      </c>
      <c r="AG2843" s="12">
        <v>154.4539</v>
      </c>
    </row>
    <row r="2844" spans="30:33" x14ac:dyDescent="0.2">
      <c r="AD2844" s="13">
        <v>45769</v>
      </c>
      <c r="AE2844" s="12">
        <v>28.012699999999999</v>
      </c>
      <c r="AF2844" s="13">
        <v>45769</v>
      </c>
      <c r="AG2844" s="12">
        <v>154.83420000000001</v>
      </c>
    </row>
    <row r="2845" spans="30:33" x14ac:dyDescent="0.2">
      <c r="AD2845" s="13">
        <v>45770</v>
      </c>
      <c r="AE2845" s="12">
        <v>28.049700000000001</v>
      </c>
      <c r="AF2845" s="13">
        <v>45770</v>
      </c>
      <c r="AG2845" s="12">
        <v>155.52160000000001</v>
      </c>
    </row>
    <row r="2846" spans="30:33" x14ac:dyDescent="0.2">
      <c r="AD2846" s="13">
        <v>45771</v>
      </c>
      <c r="AE2846" s="12">
        <v>28.160599999999999</v>
      </c>
      <c r="AF2846" s="13">
        <v>45771</v>
      </c>
      <c r="AG2846" s="12">
        <v>157.11590000000001</v>
      </c>
    </row>
    <row r="2847" spans="30:33" x14ac:dyDescent="0.2">
      <c r="AD2847" s="13">
        <v>45772</v>
      </c>
      <c r="AE2847" s="12">
        <v>28.234500000000001</v>
      </c>
      <c r="AF2847" s="13">
        <v>45772</v>
      </c>
      <c r="AG2847" s="12">
        <v>157.9496</v>
      </c>
    </row>
    <row r="2848" spans="30:33" x14ac:dyDescent="0.2">
      <c r="AD2848" s="13">
        <v>45775</v>
      </c>
      <c r="AE2848" s="12">
        <v>28.320699999999999</v>
      </c>
      <c r="AF2848" s="13">
        <v>45775</v>
      </c>
      <c r="AG2848" s="12">
        <v>158.31530000000001</v>
      </c>
    </row>
    <row r="2849" spans="30:33" x14ac:dyDescent="0.2">
      <c r="AD2849" s="13">
        <v>45776</v>
      </c>
      <c r="AE2849" s="12">
        <v>28.4069</v>
      </c>
      <c r="AF2849" s="13">
        <v>45776</v>
      </c>
      <c r="AG2849" s="12">
        <v>158.68090000000001</v>
      </c>
    </row>
    <row r="2850" spans="30:33" x14ac:dyDescent="0.2">
      <c r="AD2850" s="13">
        <v>45777</v>
      </c>
      <c r="AE2850" s="12">
        <v>28.4316</v>
      </c>
      <c r="AF2850" s="13">
        <v>45777</v>
      </c>
      <c r="AG2850" s="12">
        <v>157.935</v>
      </c>
    </row>
    <row r="2851" spans="30:33" x14ac:dyDescent="0.2">
      <c r="AD2851" s="13">
        <v>45778</v>
      </c>
      <c r="AE2851" s="12">
        <v>28.301100000000002</v>
      </c>
      <c r="AF2851" s="13">
        <v>45778</v>
      </c>
      <c r="AG2851" s="12">
        <v>157.38200000000001</v>
      </c>
    </row>
    <row r="2852" spans="30:33" x14ac:dyDescent="0.2">
      <c r="AD2852" s="13">
        <v>45779</v>
      </c>
      <c r="AE2852" s="12">
        <v>28.177600000000002</v>
      </c>
      <c r="AF2852" s="13">
        <v>45779</v>
      </c>
      <c r="AG2852" s="12">
        <v>157.00020000000001</v>
      </c>
    </row>
    <row r="2853" spans="30:33" x14ac:dyDescent="0.2">
      <c r="AD2853" s="13">
        <v>45782</v>
      </c>
      <c r="AE2853" s="12">
        <v>28.1282</v>
      </c>
      <c r="AF2853" s="13">
        <v>45782</v>
      </c>
      <c r="AG2853" s="12">
        <v>156.7799</v>
      </c>
    </row>
    <row r="2854" spans="30:33" x14ac:dyDescent="0.2">
      <c r="AD2854" s="13">
        <v>45783</v>
      </c>
      <c r="AE2854" s="12">
        <v>28.177600000000002</v>
      </c>
      <c r="AF2854" s="13">
        <v>45783</v>
      </c>
      <c r="AG2854" s="12">
        <v>157.0883</v>
      </c>
    </row>
    <row r="2855" spans="30:33" x14ac:dyDescent="0.2">
      <c r="AD2855" s="13">
        <v>45784</v>
      </c>
      <c r="AE2855" s="12">
        <v>28.2209</v>
      </c>
      <c r="AF2855" s="13">
        <v>45784</v>
      </c>
      <c r="AG2855" s="12">
        <v>157.41139999999999</v>
      </c>
    </row>
    <row r="2856" spans="30:33" x14ac:dyDescent="0.2">
      <c r="AD2856" s="13">
        <v>45785</v>
      </c>
      <c r="AE2856" s="12">
        <v>28.066400000000002</v>
      </c>
      <c r="AF2856" s="13">
        <v>45785</v>
      </c>
      <c r="AG2856" s="12">
        <v>156.61840000000001</v>
      </c>
    </row>
    <row r="2857" spans="30:33" x14ac:dyDescent="0.2">
      <c r="AD2857" s="13">
        <v>45786</v>
      </c>
      <c r="AE2857" s="12">
        <v>28.091100000000001</v>
      </c>
      <c r="AF2857" s="13">
        <v>45786</v>
      </c>
      <c r="AG2857" s="12">
        <v>156.55959999999999</v>
      </c>
    </row>
    <row r="2858" spans="30:33" x14ac:dyDescent="0.2">
      <c r="AD2858" s="13">
        <v>45789</v>
      </c>
      <c r="AE2858" s="12">
        <v>27.955300000000001</v>
      </c>
      <c r="AF2858" s="13">
        <v>45789</v>
      </c>
      <c r="AG2858" s="12">
        <v>156.53030000000001</v>
      </c>
    </row>
    <row r="2859" spans="30:33" x14ac:dyDescent="0.2">
      <c r="AD2859" s="13">
        <v>45790</v>
      </c>
      <c r="AE2859" s="12">
        <v>27.924399999999999</v>
      </c>
      <c r="AF2859" s="13">
        <v>45790</v>
      </c>
      <c r="AG2859" s="12">
        <v>156.66239999999999</v>
      </c>
    </row>
    <row r="2860" spans="30:33" x14ac:dyDescent="0.2">
      <c r="AD2860" s="13">
        <v>45791</v>
      </c>
      <c r="AE2860" s="12">
        <v>27.844100000000001</v>
      </c>
      <c r="AF2860" s="13">
        <v>45791</v>
      </c>
      <c r="AG2860" s="12">
        <v>155.86940000000001</v>
      </c>
    </row>
    <row r="2861" spans="30:33" x14ac:dyDescent="0.2">
      <c r="AD2861" s="13">
        <v>45792</v>
      </c>
      <c r="AE2861" s="12">
        <v>27.9861</v>
      </c>
      <c r="AF2861" s="13">
        <v>45792</v>
      </c>
      <c r="AG2861" s="12">
        <v>156.9855</v>
      </c>
    </row>
    <row r="2862" spans="30:33" x14ac:dyDescent="0.2">
      <c r="AD2862" s="13">
        <v>45793</v>
      </c>
      <c r="AE2862" s="12">
        <v>27.9985</v>
      </c>
      <c r="AF2862" s="13">
        <v>45793</v>
      </c>
      <c r="AG2862" s="12">
        <v>157.2792</v>
      </c>
    </row>
    <row r="2863" spans="30:33" x14ac:dyDescent="0.2">
      <c r="AD2863" s="13">
        <v>45796</v>
      </c>
      <c r="AE2863" s="12">
        <v>27.9861</v>
      </c>
      <c r="AF2863" s="13">
        <v>45796</v>
      </c>
      <c r="AG2863" s="12">
        <v>157.29390000000001</v>
      </c>
    </row>
    <row r="2864" spans="30:33" x14ac:dyDescent="0.2">
      <c r="AD2864" s="13">
        <v>45797</v>
      </c>
      <c r="AE2864" s="12">
        <v>27.949100000000001</v>
      </c>
      <c r="AF2864" s="13">
        <v>45797</v>
      </c>
      <c r="AG2864" s="12">
        <v>156.91210000000001</v>
      </c>
    </row>
    <row r="2865" spans="30:33" x14ac:dyDescent="0.2">
      <c r="AD2865" s="13">
        <v>45798</v>
      </c>
      <c r="AE2865" s="12">
        <v>27.806999999999999</v>
      </c>
      <c r="AF2865" s="13">
        <v>45798</v>
      </c>
      <c r="AG2865" s="12">
        <v>155.1645</v>
      </c>
    </row>
    <row r="2866" spans="30:33" x14ac:dyDescent="0.2">
      <c r="AD2866" s="13">
        <v>45799</v>
      </c>
      <c r="AE2866" s="12">
        <v>27.8688</v>
      </c>
      <c r="AF2866" s="13">
        <v>45799</v>
      </c>
      <c r="AG2866" s="12">
        <v>155.95750000000001</v>
      </c>
    </row>
    <row r="2867" spans="30:33" x14ac:dyDescent="0.2">
      <c r="AD2867" s="13">
        <v>45800</v>
      </c>
      <c r="AE2867" s="12">
        <v>27.918199999999999</v>
      </c>
      <c r="AF2867" s="13">
        <v>45800</v>
      </c>
      <c r="AG2867" s="12">
        <v>156.07499999999999</v>
      </c>
    </row>
    <row r="2868" spans="30:33" x14ac:dyDescent="0.2">
      <c r="AD2868" s="13">
        <v>45804</v>
      </c>
      <c r="AE2868" s="12">
        <v>28.016999999999999</v>
      </c>
      <c r="AF2868" s="13">
        <v>45804</v>
      </c>
      <c r="AG2868" s="12">
        <v>157.48480000000001</v>
      </c>
    </row>
    <row r="2869" spans="30:33" x14ac:dyDescent="0.2">
      <c r="AD2869" s="13">
        <v>45805</v>
      </c>
      <c r="AE2869" s="12">
        <v>27.967600000000001</v>
      </c>
      <c r="AF2869" s="13">
        <v>45805</v>
      </c>
      <c r="AG2869" s="12">
        <v>157.10300000000001</v>
      </c>
    </row>
    <row r="2870" spans="30:33" x14ac:dyDescent="0.2">
      <c r="AD2870" s="13">
        <v>45806</v>
      </c>
      <c r="AE2870" s="12">
        <v>28.060300000000002</v>
      </c>
      <c r="AF2870" s="13">
        <v>45806</v>
      </c>
      <c r="AG2870" s="12">
        <v>157.80789999999999</v>
      </c>
    </row>
    <row r="2871" spans="30:33" x14ac:dyDescent="0.2">
      <c r="AD2871" s="13">
        <v>45807</v>
      </c>
      <c r="AE2871" s="12">
        <v>28.1158</v>
      </c>
      <c r="AF2871" s="13">
        <v>45807</v>
      </c>
      <c r="AG2871" s="12">
        <v>158.26310000000001</v>
      </c>
    </row>
    <row r="2872" spans="30:33" x14ac:dyDescent="0.2">
      <c r="AD2872" s="13">
        <v>45810</v>
      </c>
      <c r="AE2872" s="12">
        <v>28.026900000000001</v>
      </c>
      <c r="AF2872" s="13">
        <v>45810</v>
      </c>
      <c r="AG2872" s="12">
        <v>157.81720000000001</v>
      </c>
    </row>
    <row r="2873" spans="30:33" x14ac:dyDescent="0.2">
      <c r="AD2873" s="13">
        <v>45811</v>
      </c>
      <c r="AE2873" s="12">
        <v>28.002199999999998</v>
      </c>
      <c r="AF2873" s="13">
        <v>45811</v>
      </c>
      <c r="AG2873" s="12">
        <v>157.89089999999999</v>
      </c>
    </row>
    <row r="2874" spans="30:33" x14ac:dyDescent="0.2">
      <c r="AD2874" s="13">
        <v>45812</v>
      </c>
      <c r="AE2874" s="12">
        <v>28.175599999999999</v>
      </c>
      <c r="AF2874" s="13">
        <v>45812</v>
      </c>
      <c r="AG2874" s="12">
        <v>159.04060000000001</v>
      </c>
    </row>
    <row r="2875" spans="30:33" x14ac:dyDescent="0.2">
      <c r="AD2875" s="13">
        <v>45813</v>
      </c>
      <c r="AE2875" s="12">
        <v>28.126100000000001</v>
      </c>
      <c r="AF2875" s="13">
        <v>45813</v>
      </c>
      <c r="AG2875" s="12">
        <v>158.55410000000001</v>
      </c>
    </row>
    <row r="2876" spans="30:33" x14ac:dyDescent="0.2">
      <c r="AD2876" s="13">
        <v>45814</v>
      </c>
      <c r="AE2876" s="12">
        <v>27.977399999999999</v>
      </c>
      <c r="AF2876" s="13">
        <v>45814</v>
      </c>
      <c r="AG2876" s="12">
        <v>157.59610000000001</v>
      </c>
    </row>
    <row r="2877" spans="30:33" x14ac:dyDescent="0.2">
      <c r="AD2877" s="13">
        <v>45817</v>
      </c>
      <c r="AE2877" s="12">
        <v>28.008400000000002</v>
      </c>
      <c r="AF2877" s="13">
        <v>45817</v>
      </c>
      <c r="AG2877" s="12">
        <v>158.0677</v>
      </c>
    </row>
    <row r="2878" spans="30:33" x14ac:dyDescent="0.2">
      <c r="AD2878" s="13">
        <v>45818</v>
      </c>
      <c r="AE2878" s="12">
        <v>28.039300000000001</v>
      </c>
      <c r="AF2878" s="13">
        <v>45818</v>
      </c>
      <c r="AG2878" s="12">
        <v>158.45099999999999</v>
      </c>
    </row>
    <row r="2879" spans="30:33" x14ac:dyDescent="0.2">
      <c r="AD2879" s="13">
        <v>45819</v>
      </c>
      <c r="AE2879" s="12">
        <v>28.113700000000001</v>
      </c>
      <c r="AF2879" s="13">
        <v>45819</v>
      </c>
      <c r="AG2879" s="12">
        <v>158.9521</v>
      </c>
    </row>
    <row r="2880" spans="30:33" x14ac:dyDescent="0.2">
      <c r="AD2880" s="13">
        <v>45820</v>
      </c>
      <c r="AE2880" s="12">
        <v>28.212800000000001</v>
      </c>
      <c r="AF2880" s="13">
        <v>45820</v>
      </c>
      <c r="AG2880" s="12">
        <v>159.8365</v>
      </c>
    </row>
    <row r="2881" spans="30:33" x14ac:dyDescent="0.2">
      <c r="AD2881" s="13">
        <v>45821</v>
      </c>
      <c r="AE2881" s="12">
        <v>28.126100000000001</v>
      </c>
      <c r="AF2881" s="13">
        <v>45821</v>
      </c>
      <c r="AG2881" s="12">
        <v>158.8784</v>
      </c>
    </row>
    <row r="2882" spans="30:33" x14ac:dyDescent="0.2">
      <c r="AD2882" s="13">
        <v>45824</v>
      </c>
      <c r="AE2882" s="12">
        <v>28.0641</v>
      </c>
      <c r="AF2882" s="13">
        <v>45824</v>
      </c>
      <c r="AG2882" s="12">
        <v>158.5984</v>
      </c>
    </row>
    <row r="2883" spans="30:33" x14ac:dyDescent="0.2">
      <c r="AD2883" s="13">
        <v>45825</v>
      </c>
      <c r="AE2883" s="12">
        <v>28.1632</v>
      </c>
      <c r="AF2883" s="13">
        <v>45825</v>
      </c>
      <c r="AG2883" s="12">
        <v>159.1437</v>
      </c>
    </row>
    <row r="2884" spans="30:33" x14ac:dyDescent="0.2">
      <c r="AD2884" s="13">
        <v>45826</v>
      </c>
      <c r="AE2884" s="12">
        <v>28.187999999999999</v>
      </c>
      <c r="AF2884" s="13">
        <v>45826</v>
      </c>
      <c r="AG2884" s="12">
        <v>159.26159999999999</v>
      </c>
    </row>
    <row r="2885" spans="30:33" x14ac:dyDescent="0.2">
      <c r="AD2885" s="13">
        <v>45828</v>
      </c>
      <c r="AE2885" s="12">
        <v>28.194199999999999</v>
      </c>
      <c r="AF2885" s="13">
        <v>45828</v>
      </c>
      <c r="AG2885" s="12">
        <v>159.39429999999999</v>
      </c>
    </row>
    <row r="2886" spans="30:33" x14ac:dyDescent="0.2">
      <c r="AD2886" s="13">
        <v>45831</v>
      </c>
      <c r="AE2886" s="12">
        <v>28.2624</v>
      </c>
      <c r="AF2886" s="13">
        <v>45831</v>
      </c>
      <c r="AG2886" s="12">
        <v>159.79230000000001</v>
      </c>
    </row>
    <row r="2887" spans="30:33" x14ac:dyDescent="0.2">
      <c r="AD2887" s="13">
        <v>45832</v>
      </c>
      <c r="AE2887" s="12">
        <v>28.3367</v>
      </c>
      <c r="AF2887" s="13">
        <v>45832</v>
      </c>
      <c r="AG2887" s="12">
        <v>160.54400000000001</v>
      </c>
    </row>
    <row r="2888" spans="30:33" x14ac:dyDescent="0.2">
      <c r="AD2888" s="13">
        <v>45833</v>
      </c>
      <c r="AE2888" s="12">
        <v>28.361499999999999</v>
      </c>
      <c r="AF2888" s="13">
        <v>45833</v>
      </c>
      <c r="AG2888" s="12">
        <v>160.35239999999999</v>
      </c>
    </row>
    <row r="2889" spans="30:33" x14ac:dyDescent="0.2">
      <c r="AD2889" s="13">
        <v>45834</v>
      </c>
      <c r="AE2889" s="12">
        <v>28.429600000000001</v>
      </c>
      <c r="AF2889" s="13">
        <v>45834</v>
      </c>
      <c r="AG2889" s="12">
        <v>160.94200000000001</v>
      </c>
    </row>
    <row r="2890" spans="30:33" x14ac:dyDescent="0.2">
      <c r="AD2890" s="13">
        <v>45835</v>
      </c>
      <c r="AE2890" s="12">
        <v>28.373899999999999</v>
      </c>
      <c r="AF2890" s="13">
        <v>45835</v>
      </c>
      <c r="AG2890" s="12">
        <v>160.67670000000001</v>
      </c>
    </row>
    <row r="2891" spans="30:33" x14ac:dyDescent="0.2">
      <c r="AD2891" s="13">
        <v>45838</v>
      </c>
      <c r="AE2891" s="12">
        <v>28.472999999999999</v>
      </c>
      <c r="AF2891" s="13">
        <v>45838</v>
      </c>
      <c r="AG2891" s="12">
        <v>161.56100000000001</v>
      </c>
    </row>
    <row r="2892" spans="30:33" x14ac:dyDescent="0.2">
      <c r="AD2892" s="13">
        <v>45839</v>
      </c>
      <c r="AE2892" s="12">
        <v>28.437100000000001</v>
      </c>
      <c r="AF2892" s="13">
        <v>45839</v>
      </c>
      <c r="AG2892" s="12">
        <v>161.75550000000001</v>
      </c>
    </row>
    <row r="2893" spans="30:33" x14ac:dyDescent="0.2">
      <c r="AD2893" s="13">
        <v>45840</v>
      </c>
      <c r="AE2893" s="12">
        <v>28.3812</v>
      </c>
      <c r="AF2893" s="13">
        <v>45840</v>
      </c>
      <c r="AG2893" s="12">
        <v>161.7259</v>
      </c>
    </row>
    <row r="2894" spans="30:33" x14ac:dyDescent="0.2">
      <c r="AD2894" s="13">
        <v>45841</v>
      </c>
      <c r="AE2894" s="12">
        <v>28.3066</v>
      </c>
      <c r="AF2894" s="13">
        <v>45841</v>
      </c>
      <c r="AG2894" s="12">
        <v>161.34129999999999</v>
      </c>
    </row>
    <row r="2895" spans="30:33" x14ac:dyDescent="0.2">
      <c r="AD2895" s="13">
        <v>45845</v>
      </c>
      <c r="AE2895" s="12">
        <v>28.232099999999999</v>
      </c>
      <c r="AF2895" s="13">
        <v>45845</v>
      </c>
      <c r="AG2895" s="12">
        <v>160.37970000000001</v>
      </c>
    </row>
    <row r="2896" spans="30:33" x14ac:dyDescent="0.2">
      <c r="AD2896" s="13">
        <v>45846</v>
      </c>
      <c r="AE2896" s="12">
        <v>28.2134</v>
      </c>
      <c r="AF2896" s="13">
        <v>45846</v>
      </c>
      <c r="AG2896" s="12">
        <v>159.9211</v>
      </c>
    </row>
    <row r="2897" spans="30:33" x14ac:dyDescent="0.2">
      <c r="AD2897" s="13">
        <v>45847</v>
      </c>
      <c r="AE2897" s="12">
        <v>28.331499999999998</v>
      </c>
      <c r="AF2897" s="13">
        <v>45847</v>
      </c>
      <c r="AG2897" s="12">
        <v>160.8383</v>
      </c>
    </row>
    <row r="2898" spans="30:33" x14ac:dyDescent="0.2">
      <c r="AD2898" s="13">
        <v>45848</v>
      </c>
      <c r="AE2898" s="12">
        <v>28.312799999999999</v>
      </c>
      <c r="AF2898" s="13">
        <v>45848</v>
      </c>
      <c r="AG2898" s="12">
        <v>160.86789999999999</v>
      </c>
    </row>
    <row r="2899" spans="30:33" x14ac:dyDescent="0.2">
      <c r="AD2899" s="13">
        <v>45849</v>
      </c>
      <c r="AE2899" s="12">
        <v>28.2196</v>
      </c>
      <c r="AF2899" s="13">
        <v>45849</v>
      </c>
      <c r="AG2899" s="12">
        <v>159.89150000000001</v>
      </c>
    </row>
    <row r="2900" spans="30:33" x14ac:dyDescent="0.2">
      <c r="AD2900" s="13">
        <v>45852</v>
      </c>
      <c r="AE2900" s="12">
        <v>28.2134</v>
      </c>
      <c r="AF2900" s="13">
        <v>45852</v>
      </c>
      <c r="AG2900" s="12">
        <v>159.84710000000001</v>
      </c>
    </row>
    <row r="2901" spans="30:33" x14ac:dyDescent="0.2">
      <c r="AD2901" s="13">
        <v>45853</v>
      </c>
      <c r="AE2901" s="12">
        <v>28.1264</v>
      </c>
      <c r="AF2901" s="13">
        <v>45853</v>
      </c>
      <c r="AG2901" s="12">
        <v>159.27010000000001</v>
      </c>
    </row>
    <row r="2902" spans="30:33" x14ac:dyDescent="0.2">
      <c r="AD2902" s="13">
        <v>45854</v>
      </c>
      <c r="AE2902" s="12">
        <v>28.176100000000002</v>
      </c>
      <c r="AF2902" s="13">
        <v>45854</v>
      </c>
      <c r="AG2902" s="12">
        <v>159.52160000000001</v>
      </c>
    </row>
    <row r="2903" spans="30:33" x14ac:dyDescent="0.2">
      <c r="AD2903" s="13">
        <v>45855</v>
      </c>
      <c r="AE2903" s="12">
        <v>28.157499999999999</v>
      </c>
      <c r="AF2903" s="13">
        <v>45855</v>
      </c>
      <c r="AG2903" s="12">
        <v>159.90629999999999</v>
      </c>
    </row>
    <row r="2904" spans="30:33" x14ac:dyDescent="0.2">
      <c r="AD2904" s="13">
        <v>45856</v>
      </c>
      <c r="AE2904" s="12">
        <v>28.2196</v>
      </c>
      <c r="AF2904" s="13">
        <v>45856</v>
      </c>
      <c r="AG2904" s="12">
        <v>160.2021</v>
      </c>
    </row>
    <row r="2905" spans="30:33" x14ac:dyDescent="0.2">
      <c r="AD2905" s="13">
        <v>45859</v>
      </c>
      <c r="AE2905" s="12">
        <v>28.2942</v>
      </c>
      <c r="AF2905" s="13">
        <v>45859</v>
      </c>
      <c r="AG2905" s="12">
        <v>160.8235</v>
      </c>
    </row>
    <row r="2906" spans="30:33" x14ac:dyDescent="0.2">
      <c r="AD2906" s="13">
        <v>45860</v>
      </c>
      <c r="AE2906" s="12">
        <v>28.350100000000001</v>
      </c>
      <c r="AF2906" s="13">
        <v>45860</v>
      </c>
      <c r="AG2906" s="12">
        <v>161.2081</v>
      </c>
    </row>
    <row r="2907" spans="30:33" x14ac:dyDescent="0.2">
      <c r="AD2907" s="13">
        <v>45861</v>
      </c>
      <c r="AE2907" s="12">
        <v>28.288</v>
      </c>
      <c r="AF2907" s="13">
        <v>45861</v>
      </c>
      <c r="AG2907" s="12">
        <v>160.95660000000001</v>
      </c>
    </row>
    <row r="2908" spans="30:33" x14ac:dyDescent="0.2">
      <c r="AD2908" s="13">
        <v>45862</v>
      </c>
      <c r="AE2908" s="12">
        <v>28.256900000000002</v>
      </c>
      <c r="AF2908" s="13">
        <v>45862</v>
      </c>
      <c r="AG2908" s="12">
        <v>160.7199</v>
      </c>
    </row>
    <row r="2909" spans="30:33" x14ac:dyDescent="0.2">
      <c r="AD2909" s="13">
        <v>45863</v>
      </c>
      <c r="AE2909" s="12">
        <v>28.312799999999999</v>
      </c>
      <c r="AF2909" s="13">
        <v>45863</v>
      </c>
      <c r="AG2909" s="12">
        <v>161.23769999999999</v>
      </c>
    </row>
    <row r="2910" spans="30:33" x14ac:dyDescent="0.2">
      <c r="AD2910" s="13">
        <v>45866</v>
      </c>
      <c r="AE2910" s="12">
        <v>28.263100000000001</v>
      </c>
      <c r="AF2910" s="13">
        <v>45866</v>
      </c>
      <c r="AG2910" s="12">
        <v>160.91220000000001</v>
      </c>
    </row>
    <row r="2911" spans="30:33" x14ac:dyDescent="0.2">
      <c r="AD2911" s="13">
        <v>45867</v>
      </c>
      <c r="AE2911" s="12">
        <v>28.405999999999999</v>
      </c>
      <c r="AF2911" s="13">
        <v>45867</v>
      </c>
      <c r="AG2911" s="12">
        <v>161.97739999999999</v>
      </c>
    </row>
    <row r="2912" spans="30:33" x14ac:dyDescent="0.2">
      <c r="AD2912" s="13">
        <v>45868</v>
      </c>
      <c r="AE2912" s="12">
        <v>28.343900000000001</v>
      </c>
      <c r="AF2912" s="13">
        <v>45868</v>
      </c>
      <c r="AG2912" s="12">
        <v>161.3708</v>
      </c>
    </row>
    <row r="2913" spans="30:33" x14ac:dyDescent="0.2">
      <c r="AD2913" s="13">
        <v>45869</v>
      </c>
      <c r="AE2913" s="12">
        <v>28.356300000000001</v>
      </c>
      <c r="AF2913" s="13">
        <v>45869</v>
      </c>
      <c r="AG2913" s="12">
        <v>161.4152</v>
      </c>
    </row>
    <row r="2914" spans="30:33" x14ac:dyDescent="0.2">
      <c r="AD2914" s="13">
        <v>45870</v>
      </c>
      <c r="AE2914" s="12">
        <v>28.5962</v>
      </c>
      <c r="AF2914" s="13">
        <v>45870</v>
      </c>
      <c r="AG2914" s="12">
        <v>162.8416</v>
      </c>
    </row>
    <row r="2915" spans="30:33" x14ac:dyDescent="0.2">
      <c r="AD2915" s="13">
        <v>45873</v>
      </c>
      <c r="AE2915" s="12">
        <v>28.621099999999998</v>
      </c>
      <c r="AF2915" s="13">
        <v>45873</v>
      </c>
      <c r="AG2915" s="12">
        <v>163.12379999999999</v>
      </c>
    </row>
    <row r="2916" spans="30:33" x14ac:dyDescent="0.2">
      <c r="AD2916" s="13">
        <v>45874</v>
      </c>
      <c r="AE2916" s="12">
        <v>28.621099999999998</v>
      </c>
      <c r="AF2916" s="13">
        <v>45874</v>
      </c>
      <c r="AG2916" s="12">
        <v>163.24260000000001</v>
      </c>
    </row>
    <row r="2917" spans="30:33" x14ac:dyDescent="0.2">
      <c r="AD2917" s="13">
        <v>45875</v>
      </c>
      <c r="AE2917" s="12">
        <v>28.5962</v>
      </c>
      <c r="AF2917" s="13">
        <v>45875</v>
      </c>
      <c r="AG2917" s="12">
        <v>163.19810000000001</v>
      </c>
    </row>
    <row r="2918" spans="30:33" x14ac:dyDescent="0.2">
      <c r="AD2918" s="13">
        <v>45876</v>
      </c>
      <c r="AE2918" s="12">
        <v>28.577500000000001</v>
      </c>
      <c r="AF2918" s="13">
        <v>45876</v>
      </c>
      <c r="AG2918" s="12">
        <v>163.03469999999999</v>
      </c>
    </row>
    <row r="2919" spans="30:33" x14ac:dyDescent="0.2">
      <c r="AD2919" s="13">
        <v>45877</v>
      </c>
      <c r="AE2919" s="12">
        <v>28.5276</v>
      </c>
      <c r="AF2919" s="13">
        <v>45877</v>
      </c>
      <c r="AG2919" s="12">
        <v>162.51480000000001</v>
      </c>
    </row>
    <row r="2920" spans="30:33" x14ac:dyDescent="0.2">
      <c r="AD2920" s="13">
        <v>45880</v>
      </c>
      <c r="AE2920" s="12">
        <v>28.540099999999999</v>
      </c>
      <c r="AF2920" s="13">
        <v>45880</v>
      </c>
      <c r="AG2920" s="12">
        <v>162.76730000000001</v>
      </c>
    </row>
    <row r="2921" spans="30:33" x14ac:dyDescent="0.2">
      <c r="AD2921" s="13">
        <v>45881</v>
      </c>
      <c r="AE2921" s="12">
        <v>28.5152</v>
      </c>
      <c r="AF2921" s="13">
        <v>45881</v>
      </c>
      <c r="AG2921" s="12">
        <v>162.91579999999999</v>
      </c>
    </row>
    <row r="2922" spans="30:33" x14ac:dyDescent="0.2">
      <c r="AD2922" s="13">
        <v>45882</v>
      </c>
      <c r="AE2922" s="12">
        <v>28.608699999999999</v>
      </c>
      <c r="AF2922" s="13">
        <v>45882</v>
      </c>
      <c r="AG2922" s="12">
        <v>163.7774</v>
      </c>
    </row>
    <row r="2923" spans="30:33" x14ac:dyDescent="0.2">
      <c r="AD2923" s="13">
        <v>45883</v>
      </c>
      <c r="AE2923" s="12">
        <v>28.533899999999999</v>
      </c>
      <c r="AF2923" s="13">
        <v>45883</v>
      </c>
      <c r="AG2923" s="12">
        <v>163.21289999999999</v>
      </c>
    </row>
    <row r="2924" spans="30:33" x14ac:dyDescent="0.2">
      <c r="AD2924" s="13">
        <v>45884</v>
      </c>
      <c r="AE2924" s="12">
        <v>28.484000000000002</v>
      </c>
      <c r="AF2924" s="13">
        <v>45884</v>
      </c>
      <c r="AG2924" s="12">
        <v>163.005</v>
      </c>
    </row>
    <row r="2925" spans="30:33" x14ac:dyDescent="0.2">
      <c r="AD2925" s="13">
        <v>45887</v>
      </c>
      <c r="AE2925" s="12">
        <v>28.459099999999999</v>
      </c>
      <c r="AF2925" s="13">
        <v>45887</v>
      </c>
      <c r="AG2925" s="12">
        <v>162.7079</v>
      </c>
    </row>
    <row r="2926" spans="30:33" x14ac:dyDescent="0.2">
      <c r="AD2926" s="13">
        <v>45888</v>
      </c>
      <c r="AE2926" s="12">
        <v>28.5214</v>
      </c>
      <c r="AF2926" s="13">
        <v>45888</v>
      </c>
      <c r="AG2926" s="12">
        <v>162.96039999999999</v>
      </c>
    </row>
    <row r="2927" spans="30:33" x14ac:dyDescent="0.2">
      <c r="AD2927" s="13">
        <v>45889</v>
      </c>
      <c r="AE2927" s="12">
        <v>28.546299999999999</v>
      </c>
      <c r="AF2927" s="13">
        <v>45889</v>
      </c>
      <c r="AG2927" s="12">
        <v>163.03469999999999</v>
      </c>
    </row>
    <row r="2928" spans="30:33" x14ac:dyDescent="0.2">
      <c r="AD2928" s="13">
        <v>45890</v>
      </c>
      <c r="AE2928" s="12">
        <v>28.484000000000002</v>
      </c>
      <c r="AF2928" s="13">
        <v>45890</v>
      </c>
      <c r="AG2928" s="12">
        <v>162.41079999999999</v>
      </c>
    </row>
    <row r="2929" spans="30:33" x14ac:dyDescent="0.2">
      <c r="AD2929" s="13">
        <v>45891</v>
      </c>
      <c r="AE2929" s="12">
        <v>28.602399999999999</v>
      </c>
      <c r="AF2929" s="13">
        <v>45891</v>
      </c>
      <c r="AG2929" s="12">
        <v>163.68819999999999</v>
      </c>
    </row>
    <row r="2930" spans="30:33" x14ac:dyDescent="0.2">
      <c r="AD2930" s="13">
        <v>45894</v>
      </c>
      <c r="AE2930" s="12">
        <v>28.558800000000002</v>
      </c>
      <c r="AF2930" s="13">
        <v>45894</v>
      </c>
      <c r="AG2930" s="12">
        <v>163.25749999999999</v>
      </c>
    </row>
    <row r="2931" spans="30:33" x14ac:dyDescent="0.2">
      <c r="AD2931" s="13">
        <v>45895</v>
      </c>
      <c r="AE2931" s="12">
        <v>28.602399999999999</v>
      </c>
      <c r="AF2931" s="13">
        <v>45895</v>
      </c>
      <c r="AG2931" s="12">
        <v>163.37629999999999</v>
      </c>
    </row>
    <row r="2932" spans="30:33" x14ac:dyDescent="0.2">
      <c r="AD2932" s="13">
        <v>45896</v>
      </c>
      <c r="AE2932" s="12">
        <v>28.621099999999998</v>
      </c>
      <c r="AF2932" s="13">
        <v>45896</v>
      </c>
      <c r="AG2932" s="12">
        <v>163.4357</v>
      </c>
    </row>
    <row r="2933" spans="30:33" x14ac:dyDescent="0.2">
      <c r="AD2933" s="13">
        <v>45897</v>
      </c>
      <c r="AE2933" s="12">
        <v>28.670999999999999</v>
      </c>
      <c r="AF2933" s="13">
        <v>45897</v>
      </c>
      <c r="AG2933" s="12">
        <v>163.68819999999999</v>
      </c>
    </row>
    <row r="2934" spans="30:33" x14ac:dyDescent="0.2">
      <c r="AD2934" s="13">
        <v>45898</v>
      </c>
      <c r="AE2934" s="12">
        <v>28.646000000000001</v>
      </c>
      <c r="AF2934" s="13">
        <v>45898</v>
      </c>
      <c r="AG2934" s="12">
        <v>163.0941</v>
      </c>
    </row>
    <row r="2935" spans="30:33" x14ac:dyDescent="0.2">
      <c r="AD2935" s="13">
        <v>45902</v>
      </c>
      <c r="AE2935" s="12">
        <v>28.581600000000002</v>
      </c>
      <c r="AF2935" s="13">
        <v>45902</v>
      </c>
      <c r="AG2935" s="12">
        <v>162.55109999999999</v>
      </c>
    </row>
    <row r="2936" spans="30:33" x14ac:dyDescent="0.2">
      <c r="AD2936" s="13">
        <v>45903</v>
      </c>
      <c r="AE2936" s="12">
        <v>28.6691</v>
      </c>
      <c r="AF2936" s="13">
        <v>45903</v>
      </c>
      <c r="AG2936" s="12">
        <v>163.52000000000001</v>
      </c>
    </row>
    <row r="2937" spans="30:33" x14ac:dyDescent="0.2">
      <c r="AD2937" s="13">
        <v>45904</v>
      </c>
      <c r="AE2937" s="12">
        <v>28.7378</v>
      </c>
      <c r="AF2937" s="13">
        <v>45904</v>
      </c>
      <c r="AG2937" s="12">
        <v>164.6379</v>
      </c>
    </row>
    <row r="2938" spans="30:33" x14ac:dyDescent="0.2">
      <c r="AD2938" s="13">
        <v>45905</v>
      </c>
      <c r="AE2938" s="12">
        <v>28.881599999999999</v>
      </c>
      <c r="AF2938" s="13">
        <v>45905</v>
      </c>
      <c r="AG2938" s="12">
        <v>165.71119999999999</v>
      </c>
    </row>
    <row r="2939" spans="30:33" x14ac:dyDescent="0.2">
      <c r="AD2939" s="13">
        <v>45908</v>
      </c>
      <c r="AE2939" s="12">
        <v>28.9816</v>
      </c>
      <c r="AF2939" s="13">
        <v>45908</v>
      </c>
      <c r="AG2939" s="12">
        <v>166.29249999999999</v>
      </c>
    </row>
    <row r="2940" spans="30:33" x14ac:dyDescent="0.2">
      <c r="AD2940" s="13">
        <v>45909</v>
      </c>
      <c r="AE2940" s="12">
        <v>28.9191</v>
      </c>
      <c r="AF2940" s="13">
        <v>45909</v>
      </c>
      <c r="AG2940" s="12">
        <v>165.99440000000001</v>
      </c>
    </row>
    <row r="2941" spans="30:33" x14ac:dyDescent="0.2">
      <c r="AD2941" s="13">
        <v>45910</v>
      </c>
      <c r="AE2941" s="12">
        <v>28.969100000000001</v>
      </c>
      <c r="AF2941" s="13">
        <v>45910</v>
      </c>
      <c r="AG2941" s="12">
        <v>166.4863</v>
      </c>
    </row>
    <row r="2942" spans="30:33" x14ac:dyDescent="0.2">
      <c r="AD2942" s="13">
        <v>45911</v>
      </c>
      <c r="AE2942" s="12">
        <v>29.006599999999999</v>
      </c>
      <c r="AF2942" s="13">
        <v>45911</v>
      </c>
      <c r="AG2942" s="12">
        <v>167.26140000000001</v>
      </c>
    </row>
    <row r="2943" spans="30:33" x14ac:dyDescent="0.2">
      <c r="AD2943" s="13">
        <v>45912</v>
      </c>
      <c r="AE2943" s="12">
        <v>28.969100000000001</v>
      </c>
      <c r="AF2943" s="13">
        <v>45912</v>
      </c>
      <c r="AG2943" s="12">
        <v>166.9633</v>
      </c>
    </row>
    <row r="2944" spans="30:33" x14ac:dyDescent="0.2">
      <c r="AD2944" s="13">
        <v>45915</v>
      </c>
      <c r="AE2944" s="12">
        <v>28.9941</v>
      </c>
      <c r="AF2944" s="13">
        <v>45915</v>
      </c>
      <c r="AG2944" s="12">
        <v>167.48500000000001</v>
      </c>
    </row>
    <row r="2945" spans="30:33" x14ac:dyDescent="0.2">
      <c r="AD2945" s="13">
        <v>45916</v>
      </c>
      <c r="AE2945" s="12">
        <v>29.025300000000001</v>
      </c>
      <c r="AF2945" s="13">
        <v>45916</v>
      </c>
      <c r="AG2945" s="12">
        <v>167.33600000000001</v>
      </c>
    </row>
    <row r="2946" spans="30:33" x14ac:dyDescent="0.2">
      <c r="AD2946" s="13">
        <v>45917</v>
      </c>
      <c r="AE2946" s="12">
        <v>28.975300000000001</v>
      </c>
      <c r="AF2946" s="13">
        <v>45917</v>
      </c>
      <c r="AG2946" s="12">
        <v>167.0378</v>
      </c>
    </row>
    <row r="2947" spans="30:33" x14ac:dyDescent="0.2">
      <c r="AD2947" s="13">
        <v>45918</v>
      </c>
      <c r="AE2947" s="12">
        <v>28.887799999999999</v>
      </c>
      <c r="AF2947" s="13">
        <v>45918</v>
      </c>
      <c r="AG2947" s="12">
        <v>166.69499999999999</v>
      </c>
    </row>
    <row r="2948" spans="30:33" x14ac:dyDescent="0.2">
      <c r="AD2948" s="13">
        <v>45919</v>
      </c>
      <c r="AE2948" s="12">
        <v>28.894100000000002</v>
      </c>
      <c r="AF2948" s="13">
        <v>45919</v>
      </c>
      <c r="AG2948" s="12">
        <v>166.5608</v>
      </c>
    </row>
    <row r="2949" spans="30:33" x14ac:dyDescent="0.2">
      <c r="AD2949" s="13">
        <v>45922</v>
      </c>
      <c r="AE2949" s="12">
        <v>28.850300000000001</v>
      </c>
      <c r="AF2949" s="13">
        <v>45922</v>
      </c>
      <c r="AG2949" s="12">
        <v>166.18819999999999</v>
      </c>
    </row>
    <row r="2950" spans="30:33" x14ac:dyDescent="0.2">
      <c r="AD2950" s="13">
        <v>45923</v>
      </c>
      <c r="AE2950" s="12">
        <v>28.9191</v>
      </c>
      <c r="AF2950" s="13">
        <v>45923</v>
      </c>
      <c r="AG2950" s="12">
        <v>166.51609999999999</v>
      </c>
    </row>
    <row r="2951" spans="30:33" x14ac:dyDescent="0.2">
      <c r="AD2951" s="13">
        <v>45924</v>
      </c>
      <c r="AE2951" s="12">
        <v>28.8691</v>
      </c>
      <c r="AF2951" s="13">
        <v>45924</v>
      </c>
      <c r="AG2951" s="12">
        <v>165.84530000000001</v>
      </c>
    </row>
    <row r="2952" spans="30:33" x14ac:dyDescent="0.2">
      <c r="AD2952" s="13">
        <v>45925</v>
      </c>
      <c r="AE2952" s="12">
        <v>28.825299999999999</v>
      </c>
      <c r="AF2952" s="13">
        <v>45925</v>
      </c>
      <c r="AG2952" s="12">
        <v>165.5472</v>
      </c>
    </row>
    <row r="2953" spans="30:33" x14ac:dyDescent="0.2">
      <c r="AD2953" s="13">
        <v>45926</v>
      </c>
      <c r="AE2953" s="12">
        <v>28.831600000000002</v>
      </c>
      <c r="AF2953" s="13">
        <v>45926</v>
      </c>
      <c r="AG2953" s="12">
        <v>165.77080000000001</v>
      </c>
    </row>
    <row r="2954" spans="30:33" x14ac:dyDescent="0.2">
      <c r="AD2954" s="13">
        <v>45929</v>
      </c>
      <c r="AE2954" s="12">
        <v>28.900300000000001</v>
      </c>
      <c r="AF2954" s="13">
        <v>45929</v>
      </c>
      <c r="AG2954" s="12">
        <v>166.32230000000001</v>
      </c>
    </row>
    <row r="2955" spans="30:33" x14ac:dyDescent="0.2">
      <c r="AD2955" s="13">
        <v>45930</v>
      </c>
      <c r="AE2955" s="12">
        <v>28.900300000000001</v>
      </c>
      <c r="AF2955" s="13">
        <v>45930</v>
      </c>
      <c r="AG2955" s="12">
        <v>166.1584</v>
      </c>
    </row>
    <row r="2956" spans="30:33" x14ac:dyDescent="0.2">
      <c r="AD2956" s="13">
        <v>45931</v>
      </c>
      <c r="AE2956" s="12">
        <v>28.956800000000001</v>
      </c>
      <c r="AF2956" s="13">
        <v>45931</v>
      </c>
      <c r="AG2956" s="12">
        <v>166.82320000000001</v>
      </c>
    </row>
    <row r="2957" spans="30:33" x14ac:dyDescent="0.2">
      <c r="AD2957" s="13">
        <v>45932</v>
      </c>
      <c r="AE2957" s="12">
        <v>28.9819</v>
      </c>
      <c r="AF2957" s="13">
        <v>45932</v>
      </c>
      <c r="AG2957" s="12">
        <v>167.0925</v>
      </c>
    </row>
    <row r="2958" spans="30:33" x14ac:dyDescent="0.2">
      <c r="AD2958" s="13">
        <v>45933</v>
      </c>
      <c r="AE2958" s="12">
        <v>28.944299999999998</v>
      </c>
      <c r="AF2958" s="13">
        <v>45933</v>
      </c>
      <c r="AG2958" s="12">
        <v>166.88310000000001</v>
      </c>
    </row>
    <row r="2959" spans="30:33" x14ac:dyDescent="0.2">
      <c r="AD2959" s="13">
        <v>45936</v>
      </c>
      <c r="AE2959" s="12">
        <v>28.881599999999999</v>
      </c>
      <c r="AF2959" s="13">
        <v>45936</v>
      </c>
      <c r="AG2959" s="12">
        <v>166.34450000000001</v>
      </c>
    </row>
    <row r="2960" spans="30:33" x14ac:dyDescent="0.2">
      <c r="AD2960" s="13">
        <v>45937</v>
      </c>
      <c r="AE2960" s="12">
        <v>28.937999999999999</v>
      </c>
      <c r="AF2960" s="13">
        <v>45937</v>
      </c>
      <c r="AG2960" s="12">
        <v>166.65870000000001</v>
      </c>
    </row>
    <row r="2961" spans="30:33" x14ac:dyDescent="0.2">
      <c r="AD2961" s="13">
        <v>45938</v>
      </c>
      <c r="AE2961" s="12">
        <v>28.944299999999998</v>
      </c>
      <c r="AF2961" s="13">
        <v>45938</v>
      </c>
      <c r="AG2961" s="12">
        <v>166.44919999999999</v>
      </c>
    </row>
    <row r="2962" spans="30:33" x14ac:dyDescent="0.2">
      <c r="AD2962" s="13">
        <v>45939</v>
      </c>
      <c r="AE2962" s="12">
        <v>28.931799999999999</v>
      </c>
      <c r="AF2962" s="13">
        <v>45939</v>
      </c>
      <c r="AG2962" s="12">
        <v>166.12010000000001</v>
      </c>
    </row>
    <row r="2963" spans="30:33" x14ac:dyDescent="0.2">
      <c r="AD2963" s="13">
        <v>45940</v>
      </c>
      <c r="AE2963" s="12">
        <v>29.0885</v>
      </c>
      <c r="AF2963" s="13">
        <v>45940</v>
      </c>
      <c r="AG2963" s="12">
        <v>166.5839</v>
      </c>
    </row>
    <row r="2964" spans="30:33" x14ac:dyDescent="0.2">
      <c r="AD2964" s="13">
        <v>45943</v>
      </c>
      <c r="AE2964" s="12">
        <v>29.100999999999999</v>
      </c>
      <c r="AF2964" s="13">
        <v>45943</v>
      </c>
      <c r="AG2964" s="12">
        <v>167.1524</v>
      </c>
    </row>
    <row r="2965" spans="30:33" x14ac:dyDescent="0.2">
      <c r="AD2965" s="13">
        <v>45944</v>
      </c>
      <c r="AE2965" s="12">
        <v>29.1511</v>
      </c>
      <c r="AF2965" s="13">
        <v>45944</v>
      </c>
      <c r="AG2965" s="12">
        <v>167.70590000000001</v>
      </c>
    </row>
    <row r="2966" spans="30:33" x14ac:dyDescent="0.2">
      <c r="AD2966" s="13">
        <v>45945</v>
      </c>
      <c r="AE2966" s="12">
        <v>29.119800000000001</v>
      </c>
      <c r="AF2966" s="13">
        <v>45945</v>
      </c>
      <c r="AG2966" s="12">
        <v>167.70590000000001</v>
      </c>
    </row>
    <row r="2967" spans="30:33" x14ac:dyDescent="0.2">
      <c r="AD2967" s="13">
        <v>45946</v>
      </c>
      <c r="AE2967" s="12">
        <v>29.226400000000002</v>
      </c>
      <c r="AF2967" s="13">
        <v>45946</v>
      </c>
      <c r="AG2967" s="12">
        <v>168.18459999999999</v>
      </c>
    </row>
    <row r="2968" spans="30:33" x14ac:dyDescent="0.2">
      <c r="AD2968" s="13">
        <v>45947</v>
      </c>
      <c r="AE2968" s="12">
        <v>29.182500000000001</v>
      </c>
      <c r="AF2968" s="13">
        <v>45947</v>
      </c>
      <c r="AG2968" s="12">
        <v>167.85550000000001</v>
      </c>
    </row>
    <row r="2969" spans="30:33" x14ac:dyDescent="0.2">
      <c r="AD2969" s="13">
        <v>45950</v>
      </c>
      <c r="AE2969" s="12">
        <v>29.220099999999999</v>
      </c>
      <c r="AF2969" s="13">
        <v>45950</v>
      </c>
      <c r="AG2969" s="12">
        <v>168.36420000000001</v>
      </c>
    </row>
    <row r="2970" spans="30:33" x14ac:dyDescent="0.2">
      <c r="AD2970" s="13">
        <v>45951</v>
      </c>
      <c r="AE2970" s="12">
        <v>29.263999999999999</v>
      </c>
      <c r="AF2970" s="13">
        <v>45951</v>
      </c>
      <c r="AG2970" s="12">
        <v>168.39410000000001</v>
      </c>
    </row>
    <row r="2971" spans="30:33" x14ac:dyDescent="0.2">
      <c r="AD2971" s="13">
        <v>45952</v>
      </c>
      <c r="AE2971" s="12">
        <v>29.282800000000002</v>
      </c>
      <c r="AF2971" s="13">
        <v>45952</v>
      </c>
      <c r="AG2971" s="12">
        <v>168.55860000000001</v>
      </c>
    </row>
    <row r="2972" spans="30:33" x14ac:dyDescent="0.2">
      <c r="AD2972" s="13">
        <v>45953</v>
      </c>
      <c r="AE2972" s="12">
        <v>29.195</v>
      </c>
      <c r="AF2972" s="13">
        <v>45953</v>
      </c>
      <c r="AG2972" s="12">
        <v>168.3492</v>
      </c>
    </row>
    <row r="2973" spans="30:33" x14ac:dyDescent="0.2">
      <c r="AD2973" s="13">
        <v>45954</v>
      </c>
      <c r="AE2973" s="12">
        <v>29.213799999999999</v>
      </c>
      <c r="AF2973" s="13">
        <v>45954</v>
      </c>
      <c r="AG2973" s="12">
        <v>168.63339999999999</v>
      </c>
    </row>
    <row r="2974" spans="30:33" x14ac:dyDescent="0.2">
      <c r="AD2974" s="13">
        <v>45957</v>
      </c>
      <c r="AE2974" s="12">
        <v>29.226400000000002</v>
      </c>
      <c r="AF2974" s="13">
        <v>45957</v>
      </c>
      <c r="AG2974" s="12">
        <v>168.9177</v>
      </c>
    </row>
    <row r="2975" spans="30:33" x14ac:dyDescent="0.2">
      <c r="AD2975" s="13">
        <v>45958</v>
      </c>
      <c r="AE2975" s="12">
        <v>29.245200000000001</v>
      </c>
      <c r="AF2975" s="13">
        <v>45958</v>
      </c>
      <c r="AG2975" s="12">
        <v>168.93260000000001</v>
      </c>
    </row>
    <row r="2976" spans="30:33" x14ac:dyDescent="0.2">
      <c r="AD2976" s="13">
        <v>45959</v>
      </c>
      <c r="AE2976" s="12">
        <v>29.119800000000001</v>
      </c>
      <c r="AF2976" s="13">
        <v>45959</v>
      </c>
      <c r="AG2976" s="12">
        <v>167.9752</v>
      </c>
    </row>
    <row r="2977" spans="30:33" x14ac:dyDescent="0.2">
      <c r="AD2977" s="13">
        <v>45960</v>
      </c>
      <c r="AE2977" s="12">
        <v>29.075900000000001</v>
      </c>
      <c r="AF2977" s="13">
        <v>45960</v>
      </c>
      <c r="AG2977" s="12">
        <v>167.07759999999999</v>
      </c>
    </row>
    <row r="2978" spans="30:33" x14ac:dyDescent="0.2">
      <c r="AD2978" s="13">
        <v>45961</v>
      </c>
      <c r="AE2978" s="12">
        <v>29.0822</v>
      </c>
      <c r="AF2978" s="13">
        <v>45961</v>
      </c>
      <c r="AG2978" s="12">
        <v>166.40430000000001</v>
      </c>
    </row>
    <row r="2979" spans="30:33" x14ac:dyDescent="0.2">
      <c r="AD2979" s="13">
        <v>45964</v>
      </c>
      <c r="AE2979" s="12">
        <v>29.0564</v>
      </c>
      <c r="AF2979" s="13">
        <v>45964</v>
      </c>
      <c r="AG2979" s="12">
        <v>165.95920000000001</v>
      </c>
    </row>
    <row r="2980" spans="30:33" x14ac:dyDescent="0.2">
      <c r="AD2980" s="13">
        <v>45965</v>
      </c>
      <c r="AE2980" s="12">
        <v>29.081600000000002</v>
      </c>
      <c r="AF2980" s="13">
        <v>45965</v>
      </c>
      <c r="AG2980" s="12">
        <v>166.18440000000001</v>
      </c>
    </row>
    <row r="2981" spans="30:33" x14ac:dyDescent="0.2">
      <c r="AD2981" s="13">
        <v>45966</v>
      </c>
      <c r="AE2981" s="12">
        <v>28.974699999999999</v>
      </c>
      <c r="AF2981" s="13">
        <v>45966</v>
      </c>
      <c r="AG2981" s="12">
        <v>165.68889999999999</v>
      </c>
    </row>
    <row r="2982" spans="30:33" x14ac:dyDescent="0.2">
      <c r="AD2982" s="13">
        <v>45967</v>
      </c>
      <c r="AE2982" s="12">
        <v>29.081600000000002</v>
      </c>
      <c r="AF2982" s="13">
        <v>45967</v>
      </c>
      <c r="AG2982" s="12">
        <v>166.5598</v>
      </c>
    </row>
    <row r="2983" spans="30:33" x14ac:dyDescent="0.2">
      <c r="AD2983" s="13">
        <v>45968</v>
      </c>
      <c r="AE2983" s="12">
        <v>29.094200000000001</v>
      </c>
      <c r="AF2983" s="13">
        <v>45968</v>
      </c>
      <c r="AG2983" s="12">
        <v>166.2295</v>
      </c>
    </row>
    <row r="2984" spans="30:33" x14ac:dyDescent="0.2">
      <c r="AD2984" s="13">
        <v>45971</v>
      </c>
      <c r="AE2984" s="12">
        <v>29.0627</v>
      </c>
      <c r="AF2984" s="13">
        <v>45971</v>
      </c>
      <c r="AG2984" s="12">
        <v>166.31950000000001</v>
      </c>
    </row>
    <row r="2985" spans="30:33" x14ac:dyDescent="0.2">
      <c r="AD2985" s="13">
        <v>45972</v>
      </c>
      <c r="AE2985" s="12">
        <v>29.131900000000002</v>
      </c>
      <c r="AF2985" s="13">
        <v>45972</v>
      </c>
      <c r="AG2985" s="12">
        <v>166.9802</v>
      </c>
    </row>
  </sheetData>
  <phoneticPr fontId="2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CycleE</vt:lpstr>
      <vt:lpstr>CycleE_Meta</vt:lpstr>
      <vt:lpstr>CycleC</vt:lpstr>
      <vt:lpstr>CycleC_Meta</vt:lpstr>
      <vt:lpstr>CycleE_2</vt:lpstr>
      <vt:lpstr>CycleC_2</vt:lpstr>
      <vt:lpstr>BB</vt:lpstr>
      <vt:lpstr>Strategy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2024-08-22T23:50:43Z</dcterms:created>
  <dcterms:modified xsi:type="dcterms:W3CDTF">2025-11-12T06:50:27Z</dcterms:modified>
</cp:coreProperties>
</file>